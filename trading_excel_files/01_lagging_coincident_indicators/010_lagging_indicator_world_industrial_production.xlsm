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5180" yWindow="-540" windowWidth="48300" windowHeight="280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Industrial production yoy" sheetId="6" state="visible" r:id="rId6"/>
    <sheet xmlns:r="http://schemas.openxmlformats.org/officeDocument/2006/relationships" name="IP World" sheetId="7" state="visible" r:id="rId7"/>
    <sheet xmlns:r="http://schemas.openxmlformats.org/officeDocument/2006/relationships" name="Per country" sheetId="8" state="visible" r:id="rId8"/>
    <sheet xmlns:r="http://schemas.openxmlformats.org/officeDocument/2006/relationships" name="China" sheetId="9" state="visible" r:id="rId9"/>
  </sheets>
  <definedNames>
    <definedName name="_xlnm._FilterDatabase" localSheetId="0" hidden="1">'Note'!$O$12:$P$12</definedName>
    <definedName name="_xlnm._FilterDatabase" localSheetId="2" hidden="1">'World Production data'!$B$6:$F$6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3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0"/>
      <sz val="14"/>
      <scheme val="minor"/>
    </font>
    <font>
      <name val="Arial"/>
      <family val="2"/>
      <sz val="11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  <font>
      <name val="Calibri"/>
      <family val="2"/>
      <color rgb="FF000000"/>
      <sz val="11"/>
      <scheme val="minor"/>
    </font>
  </fonts>
  <fills count="44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5">
    <xf numFmtId="0" fontId="1" fillId="0" borderId="0"/>
    <xf numFmtId="9" fontId="1" fillId="0" borderId="0"/>
    <xf numFmtId="0" fontId="2" fillId="0" borderId="0"/>
    <xf numFmtId="0" fontId="3" fillId="0" borderId="1"/>
    <xf numFmtId="0" fontId="4" fillId="0" borderId="2"/>
    <xf numFmtId="0" fontId="5" fillId="0" borderId="3"/>
    <xf numFmtId="0" fontId="5" fillId="0" borderId="0"/>
    <xf numFmtId="0" fontId="6" fillId="2" borderId="0"/>
    <xf numFmtId="0" fontId="7" fillId="3" borderId="0"/>
    <xf numFmtId="0" fontId="8" fillId="4" borderId="0"/>
    <xf numFmtId="0" fontId="9" fillId="5" borderId="4"/>
    <xf numFmtId="0" fontId="10" fillId="6" borderId="5"/>
    <xf numFmtId="0" fontId="11" fillId="6" borderId="4"/>
    <xf numFmtId="0" fontId="12" fillId="0" borderId="6"/>
    <xf numFmtId="0" fontId="13" fillId="7" borderId="7"/>
    <xf numFmtId="0" fontId="14" fillId="0" borderId="0"/>
    <xf numFmtId="0" fontId="1" fillId="8" borderId="8"/>
    <xf numFmtId="0" fontId="15" fillId="0" borderId="0"/>
    <xf numFmtId="0" fontId="16" fillId="0" borderId="9"/>
    <xf numFmtId="0" fontId="17" fillId="9" borderId="0"/>
    <xf numFmtId="0" fontId="1" fillId="10" borderId="0"/>
    <xf numFmtId="0" fontId="1" fillId="11" borderId="0"/>
    <xf numFmtId="0" fontId="1" fillId="12" borderId="0"/>
    <xf numFmtId="0" fontId="17" fillId="13" borderId="0"/>
    <xf numFmtId="0" fontId="1" fillId="14" borderId="0"/>
    <xf numFmtId="0" fontId="1" fillId="15" borderId="0"/>
    <xf numFmtId="0" fontId="1" fillId="16" borderId="0"/>
    <xf numFmtId="0" fontId="17" fillId="17" borderId="0"/>
    <xf numFmtId="0" fontId="1" fillId="18" borderId="0"/>
    <xf numFmtId="0" fontId="1" fillId="19" borderId="0"/>
    <xf numFmtId="0" fontId="1" fillId="20" borderId="0"/>
    <xf numFmtId="0" fontId="17" fillId="21" borderId="0"/>
    <xf numFmtId="0" fontId="1" fillId="22" borderId="0"/>
    <xf numFmtId="0" fontId="1" fillId="23" borderId="0"/>
    <xf numFmtId="0" fontId="1" fillId="24" borderId="0"/>
    <xf numFmtId="0" fontId="17" fillId="25" borderId="0"/>
    <xf numFmtId="0" fontId="1" fillId="26" borderId="0"/>
    <xf numFmtId="0" fontId="1" fillId="27" borderId="0"/>
    <xf numFmtId="0" fontId="1" fillId="28" borderId="0"/>
    <xf numFmtId="0" fontId="17" fillId="29" borderId="0"/>
    <xf numFmtId="0" fontId="1" fillId="30" borderId="0"/>
    <xf numFmtId="0" fontId="1" fillId="31" borderId="0"/>
    <xf numFmtId="0" fontId="1" fillId="32" borderId="0"/>
    <xf numFmtId="0" fontId="24" fillId="0" borderId="0"/>
    <xf numFmtId="0" fontId="30" fillId="0" borderId="0"/>
  </cellStyleXfs>
  <cellXfs count="147">
    <xf numFmtId="0" fontId="0" fillId="0" borderId="0" pivotButton="0" quotePrefix="0" xfId="0"/>
    <xf numFmtId="0" fontId="0" fillId="34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23" fillId="38" borderId="10" applyAlignment="1" pivotButton="0" quotePrefix="0" xfId="0">
      <alignment horizontal="center" vertical="center"/>
    </xf>
    <xf numFmtId="2" fontId="23" fillId="38" borderId="10" applyAlignment="1" pivotButton="0" quotePrefix="0" xfId="0">
      <alignment horizontal="center" vertical="center"/>
    </xf>
    <xf numFmtId="164" fontId="21" fillId="0" borderId="10" applyAlignment="1" pivotButton="0" quotePrefix="0" xfId="0">
      <alignment horizontal="center" vertical="center"/>
    </xf>
    <xf numFmtId="14" fontId="0" fillId="34" borderId="0" pivotButton="0" quotePrefix="0" xfId="0"/>
    <xf numFmtId="10" fontId="0" fillId="0" borderId="0" pivotButton="0" quotePrefix="0" xfId="0"/>
    <xf numFmtId="165" fontId="0" fillId="0" borderId="0" pivotButton="0" quotePrefix="0" xfId="0"/>
    <xf numFmtId="0" fontId="16" fillId="39" borderId="0" pivotButton="0" quotePrefix="0" xfId="0"/>
    <xf numFmtId="166" fontId="0" fillId="0" borderId="0" pivotButton="0" quotePrefix="0" xfId="0"/>
    <xf numFmtId="0" fontId="24" fillId="0" borderId="0" pivotButton="0" quotePrefix="0" xfId="43"/>
    <xf numFmtId="166" fontId="26" fillId="34" borderId="10" applyAlignment="1" pivotButton="0" quotePrefix="0" xfId="0">
      <alignment horizontal="center"/>
    </xf>
    <xf numFmtId="164" fontId="0" fillId="34" borderId="10" applyAlignment="1" pivotButton="0" quotePrefix="0" xfId="0">
      <alignment horizontal="center"/>
    </xf>
    <xf numFmtId="0" fontId="0" fillId="34" borderId="0" applyAlignment="1" pivotButton="0" quotePrefix="0" xfId="0">
      <alignment horizontal="center"/>
    </xf>
    <xf numFmtId="166" fontId="21" fillId="34" borderId="10" applyAlignment="1" pivotButton="0" quotePrefix="0" xfId="1">
      <alignment horizontal="center" vertical="center"/>
    </xf>
    <xf numFmtId="17" fontId="27" fillId="33" borderId="10" applyAlignment="1" pivotButton="0" quotePrefix="0" xfId="0">
      <alignment horizontal="left" vertical="top" wrapText="1"/>
    </xf>
    <xf numFmtId="0" fontId="28" fillId="34" borderId="0" pivotButton="0" quotePrefix="0" xfId="0"/>
    <xf numFmtId="17" fontId="0" fillId="34" borderId="0" pivotButton="0" quotePrefix="0" xfId="0"/>
    <xf numFmtId="166" fontId="23" fillId="38" borderId="10" applyAlignment="1" pivotButton="0" quotePrefix="0" xfId="1">
      <alignment horizontal="center" vertical="center"/>
    </xf>
    <xf numFmtId="0" fontId="0" fillId="0" borderId="0" pivotButton="0" quotePrefix="0" xfId="0"/>
    <xf numFmtId="0" fontId="0" fillId="34" borderId="0" pivotButton="0" quotePrefix="0" xfId="0"/>
    <xf numFmtId="17" fontId="20" fillId="38" borderId="10" applyAlignment="1" pivotButton="0" quotePrefix="0" xfId="0">
      <alignment vertical="top" wrapText="1"/>
    </xf>
    <xf numFmtId="14" fontId="0" fillId="34" borderId="10" pivotButton="0" quotePrefix="0" xfId="0"/>
    <xf numFmtId="166" fontId="0" fillId="34" borderId="0" pivotButton="0" quotePrefix="0" xfId="0"/>
    <xf numFmtId="2" fontId="0" fillId="34" borderId="0" pivotButton="0" quotePrefix="0" xfId="0"/>
    <xf numFmtId="166" fontId="0" fillId="34" borderId="0" applyAlignment="1" pivotButton="0" quotePrefix="0" xfId="1">
      <alignment horizontal="center"/>
    </xf>
    <xf numFmtId="17" fontId="0" fillId="34" borderId="10" applyAlignment="1" pivotButton="0" quotePrefix="0" xfId="0">
      <alignment horizontal="center"/>
    </xf>
    <xf numFmtId="2" fontId="0" fillId="34" borderId="10" applyAlignment="1" pivotButton="0" quotePrefix="0" xfId="0">
      <alignment horizontal="center"/>
    </xf>
    <xf numFmtId="166" fontId="0" fillId="34" borderId="10" applyAlignment="1" pivotButton="0" quotePrefix="0" xfId="1">
      <alignment horizontal="center"/>
    </xf>
    <xf numFmtId="166" fontId="0" fillId="34" borderId="10" applyAlignment="1" pivotButton="0" quotePrefix="0" xfId="0">
      <alignment horizontal="center"/>
    </xf>
    <xf numFmtId="17" fontId="13" fillId="40" borderId="0" applyAlignment="1" pivotButton="0" quotePrefix="0" xfId="43">
      <alignment horizontal="center"/>
    </xf>
    <xf numFmtId="166" fontId="13" fillId="40" borderId="0" applyAlignment="1" pivotButton="0" quotePrefix="0" xfId="0">
      <alignment horizontal="center"/>
    </xf>
    <xf numFmtId="0" fontId="17" fillId="0" borderId="0" pivotButton="0" quotePrefix="0" xfId="0"/>
    <xf numFmtId="0" fontId="17" fillId="34" borderId="0" pivotButton="0" quotePrefix="0" xfId="0"/>
    <xf numFmtId="17" fontId="29" fillId="34" borderId="0" pivotButton="0" quotePrefix="0" xfId="0"/>
    <xf numFmtId="0" fontId="29" fillId="34" borderId="0" pivotButton="0" quotePrefix="0" xfId="0"/>
    <xf numFmtId="166" fontId="29" fillId="34" borderId="0" pivotButton="0" quotePrefix="0" xfId="0"/>
    <xf numFmtId="2" fontId="31" fillId="34" borderId="0" pivotButton="0" quotePrefix="0" xfId="0"/>
    <xf numFmtId="0" fontId="17" fillId="41" borderId="0" applyAlignment="1" pivotButton="0" quotePrefix="0" xfId="0">
      <alignment horizontal="center"/>
    </xf>
    <xf numFmtId="17" fontId="28" fillId="34" borderId="0" pivotButton="0" quotePrefix="0" xfId="0"/>
    <xf numFmtId="17" fontId="32" fillId="34" borderId="0" pivotButton="0" quotePrefix="0" xfId="0"/>
    <xf numFmtId="165" fontId="0" fillId="34" borderId="0" pivotButton="0" quotePrefix="0" xfId="0"/>
    <xf numFmtId="10" fontId="0" fillId="34" borderId="0" pivotButton="0" quotePrefix="0" xfId="0"/>
    <xf numFmtId="17" fontId="13" fillId="40" borderId="16" pivotButton="0" quotePrefix="0" xfId="43"/>
    <xf numFmtId="0" fontId="0" fillId="40" borderId="17" pivotButton="0" quotePrefix="0" xfId="0"/>
    <xf numFmtId="165" fontId="16" fillId="40" borderId="17" pivotButton="0" quotePrefix="0" xfId="0"/>
    <xf numFmtId="10" fontId="16" fillId="40" borderId="17" pivotButton="0" quotePrefix="0" xfId="0"/>
    <xf numFmtId="0" fontId="0" fillId="40" borderId="18" pivotButton="0" quotePrefix="0" xfId="0"/>
    <xf numFmtId="167" fontId="0" fillId="34" borderId="10" applyAlignment="1" pivotButton="0" quotePrefix="0" xfId="1">
      <alignment horizontal="center"/>
    </xf>
    <xf numFmtId="14" fontId="0" fillId="34" borderId="0" pivotButton="0" quotePrefix="0" xfId="0"/>
    <xf numFmtId="14" fontId="0" fillId="34" borderId="10" pivotButton="0" quotePrefix="0" xfId="0"/>
    <xf numFmtId="14" fontId="0" fillId="42" borderId="10" pivotButton="0" quotePrefix="0" xfId="0"/>
    <xf numFmtId="166" fontId="0" fillId="42" borderId="10" applyAlignment="1" pivotButton="0" quotePrefix="0" xfId="1">
      <alignment horizontal="center"/>
    </xf>
    <xf numFmtId="164" fontId="0" fillId="40" borderId="14" applyAlignment="1" pivotButton="0" quotePrefix="0" xfId="1">
      <alignment horizontal="center" wrapText="1"/>
    </xf>
    <xf numFmtId="14" fontId="0" fillId="40" borderId="13" applyAlignment="1" pivotButton="0" quotePrefix="0" xfId="0">
      <alignment horizontal="center" wrapText="1"/>
    </xf>
    <xf numFmtId="2" fontId="0" fillId="40" borderId="15" applyAlignment="1" pivotButton="0" quotePrefix="0" xfId="0">
      <alignment horizontal="center" wrapText="1"/>
    </xf>
    <xf numFmtId="1" fontId="0" fillId="34" borderId="0" pivotButton="0" quotePrefix="0" xfId="0"/>
    <xf numFmtId="0" fontId="21" fillId="0" borderId="23" pivotButton="0" quotePrefix="0" xfId="0"/>
    <xf numFmtId="0" fontId="23" fillId="38" borderId="23" applyAlignment="1" pivotButton="0" quotePrefix="0" xfId="0">
      <alignment horizontal="center" vertical="center"/>
    </xf>
    <xf numFmtId="0" fontId="21" fillId="0" borderId="24" pivotButton="0" quotePrefix="0" xfId="0"/>
    <xf numFmtId="0" fontId="22" fillId="35" borderId="25" applyAlignment="1" pivotButton="0" quotePrefix="0" xfId="0">
      <alignment horizontal="center" textRotation="90"/>
    </xf>
    <xf numFmtId="0" fontId="22" fillId="36" borderId="25" applyAlignment="1" pivotButton="0" quotePrefix="0" xfId="0">
      <alignment horizontal="center" textRotation="90"/>
    </xf>
    <xf numFmtId="0" fontId="22" fillId="37" borderId="25" applyAlignment="1" pivotButton="0" quotePrefix="0" xfId="0">
      <alignment horizontal="center" textRotation="90"/>
    </xf>
    <xf numFmtId="0" fontId="22" fillId="38" borderId="25" applyAlignment="1" pivotButton="0" quotePrefix="0" xfId="0">
      <alignment horizontal="center" textRotation="90"/>
    </xf>
    <xf numFmtId="0" fontId="22" fillId="38" borderId="26" applyAlignment="1" pivotButton="0" quotePrefix="0" xfId="0">
      <alignment horizontal="center" textRotation="90"/>
    </xf>
    <xf numFmtId="0" fontId="21" fillId="0" borderId="27" pivotButton="0" quotePrefix="0" xfId="0"/>
    <xf numFmtId="10" fontId="23" fillId="38" borderId="28" applyAlignment="1" pivotButton="0" quotePrefix="0" xfId="0">
      <alignment horizontal="center" vertical="center"/>
    </xf>
    <xf numFmtId="2" fontId="23" fillId="38" borderId="28" applyAlignment="1" pivotButton="0" quotePrefix="0" xfId="0">
      <alignment horizontal="center" vertical="center"/>
    </xf>
    <xf numFmtId="166" fontId="23" fillId="38" borderId="28" applyAlignment="1" pivotButton="0" quotePrefix="0" xfId="1">
      <alignment horizontal="center" vertical="center"/>
    </xf>
    <xf numFmtId="0" fontId="21" fillId="0" borderId="29" pivotButton="0" quotePrefix="0" xfId="0"/>
    <xf numFmtId="166" fontId="23" fillId="38" borderId="30" applyAlignment="1" pivotButton="0" quotePrefix="0" xfId="1">
      <alignment horizontal="center" vertical="center"/>
    </xf>
    <xf numFmtId="166" fontId="23" fillId="38" borderId="31" applyAlignment="1" pivotButton="0" quotePrefix="0" xfId="1">
      <alignment horizontal="center" vertical="center"/>
    </xf>
    <xf numFmtId="0" fontId="0" fillId="34" borderId="0" applyAlignment="1" pivotButton="0" quotePrefix="0" xfId="0">
      <alignment vertical="center"/>
    </xf>
    <xf numFmtId="0" fontId="16" fillId="43" borderId="10" applyAlignment="1" pivotButton="0" quotePrefix="0" xfId="0">
      <alignment horizontal="center"/>
    </xf>
    <xf numFmtId="0" fontId="30" fillId="0" borderId="10" applyAlignment="1" pivotButton="0" quotePrefix="0" xfId="44">
      <alignment horizontal="center"/>
    </xf>
    <xf numFmtId="0" fontId="16" fillId="34" borderId="0" pivotButton="0" quotePrefix="0" xfId="0"/>
    <xf numFmtId="0" fontId="0" fillId="0" borderId="0" applyAlignment="1" pivotButton="0" quotePrefix="0" xfId="0">
      <alignment vertical="center"/>
    </xf>
    <xf numFmtId="2" fontId="0" fillId="34" borderId="0" applyAlignment="1" pivotButton="0" quotePrefix="0" xfId="0">
      <alignment horizontal="center"/>
    </xf>
    <xf numFmtId="0" fontId="33" fillId="40" borderId="16" applyAlignment="1" pivotButton="0" quotePrefix="0" xfId="0">
      <alignment horizontal="center" wrapText="1"/>
    </xf>
    <xf numFmtId="0" fontId="33" fillId="40" borderId="17" applyAlignment="1" pivotButton="0" quotePrefix="0" xfId="0">
      <alignment horizontal="center" wrapText="1"/>
    </xf>
    <xf numFmtId="0" fontId="29" fillId="38" borderId="10" applyAlignment="1" pivotButton="0" quotePrefix="0" xfId="0">
      <alignment horizontal="center"/>
    </xf>
    <xf numFmtId="0" fontId="34" fillId="38" borderId="10" applyAlignment="1" pivotButton="0" quotePrefix="0" xfId="0">
      <alignment horizontal="center" vertical="top"/>
    </xf>
    <xf numFmtId="17" fontId="34" fillId="38" borderId="10" applyAlignment="1" pivotButton="0" quotePrefix="0" xfId="0">
      <alignment horizontal="center" vertical="top"/>
    </xf>
    <xf numFmtId="0" fontId="35" fillId="40" borderId="10" applyAlignment="1" pivotButton="0" quotePrefix="0" xfId="0">
      <alignment horizontal="center" vertical="center" wrapText="1"/>
    </xf>
    <xf numFmtId="0" fontId="22" fillId="34" borderId="10" pivotButton="0" quotePrefix="0" xfId="0"/>
    <xf numFmtId="0" fontId="0" fillId="0" borderId="0" pivotButton="0" quotePrefix="0" xfId="0"/>
    <xf numFmtId="14" fontId="0" fillId="42" borderId="21" pivotButton="0" quotePrefix="0" xfId="0"/>
    <xf numFmtId="166" fontId="0" fillId="42" borderId="22" applyAlignment="1" pivotButton="0" quotePrefix="0" xfId="1">
      <alignment horizontal="center"/>
    </xf>
    <xf numFmtId="14" fontId="0" fillId="34" borderId="11" pivotButton="0" quotePrefix="0" xfId="0"/>
    <xf numFmtId="166" fontId="0" fillId="34" borderId="12" applyAlignment="1" pivotButton="0" quotePrefix="0" xfId="1">
      <alignment horizontal="center"/>
    </xf>
    <xf numFmtId="14" fontId="0" fillId="42" borderId="11" pivotButton="0" quotePrefix="0" xfId="0"/>
    <xf numFmtId="166" fontId="0" fillId="42" borderId="12" applyAlignment="1" pivotButton="0" quotePrefix="0" xfId="1">
      <alignment horizontal="center"/>
    </xf>
    <xf numFmtId="14" fontId="0" fillId="42" borderId="19" pivotButton="0" quotePrefix="0" xfId="0"/>
    <xf numFmtId="166" fontId="0" fillId="42" borderId="20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2" fontId="34" fillId="38" borderId="10" applyAlignment="1" pivotButton="0" quotePrefix="0" xfId="0">
      <alignment horizontal="center" vertical="top"/>
    </xf>
    <xf numFmtId="0" fontId="0" fillId="0" borderId="0" pivotButton="0" quotePrefix="0" xfId="0"/>
    <xf numFmtId="0" fontId="0" fillId="0" borderId="0" pivotButton="0" quotePrefix="0" xfId="0"/>
    <xf numFmtId="0" fontId="0" fillId="34" borderId="0" pivotButton="0" quotePrefix="0" xfId="0"/>
    <xf numFmtId="0" fontId="0" fillId="34" borderId="0" applyAlignment="1" pivotButton="0" quotePrefix="0" xfId="0">
      <alignment horizontal="right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10" fontId="37" fillId="0" borderId="0" applyAlignment="1" pivotButton="0" quotePrefix="0" xfId="0">
      <alignment horizontal="center" vertical="top" wrapText="1"/>
    </xf>
    <xf numFmtId="0" fontId="37" fillId="0" borderId="0" applyAlignment="1" pivotButton="0" quotePrefix="0" xfId="0">
      <alignment horizontal="center" vertical="top" wrapText="1"/>
    </xf>
    <xf numFmtId="0" fontId="24" fillId="34" borderId="0" pivotButton="0" quotePrefix="0" xfId="43"/>
    <xf numFmtId="14" fontId="24" fillId="34" borderId="0" pivotButton="0" quotePrefix="0" xfId="43"/>
    <xf numFmtId="0" fontId="0" fillId="34" borderId="0" pivotButton="0" quotePrefix="0" xfId="0"/>
    <xf numFmtId="164" fontId="0" fillId="34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 wrapText="1"/>
    </xf>
    <xf numFmtId="0" fontId="16" fillId="34" borderId="0" applyAlignment="1" pivotButton="0" quotePrefix="0" xfId="0">
      <alignment horizontal="center" vertical="center"/>
    </xf>
    <xf numFmtId="0" fontId="16" fillId="34" borderId="32" applyAlignment="1" pivotButton="0" quotePrefix="0" xfId="0">
      <alignment horizontal="center" vertical="center"/>
    </xf>
    <xf numFmtId="0" fontId="13" fillId="40" borderId="13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16" fillId="43" borderId="33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35" applyAlignment="1" pivotButton="0" quotePrefix="0" xfId="0">
      <alignment horizontal="center"/>
    </xf>
    <xf numFmtId="0" fontId="0" fillId="34" borderId="0" applyAlignment="1" pivotButton="0" quotePrefix="0" xfId="0">
      <alignment vertical="center" wrapText="1"/>
    </xf>
    <xf numFmtId="0" fontId="0" fillId="0" borderId="0" applyAlignment="1" pivotButton="0" quotePrefix="0" xfId="0">
      <alignment wrapText="1"/>
    </xf>
    <xf numFmtId="0" fontId="24" fillId="34" borderId="0" pivotButton="0" quotePrefix="0" xfId="43"/>
    <xf numFmtId="0" fontId="0" fillId="0" borderId="0" pivotButton="0" quotePrefix="0" xfId="0"/>
    <xf numFmtId="0" fontId="0" fillId="43" borderId="34" applyAlignment="1" pivotButton="0" quotePrefix="0" xfId="0">
      <alignment horizontal="center"/>
    </xf>
    <xf numFmtId="0" fontId="0" fillId="43" borderId="35" applyAlignment="1" pivotButton="0" quotePrefix="0" xfId="0">
      <alignment horizontal="center"/>
    </xf>
    <xf numFmtId="0" fontId="16" fillId="43" borderId="34" applyAlignment="1" pivotButton="0" quotePrefix="0" xfId="0">
      <alignment horizontal="center"/>
    </xf>
    <xf numFmtId="0" fontId="16" fillId="43" borderId="35" applyAlignment="1" pivotButton="0" quotePrefix="0" xfId="0">
      <alignment horizontal="center"/>
    </xf>
    <xf numFmtId="0" fontId="0" fillId="34" borderId="0" pivotButton="0" quotePrefix="0" xfId="0"/>
    <xf numFmtId="0" fontId="0" fillId="34" borderId="0" applyAlignment="1" pivotButton="0" quotePrefix="0" xfId="0">
      <alignment wrapText="1"/>
    </xf>
    <xf numFmtId="164" fontId="29" fillId="34" borderId="0" applyAlignment="1" pivotButton="0" quotePrefix="0" xfId="0">
      <alignment horizontal="left" vertical="center" wrapText="1"/>
    </xf>
    <xf numFmtId="0" fontId="24" fillId="0" borderId="0" applyAlignment="1" pivotButton="0" quotePrefix="0" xfId="43">
      <alignment wrapText="1"/>
    </xf>
    <xf numFmtId="0" fontId="24" fillId="34" borderId="0" pivotButton="0" quotePrefix="0" xfId="43"/>
    <xf numFmtId="0" fontId="0" fillId="0" borderId="0" pivotButton="0" quotePrefix="0" xfId="0"/>
    <xf numFmtId="0" fontId="0" fillId="0" borderId="0" pivotButton="0" quotePrefix="0" xfId="0"/>
    <xf numFmtId="0" fontId="24" fillId="34" borderId="0" applyAlignment="1" pivotButton="0" quotePrefix="0" xfId="43">
      <alignment horizontal="center" vertical="center"/>
    </xf>
    <xf numFmtId="0" fontId="36" fillId="34" borderId="0" applyAlignment="1" pivotButton="0" quotePrefix="0" xfId="0">
      <alignment horizontal="left" vertical="center"/>
    </xf>
    <xf numFmtId="0" fontId="0" fillId="34" borderId="0" applyAlignment="1" pivotButton="0" quotePrefix="0" xfId="0">
      <alignment horizontal="right"/>
    </xf>
    <xf numFmtId="0" fontId="38" fillId="0" borderId="0" pivotButton="0" quotePrefix="0" xfId="0"/>
    <xf numFmtId="0" fontId="0" fillId="0" borderId="32" pivotButton="0" quotePrefix="0" xfId="0"/>
    <xf numFmtId="0" fontId="13" fillId="40" borderId="36" applyAlignment="1" pivotButton="0" quotePrefix="0" xfId="0">
      <alignment horizontal="center"/>
    </xf>
    <xf numFmtId="0" fontId="0" fillId="0" borderId="14" pivotButton="0" quotePrefix="0" xfId="0"/>
    <xf numFmtId="0" fontId="0" fillId="0" borderId="15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34" borderId="32" applyAlignment="1" pivotButton="0" quotePrefix="0" xfId="43">
      <alignment horizontal="center" vertical="center"/>
    </xf>
  </cellXfs>
  <cellStyles count="45">
    <cellStyle name="Normal" xfId="0" builtinId="0"/>
    <cellStyle name="Per cent" xfId="1" builtinId="5"/>
    <cellStyle name="Title" xfId="2" builtinId="15"/>
    <cellStyle name="Heading 1" xfId="3" builtinId="16"/>
    <cellStyle name="Heading 2" xfId="4" builtinId="17"/>
    <cellStyle name="Heading 3" xfId="5" builtinId="18"/>
    <cellStyle name="Heading 4" xfId="6" builtinId="19"/>
    <cellStyle name="Good" xfId="7" builtinId="26"/>
    <cellStyle name="Bad" xfId="8" builtinId="27"/>
    <cellStyle name="Neutral" xfId="9" builtinId="28"/>
    <cellStyle name="Input" xfId="10" builtinId="20"/>
    <cellStyle name="Output" xfId="11" builtinId="21"/>
    <cellStyle name="Calculation" xfId="12" builtinId="22"/>
    <cellStyle name="Linked Cell" xfId="13" builtinId="24"/>
    <cellStyle name="Check Cell" xfId="14" builtinId="23"/>
    <cellStyle name="Warning Text" xfId="15" builtinId="11"/>
    <cellStyle name="Note" xfId="16" builtinId="10"/>
    <cellStyle name="Explanatory Text" xfId="17" builtinId="53"/>
    <cellStyle name="Total" xfId="18" builtinId="25"/>
    <cellStyle name="Accent1" xfId="19" builtinId="29"/>
    <cellStyle name="20% - Accent1" xfId="20" builtinId="30"/>
    <cellStyle name="40% - Accent1" xfId="21" builtinId="31"/>
    <cellStyle name="60% - Accent1" xfId="22" builtinId="32"/>
    <cellStyle name="Accent2" xfId="23" builtinId="33"/>
    <cellStyle name="20% - Accent2" xfId="24" builtinId="34"/>
    <cellStyle name="40% - Accent2" xfId="25" builtinId="35"/>
    <cellStyle name="60% - Accent2" xfId="26" builtinId="36"/>
    <cellStyle name="Accent3" xfId="27" builtinId="37"/>
    <cellStyle name="20% - Accent3" xfId="28" builtinId="38"/>
    <cellStyle name="40% - Accent3" xfId="29" builtinId="39"/>
    <cellStyle name="60% - Accent3" xfId="30" builtinId="40"/>
    <cellStyle name="Accent4" xfId="31" builtinId="41"/>
    <cellStyle name="20% - Accent4" xfId="32" builtinId="42"/>
    <cellStyle name="40% - Accent4" xfId="33" builtinId="43"/>
    <cellStyle name="60% - Accent4" xfId="34" builtinId="44"/>
    <cellStyle name="Accent5" xfId="35" builtinId="45"/>
    <cellStyle name="20% - Accent5" xfId="36" builtinId="46"/>
    <cellStyle name="40% - Accent5" xfId="37" builtinId="47"/>
    <cellStyle name="60% - Accent5" xfId="38" builtinId="48"/>
    <cellStyle name="Accent6" xfId="39" builtinId="49"/>
    <cellStyle name="20% - Accent6" xfId="40" builtinId="50"/>
    <cellStyle name="40% - Accent6" xfId="41" builtinId="51"/>
    <cellStyle name="60% - Accent6" xfId="42" builtinId="52"/>
    <cellStyle name="Hyperlink" xfId="43" builtinId="8"/>
    <cellStyle name="Normal 2" xfId="44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tradingeconomics.com/country-list/industrial-production?continent=world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129" min="1" max="1"/>
    <col width="12.83203125" customWidth="1" style="129" min="2" max="10"/>
    <col width="9.1640625" customWidth="1" style="129" min="11" max="14"/>
    <col width="19.1640625" customWidth="1" style="129" min="15" max="16"/>
    <col width="9.1640625" customWidth="1" style="129" min="17" max="16384"/>
  </cols>
  <sheetData>
    <row r="1">
      <c r="B1" s="114" t="n"/>
    </row>
    <row r="2" ht="16" customHeight="1" s="135" thickBot="1">
      <c r="B2" s="140" t="n"/>
      <c r="C2" s="140" t="n"/>
      <c r="D2" s="140" t="n"/>
      <c r="E2" s="140" t="n"/>
      <c r="F2" s="140" t="n"/>
      <c r="G2" s="140" t="n"/>
      <c r="H2" s="140" t="n"/>
      <c r="I2" s="140" t="n"/>
      <c r="J2" s="140" t="n"/>
    </row>
    <row r="3" ht="16" customHeight="1" s="135" thickBot="1">
      <c r="B3" s="141" t="inlineStr">
        <is>
          <t>Global Industrial Production</t>
        </is>
      </c>
      <c r="C3" s="142" t="n"/>
      <c r="D3" s="142" t="n"/>
      <c r="E3" s="142" t="n"/>
      <c r="F3" s="142" t="n"/>
      <c r="G3" s="142" t="n"/>
      <c r="H3" s="142" t="n"/>
      <c r="I3" s="142" t="n"/>
      <c r="J3" s="143" t="n"/>
    </row>
    <row r="5">
      <c r="B5" s="75" t="inlineStr">
        <is>
          <t>Definition</t>
        </is>
      </c>
      <c r="C5" s="144" t="n"/>
      <c r="D5" s="144" t="n"/>
      <c r="E5" s="144" t="n"/>
      <c r="F5" s="144" t="n"/>
      <c r="G5" s="144" t="n"/>
      <c r="H5" s="144" t="n"/>
      <c r="I5" s="144" t="n"/>
      <c r="J5" s="145" t="n"/>
    </row>
    <row r="7" ht="63" customHeight="1" s="135">
      <c r="B7" s="12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135">
      <c r="B8" s="133" t="inlineStr">
        <is>
          <t>https://data.oecd.org/industry/industrial-production.htm</t>
        </is>
      </c>
    </row>
    <row r="9">
      <c r="B9" s="74" t="n"/>
      <c r="C9" s="74" t="n"/>
      <c r="D9" s="74" t="n"/>
      <c r="E9" s="74" t="n"/>
    </row>
    <row r="10">
      <c r="B10" s="75" t="inlineStr">
        <is>
          <t>Process / TO DO LIST</t>
        </is>
      </c>
      <c r="C10" s="144" t="n"/>
      <c r="D10" s="144" t="n"/>
      <c r="E10" s="144" t="n"/>
      <c r="F10" s="144" t="n"/>
      <c r="G10" s="144" t="n"/>
      <c r="H10" s="144" t="n"/>
      <c r="I10" s="144" t="n"/>
      <c r="J10" s="145" t="n"/>
    </row>
    <row r="12">
      <c r="B12" s="75" t="inlineStr">
        <is>
          <t>TO DO LIST</t>
        </is>
      </c>
      <c r="C12" s="144" t="n"/>
      <c r="D12" s="144" t="n"/>
      <c r="E12" s="144" t="n"/>
      <c r="F12" s="145" t="n"/>
      <c r="G12" s="75" t="inlineStr">
        <is>
          <t>Comments</t>
        </is>
      </c>
      <c r="H12" s="144" t="n"/>
      <c r="I12" s="144" t="n"/>
      <c r="J12" s="145" t="n"/>
      <c r="O12" s="75" t="inlineStr">
        <is>
          <t xml:space="preserve">Ticker </t>
        </is>
      </c>
      <c r="P12" s="75" t="inlineStr">
        <is>
          <t>Country</t>
        </is>
      </c>
    </row>
    <row r="13">
      <c r="O13" s="76" t="inlineStr">
        <is>
          <t>ABW</t>
        </is>
      </c>
      <c r="P13" s="76" t="inlineStr">
        <is>
          <t>Aruba</t>
        </is>
      </c>
    </row>
    <row r="14">
      <c r="B14" s="129" t="inlineStr">
        <is>
          <t>https://data.oecd.org/industry/industrial-production.htm</t>
        </is>
      </c>
      <c r="G14" s="129" t="inlineStr">
        <is>
          <t>Industrial Production</t>
        </is>
      </c>
      <c r="O14" s="76" t="inlineStr">
        <is>
          <t>AFG</t>
        </is>
      </c>
      <c r="P14" s="76" t="inlineStr">
        <is>
          <t>Afghanistan</t>
        </is>
      </c>
    </row>
    <row r="15">
      <c r="B15" s="129" t="inlineStr">
        <is>
          <t>Total</t>
        </is>
      </c>
      <c r="G15" s="129" t="inlineStr">
        <is>
          <t>In Database</t>
        </is>
      </c>
      <c r="O15" s="76" t="inlineStr">
        <is>
          <t>AFRI</t>
        </is>
      </c>
      <c r="P15" s="76" t="inlineStr">
        <is>
          <t>Africa</t>
        </is>
      </c>
    </row>
    <row r="16" ht="15.75" customHeight="1" s="135">
      <c r="B16" s="129" t="inlineStr">
        <is>
          <t>Monthly</t>
        </is>
      </c>
      <c r="G16" s="111" t="inlineStr">
        <is>
          <t>Manually or create macro</t>
        </is>
      </c>
      <c r="O16" s="76" t="inlineStr">
        <is>
          <t>AGO</t>
        </is>
      </c>
      <c r="P16" s="76" t="inlineStr">
        <is>
          <t>Angola</t>
        </is>
      </c>
    </row>
    <row r="17" ht="15.75" customHeight="1" s="135">
      <c r="B17" s="129" t="inlineStr">
        <is>
          <t>Unclik latest data available</t>
        </is>
      </c>
      <c r="G17" s="111" t="n"/>
      <c r="O17" s="76" t="inlineStr">
        <is>
          <t>AIA</t>
        </is>
      </c>
      <c r="P17" s="76" t="inlineStr">
        <is>
          <t>Anguilla</t>
        </is>
      </c>
    </row>
    <row r="18" ht="15.75" customHeight="1" s="135">
      <c r="B18" s="129" t="inlineStr">
        <is>
          <t>Table</t>
        </is>
      </c>
      <c r="G18" s="131" t="n"/>
      <c r="O18" s="76" t="inlineStr">
        <is>
          <t>ALB</t>
        </is>
      </c>
      <c r="P18" s="76" t="inlineStr">
        <is>
          <t>Albania</t>
        </is>
      </c>
    </row>
    <row r="19" ht="15.75" customHeight="1" s="135">
      <c r="B19" s="129" t="inlineStr">
        <is>
          <t>Download</t>
        </is>
      </c>
      <c r="G19" s="111" t="n"/>
      <c r="O19" s="76" t="inlineStr">
        <is>
          <t>AND</t>
        </is>
      </c>
      <c r="P19" s="76" t="inlineStr">
        <is>
          <t>Andorra</t>
        </is>
      </c>
    </row>
    <row r="20" ht="15.75" customHeight="1" s="135">
      <c r="G20" s="111" t="n"/>
      <c r="O20" s="76" t="inlineStr">
        <is>
          <t>ANT</t>
        </is>
      </c>
      <c r="P20" s="76" t="inlineStr">
        <is>
          <t>Netherlands Antilles</t>
        </is>
      </c>
    </row>
    <row r="21" ht="31.5" customHeight="1" s="135">
      <c r="B21" s="132" t="inlineStr">
        <is>
          <t>https://www.investing.com/economic-calendar/chinese-industrial-production-462</t>
        </is>
      </c>
      <c r="G21" s="111" t="inlineStr">
        <is>
          <t>China Industrial Production</t>
        </is>
      </c>
      <c r="O21" s="76" t="inlineStr">
        <is>
          <t>ARE</t>
        </is>
      </c>
      <c r="P21" s="76" t="inlineStr">
        <is>
          <t>United Arab Emirates</t>
        </is>
      </c>
    </row>
    <row r="22" ht="15.75" customHeight="1" s="135">
      <c r="G22" s="111" t="n"/>
      <c r="O22" s="76" t="inlineStr">
        <is>
          <t>ARG</t>
        </is>
      </c>
      <c r="P22" s="76" t="inlineStr">
        <is>
          <t>Argentina</t>
        </is>
      </c>
    </row>
    <row r="23" ht="15.75" customHeight="1" s="135">
      <c r="B23" s="133" t="inlineStr">
        <is>
          <t>https://tradingeconomics.com/country-list/industrial-production</t>
        </is>
      </c>
      <c r="G23" s="111" t="inlineStr">
        <is>
          <t>World Production data</t>
        </is>
      </c>
      <c r="O23" s="76" t="inlineStr">
        <is>
          <t>ASIA</t>
        </is>
      </c>
      <c r="P23" s="76" t="inlineStr">
        <is>
          <t>Asia</t>
        </is>
      </c>
    </row>
    <row r="24" ht="15.75" customHeight="1" s="135">
      <c r="G24" s="111" t="n"/>
      <c r="O24" s="76" t="inlineStr">
        <is>
          <t>ASM</t>
        </is>
      </c>
      <c r="P24" s="76" t="inlineStr">
        <is>
          <t>American Samoa</t>
        </is>
      </c>
    </row>
    <row r="25" ht="15.75" customHeight="1" s="135">
      <c r="B25" s="12" t="inlineStr">
        <is>
          <t>https://www.theglobaleconomy.com/rankings/Capital_investment/</t>
        </is>
      </c>
      <c r="G25" s="111" t="n"/>
      <c r="O25" s="76" t="inlineStr">
        <is>
          <t>ATG</t>
        </is>
      </c>
      <c r="P25" s="76" t="inlineStr">
        <is>
          <t>Antigua and Barbuda</t>
        </is>
      </c>
    </row>
    <row r="26" ht="15.75" customHeight="1" s="135">
      <c r="G26" s="111" t="n"/>
      <c r="O26" s="76" t="inlineStr">
        <is>
          <t>AUS</t>
        </is>
      </c>
      <c r="P26" s="76" t="inlineStr">
        <is>
          <t>Australia</t>
        </is>
      </c>
    </row>
    <row r="27" ht="15.75" customHeight="1" s="135">
      <c r="B27" s="129" t="n"/>
      <c r="G27" s="111" t="n"/>
      <c r="O27" s="76" t="inlineStr">
        <is>
          <t>AUT</t>
        </is>
      </c>
      <c r="P27" s="76" t="inlineStr">
        <is>
          <t>Austria</t>
        </is>
      </c>
    </row>
    <row r="28">
      <c r="O28" s="76" t="inlineStr">
        <is>
          <t>BDI</t>
        </is>
      </c>
      <c r="P28" s="76" t="inlineStr">
        <is>
          <t>Burundi</t>
        </is>
      </c>
    </row>
    <row r="29">
      <c r="O29" s="76" t="inlineStr">
        <is>
          <t>BEL</t>
        </is>
      </c>
      <c r="P29" s="76" t="inlineStr">
        <is>
          <t>Belgium</t>
        </is>
      </c>
    </row>
    <row r="30">
      <c r="B30" s="77" t="n"/>
      <c r="O30" s="76" t="inlineStr">
        <is>
          <t>BEN</t>
        </is>
      </c>
      <c r="P30" s="76" t="inlineStr">
        <is>
          <t>Benin</t>
        </is>
      </c>
    </row>
    <row r="31" ht="33.75" customHeight="1" s="135">
      <c r="B31" s="130" t="n"/>
      <c r="O31" s="76" t="inlineStr">
        <is>
          <t>BFA</t>
        </is>
      </c>
      <c r="P31" s="76" t="inlineStr">
        <is>
          <t>Burkina Faso</t>
        </is>
      </c>
    </row>
    <row r="32">
      <c r="B32" s="78" t="n"/>
      <c r="O32" s="76" t="inlineStr">
        <is>
          <t>BGD</t>
        </is>
      </c>
      <c r="P32" s="76" t="inlineStr">
        <is>
          <t>Bangladesh</t>
        </is>
      </c>
    </row>
    <row r="33">
      <c r="O33" s="76" t="inlineStr">
        <is>
          <t>BGR</t>
        </is>
      </c>
      <c r="P33" s="76" t="inlineStr">
        <is>
          <t>Bulgaria</t>
        </is>
      </c>
    </row>
    <row r="34">
      <c r="O34" s="76" t="inlineStr">
        <is>
          <t>BHR</t>
        </is>
      </c>
      <c r="P34" s="76" t="inlineStr">
        <is>
          <t>Bahrain</t>
        </is>
      </c>
    </row>
    <row r="35">
      <c r="O35" s="76" t="inlineStr">
        <is>
          <t>BHS</t>
        </is>
      </c>
      <c r="P35" s="76" t="inlineStr">
        <is>
          <t>Bahamas</t>
        </is>
      </c>
    </row>
    <row r="36">
      <c r="O36" s="76" t="inlineStr">
        <is>
          <t>BLZ</t>
        </is>
      </c>
      <c r="P36" s="76" t="inlineStr">
        <is>
          <t>Belize</t>
        </is>
      </c>
    </row>
    <row r="37">
      <c r="O37" s="76" t="inlineStr">
        <is>
          <t>BMU</t>
        </is>
      </c>
      <c r="P37" s="76" t="inlineStr">
        <is>
          <t>Bermuda</t>
        </is>
      </c>
    </row>
    <row r="38">
      <c r="O38" s="76" t="inlineStr">
        <is>
          <t>BOL</t>
        </is>
      </c>
      <c r="P38" s="76" t="inlineStr">
        <is>
          <t>Bolivia</t>
        </is>
      </c>
    </row>
    <row r="39">
      <c r="O39" s="76" t="inlineStr">
        <is>
          <t>BRA</t>
        </is>
      </c>
      <c r="P39" s="76" t="inlineStr">
        <is>
          <t>Brazil</t>
        </is>
      </c>
    </row>
    <row r="40">
      <c r="O40" s="76" t="inlineStr">
        <is>
          <t>BRB</t>
        </is>
      </c>
      <c r="P40" s="76" t="inlineStr">
        <is>
          <t>Barbados</t>
        </is>
      </c>
    </row>
    <row r="41">
      <c r="O41" s="76" t="inlineStr">
        <is>
          <t>BRN</t>
        </is>
      </c>
      <c r="P41" s="76" t="inlineStr">
        <is>
          <t>Brunei Darussalam</t>
        </is>
      </c>
    </row>
    <row r="42">
      <c r="O42" s="76" t="inlineStr">
        <is>
          <t>BTN</t>
        </is>
      </c>
      <c r="P42" s="76" t="inlineStr">
        <is>
          <t>Bhutan</t>
        </is>
      </c>
    </row>
    <row r="43">
      <c r="O43" s="76" t="inlineStr">
        <is>
          <t>BWA</t>
        </is>
      </c>
      <c r="P43" s="76" t="inlineStr">
        <is>
          <t>Botswana</t>
        </is>
      </c>
    </row>
    <row r="44">
      <c r="O44" s="76" t="inlineStr">
        <is>
          <t>CAF</t>
        </is>
      </c>
      <c r="P44" s="76" t="inlineStr">
        <is>
          <t>Central African Republic</t>
        </is>
      </c>
    </row>
    <row r="45">
      <c r="O45" s="76" t="inlineStr">
        <is>
          <t>CAN</t>
        </is>
      </c>
      <c r="P45" s="76" t="inlineStr">
        <is>
          <t>Canada</t>
        </is>
      </c>
    </row>
    <row r="46">
      <c r="O46" s="76" t="inlineStr">
        <is>
          <t>CCK</t>
        </is>
      </c>
      <c r="P46" s="76" t="inlineStr">
        <is>
          <t>Cocos (Keeling) Islands</t>
        </is>
      </c>
    </row>
    <row r="47">
      <c r="O47" s="76" t="inlineStr">
        <is>
          <t>CHE</t>
        </is>
      </c>
      <c r="P47" s="76" t="inlineStr">
        <is>
          <t>Switzerland</t>
        </is>
      </c>
    </row>
    <row r="48">
      <c r="O48" s="76" t="inlineStr">
        <is>
          <t>CHL</t>
        </is>
      </c>
      <c r="P48" s="76" t="inlineStr">
        <is>
          <t>Chile</t>
        </is>
      </c>
    </row>
    <row r="49">
      <c r="O49" s="76" t="inlineStr">
        <is>
          <t>CHN</t>
        </is>
      </c>
      <c r="P49" s="76" t="inlineStr">
        <is>
          <t>China</t>
        </is>
      </c>
    </row>
    <row r="50">
      <c r="O50" s="76" t="inlineStr">
        <is>
          <t>CIV</t>
        </is>
      </c>
      <c r="P50" s="76" t="inlineStr">
        <is>
          <t>Côte d'Ivoire</t>
        </is>
      </c>
    </row>
    <row r="51">
      <c r="O51" s="76" t="inlineStr">
        <is>
          <t>CMR</t>
        </is>
      </c>
      <c r="P51" s="76" t="inlineStr">
        <is>
          <t>Cameroon</t>
        </is>
      </c>
    </row>
    <row r="52">
      <c r="O52" s="76" t="inlineStr">
        <is>
          <t>COD</t>
        </is>
      </c>
      <c r="P52" s="76" t="inlineStr">
        <is>
          <t>Congo, Dem. Rep. Of</t>
        </is>
      </c>
    </row>
    <row r="53">
      <c r="O53" s="76" t="inlineStr">
        <is>
          <t>COG</t>
        </is>
      </c>
      <c r="P53" s="76" t="inlineStr">
        <is>
          <t>Congo</t>
        </is>
      </c>
    </row>
    <row r="54">
      <c r="O54" s="76" t="inlineStr">
        <is>
          <t>COK</t>
        </is>
      </c>
      <c r="P54" s="76" t="inlineStr">
        <is>
          <t>Cook Islands</t>
        </is>
      </c>
    </row>
    <row r="55">
      <c r="O55" s="76" t="inlineStr">
        <is>
          <t>COL</t>
        </is>
      </c>
      <c r="P55" s="76" t="inlineStr">
        <is>
          <t>Colombia</t>
        </is>
      </c>
    </row>
    <row r="56">
      <c r="O56" s="76" t="inlineStr">
        <is>
          <t>COM</t>
        </is>
      </c>
      <c r="P56" s="76" t="inlineStr">
        <is>
          <t>Comoros</t>
        </is>
      </c>
    </row>
    <row r="57">
      <c r="O57" s="76" t="inlineStr">
        <is>
          <t>CPV</t>
        </is>
      </c>
      <c r="P57" s="76" t="inlineStr">
        <is>
          <t>Cape Verde</t>
        </is>
      </c>
    </row>
    <row r="58">
      <c r="O58" s="76" t="inlineStr">
        <is>
          <t>CRI</t>
        </is>
      </c>
      <c r="P58" s="76" t="inlineStr">
        <is>
          <t>Costa Rica</t>
        </is>
      </c>
    </row>
    <row r="59">
      <c r="O59" s="76" t="inlineStr">
        <is>
          <t>CSFR</t>
        </is>
      </c>
      <c r="P59" s="76" t="inlineStr">
        <is>
          <t>Former Czechoslovakia</t>
        </is>
      </c>
    </row>
    <row r="60">
      <c r="O60" s="76" t="inlineStr">
        <is>
          <t>CSFR-CZE</t>
        </is>
      </c>
      <c r="P60" s="76" t="inlineStr">
        <is>
          <t>Czech Republic</t>
        </is>
      </c>
    </row>
    <row r="61">
      <c r="O61" s="76" t="inlineStr">
        <is>
          <t>CSFR-SVK</t>
        </is>
      </c>
      <c r="P61" s="76" t="inlineStr">
        <is>
          <t>Slovak Republic</t>
        </is>
      </c>
    </row>
    <row r="62">
      <c r="O62" s="76" t="inlineStr">
        <is>
          <t>CUB</t>
        </is>
      </c>
      <c r="P62" s="76" t="inlineStr">
        <is>
          <t>Cuba</t>
        </is>
      </c>
    </row>
    <row r="63">
      <c r="O63" s="76" t="inlineStr">
        <is>
          <t>CYM</t>
        </is>
      </c>
      <c r="P63" s="76" t="inlineStr">
        <is>
          <t>Cayman Islands</t>
        </is>
      </c>
    </row>
    <row r="64">
      <c r="O64" s="76" t="inlineStr">
        <is>
          <t>CYP</t>
        </is>
      </c>
      <c r="P64" s="76" t="inlineStr">
        <is>
          <t>Cyprus</t>
        </is>
      </c>
    </row>
    <row r="65">
      <c r="O65" s="76" t="inlineStr">
        <is>
          <t>DEU</t>
        </is>
      </c>
      <c r="P65" s="76" t="inlineStr">
        <is>
          <t>Germany</t>
        </is>
      </c>
    </row>
    <row r="66">
      <c r="O66" s="76" t="inlineStr">
        <is>
          <t>DJI</t>
        </is>
      </c>
      <c r="P66" s="76" t="inlineStr">
        <is>
          <t>Djibouti</t>
        </is>
      </c>
    </row>
    <row r="67">
      <c r="O67" s="76" t="inlineStr">
        <is>
          <t>DMA</t>
        </is>
      </c>
      <c r="P67" s="76" t="inlineStr">
        <is>
          <t>Dominica</t>
        </is>
      </c>
    </row>
    <row r="68">
      <c r="O68" s="76" t="inlineStr">
        <is>
          <t>DNK</t>
        </is>
      </c>
      <c r="P68" s="76" t="inlineStr">
        <is>
          <t>Denmark</t>
        </is>
      </c>
    </row>
    <row r="69">
      <c r="O69" s="76" t="inlineStr">
        <is>
          <t>DOM</t>
        </is>
      </c>
      <c r="P69" s="76" t="inlineStr">
        <is>
          <t>Dominican Republic</t>
        </is>
      </c>
    </row>
    <row r="70">
      <c r="O70" s="76" t="inlineStr">
        <is>
          <t>DZA</t>
        </is>
      </c>
      <c r="P70" s="76" t="inlineStr">
        <is>
          <t>Algeria</t>
        </is>
      </c>
    </row>
    <row r="71">
      <c r="O71" s="76" t="inlineStr">
        <is>
          <t>ECU</t>
        </is>
      </c>
      <c r="P71" s="76" t="inlineStr">
        <is>
          <t>Ecuador</t>
        </is>
      </c>
    </row>
    <row r="72">
      <c r="O72" s="76" t="inlineStr">
        <is>
          <t>EGY</t>
        </is>
      </c>
      <c r="P72" s="76" t="inlineStr">
        <is>
          <t>Egypt</t>
        </is>
      </c>
    </row>
    <row r="73">
      <c r="O73" s="76" t="inlineStr">
        <is>
          <t>ERI</t>
        </is>
      </c>
      <c r="P73" s="76" t="inlineStr">
        <is>
          <t>Eritrea</t>
        </is>
      </c>
    </row>
    <row r="74">
      <c r="O74" s="76" t="inlineStr">
        <is>
          <t>ESH</t>
        </is>
      </c>
      <c r="P74" s="76" t="inlineStr">
        <is>
          <t>Western Sahara</t>
        </is>
      </c>
    </row>
    <row r="75">
      <c r="O75" s="76" t="inlineStr">
        <is>
          <t>ESP</t>
        </is>
      </c>
      <c r="P75" s="76" t="inlineStr">
        <is>
          <t>Spain</t>
        </is>
      </c>
    </row>
    <row r="76">
      <c r="O76" s="76" t="inlineStr">
        <is>
          <t>ETH</t>
        </is>
      </c>
      <c r="P76" s="76" t="inlineStr">
        <is>
          <t>Ethiopia</t>
        </is>
      </c>
    </row>
    <row r="77">
      <c r="O77" s="76" t="inlineStr">
        <is>
          <t>EURO</t>
        </is>
      </c>
      <c r="P77" s="76" t="inlineStr">
        <is>
          <t>Europe</t>
        </is>
      </c>
    </row>
    <row r="78">
      <c r="O78" s="76" t="inlineStr">
        <is>
          <t>FIN</t>
        </is>
      </c>
      <c r="P78" s="76" t="inlineStr">
        <is>
          <t>Finland</t>
        </is>
      </c>
    </row>
    <row r="79">
      <c r="O79" s="76" t="inlineStr">
        <is>
          <t>FJI</t>
        </is>
      </c>
      <c r="P79" s="76" t="inlineStr">
        <is>
          <t>Fiji</t>
        </is>
      </c>
    </row>
    <row r="80">
      <c r="O80" s="76" t="inlineStr">
        <is>
          <t>FLK</t>
        </is>
      </c>
      <c r="P80" s="76" t="inlineStr">
        <is>
          <t>Falkland Islands</t>
        </is>
      </c>
    </row>
    <row r="81">
      <c r="O81" s="76" t="inlineStr">
        <is>
          <t>FRA</t>
        </is>
      </c>
      <c r="P81" s="76" t="inlineStr">
        <is>
          <t>France</t>
        </is>
      </c>
    </row>
    <row r="82">
      <c r="O82" s="76" t="inlineStr">
        <is>
          <t>FSM</t>
        </is>
      </c>
      <c r="P82" s="76" t="inlineStr">
        <is>
          <t>Micronesia, Federated states of</t>
        </is>
      </c>
    </row>
    <row r="83">
      <c r="O83" s="76" t="inlineStr">
        <is>
          <t>FYUG</t>
        </is>
      </c>
      <c r="P83" s="76" t="inlineStr">
        <is>
          <t>Former Yugoslavia</t>
        </is>
      </c>
    </row>
    <row r="84">
      <c r="O84" s="76" t="inlineStr">
        <is>
          <t>FYUG-BIH</t>
        </is>
      </c>
      <c r="P84" s="76" t="inlineStr">
        <is>
          <t>Bosnia-Herzegovina</t>
        </is>
      </c>
    </row>
    <row r="85">
      <c r="O85" s="76" t="inlineStr">
        <is>
          <t>FYUG-HRV</t>
        </is>
      </c>
      <c r="P85" s="76" t="inlineStr">
        <is>
          <t>Croatia</t>
        </is>
      </c>
    </row>
    <row r="86">
      <c r="O86" s="76" t="inlineStr">
        <is>
          <t>FYUG-MKD</t>
        </is>
      </c>
      <c r="P86" s="76" t="inlineStr">
        <is>
          <t>Macedonia</t>
        </is>
      </c>
    </row>
    <row r="87">
      <c r="O87" s="76" t="inlineStr">
        <is>
          <t>FYUG-SVN</t>
        </is>
      </c>
      <c r="P87" s="76" t="inlineStr">
        <is>
          <t>Slovenia</t>
        </is>
      </c>
    </row>
    <row r="88">
      <c r="O88" s="76" t="inlineStr">
        <is>
          <t>FYUG-YUG</t>
        </is>
      </c>
      <c r="P88" s="76" t="inlineStr">
        <is>
          <t>Serbia and Montenegro</t>
        </is>
      </c>
    </row>
    <row r="89">
      <c r="O89" s="76" t="inlineStr">
        <is>
          <t>GAB</t>
        </is>
      </c>
      <c r="P89" s="76" t="inlineStr">
        <is>
          <t>Gabon</t>
        </is>
      </c>
    </row>
    <row r="90">
      <c r="O90" s="76" t="inlineStr">
        <is>
          <t>GBR</t>
        </is>
      </c>
      <c r="P90" s="76" t="inlineStr">
        <is>
          <t>United Kingdom</t>
        </is>
      </c>
    </row>
    <row r="91">
      <c r="O91" s="76" t="inlineStr">
        <is>
          <t>GHA</t>
        </is>
      </c>
      <c r="P91" s="76" t="inlineStr">
        <is>
          <t>Ghana</t>
        </is>
      </c>
    </row>
    <row r="92">
      <c r="O92" s="76" t="inlineStr">
        <is>
          <t>GIB</t>
        </is>
      </c>
      <c r="P92" s="76" t="inlineStr">
        <is>
          <t>Gibraltar</t>
        </is>
      </c>
    </row>
    <row r="93">
      <c r="O93" s="76" t="inlineStr">
        <is>
          <t>GIN</t>
        </is>
      </c>
      <c r="P93" s="76" t="inlineStr">
        <is>
          <t>Guinea</t>
        </is>
      </c>
    </row>
    <row r="94">
      <c r="O94" s="76" t="inlineStr">
        <is>
          <t>GMB</t>
        </is>
      </c>
      <c r="P94" s="76" t="inlineStr">
        <is>
          <t>Gambia</t>
        </is>
      </c>
    </row>
    <row r="95">
      <c r="O95" s="76" t="inlineStr">
        <is>
          <t>GNB</t>
        </is>
      </c>
      <c r="P95" s="76" t="inlineStr">
        <is>
          <t>Guinea-Bissau</t>
        </is>
      </c>
    </row>
    <row r="96">
      <c r="O96" s="76" t="inlineStr">
        <is>
          <t>GNQ</t>
        </is>
      </c>
      <c r="P96" s="76" t="inlineStr">
        <is>
          <t>Equatorial Guinea</t>
        </is>
      </c>
    </row>
    <row r="97">
      <c r="O97" s="76" t="inlineStr">
        <is>
          <t>GRC</t>
        </is>
      </c>
      <c r="P97" s="76" t="inlineStr">
        <is>
          <t>Greece</t>
        </is>
      </c>
    </row>
    <row r="98">
      <c r="O98" s="76" t="inlineStr">
        <is>
          <t>GRD</t>
        </is>
      </c>
      <c r="P98" s="76" t="inlineStr">
        <is>
          <t>Grenada</t>
        </is>
      </c>
    </row>
    <row r="99">
      <c r="O99" s="76" t="inlineStr">
        <is>
          <t>GTM</t>
        </is>
      </c>
      <c r="P99" s="76" t="inlineStr">
        <is>
          <t>Guatemala</t>
        </is>
      </c>
    </row>
    <row r="100">
      <c r="O100" s="76" t="inlineStr">
        <is>
          <t>GUM</t>
        </is>
      </c>
      <c r="P100" s="76" t="inlineStr">
        <is>
          <t>Guam</t>
        </is>
      </c>
    </row>
    <row r="101">
      <c r="O101" s="76" t="inlineStr">
        <is>
          <t>GUY</t>
        </is>
      </c>
      <c r="P101" s="76" t="inlineStr">
        <is>
          <t>Guyana</t>
        </is>
      </c>
    </row>
    <row r="102">
      <c r="O102" s="76" t="inlineStr">
        <is>
          <t>HKG</t>
        </is>
      </c>
      <c r="P102" s="76" t="inlineStr">
        <is>
          <t>Hong Kong</t>
        </is>
      </c>
    </row>
    <row r="103">
      <c r="O103" s="76" t="inlineStr">
        <is>
          <t>HND</t>
        </is>
      </c>
      <c r="P103" s="76" t="inlineStr">
        <is>
          <t>Honduras</t>
        </is>
      </c>
    </row>
    <row r="104">
      <c r="O104" s="76" t="inlineStr">
        <is>
          <t>HTI</t>
        </is>
      </c>
      <c r="P104" s="76" t="inlineStr">
        <is>
          <t>Haiti</t>
        </is>
      </c>
    </row>
    <row r="105">
      <c r="O105" s="76" t="inlineStr">
        <is>
          <t>HUN</t>
        </is>
      </c>
      <c r="P105" s="76" t="inlineStr">
        <is>
          <t>Hungary</t>
        </is>
      </c>
    </row>
    <row r="106">
      <c r="O106" s="76" t="inlineStr">
        <is>
          <t>IDN</t>
        </is>
      </c>
      <c r="P106" s="76" t="inlineStr">
        <is>
          <t>Indonesia</t>
        </is>
      </c>
    </row>
    <row r="107">
      <c r="O107" s="76" t="inlineStr">
        <is>
          <t>IND</t>
        </is>
      </c>
      <c r="P107" s="76" t="inlineStr">
        <is>
          <t>India</t>
        </is>
      </c>
    </row>
    <row r="108">
      <c r="O108" s="76" t="inlineStr">
        <is>
          <t>IOT</t>
        </is>
      </c>
      <c r="P108" s="76" t="inlineStr">
        <is>
          <t>British Indian Ocean Territory</t>
        </is>
      </c>
    </row>
    <row r="109">
      <c r="O109" s="76" t="inlineStr">
        <is>
          <t>IRL</t>
        </is>
      </c>
      <c r="P109" s="76" t="inlineStr">
        <is>
          <t>Ireland</t>
        </is>
      </c>
    </row>
    <row r="110">
      <c r="O110" s="76" t="inlineStr">
        <is>
          <t>IRN</t>
        </is>
      </c>
      <c r="P110" s="76" t="inlineStr">
        <is>
          <t>Iran</t>
        </is>
      </c>
    </row>
    <row r="111">
      <c r="O111" s="76" t="inlineStr">
        <is>
          <t>IRQ</t>
        </is>
      </c>
      <c r="P111" s="76" t="inlineStr">
        <is>
          <t>Iraq</t>
        </is>
      </c>
    </row>
    <row r="112">
      <c r="O112" s="76" t="inlineStr">
        <is>
          <t>ISL</t>
        </is>
      </c>
      <c r="P112" s="76" t="inlineStr">
        <is>
          <t>Iceland</t>
        </is>
      </c>
    </row>
    <row r="113">
      <c r="O113" s="76" t="inlineStr">
        <is>
          <t>ISR</t>
        </is>
      </c>
      <c r="P113" s="76" t="inlineStr">
        <is>
          <t>Israel</t>
        </is>
      </c>
    </row>
    <row r="114">
      <c r="O114" s="76" t="inlineStr">
        <is>
          <t>ITA</t>
        </is>
      </c>
      <c r="P114" s="76" t="inlineStr">
        <is>
          <t>Italy</t>
        </is>
      </c>
    </row>
    <row r="115">
      <c r="O115" s="76" t="inlineStr">
        <is>
          <t>JAM</t>
        </is>
      </c>
      <c r="P115" s="76" t="inlineStr">
        <is>
          <t>Jamaica</t>
        </is>
      </c>
    </row>
    <row r="116">
      <c r="O116" s="76" t="inlineStr">
        <is>
          <t>JOR</t>
        </is>
      </c>
      <c r="P116" s="76" t="inlineStr">
        <is>
          <t>Jordan</t>
        </is>
      </c>
    </row>
    <row r="117">
      <c r="O117" s="76" t="inlineStr">
        <is>
          <t>JPN</t>
        </is>
      </c>
      <c r="P117" s="76" t="inlineStr">
        <is>
          <t>Japan</t>
        </is>
      </c>
    </row>
    <row r="118">
      <c r="O118" s="76" t="inlineStr">
        <is>
          <t>KEN</t>
        </is>
      </c>
      <c r="P118" s="76" t="inlineStr">
        <is>
          <t>Kenya</t>
        </is>
      </c>
    </row>
    <row r="119">
      <c r="O119" s="76" t="inlineStr">
        <is>
          <t>KHM</t>
        </is>
      </c>
      <c r="P119" s="76" t="inlineStr">
        <is>
          <t>Cambodia</t>
        </is>
      </c>
    </row>
    <row r="120">
      <c r="O120" s="76" t="inlineStr">
        <is>
          <t>KIR</t>
        </is>
      </c>
      <c r="P120" s="76" t="inlineStr">
        <is>
          <t>Kiribati</t>
        </is>
      </c>
    </row>
    <row r="121">
      <c r="O121" s="76" t="inlineStr">
        <is>
          <t>KNA</t>
        </is>
      </c>
      <c r="P121" s="76" t="inlineStr">
        <is>
          <t>Saint Kitts and Nevis</t>
        </is>
      </c>
    </row>
    <row r="122">
      <c r="O122" s="76" t="inlineStr">
        <is>
          <t>KOREA-NO</t>
        </is>
      </c>
      <c r="P122" s="76" t="inlineStr">
        <is>
          <t>North Korea</t>
        </is>
      </c>
    </row>
    <row r="123">
      <c r="O123" s="76" t="inlineStr">
        <is>
          <t>KOREA-NS</t>
        </is>
      </c>
      <c r="P123" s="76" t="inlineStr">
        <is>
          <t>South Korea</t>
        </is>
      </c>
    </row>
    <row r="124">
      <c r="O124" s="76" t="inlineStr">
        <is>
          <t>KOREA-SO</t>
        </is>
      </c>
      <c r="P124" s="76" t="inlineStr">
        <is>
          <t>North and South Korea</t>
        </is>
      </c>
    </row>
    <row r="125">
      <c r="O125" s="76" t="inlineStr">
        <is>
          <t>KWT</t>
        </is>
      </c>
      <c r="P125" s="76" t="inlineStr">
        <is>
          <t>Kuwait</t>
        </is>
      </c>
    </row>
    <row r="126">
      <c r="O126" s="76" t="inlineStr">
        <is>
          <t>LAO</t>
        </is>
      </c>
      <c r="P126" s="76" t="inlineStr">
        <is>
          <t>Laos</t>
        </is>
      </c>
    </row>
    <row r="127">
      <c r="O127" s="76" t="inlineStr">
        <is>
          <t>LBN</t>
        </is>
      </c>
      <c r="P127" s="76" t="inlineStr">
        <is>
          <t>Lebanon</t>
        </is>
      </c>
    </row>
    <row r="128">
      <c r="O128" s="76" t="inlineStr">
        <is>
          <t>LBR</t>
        </is>
      </c>
      <c r="P128" s="76" t="inlineStr">
        <is>
          <t>Liberia</t>
        </is>
      </c>
    </row>
    <row r="129">
      <c r="O129" s="76" t="inlineStr">
        <is>
          <t>LBY</t>
        </is>
      </c>
      <c r="P129" s="76" t="inlineStr">
        <is>
          <t>Libya</t>
        </is>
      </c>
    </row>
    <row r="130">
      <c r="O130" s="76" t="inlineStr">
        <is>
          <t>LCA</t>
        </is>
      </c>
      <c r="P130" s="76" t="inlineStr">
        <is>
          <t>Saint Lucia</t>
        </is>
      </c>
    </row>
    <row r="131">
      <c r="O131" s="76" t="inlineStr">
        <is>
          <t>LIE</t>
        </is>
      </c>
      <c r="P131" s="76" t="inlineStr">
        <is>
          <t>Liechtenstein</t>
        </is>
      </c>
    </row>
    <row r="132">
      <c r="O132" s="76" t="inlineStr">
        <is>
          <t>LKA</t>
        </is>
      </c>
      <c r="P132" s="76" t="inlineStr">
        <is>
          <t>Sri Lanka</t>
        </is>
      </c>
    </row>
    <row r="133">
      <c r="O133" s="76" t="inlineStr">
        <is>
          <t>LSO</t>
        </is>
      </c>
      <c r="P133" s="76" t="inlineStr">
        <is>
          <t>Lesotho</t>
        </is>
      </c>
    </row>
    <row r="134">
      <c r="O134" s="76" t="inlineStr">
        <is>
          <t>LUX</t>
        </is>
      </c>
      <c r="P134" s="76" t="inlineStr">
        <is>
          <t>Luxembourg</t>
        </is>
      </c>
    </row>
    <row r="135">
      <c r="O135" s="76" t="inlineStr">
        <is>
          <t>MAC</t>
        </is>
      </c>
      <c r="P135" s="76" t="inlineStr">
        <is>
          <t>Macau</t>
        </is>
      </c>
    </row>
    <row r="136">
      <c r="O136" s="76" t="inlineStr">
        <is>
          <t>MAR</t>
        </is>
      </c>
      <c r="P136" s="76" t="inlineStr">
        <is>
          <t>Morocco</t>
        </is>
      </c>
    </row>
    <row r="137">
      <c r="O137" s="76" t="inlineStr">
        <is>
          <t>MCO</t>
        </is>
      </c>
      <c r="P137" s="76" t="inlineStr">
        <is>
          <t>Monaco</t>
        </is>
      </c>
    </row>
    <row r="138">
      <c r="O138" s="76" t="inlineStr">
        <is>
          <t>MDG</t>
        </is>
      </c>
      <c r="P138" s="76" t="inlineStr">
        <is>
          <t>Madagascar</t>
        </is>
      </c>
    </row>
    <row r="139">
      <c r="O139" s="76" t="inlineStr">
        <is>
          <t>MDV</t>
        </is>
      </c>
      <c r="P139" s="76" t="inlineStr">
        <is>
          <t>Maldives</t>
        </is>
      </c>
    </row>
    <row r="140">
      <c r="O140" s="76" t="inlineStr">
        <is>
          <t>MEX</t>
        </is>
      </c>
      <c r="P140" s="76" t="inlineStr">
        <is>
          <t>Mexico</t>
        </is>
      </c>
    </row>
    <row r="141">
      <c r="O141" s="76" t="inlineStr">
        <is>
          <t>MHL</t>
        </is>
      </c>
      <c r="P141" s="76" t="inlineStr">
        <is>
          <t>Marshall Islands</t>
        </is>
      </c>
    </row>
    <row r="142">
      <c r="O142" s="76" t="inlineStr">
        <is>
          <t>MLI</t>
        </is>
      </c>
      <c r="P142" s="76" t="inlineStr">
        <is>
          <t>Mali</t>
        </is>
      </c>
    </row>
    <row r="143">
      <c r="O143" s="76" t="inlineStr">
        <is>
          <t>MLT</t>
        </is>
      </c>
      <c r="P143" s="76" t="inlineStr">
        <is>
          <t>Malta</t>
        </is>
      </c>
    </row>
    <row r="144">
      <c r="O144" s="76" t="inlineStr">
        <is>
          <t>MMR</t>
        </is>
      </c>
      <c r="P144" s="76" t="inlineStr">
        <is>
          <t>Myanmar</t>
        </is>
      </c>
    </row>
    <row r="145">
      <c r="O145" s="76" t="inlineStr">
        <is>
          <t>MNG</t>
        </is>
      </c>
      <c r="P145" s="76" t="inlineStr">
        <is>
          <t>Mongolia</t>
        </is>
      </c>
    </row>
    <row r="146">
      <c r="O146" s="76" t="inlineStr">
        <is>
          <t>MNP</t>
        </is>
      </c>
      <c r="P146" s="76" t="inlineStr">
        <is>
          <t>Northern Mariana Islands</t>
        </is>
      </c>
    </row>
    <row r="147">
      <c r="O147" s="76" t="inlineStr">
        <is>
          <t>MOZ</t>
        </is>
      </c>
      <c r="P147" s="76" t="inlineStr">
        <is>
          <t>Mozambique</t>
        </is>
      </c>
    </row>
    <row r="148">
      <c r="O148" s="76" t="inlineStr">
        <is>
          <t>MRT</t>
        </is>
      </c>
      <c r="P148" s="76" t="inlineStr">
        <is>
          <t>Mauritania</t>
        </is>
      </c>
    </row>
    <row r="149">
      <c r="O149" s="76" t="inlineStr">
        <is>
          <t>MSR</t>
        </is>
      </c>
      <c r="P149" s="76" t="inlineStr">
        <is>
          <t>Montserrat</t>
        </is>
      </c>
    </row>
    <row r="150">
      <c r="O150" s="76" t="inlineStr">
        <is>
          <t>MUS</t>
        </is>
      </c>
      <c r="P150" s="76" t="inlineStr">
        <is>
          <t>Mauritius</t>
        </is>
      </c>
    </row>
    <row r="151">
      <c r="O151" s="76" t="inlineStr">
        <is>
          <t>MWI</t>
        </is>
      </c>
      <c r="P151" s="76" t="inlineStr">
        <is>
          <t>Malawi</t>
        </is>
      </c>
    </row>
    <row r="152">
      <c r="O152" s="76" t="inlineStr">
        <is>
          <t>MYS</t>
        </is>
      </c>
      <c r="P152" s="76" t="inlineStr">
        <is>
          <t>Malaysia</t>
        </is>
      </c>
    </row>
    <row r="153">
      <c r="O153" s="76" t="inlineStr">
        <is>
          <t>NAM</t>
        </is>
      </c>
      <c r="P153" s="76" t="inlineStr">
        <is>
          <t>Namibia</t>
        </is>
      </c>
    </row>
    <row r="154">
      <c r="O154" s="76" t="inlineStr">
        <is>
          <t>NER</t>
        </is>
      </c>
      <c r="P154" s="76" t="inlineStr">
        <is>
          <t>Niger</t>
        </is>
      </c>
    </row>
    <row r="155">
      <c r="O155" s="76" t="inlineStr">
        <is>
          <t>NFK</t>
        </is>
      </c>
      <c r="P155" s="76" t="inlineStr">
        <is>
          <t>Norfolk Islands</t>
        </is>
      </c>
    </row>
    <row r="156">
      <c r="O156" s="76" t="inlineStr">
        <is>
          <t>NGA</t>
        </is>
      </c>
      <c r="P156" s="76" t="inlineStr">
        <is>
          <t>Nigeria</t>
        </is>
      </c>
    </row>
    <row r="157">
      <c r="O157" s="76" t="inlineStr">
        <is>
          <t>NIC</t>
        </is>
      </c>
      <c r="P157" s="76" t="inlineStr">
        <is>
          <t>Nicaragua</t>
        </is>
      </c>
    </row>
    <row r="158">
      <c r="O158" s="76" t="inlineStr">
        <is>
          <t>NIU</t>
        </is>
      </c>
      <c r="P158" s="76" t="inlineStr">
        <is>
          <t>Niue</t>
        </is>
      </c>
    </row>
    <row r="159">
      <c r="O159" s="76" t="inlineStr">
        <is>
          <t>NLD</t>
        </is>
      </c>
      <c r="P159" s="76" t="inlineStr">
        <is>
          <t>Netherlands</t>
        </is>
      </c>
    </row>
    <row r="160">
      <c r="O160" s="76" t="inlineStr">
        <is>
          <t>NOAM</t>
        </is>
      </c>
      <c r="P160" s="76" t="inlineStr">
        <is>
          <t>North America</t>
        </is>
      </c>
    </row>
    <row r="161">
      <c r="O161" s="76" t="inlineStr">
        <is>
          <t>NOR</t>
        </is>
      </c>
      <c r="P161" s="76" t="inlineStr">
        <is>
          <t>Norway</t>
        </is>
      </c>
    </row>
    <row r="162">
      <c r="O162" s="76" t="inlineStr">
        <is>
          <t>NPL</t>
        </is>
      </c>
      <c r="P162" s="76" t="inlineStr">
        <is>
          <t>Nepal</t>
        </is>
      </c>
    </row>
    <row r="163">
      <c r="O163" s="76" t="inlineStr">
        <is>
          <t>NRU</t>
        </is>
      </c>
      <c r="P163" s="76" t="inlineStr">
        <is>
          <t>Nauru</t>
        </is>
      </c>
    </row>
    <row r="164">
      <c r="O164" s="76" t="inlineStr">
        <is>
          <t>NZL</t>
        </is>
      </c>
      <c r="P164" s="76" t="inlineStr">
        <is>
          <t>New Zealand</t>
        </is>
      </c>
    </row>
    <row r="165">
      <c r="O165" s="76" t="inlineStr">
        <is>
          <t>OCEA</t>
        </is>
      </c>
      <c r="P165" s="76" t="inlineStr">
        <is>
          <t>Oceania</t>
        </is>
      </c>
    </row>
    <row r="166">
      <c r="O166" s="76" t="inlineStr">
        <is>
          <t>OMN</t>
        </is>
      </c>
      <c r="P166" s="76" t="inlineStr">
        <is>
          <t>Oman</t>
        </is>
      </c>
    </row>
    <row r="167">
      <c r="O167" s="76" t="inlineStr">
        <is>
          <t>OTH</t>
        </is>
      </c>
      <c r="P167" s="76" t="inlineStr">
        <is>
          <t>Other</t>
        </is>
      </c>
    </row>
    <row r="168">
      <c r="O168" s="76" t="inlineStr">
        <is>
          <t>PAK</t>
        </is>
      </c>
      <c r="P168" s="76" t="inlineStr">
        <is>
          <t>Pakistan</t>
        </is>
      </c>
    </row>
    <row r="169">
      <c r="O169" s="76" t="inlineStr">
        <is>
          <t>PAN</t>
        </is>
      </c>
      <c r="P169" s="76" t="inlineStr">
        <is>
          <t>Panama</t>
        </is>
      </c>
    </row>
    <row r="170">
      <c r="O170" s="76" t="inlineStr">
        <is>
          <t>PCN</t>
        </is>
      </c>
      <c r="P170" s="76" t="inlineStr">
        <is>
          <t>Pitcairn</t>
        </is>
      </c>
    </row>
    <row r="171">
      <c r="O171" s="76" t="inlineStr">
        <is>
          <t>PER</t>
        </is>
      </c>
      <c r="P171" s="76" t="inlineStr">
        <is>
          <t>Peru</t>
        </is>
      </c>
    </row>
    <row r="172">
      <c r="O172" s="76" t="inlineStr">
        <is>
          <t>PHL</t>
        </is>
      </c>
      <c r="P172" s="76" t="inlineStr">
        <is>
          <t>Philippines</t>
        </is>
      </c>
    </row>
    <row r="173">
      <c r="O173" s="76" t="inlineStr">
        <is>
          <t>PLW</t>
        </is>
      </c>
      <c r="P173" s="76" t="inlineStr">
        <is>
          <t>Pacific Islands (Palau)</t>
        </is>
      </c>
    </row>
    <row r="174">
      <c r="O174" s="76" t="inlineStr">
        <is>
          <t>PNG</t>
        </is>
      </c>
      <c r="P174" s="76" t="inlineStr">
        <is>
          <t>Papua New Guinea</t>
        </is>
      </c>
    </row>
    <row r="175">
      <c r="O175" s="76" t="inlineStr">
        <is>
          <t>POL</t>
        </is>
      </c>
      <c r="P175" s="76" t="inlineStr">
        <is>
          <t>Poland</t>
        </is>
      </c>
    </row>
    <row r="176">
      <c r="O176" s="76" t="inlineStr">
        <is>
          <t>PRI</t>
        </is>
      </c>
      <c r="P176" s="76" t="inlineStr">
        <is>
          <t>Puerto Rico</t>
        </is>
      </c>
    </row>
    <row r="177">
      <c r="O177" s="76" t="inlineStr">
        <is>
          <t>PRT</t>
        </is>
      </c>
      <c r="P177" s="76" t="inlineStr">
        <is>
          <t>Portugal</t>
        </is>
      </c>
    </row>
    <row r="178">
      <c r="O178" s="76" t="inlineStr">
        <is>
          <t>PRY</t>
        </is>
      </c>
      <c r="P178" s="76" t="inlineStr">
        <is>
          <t>Paraguay</t>
        </is>
      </c>
    </row>
    <row r="179">
      <c r="O179" s="76" t="inlineStr">
        <is>
          <t>PSE</t>
        </is>
      </c>
      <c r="P179" s="76" t="inlineStr">
        <is>
          <t>Occupied Palestinian Territory</t>
        </is>
      </c>
    </row>
    <row r="180">
      <c r="O180" s="76" t="inlineStr">
        <is>
          <t>QAT</t>
        </is>
      </c>
      <c r="P180" s="76" t="inlineStr">
        <is>
          <t>Qatar</t>
        </is>
      </c>
    </row>
    <row r="181">
      <c r="O181" s="76" t="inlineStr">
        <is>
          <t>ROU</t>
        </is>
      </c>
      <c r="P181" s="76" t="inlineStr">
        <is>
          <t>Romania</t>
        </is>
      </c>
    </row>
    <row r="182">
      <c r="O182" s="76" t="inlineStr">
        <is>
          <t>RWA</t>
        </is>
      </c>
      <c r="P182" s="76" t="inlineStr">
        <is>
          <t>Rwanda</t>
        </is>
      </c>
    </row>
    <row r="183">
      <c r="O183" s="76" t="inlineStr">
        <is>
          <t>SAU</t>
        </is>
      </c>
      <c r="P183" s="76" t="inlineStr">
        <is>
          <t>Saudi Arabia</t>
        </is>
      </c>
    </row>
    <row r="184">
      <c r="O184" s="76" t="inlineStr">
        <is>
          <t>SCAC</t>
        </is>
      </c>
      <c r="P184" s="76" t="inlineStr">
        <is>
          <t>South and Central America</t>
        </is>
      </c>
    </row>
    <row r="185">
      <c r="O185" s="76" t="inlineStr">
        <is>
          <t>SDN</t>
        </is>
      </c>
      <c r="P185" s="76" t="inlineStr">
        <is>
          <t>Sudan</t>
        </is>
      </c>
    </row>
    <row r="186">
      <c r="O186" s="76" t="inlineStr">
        <is>
          <t>SEN</t>
        </is>
      </c>
      <c r="P186" s="76" t="inlineStr">
        <is>
          <t>Senegal</t>
        </is>
      </c>
    </row>
    <row r="187">
      <c r="O187" s="76" t="inlineStr">
        <is>
          <t>SGP</t>
        </is>
      </c>
      <c r="P187" s="76" t="inlineStr">
        <is>
          <t>Singapore</t>
        </is>
      </c>
    </row>
    <row r="188">
      <c r="O188" s="76" t="inlineStr">
        <is>
          <t>SHN</t>
        </is>
      </c>
      <c r="P188" s="76" t="inlineStr">
        <is>
          <t>Saint Helena</t>
        </is>
      </c>
    </row>
    <row r="189">
      <c r="O189" s="76" t="inlineStr">
        <is>
          <t>SJM</t>
        </is>
      </c>
      <c r="P189" s="76" t="inlineStr">
        <is>
          <t>Svalbard and Jan Mayen Islands</t>
        </is>
      </c>
    </row>
    <row r="190">
      <c r="O190" s="76" t="inlineStr">
        <is>
          <t>SLB</t>
        </is>
      </c>
      <c r="P190" s="76" t="inlineStr">
        <is>
          <t>Solomon Islands</t>
        </is>
      </c>
    </row>
    <row r="191">
      <c r="O191" s="76" t="inlineStr">
        <is>
          <t>SLE</t>
        </is>
      </c>
      <c r="P191" s="76" t="inlineStr">
        <is>
          <t>Sierra Leone</t>
        </is>
      </c>
    </row>
    <row r="192">
      <c r="O192" s="76" t="inlineStr">
        <is>
          <t>SLV</t>
        </is>
      </c>
      <c r="P192" s="76" t="inlineStr">
        <is>
          <t>El Salvador</t>
        </is>
      </c>
    </row>
    <row r="193">
      <c r="O193" s="76" t="inlineStr">
        <is>
          <t>SMR</t>
        </is>
      </c>
      <c r="P193" s="76" t="inlineStr">
        <is>
          <t>San Marino</t>
        </is>
      </c>
    </row>
    <row r="194">
      <c r="O194" s="76" t="inlineStr">
        <is>
          <t>SOM</t>
        </is>
      </c>
      <c r="P194" s="76" t="inlineStr">
        <is>
          <t>Somalia</t>
        </is>
      </c>
    </row>
    <row r="195">
      <c r="O195" s="76" t="inlineStr">
        <is>
          <t>STP</t>
        </is>
      </c>
      <c r="P195" s="76" t="inlineStr">
        <is>
          <t>Sao Tome and Principe</t>
        </is>
      </c>
    </row>
    <row r="196">
      <c r="O196" s="76" t="inlineStr">
        <is>
          <t>SUR</t>
        </is>
      </c>
      <c r="P196" s="76" t="inlineStr">
        <is>
          <t>Suriname</t>
        </is>
      </c>
    </row>
    <row r="197">
      <c r="O197" s="76" t="inlineStr">
        <is>
          <t>SWE</t>
        </is>
      </c>
      <c r="P197" s="76" t="inlineStr">
        <is>
          <t>Sweden</t>
        </is>
      </c>
    </row>
    <row r="198">
      <c r="O198" s="76" t="inlineStr">
        <is>
          <t>SWZ</t>
        </is>
      </c>
      <c r="P198" s="76" t="inlineStr">
        <is>
          <t>Swaziland</t>
        </is>
      </c>
    </row>
    <row r="199">
      <c r="O199" s="76" t="inlineStr">
        <is>
          <t>SYC</t>
        </is>
      </c>
      <c r="P199" s="76" t="inlineStr">
        <is>
          <t>Seychelles</t>
        </is>
      </c>
    </row>
    <row r="200">
      <c r="O200" s="76" t="inlineStr">
        <is>
          <t>SYR</t>
        </is>
      </c>
      <c r="P200" s="76" t="inlineStr">
        <is>
          <t>Syria</t>
        </is>
      </c>
    </row>
    <row r="201">
      <c r="O201" s="76" t="inlineStr">
        <is>
          <t>TCA</t>
        </is>
      </c>
      <c r="P201" s="76" t="inlineStr">
        <is>
          <t>Turks and Caicos Islands</t>
        </is>
      </c>
    </row>
    <row r="202">
      <c r="O202" s="76" t="inlineStr">
        <is>
          <t>TCD</t>
        </is>
      </c>
      <c r="P202" s="76" t="inlineStr">
        <is>
          <t>Chad</t>
        </is>
      </c>
    </row>
    <row r="203">
      <c r="O203" s="76" t="inlineStr">
        <is>
          <t>TGO</t>
        </is>
      </c>
      <c r="P203" s="76" t="inlineStr">
        <is>
          <t>Togo</t>
        </is>
      </c>
    </row>
    <row r="204">
      <c r="O204" s="76" t="inlineStr">
        <is>
          <t>THA</t>
        </is>
      </c>
      <c r="P204" s="76" t="inlineStr">
        <is>
          <t>Thailand</t>
        </is>
      </c>
    </row>
    <row r="205">
      <c r="O205" s="76" t="inlineStr">
        <is>
          <t>TKL</t>
        </is>
      </c>
      <c r="P205" s="76" t="inlineStr">
        <is>
          <t>Tokelau</t>
        </is>
      </c>
    </row>
    <row r="206">
      <c r="O206" s="76" t="inlineStr">
        <is>
          <t>TLS</t>
        </is>
      </c>
      <c r="P206" s="76" t="inlineStr">
        <is>
          <t>Timor-Leste</t>
        </is>
      </c>
    </row>
    <row r="207">
      <c r="O207" s="76" t="inlineStr">
        <is>
          <t>TMP</t>
        </is>
      </c>
      <c r="P207" s="76" t="inlineStr">
        <is>
          <t>East Timor</t>
        </is>
      </c>
    </row>
    <row r="208">
      <c r="O208" s="76" t="inlineStr">
        <is>
          <t>TON</t>
        </is>
      </c>
      <c r="P208" s="76" t="inlineStr">
        <is>
          <t>Tonga</t>
        </is>
      </c>
    </row>
    <row r="209">
      <c r="O209" s="76" t="inlineStr">
        <is>
          <t>TTO</t>
        </is>
      </c>
      <c r="P209" s="76" t="inlineStr">
        <is>
          <t>Trinidad and Tobago</t>
        </is>
      </c>
    </row>
    <row r="210">
      <c r="O210" s="76" t="inlineStr">
        <is>
          <t>TUN</t>
        </is>
      </c>
      <c r="P210" s="76" t="inlineStr">
        <is>
          <t>Tunisia</t>
        </is>
      </c>
    </row>
    <row r="211">
      <c r="O211" s="76" t="inlineStr">
        <is>
          <t>TUR</t>
        </is>
      </c>
      <c r="P211" s="76" t="inlineStr">
        <is>
          <t>Turkey</t>
        </is>
      </c>
    </row>
    <row r="212">
      <c r="O212" s="76" t="inlineStr">
        <is>
          <t>TUV</t>
        </is>
      </c>
      <c r="P212" s="76" t="inlineStr">
        <is>
          <t>Tuvalu</t>
        </is>
      </c>
    </row>
    <row r="213">
      <c r="O213" s="76" t="inlineStr">
        <is>
          <t>TWN</t>
        </is>
      </c>
      <c r="P213" s="76" t="inlineStr">
        <is>
          <t>Chinese Taipei</t>
        </is>
      </c>
    </row>
    <row r="214">
      <c r="O214" s="76" t="inlineStr">
        <is>
          <t>TZA</t>
        </is>
      </c>
      <c r="P214" s="76" t="inlineStr">
        <is>
          <t>United Republic of Tanzania</t>
        </is>
      </c>
    </row>
    <row r="215">
      <c r="O215" s="76" t="inlineStr">
        <is>
          <t>UGA</t>
        </is>
      </c>
      <c r="P215" s="76" t="inlineStr">
        <is>
          <t>Unknown</t>
        </is>
      </c>
    </row>
    <row r="216">
      <c r="O216" s="76" t="inlineStr">
        <is>
          <t>UNK</t>
        </is>
      </c>
      <c r="P216" s="76" t="inlineStr">
        <is>
          <t>Unknown</t>
        </is>
      </c>
    </row>
    <row r="217">
      <c r="O217" s="76" t="inlineStr">
        <is>
          <t>URY</t>
        </is>
      </c>
      <c r="P217" s="76" t="inlineStr">
        <is>
          <t>Uruguay</t>
        </is>
      </c>
    </row>
    <row r="218">
      <c r="O218" s="76" t="inlineStr">
        <is>
          <t>USA</t>
        </is>
      </c>
      <c r="P218" s="76" t="inlineStr">
        <is>
          <t>United States</t>
        </is>
      </c>
    </row>
    <row r="219">
      <c r="O219" s="76" t="inlineStr">
        <is>
          <t>USSR</t>
        </is>
      </c>
      <c r="P219" s="76" t="inlineStr">
        <is>
          <t>Former USSR</t>
        </is>
      </c>
    </row>
    <row r="220">
      <c r="O220" s="76" t="inlineStr">
        <is>
          <t>USSR-ARM</t>
        </is>
      </c>
      <c r="P220" s="76" t="inlineStr">
        <is>
          <t>Armenia</t>
        </is>
      </c>
    </row>
    <row r="221">
      <c r="O221" s="76" t="inlineStr">
        <is>
          <t>USSR-AZE</t>
        </is>
      </c>
      <c r="P221" s="76" t="inlineStr">
        <is>
          <t>Azerbaidjan</t>
        </is>
      </c>
    </row>
    <row r="222">
      <c r="O222" s="76" t="inlineStr">
        <is>
          <t>USSR-BLR</t>
        </is>
      </c>
      <c r="P222" s="76" t="inlineStr">
        <is>
          <t>Belarus</t>
        </is>
      </c>
    </row>
    <row r="223">
      <c r="O223" s="76" t="inlineStr">
        <is>
          <t>USSR-EST</t>
        </is>
      </c>
      <c r="P223" s="76" t="inlineStr">
        <is>
          <t>Estonia</t>
        </is>
      </c>
    </row>
    <row r="224">
      <c r="O224" s="76" t="inlineStr">
        <is>
          <t>USSR-GEO</t>
        </is>
      </c>
      <c r="P224" s="76" t="inlineStr">
        <is>
          <t>Georgia</t>
        </is>
      </c>
    </row>
    <row r="225">
      <c r="O225" s="76" t="inlineStr">
        <is>
          <t>USSR-KAZ</t>
        </is>
      </c>
      <c r="P225" s="76" t="inlineStr">
        <is>
          <t>Kazakhstan</t>
        </is>
      </c>
    </row>
    <row r="226">
      <c r="O226" s="76" t="inlineStr">
        <is>
          <t>USSR-KGZ</t>
        </is>
      </c>
      <c r="P226" s="76" t="inlineStr">
        <is>
          <t>Kirghizistan</t>
        </is>
      </c>
    </row>
    <row r="227">
      <c r="O227" s="76" t="inlineStr">
        <is>
          <t>USSR-LTU</t>
        </is>
      </c>
      <c r="P227" s="76" t="inlineStr">
        <is>
          <t>Lithuania</t>
        </is>
      </c>
    </row>
    <row r="228">
      <c r="O228" s="76" t="inlineStr">
        <is>
          <t>USSR-LVA</t>
        </is>
      </c>
      <c r="P228" s="76" t="inlineStr">
        <is>
          <t>Latvia</t>
        </is>
      </c>
    </row>
    <row r="229">
      <c r="O229" s="76" t="inlineStr">
        <is>
          <t>USSR-MDA</t>
        </is>
      </c>
      <c r="P229" s="76" t="inlineStr">
        <is>
          <t>Moldova</t>
        </is>
      </c>
    </row>
    <row r="230">
      <c r="O230" s="76" t="inlineStr">
        <is>
          <t>USSR-RUS</t>
        </is>
      </c>
      <c r="P230" s="76" t="inlineStr">
        <is>
          <t>Russia</t>
        </is>
      </c>
    </row>
    <row r="231">
      <c r="O231" s="76" t="inlineStr">
        <is>
          <t>USSR-TJK</t>
        </is>
      </c>
      <c r="P231" s="76" t="inlineStr">
        <is>
          <t>Tadjikistan</t>
        </is>
      </c>
    </row>
    <row r="232">
      <c r="O232" s="76" t="inlineStr">
        <is>
          <t>USSR-TKM</t>
        </is>
      </c>
      <c r="P232" s="76" t="inlineStr">
        <is>
          <t>Turkménistan</t>
        </is>
      </c>
    </row>
    <row r="233">
      <c r="O233" s="76" t="inlineStr">
        <is>
          <t>USSR-UKR</t>
        </is>
      </c>
      <c r="P233" s="76" t="inlineStr">
        <is>
          <t>Ukraine</t>
        </is>
      </c>
    </row>
    <row r="234">
      <c r="O234" s="76" t="inlineStr">
        <is>
          <t>USSR-UZB</t>
        </is>
      </c>
      <c r="P234" s="76" t="inlineStr">
        <is>
          <t>Uzbekistan</t>
        </is>
      </c>
    </row>
    <row r="235">
      <c r="O235" s="76" t="inlineStr">
        <is>
          <t>VAT</t>
        </is>
      </c>
      <c r="P235" s="76" t="inlineStr">
        <is>
          <t>Holy See</t>
        </is>
      </c>
    </row>
    <row r="236">
      <c r="O236" s="76" t="inlineStr">
        <is>
          <t>VCT</t>
        </is>
      </c>
      <c r="P236" s="76" t="inlineStr">
        <is>
          <t>Saint Vincent and the Grenadines</t>
        </is>
      </c>
    </row>
    <row r="237">
      <c r="O237" s="76" t="inlineStr">
        <is>
          <t>VEN</t>
        </is>
      </c>
      <c r="P237" s="76" t="inlineStr">
        <is>
          <t>Venezuela</t>
        </is>
      </c>
    </row>
    <row r="238">
      <c r="O238" s="76" t="inlineStr">
        <is>
          <t>VGB</t>
        </is>
      </c>
      <c r="P238" s="76" t="inlineStr">
        <is>
          <t>British Virgin Islands</t>
        </is>
      </c>
    </row>
    <row r="239">
      <c r="O239" s="76" t="inlineStr">
        <is>
          <t>VIR</t>
        </is>
      </c>
      <c r="P239" s="76" t="inlineStr">
        <is>
          <t>United States Virgin Islands</t>
        </is>
      </c>
    </row>
    <row r="240">
      <c r="O240" s="76" t="inlineStr">
        <is>
          <t>VNM</t>
        </is>
      </c>
      <c r="P240" s="76" t="inlineStr">
        <is>
          <t>Vietnam</t>
        </is>
      </c>
    </row>
    <row r="241">
      <c r="O241" s="76" t="inlineStr">
        <is>
          <t>VUT</t>
        </is>
      </c>
      <c r="P241" s="76" t="inlineStr">
        <is>
          <t>Vanuatu</t>
        </is>
      </c>
    </row>
    <row r="242">
      <c r="O242" s="76" t="inlineStr">
        <is>
          <t>WSM</t>
        </is>
      </c>
      <c r="P242" s="76" t="inlineStr">
        <is>
          <t>Samoa</t>
        </is>
      </c>
    </row>
    <row r="243">
      <c r="O243" s="76" t="inlineStr">
        <is>
          <t>YEM</t>
        </is>
      </c>
      <c r="P243" s="76" t="inlineStr">
        <is>
          <t>Yemen</t>
        </is>
      </c>
    </row>
    <row r="244">
      <c r="O244" s="76" t="inlineStr">
        <is>
          <t>ZAF</t>
        </is>
      </c>
      <c r="P244" s="76" t="inlineStr">
        <is>
          <t>South Africa</t>
        </is>
      </c>
    </row>
    <row r="245">
      <c r="O245" s="76" t="inlineStr">
        <is>
          <t>ZMB</t>
        </is>
      </c>
      <c r="P245" s="76" t="inlineStr">
        <is>
          <t>Zambia</t>
        </is>
      </c>
    </row>
    <row r="246">
      <c r="O246" s="76" t="inlineStr">
        <is>
          <t>ZWE</t>
        </is>
      </c>
      <c r="P246" s="76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N221"/>
  <sheetViews>
    <sheetView showGridLines="0" tabSelected="1" zoomScale="150" zoomScaleNormal="150" workbookViewId="0">
      <selection activeCell="F30" sqref="F30:F31"/>
    </sheetView>
  </sheetViews>
  <sheetFormatPr baseColWidth="10" defaultColWidth="9.1640625" defaultRowHeight="15"/>
  <cols>
    <col width="9.1640625" customWidth="1" style="129" min="1" max="1"/>
    <col width="2.1640625" customWidth="1" style="129" min="2" max="2"/>
    <col width="27.33203125" customWidth="1" style="129" min="3" max="3"/>
    <col width="32.6640625" customWidth="1" style="15" min="4" max="6"/>
    <col width="9.1640625" customWidth="1" style="129" min="7" max="16384"/>
  </cols>
  <sheetData>
    <row r="1">
      <c r="B1" s="146" t="inlineStr">
        <is>
          <t>https://www.theglobaleconomy.com/rankings/Capital_investment/</t>
        </is>
      </c>
    </row>
    <row r="2" ht="16" customHeight="1" s="135" thickBot="1">
      <c r="B2" s="140" t="n"/>
      <c r="C2" s="140" t="n"/>
      <c r="D2" s="140" t="n"/>
      <c r="E2" s="140" t="n"/>
      <c r="F2" s="140" t="n"/>
    </row>
    <row r="3" ht="16" customHeight="1" s="135" thickBot="1">
      <c r="B3" s="141" t="inlineStr">
        <is>
          <t>Global Industrial Production</t>
        </is>
      </c>
      <c r="C3" s="142" t="n"/>
      <c r="D3" s="142" t="n"/>
      <c r="E3" s="142" t="n"/>
      <c r="F3" s="143" t="n"/>
    </row>
    <row r="7" ht="20" customHeight="1" s="135">
      <c r="D7" s="85" t="inlineStr">
        <is>
          <t>% World GDP</t>
        </is>
      </c>
      <c r="E7" s="85" t="inlineStr">
        <is>
          <t>Investment as % of GDP</t>
        </is>
      </c>
      <c r="F7" s="85" t="inlineStr">
        <is>
          <t>Industrial Production yoy %</t>
        </is>
      </c>
    </row>
    <row r="8" ht="19" customHeight="1" s="135">
      <c r="C8" s="86" t="inlineStr">
        <is>
          <t>United States</t>
        </is>
      </c>
      <c r="D8" s="13">
        <f>VLOOKUP(C8,$C$32:$M$212,2,FALSE)/$D$29</f>
        <v/>
      </c>
      <c r="E8" s="14" t="n">
        <v>20.586</v>
      </c>
      <c r="F8" s="14">
        <f>VLOOKUP(C8,'World Production data'!$B$7:$C$120,2,)</f>
        <v/>
      </c>
    </row>
    <row r="9" ht="19" customHeight="1" s="135">
      <c r="C9" s="86" t="inlineStr">
        <is>
          <t>Euro Area</t>
        </is>
      </c>
      <c r="D9" s="13">
        <f>VLOOKUP(C9,$C$32:$M$212,2,FALSE)/$D$29</f>
        <v/>
      </c>
      <c r="E9" s="14" t="n">
        <v>21.3</v>
      </c>
      <c r="F9" s="14">
        <f>VLOOKUP(C9,'World Production data'!$B$7:$C$120,2,)</f>
        <v/>
      </c>
    </row>
    <row r="10" ht="19" customHeight="1" s="135">
      <c r="C10" s="86" t="inlineStr">
        <is>
          <t>China</t>
        </is>
      </c>
      <c r="D10" s="13">
        <f>VLOOKUP(C10,$C$32:$M$212,2,FALSE)/$D$29</f>
        <v/>
      </c>
      <c r="E10" s="14" t="n">
        <v>44.643</v>
      </c>
      <c r="F10" s="14">
        <f>VLOOKUP(C10,'World Production data'!$B$7:$C$120,2,)</f>
        <v/>
      </c>
    </row>
    <row r="11" ht="19" customHeight="1" s="135">
      <c r="C11" s="86" t="inlineStr">
        <is>
          <t>Japan</t>
        </is>
      </c>
      <c r="D11" s="13">
        <f>VLOOKUP(C11,$C$32:$M$212,2,FALSE)/$D$29</f>
        <v/>
      </c>
      <c r="E11" s="14" t="n">
        <v>23.903</v>
      </c>
      <c r="F11" s="14">
        <f>VLOOKUP(C11,'World Production data'!$B$7:$C$120,2,)</f>
        <v/>
      </c>
    </row>
    <row r="12" ht="19" customHeight="1" s="135">
      <c r="C12" s="86" t="inlineStr">
        <is>
          <t>Germany</t>
        </is>
      </c>
      <c r="D12" s="13">
        <f>VLOOKUP(C12,$C$32:$M$212,2,FALSE)/$D$29</f>
        <v/>
      </c>
      <c r="E12" s="14" t="n">
        <v>20.092</v>
      </c>
      <c r="F12" s="14">
        <f>VLOOKUP(C12,'World Production data'!$B$7:$C$120,2,)</f>
        <v/>
      </c>
    </row>
    <row r="13" ht="19" customHeight="1" s="135">
      <c r="C13" s="86" t="inlineStr">
        <is>
          <t>United Kingdom</t>
        </is>
      </c>
      <c r="D13" s="13">
        <f>VLOOKUP(C13,$C$32:$M$212,2,FALSE)/$D$29</f>
        <v/>
      </c>
      <c r="E13" s="14" t="n">
        <v>17.218</v>
      </c>
      <c r="F13" s="14">
        <f>VLOOKUP(C13,'World Production data'!$B$7:$C$120,2,)</f>
        <v/>
      </c>
    </row>
    <row r="14" ht="19" customFormat="1" customHeight="1" s="129">
      <c r="C14" s="86" t="inlineStr">
        <is>
          <t>India</t>
        </is>
      </c>
      <c r="D14" s="13">
        <f>VLOOKUP(C14,$C$32:$M$212,2,FALSE)/$D$29</f>
        <v/>
      </c>
      <c r="E14" s="14" t="n"/>
      <c r="F14" s="14">
        <f>VLOOKUP(C14,'World Production data'!$B$7:$C$120,2,)</f>
        <v/>
      </c>
    </row>
    <row r="15" ht="19" customHeight="1" s="135">
      <c r="C15" s="86" t="inlineStr">
        <is>
          <t>France</t>
        </is>
      </c>
      <c r="D15" s="13">
        <f>VLOOKUP(C15,$C$32:$M$212,2,FALSE)/$D$29</f>
        <v/>
      </c>
      <c r="E15" s="14" t="n">
        <v>23.459</v>
      </c>
      <c r="F15" s="14">
        <f>VLOOKUP(C15,'World Production data'!$B$7:$C$120,2,)</f>
        <v/>
      </c>
    </row>
    <row r="16" ht="19" customHeight="1" s="135">
      <c r="C16" s="86" t="inlineStr">
        <is>
          <t>Brazil</t>
        </is>
      </c>
      <c r="D16" s="13">
        <f>VLOOKUP(C16,$C$32:$M$212,2,FALSE)/$D$29</f>
        <v/>
      </c>
      <c r="E16" s="14" t="n">
        <v>15</v>
      </c>
      <c r="F16" s="14">
        <f>VLOOKUP(C16,'World Production data'!$B$7:$C$120,2,)</f>
        <v/>
      </c>
    </row>
    <row r="17" ht="19" customHeight="1" s="135">
      <c r="C17" s="86" t="inlineStr">
        <is>
          <t>Italy</t>
        </is>
      </c>
      <c r="D17" s="13">
        <f>VLOOKUP(C17,$C$32:$M$212,2,FALSE)/$D$29</f>
        <v/>
      </c>
      <c r="E17" s="14" t="n">
        <v>17.65</v>
      </c>
      <c r="F17" s="14">
        <f>VLOOKUP(C17,'World Production data'!$B$7:$C$120,2,)</f>
        <v/>
      </c>
    </row>
    <row r="18" ht="19" customHeight="1" s="135">
      <c r="C18" s="86" t="inlineStr">
        <is>
          <t>Canada</t>
        </is>
      </c>
      <c r="D18" s="13">
        <f>VLOOKUP(C18,$C$32:$M$212,2,FALSE)/$D$29</f>
        <v/>
      </c>
      <c r="E18" s="14" t="n">
        <v>23.546</v>
      </c>
      <c r="F18" s="14">
        <f>VLOOKUP(C18,'World Production data'!$B$7:$C$120,2,)</f>
        <v/>
      </c>
    </row>
    <row r="19" ht="19" customHeight="1" s="135">
      <c r="C19" s="86" t="inlineStr">
        <is>
          <t>Russia</t>
        </is>
      </c>
      <c r="D19" s="13">
        <f>VLOOKUP(C19,$C$32:$M$212,2,FALSE)/$D$29</f>
        <v/>
      </c>
      <c r="E19" s="14" t="n">
        <v>24.2</v>
      </c>
      <c r="F19" s="14">
        <f>VLOOKUP(C19,'World Production data'!$B$7:$C$120,2,)</f>
        <v/>
      </c>
    </row>
    <row r="20" ht="19" customHeight="1" s="135">
      <c r="C20" s="86" t="inlineStr">
        <is>
          <t>South Korea</t>
        </is>
      </c>
      <c r="D20" s="13">
        <f>VLOOKUP(C20,$C$32:$M$212,2,FALSE)/$D$29</f>
        <v/>
      </c>
      <c r="E20" s="14" t="n">
        <v>31.08</v>
      </c>
      <c r="F20" s="14">
        <f>VLOOKUP(C20,'World Production data'!$B$7:$C$120,2,)</f>
        <v/>
      </c>
    </row>
    <row r="21" ht="19" customHeight="1" s="135">
      <c r="C21" s="86" t="inlineStr">
        <is>
          <t>Australia</t>
        </is>
      </c>
      <c r="D21" s="13">
        <f>VLOOKUP(C21,$C$32:$M$212,2,FALSE)/$D$29</f>
        <v/>
      </c>
      <c r="E21" s="14" t="n">
        <v>24.142</v>
      </c>
      <c r="F21" s="14">
        <f>VLOOKUP(C21,'World Production data'!$B$7:$C$120,2,)</f>
        <v/>
      </c>
    </row>
    <row r="22" ht="19" customHeight="1" s="135">
      <c r="C22" s="86" t="inlineStr">
        <is>
          <t>Spain</t>
        </is>
      </c>
      <c r="D22" s="13">
        <f>VLOOKUP(C22,$C$32:$M$212,2,FALSE)/$D$29</f>
        <v/>
      </c>
      <c r="E22" s="14" t="n">
        <v>21.104</v>
      </c>
      <c r="F22" s="14">
        <f>VLOOKUP(C22,'World Production data'!$B$7:$C$120,2,)</f>
        <v/>
      </c>
    </row>
    <row r="23" ht="19" customHeight="1" s="135">
      <c r="C23" s="86" t="inlineStr">
        <is>
          <t>Mexico</t>
        </is>
      </c>
      <c r="D23" s="13">
        <f>VLOOKUP(C23,$C$32:$M$212,2,FALSE)/$D$29</f>
        <v/>
      </c>
      <c r="E23" s="14" t="n">
        <v>22.957</v>
      </c>
      <c r="F23" s="14">
        <f>VLOOKUP(C23,'World Production data'!$B$7:$C$120,2,)</f>
        <v/>
      </c>
    </row>
    <row r="24" ht="19" customHeight="1" s="135">
      <c r="C24" s="86" t="inlineStr">
        <is>
          <t>Indonesia</t>
        </is>
      </c>
      <c r="D24" s="13">
        <f>VLOOKUP(C24,$C$32:$M$212,2,FALSE)/$D$29</f>
        <v/>
      </c>
      <c r="E24" s="14" t="n">
        <v>33.717</v>
      </c>
      <c r="F24" s="14">
        <f>VLOOKUP(C24,'World Production data'!$B$7:$C$120,2,)</f>
        <v/>
      </c>
    </row>
    <row r="25" ht="19" customHeight="1" s="135">
      <c r="C25" s="86" t="inlineStr">
        <is>
          <t>Turkey</t>
        </is>
      </c>
      <c r="D25" s="13">
        <f>VLOOKUP(C25,$C$32:$M$212,2,FALSE)/$D$29</f>
        <v/>
      </c>
      <c r="E25" s="14" t="n">
        <v>30.97</v>
      </c>
      <c r="F25" s="14">
        <f>VLOOKUP(C25,'World Production data'!$B$7:$C$120,2,)</f>
        <v/>
      </c>
    </row>
    <row r="26" ht="19" customHeight="1" s="135">
      <c r="C26" s="86" t="inlineStr">
        <is>
          <t>Netherlands</t>
        </is>
      </c>
      <c r="D26" s="13">
        <f>VLOOKUP(C26,$C$32:$M$212,2,FALSE)/$D$29</f>
        <v/>
      </c>
      <c r="E26" s="14" t="n">
        <v>20.671</v>
      </c>
      <c r="F26" s="14">
        <f>VLOOKUP(C26,'World Production data'!$B$7:$C$120,2,)</f>
        <v/>
      </c>
    </row>
    <row r="28">
      <c r="D28" s="138">
        <f>SUM(D32:D212)</f>
        <v/>
      </c>
      <c r="E28" s="103" t="n"/>
      <c r="F28" s="103" t="n"/>
    </row>
    <row r="29">
      <c r="C29" s="77" t="inlineStr">
        <is>
          <t>World GDP</t>
        </is>
      </c>
      <c r="D29" s="129">
        <f>D28-VLOOKUP("Euro Area",C32:D212,2,)</f>
        <v/>
      </c>
    </row>
    <row r="30">
      <c r="C30" s="137" t="n"/>
      <c r="D30" s="138" t="inlineStr">
        <is>
          <t>GDP</t>
        </is>
      </c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106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107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107" t="n"/>
    </row>
    <row r="97">
      <c r="C97" t="inlineStr">
        <is>
          <t>Puerto Rico</t>
        </is>
      </c>
      <c r="D97" t="n">
        <v>103</v>
      </c>
      <c r="F97" s="107" t="n"/>
      <c r="G97" s="107" t="n"/>
      <c r="J97" s="107" t="n"/>
      <c r="K97" s="107" t="n"/>
      <c r="L97" s="107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106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107" t="n"/>
    </row>
    <row r="104">
      <c r="C104" t="inlineStr">
        <is>
          <t>Oman</t>
        </is>
      </c>
      <c r="D104" t="n">
        <v>76</v>
      </c>
      <c r="F104" s="107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107" t="n"/>
      <c r="G108" s="107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106" t="n"/>
    </row>
    <row r="112">
      <c r="C112" t="inlineStr">
        <is>
          <t>Ivory Coast</t>
        </is>
      </c>
      <c r="D112" t="n">
        <v>61</v>
      </c>
      <c r="F112" s="107" t="n"/>
    </row>
    <row r="113">
      <c r="C113" t="inlineStr">
        <is>
          <t>Belarus</t>
        </is>
      </c>
      <c r="D113" t="n">
        <v>60</v>
      </c>
      <c r="F113" s="107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107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107" t="n"/>
      <c r="G123" s="107" t="n"/>
    </row>
    <row r="124">
      <c r="C124" t="inlineStr">
        <is>
          <t>Jordan</t>
        </is>
      </c>
      <c r="D124" t="n">
        <v>44</v>
      </c>
      <c r="F124" s="107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106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107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107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107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107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107" t="n"/>
    </row>
    <row r="145">
      <c r="C145" t="inlineStr">
        <is>
          <t>Trinidad and Tobago</t>
        </is>
      </c>
      <c r="D145" t="n">
        <v>22</v>
      </c>
      <c r="F145" s="106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106" t="n"/>
    </row>
    <row r="148">
      <c r="C148" t="inlineStr">
        <is>
          <t>Afghanistan</t>
        </is>
      </c>
      <c r="D148" t="n">
        <v>20</v>
      </c>
      <c r="F148" s="107" t="n"/>
    </row>
    <row r="149">
      <c r="C149" t="inlineStr">
        <is>
          <t>Laos</t>
        </is>
      </c>
      <c r="D149" t="n">
        <v>19</v>
      </c>
      <c r="F149" s="107" t="n"/>
    </row>
    <row r="150">
      <c r="C150" t="inlineStr">
        <is>
          <t>Zambia</t>
        </is>
      </c>
      <c r="D150" t="n">
        <v>19</v>
      </c>
      <c r="F150" s="107" t="n"/>
    </row>
    <row r="151">
      <c r="C151" t="inlineStr">
        <is>
          <t>Zimbabwe</t>
        </is>
      </c>
      <c r="D151" t="n">
        <v>17</v>
      </c>
      <c r="F151" s="107" t="n"/>
    </row>
    <row r="152">
      <c r="C152" t="inlineStr">
        <is>
          <t>Mali</t>
        </is>
      </c>
      <c r="D152" t="n">
        <v>17</v>
      </c>
      <c r="F152" s="107" t="n"/>
      <c r="K152" s="107" t="n"/>
    </row>
    <row r="153">
      <c r="C153" t="inlineStr">
        <is>
          <t>Burkina Faso</t>
        </is>
      </c>
      <c r="D153" t="n">
        <v>17</v>
      </c>
      <c r="F153" s="107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107" t="n"/>
    </row>
    <row r="156">
      <c r="C156" t="inlineStr">
        <is>
          <t>Guinea</t>
        </is>
      </c>
      <c r="D156" t="n">
        <v>16</v>
      </c>
      <c r="F156" s="107" t="n"/>
    </row>
    <row r="157">
      <c r="C157" t="inlineStr">
        <is>
          <t>Georgia</t>
        </is>
      </c>
      <c r="D157" t="n">
        <v>16</v>
      </c>
      <c r="F157" s="107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107" t="n"/>
      <c r="G159" s="107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107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107" t="n"/>
      <c r="G167" s="106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107" t="n"/>
    </row>
    <row r="170">
      <c r="C170" t="inlineStr">
        <is>
          <t>Brunei</t>
        </is>
      </c>
      <c r="D170" t="n">
        <v>12</v>
      </c>
      <c r="F170" s="107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107" t="n"/>
    </row>
    <row r="177">
      <c r="C177" t="inlineStr">
        <is>
          <t>Bahamas</t>
        </is>
      </c>
      <c r="D177" t="n">
        <v>11</v>
      </c>
      <c r="F177" s="107" t="n"/>
    </row>
    <row r="178">
      <c r="C178" t="inlineStr">
        <is>
          <t>Chad</t>
        </is>
      </c>
      <c r="D178" t="n">
        <v>10</v>
      </c>
      <c r="F178" s="107" t="n"/>
    </row>
    <row r="179">
      <c r="C179" t="inlineStr">
        <is>
          <t>Equatorial Guinea</t>
        </is>
      </c>
      <c r="D179" t="n">
        <v>10</v>
      </c>
      <c r="F179" s="107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106" t="n"/>
      <c r="F181" s="107" t="n"/>
      <c r="J181" s="107" t="n"/>
      <c r="K181" s="107" t="n"/>
      <c r="L181" s="107" t="n"/>
    </row>
    <row r="182">
      <c r="C182" t="inlineStr">
        <is>
          <t>Mauritania</t>
        </is>
      </c>
      <c r="D182" t="n">
        <v>8</v>
      </c>
      <c r="F182" s="107" t="n"/>
    </row>
    <row r="183">
      <c r="C183" t="inlineStr">
        <is>
          <t>Kyrgyzstan</t>
        </is>
      </c>
      <c r="D183" t="n">
        <v>8</v>
      </c>
      <c r="F183" s="107" t="n"/>
    </row>
    <row r="184">
      <c r="C184" t="inlineStr">
        <is>
          <t>Kosovo</t>
        </is>
      </c>
      <c r="D184" t="n">
        <v>8</v>
      </c>
      <c r="F184" s="107" t="n"/>
      <c r="G184" s="107" t="n"/>
      <c r="K184" s="106" t="n"/>
    </row>
    <row r="185">
      <c r="C185" t="inlineStr">
        <is>
          <t>Togo</t>
        </is>
      </c>
      <c r="D185" t="n">
        <v>8</v>
      </c>
      <c r="F185" s="107" t="n"/>
    </row>
    <row r="186">
      <c r="C186" t="inlineStr">
        <is>
          <t>Tajikistan</t>
        </is>
      </c>
      <c r="D186" t="n">
        <v>8</v>
      </c>
      <c r="F186" s="107" t="n"/>
    </row>
    <row r="187">
      <c r="C187" t="inlineStr">
        <is>
          <t>Monaco</t>
        </is>
      </c>
      <c r="D187" t="n">
        <v>7</v>
      </c>
      <c r="F187" s="107" t="n"/>
      <c r="G187" s="107" t="n"/>
      <c r="H187" s="107" t="n"/>
      <c r="I187" s="107" t="n"/>
      <c r="J187" s="107" t="n"/>
      <c r="K187" s="107" t="n"/>
      <c r="L187" s="107" t="n"/>
    </row>
    <row r="188">
      <c r="C188" t="inlineStr">
        <is>
          <t>Liechtenstein</t>
        </is>
      </c>
      <c r="D188" t="n">
        <v>7</v>
      </c>
      <c r="F188" s="107" t="n"/>
      <c r="G188" s="107" t="n"/>
      <c r="I188" s="106" t="n"/>
      <c r="J188" s="107" t="n"/>
      <c r="K188" s="107" t="n"/>
      <c r="L188" s="107" t="n"/>
    </row>
    <row r="189">
      <c r="C189" t="inlineStr">
        <is>
          <t>Eritrea</t>
        </is>
      </c>
      <c r="D189" t="n">
        <v>7</v>
      </c>
      <c r="F189" s="107" t="n"/>
      <c r="G189" s="107" t="n"/>
    </row>
    <row r="190">
      <c r="C190" t="inlineStr">
        <is>
          <t>Cayman Islands</t>
        </is>
      </c>
      <c r="D190" t="n">
        <v>6</v>
      </c>
      <c r="F190" s="107" t="n"/>
      <c r="G190" s="107" t="n"/>
    </row>
    <row r="191">
      <c r="C191" t="inlineStr">
        <is>
          <t>Guyana</t>
        </is>
      </c>
      <c r="D191" t="n">
        <v>5</v>
      </c>
      <c r="F191" s="107" t="n"/>
      <c r="J191" s="106" t="n"/>
      <c r="K191" s="106" t="n"/>
    </row>
    <row r="192">
      <c r="C192" t="inlineStr">
        <is>
          <t>Montenegro</t>
        </is>
      </c>
      <c r="D192" t="n">
        <v>5</v>
      </c>
      <c r="F192" s="107" t="n"/>
      <c r="G192" s="107" t="n"/>
    </row>
    <row r="193">
      <c r="C193" t="inlineStr">
        <is>
          <t>Somalia</t>
        </is>
      </c>
      <c r="D193" t="n">
        <v>5</v>
      </c>
      <c r="F193" s="107" t="n"/>
      <c r="G193" s="107" t="n"/>
      <c r="I193" s="107" t="n"/>
      <c r="J193" s="107" t="n"/>
      <c r="K193" s="107" t="n"/>
      <c r="L193" s="107" t="n"/>
    </row>
    <row r="194">
      <c r="C194" t="inlineStr">
        <is>
          <t>Sierra Leone</t>
        </is>
      </c>
      <c r="D194" t="n">
        <v>4</v>
      </c>
      <c r="F194" s="107" t="n"/>
    </row>
    <row r="195">
      <c r="C195" t="inlineStr">
        <is>
          <t>Suriname</t>
        </is>
      </c>
      <c r="D195" t="n">
        <v>4</v>
      </c>
      <c r="F195" s="107" t="n"/>
    </row>
    <row r="196">
      <c r="C196" t="inlineStr">
        <is>
          <t>Swaziland</t>
        </is>
      </c>
      <c r="D196" t="n">
        <v>4</v>
      </c>
      <c r="F196" s="107" t="n"/>
    </row>
    <row r="197">
      <c r="C197" t="inlineStr">
        <is>
          <t>Maldives</t>
        </is>
      </c>
      <c r="D197" t="n">
        <v>4</v>
      </c>
      <c r="F197" s="107" t="n"/>
    </row>
    <row r="198">
      <c r="C198" t="inlineStr">
        <is>
          <t>Fiji</t>
        </is>
      </c>
      <c r="D198" t="n">
        <v>4</v>
      </c>
      <c r="F198" s="107" t="n"/>
    </row>
    <row r="199">
      <c r="C199" t="inlineStr">
        <is>
          <t>Djibouti</t>
        </is>
      </c>
      <c r="D199" t="n">
        <v>3</v>
      </c>
      <c r="F199" s="107" t="n"/>
    </row>
    <row r="200">
      <c r="C200" t="inlineStr">
        <is>
          <t>Burundi</t>
        </is>
      </c>
      <c r="D200" t="n">
        <v>3</v>
      </c>
      <c r="F200" s="107" t="n"/>
    </row>
    <row r="201">
      <c r="C201" t="inlineStr">
        <is>
          <t>Liberia</t>
        </is>
      </c>
      <c r="D201" t="n">
        <v>3</v>
      </c>
      <c r="F201" s="107" t="n"/>
    </row>
    <row r="202">
      <c r="C202" t="inlineStr">
        <is>
          <t>Lesotho</t>
        </is>
      </c>
      <c r="D202" t="n">
        <v>2</v>
      </c>
      <c r="F202" s="107" t="n"/>
    </row>
    <row r="203">
      <c r="C203" t="inlineStr">
        <is>
          <t>Cape Verde</t>
        </is>
      </c>
      <c r="D203" t="n">
        <v>2</v>
      </c>
      <c r="F203" s="106" t="n"/>
    </row>
    <row r="204">
      <c r="C204" t="inlineStr">
        <is>
          <t>Central African Republic</t>
        </is>
      </c>
      <c r="D204" t="n">
        <v>2</v>
      </c>
      <c r="F204" s="107" t="n"/>
    </row>
    <row r="205">
      <c r="C205" t="inlineStr">
        <is>
          <t>Bhutan</t>
        </is>
      </c>
      <c r="D205" t="n">
        <v>2</v>
      </c>
      <c r="F205" s="107" t="n"/>
    </row>
    <row r="206">
      <c r="C206" t="inlineStr">
        <is>
          <t>East Timor</t>
        </is>
      </c>
      <c r="D206" t="n">
        <v>2</v>
      </c>
      <c r="F206" s="107" t="n"/>
      <c r="G206" s="107" t="n"/>
      <c r="K206" s="107" t="n"/>
    </row>
    <row r="207">
      <c r="C207" t="inlineStr">
        <is>
          <t>Gambia</t>
        </is>
      </c>
      <c r="D207" t="n">
        <v>2</v>
      </c>
      <c r="F207" s="107" t="n"/>
    </row>
    <row r="208">
      <c r="C208" t="inlineStr">
        <is>
          <t>Guinea Bissau</t>
        </is>
      </c>
      <c r="D208" t="n">
        <v>1</v>
      </c>
      <c r="F208" s="107" t="n"/>
    </row>
    <row r="209">
      <c r="C209" t="inlineStr">
        <is>
          <t>Comoros</t>
        </is>
      </c>
      <c r="D209" t="n">
        <v>1</v>
      </c>
      <c r="F209" s="107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107" t="n"/>
      <c r="G211" s="106" t="n"/>
      <c r="J211" s="107" t="n"/>
      <c r="K211" s="107" t="n"/>
      <c r="L211" s="107" t="n"/>
    </row>
    <row r="212">
      <c r="C212" t="inlineStr">
        <is>
          <t>Sao Tome and Principe</t>
        </is>
      </c>
      <c r="D212" t="n">
        <v>0</v>
      </c>
      <c r="F212" s="107" t="n"/>
    </row>
    <row r="213">
      <c r="E213" s="103" t="n"/>
      <c r="F213" s="103" t="n"/>
    </row>
    <row r="214">
      <c r="E214" s="103" t="n"/>
      <c r="F214" s="103" t="n"/>
    </row>
    <row r="215">
      <c r="E215" s="103" t="n"/>
      <c r="F215" s="103" t="n"/>
    </row>
    <row r="216">
      <c r="E216" s="103" t="n"/>
      <c r="F216" s="103" t="n"/>
    </row>
    <row r="217">
      <c r="E217" s="103" t="n"/>
      <c r="F217" s="103" t="n"/>
    </row>
    <row r="218">
      <c r="E218" s="103" t="n"/>
      <c r="F218" s="103" t="n"/>
    </row>
    <row r="219">
      <c r="E219" s="103" t="n"/>
      <c r="F219" s="103" t="n"/>
    </row>
    <row r="220">
      <c r="E220" s="103" t="n"/>
      <c r="F220" s="103" t="n"/>
    </row>
    <row r="221">
      <c r="E221" s="103" t="n"/>
      <c r="F221" s="103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F120"/>
  <sheetViews>
    <sheetView topLeftCell="B1" zoomScale="174" zoomScaleNormal="174" workbookViewId="0">
      <selection activeCell="I14" sqref="I14"/>
    </sheetView>
  </sheetViews>
  <sheetFormatPr baseColWidth="10" defaultColWidth="9.1640625" defaultRowHeight="15"/>
  <cols>
    <col width="9.1640625" customWidth="1" style="129" min="1" max="1"/>
    <col width="29.6640625" customWidth="1" style="129" min="2" max="2"/>
    <col width="15.33203125" customWidth="1" style="129" min="3" max="3"/>
    <col width="17.1640625" customWidth="1" style="129" min="4" max="4"/>
    <col width="15.33203125" customWidth="1" style="129" min="5" max="6"/>
    <col width="9.1640625" customWidth="1" style="129" min="7" max="16384"/>
  </cols>
  <sheetData>
    <row r="1">
      <c r="A1" s="133" t="n"/>
      <c r="B1" s="146" t="inlineStr">
        <is>
          <t>https://tradingeconomics.com/country-list/industrial-production?continent=world</t>
        </is>
      </c>
    </row>
    <row r="2" ht="16" customHeight="1" s="135" thickBot="1">
      <c r="B2" s="140" t="n"/>
      <c r="C2" s="140" t="n"/>
      <c r="D2" s="140" t="n"/>
      <c r="E2" s="140" t="n"/>
      <c r="F2" s="140" t="n"/>
    </row>
    <row r="3" ht="16" customHeight="1" s="135" thickBot="1">
      <c r="B3" s="115" t="inlineStr">
        <is>
          <t>Global Industrial Production</t>
        </is>
      </c>
      <c r="C3" s="142" t="n"/>
      <c r="D3" s="142" t="n"/>
      <c r="E3" s="142" t="n"/>
      <c r="F3" s="142" t="n"/>
    </row>
    <row r="5" ht="16" customHeight="1" s="135" thickBot="1"/>
    <row r="6" ht="20" customHeight="1" s="135">
      <c r="B6" s="80" t="inlineStr">
        <is>
          <t>Country</t>
        </is>
      </c>
      <c r="C6" s="81" t="inlineStr">
        <is>
          <t>Last</t>
        </is>
      </c>
      <c r="D6" s="81" t="inlineStr">
        <is>
          <t>Previous</t>
        </is>
      </c>
      <c r="E6" s="81" t="inlineStr">
        <is>
          <t>Month</t>
        </is>
      </c>
      <c r="F6" s="81" t="inlineStr">
        <is>
          <t>Unit</t>
        </is>
      </c>
    </row>
    <row r="7">
      <c r="B7" s="82" t="inlineStr">
        <is>
          <t>Albania</t>
        </is>
      </c>
      <c r="C7" s="83" t="n">
        <v>-11.2</v>
      </c>
      <c r="D7" s="98" t="n">
        <v>5.4</v>
      </c>
      <c r="E7" s="84" t="n">
        <v>43891</v>
      </c>
      <c r="F7" s="83" t="inlineStr">
        <is>
          <t>%</t>
        </is>
      </c>
    </row>
    <row r="8">
      <c r="B8" s="82" t="inlineStr">
        <is>
          <t>Algeria</t>
        </is>
      </c>
      <c r="C8" s="83" t="n">
        <v>-14.1</v>
      </c>
      <c r="D8" s="98" t="n">
        <v>-6.8</v>
      </c>
      <c r="E8" s="84" t="n">
        <v>43983</v>
      </c>
      <c r="F8" s="83" t="inlineStr">
        <is>
          <t>%</t>
        </is>
      </c>
    </row>
    <row r="9">
      <c r="B9" s="82" t="inlineStr">
        <is>
          <t>Angola</t>
        </is>
      </c>
      <c r="C9" s="83" t="n">
        <v>2.8</v>
      </c>
      <c r="D9" s="98" t="n">
        <v>-1.7</v>
      </c>
      <c r="E9" s="84" t="n">
        <v>43891</v>
      </c>
      <c r="F9" s="83" t="inlineStr">
        <is>
          <t>%</t>
        </is>
      </c>
    </row>
    <row r="10">
      <c r="B10" s="82" t="inlineStr">
        <is>
          <t>Argentina</t>
        </is>
      </c>
      <c r="C10" s="83" t="n">
        <v>-2.9</v>
      </c>
      <c r="D10" s="98" t="n">
        <v>3.4</v>
      </c>
      <c r="E10" s="84" t="n">
        <v>44105</v>
      </c>
      <c r="F10" s="83" t="inlineStr">
        <is>
          <t>%</t>
        </is>
      </c>
    </row>
    <row r="11">
      <c r="B11" s="82" t="inlineStr">
        <is>
          <t>Armenia</t>
        </is>
      </c>
      <c r="C11" s="83" t="n">
        <v>-6.1</v>
      </c>
      <c r="D11" s="98" t="n">
        <v>-3</v>
      </c>
      <c r="E11" s="84" t="n">
        <v>44136</v>
      </c>
      <c r="F11" s="83" t="inlineStr">
        <is>
          <t>%</t>
        </is>
      </c>
    </row>
    <row r="12">
      <c r="B12" s="82" t="inlineStr">
        <is>
          <t>Australia</t>
        </is>
      </c>
      <c r="C12" s="83" t="n">
        <v>-2.3</v>
      </c>
      <c r="D12" s="98" t="n">
        <v>2.8</v>
      </c>
      <c r="E12" s="84" t="n">
        <v>43983</v>
      </c>
      <c r="F12" s="83" t="inlineStr">
        <is>
          <t>%</t>
        </is>
      </c>
    </row>
    <row r="13">
      <c r="B13" s="82" t="inlineStr">
        <is>
          <t>Austria</t>
        </is>
      </c>
      <c r="C13" s="83" t="n">
        <v>-0.6</v>
      </c>
      <c r="D13" s="98" t="n">
        <v>-1.4</v>
      </c>
      <c r="E13" s="84" t="n">
        <v>44105</v>
      </c>
      <c r="F13" s="83" t="inlineStr">
        <is>
          <t>%</t>
        </is>
      </c>
    </row>
    <row r="14">
      <c r="B14" s="82" t="inlineStr">
        <is>
          <t>Azerbaijan</t>
        </is>
      </c>
      <c r="C14" s="83" t="n">
        <v>-1.5</v>
      </c>
      <c r="D14" s="98" t="n">
        <v>-1.5</v>
      </c>
      <c r="E14" s="84" t="n">
        <v>44105</v>
      </c>
      <c r="F14" s="83" t="inlineStr">
        <is>
          <t>%</t>
        </is>
      </c>
    </row>
    <row r="15">
      <c r="B15" s="82" t="inlineStr">
        <is>
          <t>Belarus</t>
        </is>
      </c>
      <c r="C15" s="83" t="n">
        <v>-0.7</v>
      </c>
      <c r="D15" s="98" t="n">
        <v>-1.2</v>
      </c>
      <c r="E15" s="84" t="n">
        <v>44136</v>
      </c>
      <c r="F15" s="83" t="inlineStr">
        <is>
          <t>%</t>
        </is>
      </c>
    </row>
    <row r="16">
      <c r="B16" s="82" t="inlineStr">
        <is>
          <t>Belgium</t>
        </is>
      </c>
      <c r="C16" s="83" t="n">
        <v>5.4</v>
      </c>
      <c r="D16" s="98" t="n">
        <v>-4.6</v>
      </c>
      <c r="E16" s="84" t="n">
        <v>44105</v>
      </c>
      <c r="F16" s="83" t="inlineStr">
        <is>
          <t>%</t>
        </is>
      </c>
    </row>
    <row r="17">
      <c r="B17" s="82" t="inlineStr">
        <is>
          <t>Benin</t>
        </is>
      </c>
      <c r="C17" s="83" t="n">
        <v>-26.7</v>
      </c>
      <c r="D17" s="98" t="n">
        <v>-2.9</v>
      </c>
      <c r="E17" s="84" t="n">
        <v>43983</v>
      </c>
      <c r="F17" s="83" t="inlineStr">
        <is>
          <t>%</t>
        </is>
      </c>
    </row>
    <row r="18">
      <c r="B18" s="82" t="inlineStr">
        <is>
          <t>Bosnia and Herzegovina</t>
        </is>
      </c>
      <c r="C18" s="83" t="n">
        <v>-1.9</v>
      </c>
      <c r="D18" s="98" t="n">
        <v>-1.2</v>
      </c>
      <c r="E18" s="84" t="n">
        <v>44136</v>
      </c>
      <c r="F18" s="83" t="inlineStr">
        <is>
          <t>%</t>
        </is>
      </c>
    </row>
    <row r="19">
      <c r="B19" s="82" t="inlineStr">
        <is>
          <t>Botswana</t>
        </is>
      </c>
      <c r="C19" s="83" t="n">
        <v>-46.3</v>
      </c>
      <c r="D19" s="98" t="n">
        <v>-1.9</v>
      </c>
      <c r="E19" s="84" t="n">
        <v>43983</v>
      </c>
      <c r="F19" s="83" t="inlineStr">
        <is>
          <t>%</t>
        </is>
      </c>
    </row>
    <row r="20">
      <c r="B20" s="82" t="inlineStr">
        <is>
          <t>Brazil</t>
        </is>
      </c>
      <c r="C20" s="83" t="n">
        <v>0.3</v>
      </c>
      <c r="D20" s="98" t="n">
        <v>3.7</v>
      </c>
      <c r="E20" s="84" t="n">
        <v>44105</v>
      </c>
      <c r="F20" s="83" t="inlineStr">
        <is>
          <t>%</t>
        </is>
      </c>
    </row>
    <row r="21">
      <c r="B21" s="82" t="inlineStr">
        <is>
          <t>Bulgaria</t>
        </is>
      </c>
      <c r="C21" s="83" t="n">
        <v>-3.9</v>
      </c>
      <c r="D21" s="98" t="n">
        <v>-2.7</v>
      </c>
      <c r="E21" s="84" t="n">
        <v>44105</v>
      </c>
      <c r="F21" s="83" t="inlineStr">
        <is>
          <t>%</t>
        </is>
      </c>
    </row>
    <row r="22">
      <c r="B22" s="82" t="inlineStr">
        <is>
          <t>Burkina Faso</t>
        </is>
      </c>
      <c r="C22" s="83" t="n">
        <v>0.9</v>
      </c>
      <c r="D22" s="98" t="n">
        <v>-3.3</v>
      </c>
      <c r="E22" s="84" t="n">
        <v>43983</v>
      </c>
      <c r="F22" s="83" t="inlineStr">
        <is>
          <t>%</t>
        </is>
      </c>
    </row>
    <row r="23">
      <c r="B23" s="82" t="inlineStr">
        <is>
          <t>Burundi</t>
        </is>
      </c>
      <c r="C23" s="83" t="n">
        <v>9.1</v>
      </c>
      <c r="D23" s="98" t="n">
        <v>10.3</v>
      </c>
      <c r="E23" s="84" t="n">
        <v>43952</v>
      </c>
      <c r="F23" s="83" t="inlineStr">
        <is>
          <t>%</t>
        </is>
      </c>
    </row>
    <row r="24">
      <c r="B24" s="82" t="inlineStr">
        <is>
          <t>Cameroon</t>
        </is>
      </c>
      <c r="C24" s="83" t="n">
        <v>-1.6</v>
      </c>
      <c r="D24" s="98" t="n">
        <v>-4.3</v>
      </c>
      <c r="E24" s="84" t="n">
        <v>43800</v>
      </c>
      <c r="F24" s="83" t="inlineStr">
        <is>
          <t>%</t>
        </is>
      </c>
    </row>
    <row r="25">
      <c r="B25" s="82" t="inlineStr">
        <is>
          <t>Canada</t>
        </is>
      </c>
      <c r="C25" s="83" t="n">
        <v>-7.9</v>
      </c>
      <c r="D25" s="98" t="n">
        <v>-10.3</v>
      </c>
      <c r="E25" s="84" t="n">
        <v>44075</v>
      </c>
      <c r="F25" s="83" t="inlineStr">
        <is>
          <t>%</t>
        </is>
      </c>
    </row>
    <row r="26">
      <c r="B26" s="82" t="inlineStr">
        <is>
          <t>Chad</t>
        </is>
      </c>
      <c r="C26" s="83" t="n">
        <v>-3.3</v>
      </c>
      <c r="D26" s="98" t="n">
        <v>11.6</v>
      </c>
      <c r="E26" s="84" t="n">
        <v>44075</v>
      </c>
      <c r="F26" s="83" t="inlineStr">
        <is>
          <t>%</t>
        </is>
      </c>
    </row>
    <row r="27">
      <c r="B27" s="82" t="inlineStr">
        <is>
          <t>Chile</t>
        </is>
      </c>
      <c r="C27" s="83" t="n">
        <v>-0.7</v>
      </c>
      <c r="D27" s="98" t="n">
        <v>3.5</v>
      </c>
      <c r="E27" s="84" t="n">
        <v>44136</v>
      </c>
      <c r="F27" s="83" t="inlineStr">
        <is>
          <t>%</t>
        </is>
      </c>
    </row>
    <row r="28">
      <c r="B28" s="82" t="inlineStr">
        <is>
          <t>China</t>
        </is>
      </c>
      <c r="C28" s="83" t="n">
        <v>7</v>
      </c>
      <c r="D28" s="98" t="n">
        <v>6.9</v>
      </c>
      <c r="E28" s="84" t="n">
        <v>44136</v>
      </c>
      <c r="F28" s="83" t="inlineStr">
        <is>
          <t>%</t>
        </is>
      </c>
    </row>
    <row r="29">
      <c r="B29" s="82" t="inlineStr">
        <is>
          <t>Colombia</t>
        </is>
      </c>
      <c r="C29" s="83" t="n">
        <v>-2.7</v>
      </c>
      <c r="D29" s="98" t="n">
        <v>-2.9</v>
      </c>
      <c r="E29" s="84" t="n">
        <v>44105</v>
      </c>
      <c r="F29" s="83" t="inlineStr">
        <is>
          <t>%</t>
        </is>
      </c>
    </row>
    <row r="30">
      <c r="B30" s="82" t="inlineStr">
        <is>
          <t>Congo</t>
        </is>
      </c>
      <c r="C30" s="83" t="n">
        <v>-0.5</v>
      </c>
      <c r="D30" s="98" t="n">
        <v>0.5</v>
      </c>
      <c r="E30" s="84" t="n">
        <v>43435</v>
      </c>
      <c r="F30" s="83" t="inlineStr">
        <is>
          <t>%</t>
        </is>
      </c>
    </row>
    <row r="31">
      <c r="B31" s="82" t="inlineStr">
        <is>
          <t>Costa Rica</t>
        </is>
      </c>
      <c r="C31" s="83" t="n">
        <v>-7.7</v>
      </c>
      <c r="D31" s="98" t="n">
        <v>-7.7</v>
      </c>
      <c r="E31" s="84" t="n">
        <v>44044</v>
      </c>
      <c r="F31" s="83" t="inlineStr">
        <is>
          <t>%</t>
        </is>
      </c>
    </row>
    <row r="32">
      <c r="B32" s="82" t="inlineStr">
        <is>
          <t>Croatia</t>
        </is>
      </c>
      <c r="C32" s="83" t="n">
        <v>-1.7</v>
      </c>
      <c r="D32" s="98" t="n">
        <v>2.2</v>
      </c>
      <c r="E32" s="84" t="n">
        <v>44136</v>
      </c>
      <c r="F32" s="83" t="inlineStr">
        <is>
          <t>%</t>
        </is>
      </c>
    </row>
    <row r="33">
      <c r="B33" s="82" t="inlineStr">
        <is>
          <t>Cuba</t>
        </is>
      </c>
      <c r="C33" s="83" t="n">
        <v>-9.4</v>
      </c>
      <c r="D33" s="98" t="n">
        <v>0.1</v>
      </c>
      <c r="E33" s="84" t="n">
        <v>43800</v>
      </c>
      <c r="F33" s="83" t="inlineStr">
        <is>
          <t>%</t>
        </is>
      </c>
    </row>
    <row r="34">
      <c r="B34" s="82" t="inlineStr">
        <is>
          <t>Cyprus</t>
        </is>
      </c>
      <c r="C34" s="83" t="n">
        <v>-5.2</v>
      </c>
      <c r="D34" s="98" t="n">
        <v>-2.8</v>
      </c>
      <c r="E34" s="84" t="n">
        <v>44105</v>
      </c>
      <c r="F34" s="83" t="inlineStr">
        <is>
          <t>%</t>
        </is>
      </c>
    </row>
    <row r="35">
      <c r="B35" s="82" t="inlineStr">
        <is>
          <t>Czech Republic</t>
        </is>
      </c>
      <c r="C35" s="83" t="n">
        <v>1.3</v>
      </c>
      <c r="D35" s="98" t="n">
        <v>-1.5</v>
      </c>
      <c r="E35" s="84" t="n">
        <v>44105</v>
      </c>
      <c r="F35" s="83" t="inlineStr">
        <is>
          <t>%</t>
        </is>
      </c>
    </row>
    <row r="36">
      <c r="B36" s="82" t="inlineStr">
        <is>
          <t>Denmark</t>
        </is>
      </c>
      <c r="C36" s="83" t="n">
        <v>-10.9</v>
      </c>
      <c r="D36" s="98" t="n">
        <v>-1.2</v>
      </c>
      <c r="E36" s="84" t="n">
        <v>44105</v>
      </c>
      <c r="F36" s="83" t="inlineStr">
        <is>
          <t>%</t>
        </is>
      </c>
    </row>
    <row r="37">
      <c r="B37" s="82" t="inlineStr">
        <is>
          <t>El Salvador</t>
        </is>
      </c>
      <c r="C37" s="83" t="n">
        <v>-6.8</v>
      </c>
      <c r="D37" s="98" t="n">
        <v>-7.7</v>
      </c>
      <c r="E37" s="84" t="n">
        <v>44075</v>
      </c>
      <c r="F37" s="83" t="inlineStr">
        <is>
          <t>%</t>
        </is>
      </c>
    </row>
    <row r="38">
      <c r="B38" s="82" t="inlineStr">
        <is>
          <t>Estonia</t>
        </is>
      </c>
      <c r="C38" s="83" t="n">
        <v>1.1</v>
      </c>
      <c r="D38" s="98" t="n">
        <v>-2.3</v>
      </c>
      <c r="E38" s="84" t="n">
        <v>44105</v>
      </c>
      <c r="F38" s="83" t="inlineStr">
        <is>
          <t>%</t>
        </is>
      </c>
    </row>
    <row r="39">
      <c r="B39" s="82" t="inlineStr">
        <is>
          <t>Euro Area</t>
        </is>
      </c>
      <c r="C39" s="83" t="n">
        <v>-3.8</v>
      </c>
      <c r="D39" s="98" t="n">
        <v>-6.3</v>
      </c>
      <c r="E39" s="84" t="n">
        <v>44105</v>
      </c>
      <c r="F39" s="83" t="inlineStr">
        <is>
          <t>%</t>
        </is>
      </c>
    </row>
    <row r="40">
      <c r="B40" s="82" t="inlineStr">
        <is>
          <t>European Union</t>
        </is>
      </c>
      <c r="C40" s="83" t="n">
        <v>-5.8</v>
      </c>
      <c r="D40" s="98" t="n">
        <v>-6</v>
      </c>
      <c r="E40" s="84" t="n">
        <v>44075</v>
      </c>
      <c r="F40" s="83" t="inlineStr">
        <is>
          <t>%</t>
        </is>
      </c>
    </row>
    <row r="41">
      <c r="B41" s="82" t="inlineStr">
        <is>
          <t>Fiji</t>
        </is>
      </c>
      <c r="C41" s="83" t="n">
        <v>-12.2</v>
      </c>
      <c r="D41" s="98" t="n">
        <v>-1.5</v>
      </c>
      <c r="E41" s="84" t="n">
        <v>43983</v>
      </c>
      <c r="F41" s="83" t="inlineStr">
        <is>
          <t>%</t>
        </is>
      </c>
    </row>
    <row r="42">
      <c r="B42" s="82" t="inlineStr">
        <is>
          <t>Finland</t>
        </is>
      </c>
      <c r="C42" s="83" t="n">
        <v>-2.2</v>
      </c>
      <c r="D42" s="98" t="n">
        <v>-5.8</v>
      </c>
      <c r="E42" s="84" t="n">
        <v>44105</v>
      </c>
      <c r="F42" s="83" t="inlineStr">
        <is>
          <t>%</t>
        </is>
      </c>
    </row>
    <row r="43">
      <c r="B43" s="82" t="inlineStr">
        <is>
          <t>France</t>
        </is>
      </c>
      <c r="C43" s="83" t="n">
        <v>-4.2</v>
      </c>
      <c r="D43" s="98" t="n">
        <v>-5.9</v>
      </c>
      <c r="E43" s="84" t="n">
        <v>44105</v>
      </c>
      <c r="F43" s="83" t="inlineStr">
        <is>
          <t>%</t>
        </is>
      </c>
    </row>
    <row r="44">
      <c r="B44" s="82" t="inlineStr">
        <is>
          <t>Georgia</t>
        </is>
      </c>
      <c r="C44" s="83" t="n">
        <v>2.1</v>
      </c>
      <c r="D44" s="98" t="n">
        <v>-5.3</v>
      </c>
      <c r="E44" s="84" t="n">
        <v>44075</v>
      </c>
      <c r="F44" s="83" t="inlineStr">
        <is>
          <t>%</t>
        </is>
      </c>
    </row>
    <row r="45">
      <c r="B45" s="82" t="inlineStr">
        <is>
          <t>Germany</t>
        </is>
      </c>
      <c r="C45" s="83" t="n">
        <v>-3</v>
      </c>
      <c r="D45" s="98" t="n">
        <v>-6.7</v>
      </c>
      <c r="E45" s="84" t="n">
        <v>44105</v>
      </c>
      <c r="F45" s="83" t="inlineStr">
        <is>
          <t>%</t>
        </is>
      </c>
    </row>
    <row r="46">
      <c r="B46" s="82" t="inlineStr">
        <is>
          <t>Greece</t>
        </is>
      </c>
      <c r="C46" s="83" t="n">
        <v>-3.7</v>
      </c>
      <c r="D46" s="98" t="n">
        <v>-2.1</v>
      </c>
      <c r="E46" s="84" t="n">
        <v>44105</v>
      </c>
      <c r="F46" s="83" t="inlineStr">
        <is>
          <t>%</t>
        </is>
      </c>
    </row>
    <row r="47">
      <c r="B47" s="82" t="inlineStr">
        <is>
          <t>Guinea Bissau</t>
        </is>
      </c>
      <c r="C47" s="83" t="n">
        <v>-12.2</v>
      </c>
      <c r="D47" s="98" t="n">
        <v>-16.7</v>
      </c>
      <c r="E47" s="84" t="n">
        <v>43983</v>
      </c>
      <c r="F47" s="83" t="inlineStr">
        <is>
          <t>%</t>
        </is>
      </c>
    </row>
    <row r="48">
      <c r="B48" s="82" t="inlineStr">
        <is>
          <t>Hong Kong</t>
        </is>
      </c>
      <c r="C48" s="83" t="n">
        <v>-7.4</v>
      </c>
      <c r="D48" s="98" t="n">
        <v>-5.1</v>
      </c>
      <c r="E48" s="84" t="n">
        <v>44075</v>
      </c>
      <c r="F48" s="83" t="inlineStr">
        <is>
          <t>%</t>
        </is>
      </c>
    </row>
    <row r="49">
      <c r="B49" s="82" t="inlineStr">
        <is>
          <t>Hungary</t>
        </is>
      </c>
      <c r="C49" s="83" t="n">
        <v>0.6</v>
      </c>
      <c r="D49" s="98" t="n">
        <v>2.2</v>
      </c>
      <c r="E49" s="84" t="n">
        <v>44105</v>
      </c>
      <c r="F49" s="83" t="inlineStr">
        <is>
          <t>%</t>
        </is>
      </c>
    </row>
    <row r="50">
      <c r="B50" s="82" t="inlineStr">
        <is>
          <t>India</t>
        </is>
      </c>
      <c r="C50" s="83" t="n">
        <v>3.6</v>
      </c>
      <c r="D50" s="98" t="n">
        <v>0.5</v>
      </c>
      <c r="E50" s="84" t="n">
        <v>44105</v>
      </c>
      <c r="F50" s="83" t="inlineStr">
        <is>
          <t>%</t>
        </is>
      </c>
    </row>
    <row r="51">
      <c r="B51" s="82" t="inlineStr">
        <is>
          <t>Indonesia</t>
        </is>
      </c>
      <c r="C51" s="83" t="n">
        <v>2</v>
      </c>
      <c r="D51" s="98" t="n">
        <v>0.6</v>
      </c>
      <c r="E51" s="84" t="n">
        <v>43862</v>
      </c>
      <c r="F51" s="83" t="inlineStr">
        <is>
          <t>%</t>
        </is>
      </c>
    </row>
    <row r="52">
      <c r="B52" s="82" t="inlineStr">
        <is>
          <t>Iran</t>
        </is>
      </c>
      <c r="C52" s="83" t="n">
        <v>10.5</v>
      </c>
      <c r="D52" s="98" t="n">
        <v>6.3</v>
      </c>
      <c r="E52" s="84" t="n">
        <v>43891</v>
      </c>
      <c r="F52" s="83" t="inlineStr">
        <is>
          <t>%</t>
        </is>
      </c>
    </row>
    <row r="53">
      <c r="B53" s="82" t="inlineStr">
        <is>
          <t>Iraq</t>
        </is>
      </c>
      <c r="C53" s="83" t="n">
        <v>0.8</v>
      </c>
      <c r="D53" s="98" t="n">
        <v>0.9</v>
      </c>
      <c r="E53" s="84" t="n">
        <v>43435</v>
      </c>
      <c r="F53" s="83" t="inlineStr">
        <is>
          <t>%</t>
        </is>
      </c>
    </row>
    <row r="54">
      <c r="B54" s="82" t="inlineStr">
        <is>
          <t>Ireland</t>
        </is>
      </c>
      <c r="C54" s="83" t="n">
        <v>-14.9</v>
      </c>
      <c r="D54" s="98" t="n">
        <v>-13.5</v>
      </c>
      <c r="E54" s="84" t="n">
        <v>44105</v>
      </c>
      <c r="F54" s="83" t="inlineStr">
        <is>
          <t>%</t>
        </is>
      </c>
    </row>
    <row r="55">
      <c r="B55" s="82" t="inlineStr">
        <is>
          <t>Israel</t>
        </is>
      </c>
      <c r="C55" s="83" t="n">
        <v>15.1</v>
      </c>
      <c r="D55" s="98" t="n">
        <v>10.7</v>
      </c>
      <c r="E55" s="84" t="n">
        <v>44105</v>
      </c>
      <c r="F55" s="83" t="inlineStr">
        <is>
          <t>%</t>
        </is>
      </c>
    </row>
    <row r="56">
      <c r="B56" s="82" t="inlineStr">
        <is>
          <t>Italy</t>
        </is>
      </c>
      <c r="C56" s="83" t="n">
        <v>-2.1</v>
      </c>
      <c r="D56" s="98" t="n">
        <v>-4.9</v>
      </c>
      <c r="E56" s="84" t="n">
        <v>44105</v>
      </c>
      <c r="F56" s="83" t="inlineStr">
        <is>
          <t>%</t>
        </is>
      </c>
    </row>
    <row r="57">
      <c r="B57" s="82" t="inlineStr">
        <is>
          <t>Ivory Coast</t>
        </is>
      </c>
      <c r="C57" s="83" t="n">
        <v>-5.9</v>
      </c>
      <c r="D57" s="98" t="n">
        <v>-8.4</v>
      </c>
      <c r="E57" s="84" t="n">
        <v>44013</v>
      </c>
      <c r="F57" s="83" t="inlineStr">
        <is>
          <t>%</t>
        </is>
      </c>
    </row>
    <row r="58">
      <c r="B58" s="82" t="inlineStr">
        <is>
          <t>Japan</t>
        </is>
      </c>
      <c r="C58" s="83" t="n">
        <v>-3.4</v>
      </c>
      <c r="D58" s="98" t="n">
        <v>-3</v>
      </c>
      <c r="E58" s="84" t="n">
        <v>44136</v>
      </c>
      <c r="F58" s="83" t="inlineStr">
        <is>
          <t>%</t>
        </is>
      </c>
    </row>
    <row r="59">
      <c r="B59" s="82" t="inlineStr">
        <is>
          <t>Jordan</t>
        </is>
      </c>
      <c r="C59" s="83" t="n">
        <v>-4.3</v>
      </c>
      <c r="D59" s="98" t="n">
        <v>-2.7</v>
      </c>
      <c r="E59" s="84" t="n">
        <v>44013</v>
      </c>
      <c r="F59" s="83" t="inlineStr">
        <is>
          <t>%</t>
        </is>
      </c>
    </row>
    <row r="60">
      <c r="B60" s="82" t="inlineStr">
        <is>
          <t>Kazakhstan</t>
        </is>
      </c>
      <c r="C60" s="83" t="n">
        <v>-2.9</v>
      </c>
      <c r="D60" s="98" t="n">
        <v>-6.2</v>
      </c>
      <c r="E60" s="84" t="n">
        <v>44136</v>
      </c>
      <c r="F60" s="83" t="inlineStr">
        <is>
          <t>%</t>
        </is>
      </c>
    </row>
    <row r="61">
      <c r="B61" s="82" t="inlineStr">
        <is>
          <t>Kosovo</t>
        </is>
      </c>
      <c r="C61" s="83" t="n">
        <v>2.1</v>
      </c>
      <c r="D61" s="98" t="n">
        <v>4.2</v>
      </c>
      <c r="E61" s="84" t="n">
        <v>43891</v>
      </c>
      <c r="F61" s="83" t="inlineStr">
        <is>
          <t>%</t>
        </is>
      </c>
    </row>
    <row r="62">
      <c r="B62" s="82" t="inlineStr">
        <is>
          <t>Kyrgyzstan</t>
        </is>
      </c>
      <c r="C62" s="83" t="n">
        <v>-20.9</v>
      </c>
      <c r="D62" s="98" t="n">
        <v>-13.6</v>
      </c>
      <c r="E62" s="84" t="n">
        <v>44136</v>
      </c>
      <c r="F62" s="83" t="inlineStr">
        <is>
          <t>%</t>
        </is>
      </c>
    </row>
    <row r="63">
      <c r="B63" s="82" t="inlineStr">
        <is>
          <t>Latvia</t>
        </is>
      </c>
      <c r="C63" s="83" t="n">
        <v>2.7</v>
      </c>
      <c r="D63" s="98" t="n">
        <v>-1.2</v>
      </c>
      <c r="E63" s="84" t="n">
        <v>44136</v>
      </c>
      <c r="F63" s="83" t="inlineStr">
        <is>
          <t>%</t>
        </is>
      </c>
    </row>
    <row r="64">
      <c r="B64" s="82" t="inlineStr">
        <is>
          <t>Lithuania</t>
        </is>
      </c>
      <c r="C64" s="83" t="n">
        <v>0.1</v>
      </c>
      <c r="D64" s="98" t="n">
        <v>1.6</v>
      </c>
      <c r="E64" s="84" t="n">
        <v>44136</v>
      </c>
      <c r="F64" s="83" t="inlineStr">
        <is>
          <t>%</t>
        </is>
      </c>
    </row>
    <row r="65">
      <c r="B65" s="82" t="inlineStr">
        <is>
          <t>Luxembourg</t>
        </is>
      </c>
      <c r="C65" s="83" t="n">
        <v>-11.4</v>
      </c>
      <c r="D65" s="98" t="n">
        <v>-8.9</v>
      </c>
      <c r="E65" s="84" t="n">
        <v>44044</v>
      </c>
      <c r="F65" s="83" t="inlineStr">
        <is>
          <t>%</t>
        </is>
      </c>
    </row>
    <row r="66">
      <c r="B66" s="82" t="inlineStr">
        <is>
          <t>Macau</t>
        </is>
      </c>
      <c r="C66" s="83" t="n">
        <v>-32.4</v>
      </c>
      <c r="D66" s="98" t="n">
        <v>-34.5</v>
      </c>
      <c r="E66" s="84" t="n">
        <v>43983</v>
      </c>
      <c r="F66" s="83" t="inlineStr">
        <is>
          <t>%</t>
        </is>
      </c>
    </row>
    <row r="67">
      <c r="B67" s="82" t="inlineStr">
        <is>
          <t>Macedonia</t>
        </is>
      </c>
      <c r="C67" s="83" t="n">
        <v>-4</v>
      </c>
      <c r="D67" s="98" t="n">
        <v>-5.2</v>
      </c>
      <c r="E67" s="84" t="n">
        <v>44136</v>
      </c>
      <c r="F67" s="83" t="inlineStr">
        <is>
          <t>%</t>
        </is>
      </c>
    </row>
    <row r="68">
      <c r="B68" s="82" t="inlineStr">
        <is>
          <t>Malaysia</t>
        </is>
      </c>
      <c r="C68" s="83" t="n">
        <v>-0.5</v>
      </c>
      <c r="D68" s="98" t="n">
        <v>1</v>
      </c>
      <c r="E68" s="84" t="n">
        <v>44105</v>
      </c>
      <c r="F68" s="83" t="inlineStr">
        <is>
          <t>%</t>
        </is>
      </c>
    </row>
    <row r="69">
      <c r="B69" s="82" t="inlineStr">
        <is>
          <t>Mali</t>
        </is>
      </c>
      <c r="C69" s="83" t="n">
        <v>4.3</v>
      </c>
      <c r="D69" s="98" t="n">
        <v>3.3</v>
      </c>
      <c r="E69" s="84" t="n">
        <v>43983</v>
      </c>
      <c r="F69" s="83" t="inlineStr">
        <is>
          <t>%</t>
        </is>
      </c>
    </row>
    <row r="70">
      <c r="B70" s="82" t="inlineStr">
        <is>
          <t>Malta</t>
        </is>
      </c>
      <c r="C70" s="83" t="n">
        <v>1</v>
      </c>
      <c r="D70" s="98" t="n">
        <v>-1.1</v>
      </c>
      <c r="E70" s="84" t="n">
        <v>44105</v>
      </c>
      <c r="F70" s="83" t="inlineStr">
        <is>
          <t>%</t>
        </is>
      </c>
    </row>
    <row r="71">
      <c r="B71" s="82" t="inlineStr">
        <is>
          <t>Mauritania</t>
        </is>
      </c>
      <c r="C71" s="83" t="n">
        <v>3.6</v>
      </c>
      <c r="D71" s="98" t="n">
        <v>13.6</v>
      </c>
      <c r="E71" s="84" t="n">
        <v>43800</v>
      </c>
      <c r="F71" s="83" t="inlineStr">
        <is>
          <t>%</t>
        </is>
      </c>
    </row>
    <row r="72">
      <c r="B72" s="82" t="inlineStr">
        <is>
          <t>Mauritius</t>
        </is>
      </c>
      <c r="C72" s="83" t="n">
        <v>-15.5</v>
      </c>
      <c r="D72" s="98" t="n">
        <v>-40.3</v>
      </c>
      <c r="E72" s="84" t="n">
        <v>44075</v>
      </c>
      <c r="F72" s="83" t="inlineStr">
        <is>
          <t>%</t>
        </is>
      </c>
    </row>
    <row r="73">
      <c r="B73" s="82" t="inlineStr">
        <is>
          <t>Mexico</t>
        </is>
      </c>
      <c r="C73" s="83" t="n">
        <v>-3.33</v>
      </c>
      <c r="D73" s="98" t="n">
        <v>-6.11</v>
      </c>
      <c r="E73" s="84" t="n">
        <v>44105</v>
      </c>
      <c r="F73" s="83" t="inlineStr">
        <is>
          <t>%</t>
        </is>
      </c>
    </row>
    <row r="74">
      <c r="B74" s="82" t="inlineStr">
        <is>
          <t>Moldova</t>
        </is>
      </c>
      <c r="C74" s="83" t="n">
        <v>-7.7</v>
      </c>
      <c r="D74" s="98" t="n">
        <v>-7.9</v>
      </c>
      <c r="E74" s="84" t="n">
        <v>44105</v>
      </c>
      <c r="F74" s="83" t="inlineStr">
        <is>
          <t>%</t>
        </is>
      </c>
    </row>
    <row r="75">
      <c r="B75" s="82" t="inlineStr">
        <is>
          <t>Mongolia</t>
        </is>
      </c>
      <c r="C75" s="83" t="n">
        <v>-9.6</v>
      </c>
      <c r="D75" s="98" t="n">
        <v>-5.5</v>
      </c>
      <c r="E75" s="84" t="n">
        <v>44013</v>
      </c>
      <c r="F75" s="83" t="inlineStr">
        <is>
          <t>%</t>
        </is>
      </c>
    </row>
    <row r="76">
      <c r="B76" s="82" t="inlineStr">
        <is>
          <t>Montenegro</t>
        </is>
      </c>
      <c r="C76" s="83" t="n">
        <v>-2.8</v>
      </c>
      <c r="D76" s="98" t="n">
        <v>-12.4</v>
      </c>
      <c r="E76" s="84" t="n">
        <v>44075</v>
      </c>
      <c r="F76" s="83" t="inlineStr">
        <is>
          <t>%</t>
        </is>
      </c>
    </row>
    <row r="77">
      <c r="B77" s="82" t="inlineStr">
        <is>
          <t>Morocco</t>
        </is>
      </c>
      <c r="C77" s="83" t="n">
        <v>-2.6</v>
      </c>
      <c r="D77" s="98" t="n">
        <v>-21.4</v>
      </c>
      <c r="E77" s="84" t="n">
        <v>44075</v>
      </c>
      <c r="F77" s="83" t="inlineStr">
        <is>
          <t>%</t>
        </is>
      </c>
    </row>
    <row r="78">
      <c r="B78" s="82" t="inlineStr">
        <is>
          <t>Mozambique</t>
        </is>
      </c>
      <c r="C78" s="83" t="n">
        <v>-1.2</v>
      </c>
      <c r="D78" s="98" t="n">
        <v>-2.4</v>
      </c>
      <c r="E78" s="84" t="n">
        <v>44075</v>
      </c>
      <c r="F78" s="83" t="inlineStr">
        <is>
          <t>%</t>
        </is>
      </c>
    </row>
    <row r="79">
      <c r="B79" s="82" t="inlineStr">
        <is>
          <t>Netherlands</t>
        </is>
      </c>
      <c r="C79" s="83" t="n">
        <v>-5.7</v>
      </c>
      <c r="D79" s="98" t="n">
        <v>-3.9</v>
      </c>
      <c r="E79" s="84" t="n">
        <v>44075</v>
      </c>
      <c r="F79" s="83" t="inlineStr">
        <is>
          <t>%</t>
        </is>
      </c>
    </row>
    <row r="80">
      <c r="B80" s="82" t="inlineStr">
        <is>
          <t>New Zealand</t>
        </is>
      </c>
      <c r="C80" s="83" t="n">
        <v>3.1</v>
      </c>
      <c r="D80" s="98" t="n">
        <v>-12.1</v>
      </c>
      <c r="E80" s="84" t="n">
        <v>44075</v>
      </c>
      <c r="F80" s="83" t="inlineStr">
        <is>
          <t>%</t>
        </is>
      </c>
    </row>
    <row r="81">
      <c r="B81" s="82" t="inlineStr">
        <is>
          <t>Niger</t>
        </is>
      </c>
      <c r="C81" s="83" t="n">
        <v>5.8</v>
      </c>
      <c r="D81" s="98" t="n">
        <v>22</v>
      </c>
      <c r="E81" s="84" t="n">
        <v>43800</v>
      </c>
      <c r="F81" s="83" t="inlineStr">
        <is>
          <t>%</t>
        </is>
      </c>
    </row>
    <row r="82">
      <c r="B82" s="82" t="inlineStr">
        <is>
          <t>Nigeria</t>
        </is>
      </c>
      <c r="C82" s="83" t="n">
        <v>-10.3</v>
      </c>
      <c r="D82" s="98" t="n">
        <v>-10</v>
      </c>
      <c r="E82" s="84" t="n">
        <v>44075</v>
      </c>
      <c r="F82" s="83" t="inlineStr">
        <is>
          <t>%</t>
        </is>
      </c>
    </row>
    <row r="83">
      <c r="B83" s="82" t="inlineStr">
        <is>
          <t>Norway</t>
        </is>
      </c>
      <c r="C83" s="83" t="n">
        <v>0</v>
      </c>
      <c r="D83" s="98" t="n">
        <v>6.3</v>
      </c>
      <c r="E83" s="84" t="n">
        <v>44105</v>
      </c>
      <c r="F83" s="83" t="inlineStr">
        <is>
          <t>%</t>
        </is>
      </c>
    </row>
    <row r="84">
      <c r="B84" s="82" t="inlineStr">
        <is>
          <t>Pakistan</t>
        </is>
      </c>
      <c r="C84" s="83" t="n">
        <v>6.9</v>
      </c>
      <c r="D84" s="98" t="n">
        <v>7.27</v>
      </c>
      <c r="E84" s="84" t="n">
        <v>44105</v>
      </c>
      <c r="F84" s="83" t="inlineStr">
        <is>
          <t>%</t>
        </is>
      </c>
    </row>
    <row r="85">
      <c r="B85" s="82" t="inlineStr">
        <is>
          <t>Panama</t>
        </is>
      </c>
      <c r="C85" s="83" t="n">
        <v>-0.7</v>
      </c>
      <c r="D85" s="98" t="n">
        <v>-6.6</v>
      </c>
      <c r="E85" s="84" t="n">
        <v>43709</v>
      </c>
      <c r="F85" s="83" t="inlineStr">
        <is>
          <t>%</t>
        </is>
      </c>
    </row>
    <row r="86">
      <c r="B86" s="82" t="inlineStr">
        <is>
          <t>Peru</t>
        </is>
      </c>
      <c r="C86" s="83" t="n">
        <v>-3.13</v>
      </c>
      <c r="D86" s="98" t="n">
        <v>-7.12</v>
      </c>
      <c r="E86" s="84" t="n">
        <v>44105</v>
      </c>
      <c r="F86" s="83" t="inlineStr">
        <is>
          <t>%</t>
        </is>
      </c>
    </row>
    <row r="87">
      <c r="B87" s="82" t="inlineStr">
        <is>
          <t>Philippines</t>
        </is>
      </c>
      <c r="C87" s="83" t="n">
        <v>-14.2</v>
      </c>
      <c r="D87" s="98" t="n">
        <v>-12.4</v>
      </c>
      <c r="E87" s="84" t="n">
        <v>44105</v>
      </c>
      <c r="F87" s="83" t="inlineStr">
        <is>
          <t>%</t>
        </is>
      </c>
    </row>
    <row r="88">
      <c r="B88" s="82" t="inlineStr">
        <is>
          <t>Poland</t>
        </is>
      </c>
      <c r="C88" s="83" t="n">
        <v>5.4</v>
      </c>
      <c r="D88" s="98" t="n">
        <v>1</v>
      </c>
      <c r="E88" s="84" t="n">
        <v>44136</v>
      </c>
      <c r="F88" s="83" t="inlineStr">
        <is>
          <t>%</t>
        </is>
      </c>
    </row>
    <row r="89">
      <c r="B89" s="82" t="inlineStr">
        <is>
          <t>Portugal</t>
        </is>
      </c>
      <c r="C89" s="83" t="n">
        <v>-3.6</v>
      </c>
      <c r="D89" s="98" t="n">
        <v>0.4</v>
      </c>
      <c r="E89" s="84" t="n">
        <v>44136</v>
      </c>
      <c r="F89" s="83" t="inlineStr">
        <is>
          <t>%</t>
        </is>
      </c>
    </row>
    <row r="90">
      <c r="B90" s="82" t="inlineStr">
        <is>
          <t>Qatar</t>
        </is>
      </c>
      <c r="C90" s="83" t="n">
        <v>-4.9</v>
      </c>
      <c r="D90" s="98" t="n">
        <v>-1.6</v>
      </c>
      <c r="E90" s="84" t="n">
        <v>44044</v>
      </c>
      <c r="F90" s="83" t="inlineStr">
        <is>
          <t>%</t>
        </is>
      </c>
    </row>
    <row r="91">
      <c r="B91" s="82" t="inlineStr">
        <is>
          <t>Romania</t>
        </is>
      </c>
      <c r="C91" s="83" t="n">
        <v>1.2</v>
      </c>
      <c r="D91" s="98" t="n">
        <v>-2.8</v>
      </c>
      <c r="E91" s="84" t="n">
        <v>44105</v>
      </c>
      <c r="F91" s="83" t="inlineStr">
        <is>
          <t>%</t>
        </is>
      </c>
    </row>
    <row r="92">
      <c r="B92" s="82" t="inlineStr">
        <is>
          <t>Russia</t>
        </is>
      </c>
      <c r="C92" s="83" t="n">
        <v>-2.6</v>
      </c>
      <c r="D92" s="98" t="n">
        <v>-5.9</v>
      </c>
      <c r="E92" s="84" t="n">
        <v>44136</v>
      </c>
      <c r="F92" s="83" t="inlineStr">
        <is>
          <t>%</t>
        </is>
      </c>
    </row>
    <row r="93">
      <c r="B93" s="82" t="inlineStr">
        <is>
          <t>Rwanda</t>
        </is>
      </c>
      <c r="C93" s="83" t="n">
        <v>6.1</v>
      </c>
      <c r="D93" s="98" t="n">
        <v>-4.3</v>
      </c>
      <c r="E93" s="84" t="n">
        <v>44075</v>
      </c>
      <c r="F93" s="83" t="inlineStr">
        <is>
          <t>%</t>
        </is>
      </c>
    </row>
    <row r="94">
      <c r="B94" s="82" t="inlineStr">
        <is>
          <t>Saudi Arabia</t>
        </is>
      </c>
      <c r="C94" s="83" t="n">
        <v>-13.4</v>
      </c>
      <c r="D94" s="98" t="n">
        <v>-3.3</v>
      </c>
      <c r="E94" s="84" t="n">
        <v>44013</v>
      </c>
      <c r="F94" s="83" t="inlineStr">
        <is>
          <t>%</t>
        </is>
      </c>
    </row>
    <row r="95">
      <c r="B95" s="82" t="inlineStr">
        <is>
          <t>Senegal</t>
        </is>
      </c>
      <c r="C95" s="83" t="n">
        <v>14.6</v>
      </c>
      <c r="D95" s="98" t="n">
        <v>5.1</v>
      </c>
      <c r="E95" s="84" t="n">
        <v>44105</v>
      </c>
      <c r="F95" s="83" t="inlineStr">
        <is>
          <t>%</t>
        </is>
      </c>
    </row>
    <row r="96">
      <c r="B96" s="82" t="inlineStr">
        <is>
          <t>Serbia</t>
        </is>
      </c>
      <c r="C96" s="83" t="n">
        <v>-1.4</v>
      </c>
      <c r="D96" s="98" t="n">
        <v>1.9</v>
      </c>
      <c r="E96" s="84" t="n">
        <v>44136</v>
      </c>
      <c r="F96" s="83" t="inlineStr">
        <is>
          <t>%</t>
        </is>
      </c>
    </row>
    <row r="97">
      <c r="B97" s="82" t="inlineStr">
        <is>
          <t>Seychelles</t>
        </is>
      </c>
      <c r="C97" s="83" t="n">
        <v>1.9</v>
      </c>
      <c r="D97" s="98" t="n">
        <v>15.9</v>
      </c>
      <c r="E97" s="84" t="n">
        <v>44075</v>
      </c>
      <c r="F97" s="83" t="inlineStr">
        <is>
          <t>%</t>
        </is>
      </c>
    </row>
    <row r="98">
      <c r="B98" s="82" t="inlineStr">
        <is>
          <t>Singapore</t>
        </is>
      </c>
      <c r="C98" s="83" t="n">
        <v>17.9</v>
      </c>
      <c r="D98" s="98" t="n">
        <v>-0.8</v>
      </c>
      <c r="E98" s="84" t="n">
        <v>44136</v>
      </c>
      <c r="F98" s="83" t="inlineStr">
        <is>
          <t>%</t>
        </is>
      </c>
    </row>
    <row r="99">
      <c r="B99" s="82" t="inlineStr">
        <is>
          <t>Slovakia</t>
        </is>
      </c>
      <c r="C99" s="83" t="n">
        <v>-2.5</v>
      </c>
      <c r="D99" s="98" t="n">
        <v>-0.2</v>
      </c>
      <c r="E99" s="84" t="n">
        <v>44105</v>
      </c>
      <c r="F99" s="83" t="inlineStr">
        <is>
          <t>%</t>
        </is>
      </c>
    </row>
    <row r="100">
      <c r="B100" s="82" t="inlineStr">
        <is>
          <t>Slovenia</t>
        </is>
      </c>
      <c r="C100" s="83" t="n">
        <v>-1.1</v>
      </c>
      <c r="D100" s="98" t="n">
        <v>-3.3</v>
      </c>
      <c r="E100" s="84" t="n">
        <v>44105</v>
      </c>
      <c r="F100" s="83" t="inlineStr">
        <is>
          <t>%</t>
        </is>
      </c>
    </row>
    <row r="101">
      <c r="B101" s="82" t="inlineStr">
        <is>
          <t>South Africa</t>
        </is>
      </c>
      <c r="C101" s="83" t="n">
        <v>-3.4</v>
      </c>
      <c r="D101" s="98" t="n">
        <v>-1.9</v>
      </c>
      <c r="E101" s="84" t="n">
        <v>44105</v>
      </c>
      <c r="F101" s="83" t="inlineStr">
        <is>
          <t>%</t>
        </is>
      </c>
    </row>
    <row r="102">
      <c r="B102" s="82" t="inlineStr">
        <is>
          <t>South Korea</t>
        </is>
      </c>
      <c r="C102" s="83" t="n">
        <v>0.5</v>
      </c>
      <c r="D102" s="98" t="n">
        <v>-2</v>
      </c>
      <c r="E102" s="84" t="n">
        <v>44136</v>
      </c>
      <c r="F102" s="83" t="inlineStr">
        <is>
          <t>%</t>
        </is>
      </c>
    </row>
    <row r="103">
      <c r="B103" s="82" t="inlineStr">
        <is>
          <t>Spain</t>
        </is>
      </c>
      <c r="C103" s="83" t="n">
        <v>-1.6</v>
      </c>
      <c r="D103" s="98" t="n">
        <v>-3.1</v>
      </c>
      <c r="E103" s="84" t="n">
        <v>44105</v>
      </c>
      <c r="F103" s="83" t="inlineStr">
        <is>
          <t>%</t>
        </is>
      </c>
    </row>
    <row r="104">
      <c r="B104" s="82" t="inlineStr">
        <is>
          <t>Sri Lanka</t>
        </is>
      </c>
      <c r="C104" s="83" t="n">
        <v>2.4</v>
      </c>
      <c r="D104" s="98" t="n">
        <v>-13.7</v>
      </c>
      <c r="E104" s="84" t="n">
        <v>44013</v>
      </c>
      <c r="F104" s="83" t="inlineStr">
        <is>
          <t>%</t>
        </is>
      </c>
    </row>
    <row r="105">
      <c r="B105" s="82" t="inlineStr">
        <is>
          <t>Sweden</t>
        </is>
      </c>
      <c r="C105" s="83" t="n">
        <v>0.4</v>
      </c>
      <c r="D105" s="98" t="n">
        <v>-2.1</v>
      </c>
      <c r="E105" s="84" t="n">
        <v>44105</v>
      </c>
      <c r="F105" s="83" t="inlineStr">
        <is>
          <t>%</t>
        </is>
      </c>
    </row>
    <row r="106">
      <c r="B106" s="82" t="inlineStr">
        <is>
          <t>Switzerland</t>
        </is>
      </c>
      <c r="C106" s="83" t="n">
        <v>-5.1</v>
      </c>
      <c r="D106" s="98" t="n">
        <v>-9.300000000000001</v>
      </c>
      <c r="E106" s="84" t="n">
        <v>44075</v>
      </c>
      <c r="F106" s="83" t="inlineStr">
        <is>
          <t>%</t>
        </is>
      </c>
    </row>
    <row r="107">
      <c r="B107" s="82" t="inlineStr">
        <is>
          <t>Taiwan</t>
        </is>
      </c>
      <c r="C107" s="83" t="n">
        <v>7.84</v>
      </c>
      <c r="D107" s="98" t="n">
        <v>6.44</v>
      </c>
      <c r="E107" s="84" t="n">
        <v>44136</v>
      </c>
      <c r="F107" s="83" t="inlineStr">
        <is>
          <t>%</t>
        </is>
      </c>
    </row>
    <row r="108">
      <c r="B108" s="82" t="inlineStr">
        <is>
          <t>Tajikistan</t>
        </is>
      </c>
      <c r="C108" s="83" t="n">
        <v>13.6</v>
      </c>
      <c r="D108" s="98" t="n">
        <v>13</v>
      </c>
      <c r="E108" s="84" t="n">
        <v>43800</v>
      </c>
      <c r="F108" s="83" t="inlineStr">
        <is>
          <t>%</t>
        </is>
      </c>
    </row>
    <row r="109">
      <c r="B109" s="82" t="inlineStr">
        <is>
          <t>Thailand</t>
        </is>
      </c>
      <c r="C109" s="83" t="n">
        <v>0.35</v>
      </c>
      <c r="D109" s="98" t="n">
        <v>-0.42</v>
      </c>
      <c r="E109" s="84" t="n">
        <v>44136</v>
      </c>
      <c r="F109" s="83" t="inlineStr">
        <is>
          <t>%</t>
        </is>
      </c>
    </row>
    <row r="110">
      <c r="B110" s="82" t="inlineStr">
        <is>
          <t>Togo</t>
        </is>
      </c>
      <c r="C110" s="83" t="n">
        <v>16.6</v>
      </c>
      <c r="D110" s="98" t="n">
        <v>7.2</v>
      </c>
      <c r="E110" s="84" t="n">
        <v>43983</v>
      </c>
      <c r="F110" s="83" t="inlineStr">
        <is>
          <t>%</t>
        </is>
      </c>
    </row>
    <row r="111">
      <c r="B111" s="82" t="inlineStr">
        <is>
          <t>Trinidad And Tobago</t>
        </is>
      </c>
      <c r="C111" s="83" t="n">
        <v>-2</v>
      </c>
      <c r="D111" s="98" t="n">
        <v>-9.699999999999999</v>
      </c>
      <c r="E111" s="84" t="n">
        <v>43800</v>
      </c>
      <c r="F111" s="83" t="inlineStr">
        <is>
          <t>%</t>
        </is>
      </c>
    </row>
    <row r="112">
      <c r="B112" s="82" t="inlineStr">
        <is>
          <t>Tunisia</t>
        </is>
      </c>
      <c r="C112" s="83" t="n">
        <v>-3.7</v>
      </c>
      <c r="D112" s="98" t="n">
        <v>1.1</v>
      </c>
      <c r="E112" s="84" t="n">
        <v>44105</v>
      </c>
      <c r="F112" s="83" t="inlineStr">
        <is>
          <t>%</t>
        </is>
      </c>
    </row>
    <row r="113">
      <c r="B113" s="82" t="inlineStr">
        <is>
          <t>Turkey</t>
        </is>
      </c>
      <c r="C113" s="83" t="n">
        <v>10.2</v>
      </c>
      <c r="D113" s="98" t="n">
        <v>8.300000000000001</v>
      </c>
      <c r="E113" s="84" t="n">
        <v>44105</v>
      </c>
      <c r="F113" s="83" t="inlineStr">
        <is>
          <t>%</t>
        </is>
      </c>
    </row>
    <row r="114">
      <c r="B114" s="82" t="inlineStr">
        <is>
          <t>Ukraine</t>
        </is>
      </c>
      <c r="C114" s="83" t="n">
        <v>-0.3</v>
      </c>
      <c r="D114" s="98" t="n">
        <v>-5</v>
      </c>
      <c r="E114" s="84" t="n">
        <v>44136</v>
      </c>
      <c r="F114" s="83" t="inlineStr">
        <is>
          <t>%</t>
        </is>
      </c>
    </row>
    <row r="115">
      <c r="B115" s="82" t="inlineStr">
        <is>
          <t>United Kingdom</t>
        </is>
      </c>
      <c r="C115" s="83" t="n">
        <v>-5.5</v>
      </c>
      <c r="D115" s="98" t="n">
        <v>-6.3</v>
      </c>
      <c r="E115" s="84" t="n">
        <v>44105</v>
      </c>
      <c r="F115" s="83" t="inlineStr">
        <is>
          <t>%</t>
        </is>
      </c>
    </row>
    <row r="116">
      <c r="B116" s="82" t="inlineStr">
        <is>
          <t>United States</t>
        </is>
      </c>
      <c r="C116" s="83" t="n">
        <v>-5.5</v>
      </c>
      <c r="D116" s="98" t="n">
        <v>-5</v>
      </c>
      <c r="E116" s="84" t="n">
        <v>44136</v>
      </c>
      <c r="F116" s="83" t="inlineStr">
        <is>
          <t>%</t>
        </is>
      </c>
    </row>
    <row r="117">
      <c r="B117" s="82" t="inlineStr">
        <is>
          <t>Uruguay</t>
        </is>
      </c>
      <c r="C117" s="83" t="n">
        <v>4.8</v>
      </c>
      <c r="D117" s="98" t="n">
        <v>-1.9</v>
      </c>
      <c r="E117" s="84" t="n">
        <v>44105</v>
      </c>
      <c r="F117" s="83" t="inlineStr">
        <is>
          <t>%</t>
        </is>
      </c>
    </row>
    <row r="118">
      <c r="B118" s="82" t="inlineStr">
        <is>
          <t>Uzbekistan</t>
        </is>
      </c>
      <c r="C118" s="83" t="n">
        <v>6.9</v>
      </c>
      <c r="D118" s="98" t="n">
        <v>6.8</v>
      </c>
      <c r="E118" s="84" t="n">
        <v>43617</v>
      </c>
      <c r="F118" s="83" t="inlineStr">
        <is>
          <t>%</t>
        </is>
      </c>
    </row>
    <row r="119">
      <c r="B119" s="82" t="inlineStr">
        <is>
          <t>Venezuela</t>
        </is>
      </c>
      <c r="C119" s="83" t="n">
        <v>-20.6</v>
      </c>
      <c r="D119" s="98" t="n">
        <v>-47</v>
      </c>
      <c r="E119" s="84" t="n">
        <v>43466</v>
      </c>
      <c r="F119" s="83" t="inlineStr">
        <is>
          <t>%</t>
        </is>
      </c>
    </row>
    <row r="120">
      <c r="B120" s="82" t="inlineStr">
        <is>
          <t>Vietnam</t>
        </is>
      </c>
      <c r="C120" s="83" t="n">
        <v>9.5</v>
      </c>
      <c r="D120" s="98" t="n">
        <v>9.199999999999999</v>
      </c>
      <c r="E120" s="84" t="n">
        <v>44166</v>
      </c>
      <c r="F120" s="83" t="inlineStr">
        <is>
          <t>%</t>
        </is>
      </c>
    </row>
  </sheetData>
  <autoFilter ref="B6:F6"/>
  <mergeCells count="2">
    <mergeCell ref="B1:F2"/>
    <mergeCell ref="B3:F3"/>
  </mergeCells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BE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129" min="1" max="1"/>
    <col width="11.1640625" customWidth="1" style="129" min="2" max="2"/>
    <col width="7" customWidth="1" style="129" min="3" max="3"/>
    <col width="4.6640625" customWidth="1" style="129" min="4" max="4"/>
    <col width="11" customWidth="1" style="129" min="5" max="5"/>
    <col width="10.6640625" bestFit="1" customWidth="1" style="129" min="6" max="6"/>
    <col width="10.6640625" bestFit="1" customWidth="1" style="58" min="7" max="7"/>
    <col width="9.1640625" customWidth="1" style="26" min="8" max="10"/>
    <col width="10.6640625" bestFit="1" customWidth="1" style="26" min="11" max="11"/>
    <col width="10.6640625" customWidth="1" style="26" min="12" max="12"/>
    <col width="9.1640625" customWidth="1" style="26" min="13" max="51"/>
    <col width="9.1640625" customWidth="1" style="129" min="52" max="16384"/>
  </cols>
  <sheetData>
    <row r="1" s="135">
      <c r="B1" t="inlineStr">
        <is>
          <t>Date</t>
        </is>
      </c>
      <c r="G1" s="96" t="n"/>
      <c r="H1" s="97" t="inlineStr">
        <is>
          <t>AUS</t>
        </is>
      </c>
      <c r="I1" s="97" t="inlineStr">
        <is>
          <t>AUT</t>
        </is>
      </c>
      <c r="J1" s="97" t="inlineStr">
        <is>
          <t>BEL</t>
        </is>
      </c>
      <c r="K1" s="97" t="inlineStr">
        <is>
          <t>CAN</t>
        </is>
      </c>
      <c r="L1" s="97" t="inlineStr">
        <is>
          <t>CHL</t>
        </is>
      </c>
      <c r="M1" s="97" t="inlineStr">
        <is>
          <t>CZE</t>
        </is>
      </c>
      <c r="N1" s="97" t="inlineStr">
        <is>
          <t>DEU</t>
        </is>
      </c>
      <c r="O1" s="97" t="inlineStr">
        <is>
          <t>DNK</t>
        </is>
      </c>
      <c r="P1" s="97" t="inlineStr">
        <is>
          <t>ESP</t>
        </is>
      </c>
      <c r="Q1" s="97" t="inlineStr">
        <is>
          <t>EST</t>
        </is>
      </c>
      <c r="R1" s="97" t="inlineStr">
        <is>
          <t>FIN</t>
        </is>
      </c>
      <c r="S1" s="97" t="inlineStr">
        <is>
          <t>FRA</t>
        </is>
      </c>
      <c r="T1" s="97" t="inlineStr">
        <is>
          <t>GBR</t>
        </is>
      </c>
      <c r="U1" s="97" t="inlineStr">
        <is>
          <t>GRC</t>
        </is>
      </c>
      <c r="V1" s="97" t="inlineStr">
        <is>
          <t>HUN</t>
        </is>
      </c>
      <c r="W1" s="97" t="inlineStr">
        <is>
          <t>IRL</t>
        </is>
      </c>
      <c r="X1" s="97" t="inlineStr">
        <is>
          <t>ISL</t>
        </is>
      </c>
      <c r="Y1" s="97" t="inlineStr">
        <is>
          <t>ISR</t>
        </is>
      </c>
      <c r="Z1" s="97" t="inlineStr">
        <is>
          <t>ITA</t>
        </is>
      </c>
      <c r="AA1" s="97" t="inlineStr">
        <is>
          <t>JPN</t>
        </is>
      </c>
      <c r="AB1" s="97" t="inlineStr">
        <is>
          <t>KOR</t>
        </is>
      </c>
      <c r="AC1" s="97" t="inlineStr">
        <is>
          <t>LUX</t>
        </is>
      </c>
      <c r="AD1" s="97" t="inlineStr">
        <is>
          <t>LVA</t>
        </is>
      </c>
      <c r="AE1" s="97" t="inlineStr">
        <is>
          <t>MEX</t>
        </is>
      </c>
      <c r="AF1" s="97" t="inlineStr">
        <is>
          <t>NLD</t>
        </is>
      </c>
      <c r="AG1" s="97" t="inlineStr">
        <is>
          <t>NOR</t>
        </is>
      </c>
      <c r="AH1" s="97" t="inlineStr">
        <is>
          <t>OECD</t>
        </is>
      </c>
      <c r="AI1" s="97" t="inlineStr">
        <is>
          <t>POL</t>
        </is>
      </c>
      <c r="AJ1" s="97" t="inlineStr">
        <is>
          <t>PRT</t>
        </is>
      </c>
      <c r="AK1" s="97" t="inlineStr">
        <is>
          <t>SVK</t>
        </is>
      </c>
      <c r="AL1" s="97" t="inlineStr">
        <is>
          <t>SVN</t>
        </is>
      </c>
      <c r="AM1" s="97" t="inlineStr">
        <is>
          <t>SWE</t>
        </is>
      </c>
      <c r="AN1" s="97" t="inlineStr">
        <is>
          <t>NZL</t>
        </is>
      </c>
      <c r="AO1" s="97" t="inlineStr">
        <is>
          <t>USA</t>
        </is>
      </c>
      <c r="AP1" s="97" t="inlineStr">
        <is>
          <t>EA19</t>
        </is>
      </c>
      <c r="AQ1" s="97" t="inlineStr">
        <is>
          <t>EU28</t>
        </is>
      </c>
      <c r="AR1" s="97" t="inlineStr">
        <is>
          <t>G7</t>
        </is>
      </c>
      <c r="AS1" s="97" t="inlineStr">
        <is>
          <t>CHE</t>
        </is>
      </c>
      <c r="AT1" s="97" t="inlineStr">
        <is>
          <t>IND</t>
        </is>
      </c>
      <c r="AU1" s="97" t="inlineStr">
        <is>
          <t>ZAF</t>
        </is>
      </c>
      <c r="AV1" s="97" t="inlineStr">
        <is>
          <t>RUS</t>
        </is>
      </c>
      <c r="AW1" s="97" t="inlineStr">
        <is>
          <t>CHI</t>
        </is>
      </c>
      <c r="AX1" s="97" t="inlineStr">
        <is>
          <t>TUR</t>
        </is>
      </c>
      <c r="AY1" s="97" t="inlineStr">
        <is>
          <t>BRA</t>
        </is>
      </c>
      <c r="AZ1" s="97" t="inlineStr">
        <is>
          <t>ARG</t>
        </is>
      </c>
    </row>
    <row r="2" s="135">
      <c r="A2" t="inlineStr">
        <is>
          <t>1919-01</t>
        </is>
      </c>
      <c r="B2" s="2" t="n">
        <v>6941</v>
      </c>
      <c r="C2" s="96" t="n">
        <v>2</v>
      </c>
      <c r="D2" s="2" t="n"/>
      <c r="E2" s="2">
        <f>B2</f>
        <v/>
      </c>
      <c r="F2" s="3">
        <f>B2</f>
        <v/>
      </c>
      <c r="G2" s="96" t="n">
        <v>0</v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7" t="n"/>
      <c r="U2" s="97" t="n"/>
      <c r="V2" s="97" t="n"/>
      <c r="W2" s="97" t="n"/>
      <c r="X2" s="97" t="n"/>
      <c r="Y2" s="97" t="n"/>
      <c r="Z2" s="97" t="n"/>
      <c r="AA2" s="97" t="n"/>
      <c r="AB2" s="97" t="n"/>
      <c r="AC2" s="97" t="n"/>
      <c r="AD2" s="97" t="n"/>
      <c r="AE2" s="97" t="n"/>
      <c r="AF2" s="97" t="n"/>
      <c r="AG2" s="97" t="n"/>
      <c r="AH2" s="97" t="n"/>
      <c r="AI2" s="97" t="n"/>
      <c r="AJ2" s="97" t="n"/>
      <c r="AK2" s="97" t="n"/>
      <c r="AL2" s="97" t="n"/>
      <c r="AM2" s="97" t="n"/>
      <c r="AN2" s="97" t="n"/>
      <c r="AO2" s="97" t="n">
        <v>4.814458</v>
      </c>
      <c r="AP2" s="97" t="n"/>
      <c r="AQ2" s="97" t="n"/>
      <c r="AR2" s="97" t="n"/>
      <c r="AS2" s="97" t="n"/>
      <c r="AT2" s="97" t="n"/>
      <c r="AU2" s="97" t="n"/>
      <c r="AV2" s="97" t="n"/>
      <c r="AW2" s="97" t="n"/>
      <c r="AX2" s="97" t="n"/>
      <c r="AY2" s="97" t="n"/>
    </row>
    <row r="3" s="135">
      <c r="A3" t="inlineStr">
        <is>
          <t>1919-02</t>
        </is>
      </c>
      <c r="B3" s="2" t="n">
        <v>6972</v>
      </c>
      <c r="C3" s="96" t="n">
        <v>3</v>
      </c>
      <c r="D3" s="2" t="n"/>
      <c r="E3" s="2">
        <f>B3</f>
        <v/>
      </c>
      <c r="F3" s="3">
        <f>B3</f>
        <v/>
      </c>
      <c r="G3" s="96" t="n">
        <v>1</v>
      </c>
      <c r="H3" s="97" t="n"/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7" t="n"/>
      <c r="U3" s="97" t="n"/>
      <c r="V3" s="97" t="n"/>
      <c r="W3" s="97" t="n"/>
      <c r="X3" s="97" t="n"/>
      <c r="Y3" s="97" t="n"/>
      <c r="Z3" s="97" t="n"/>
      <c r="AA3" s="97" t="n"/>
      <c r="AB3" s="97" t="n"/>
      <c r="AC3" s="97" t="n"/>
      <c r="AD3" s="97" t="n"/>
      <c r="AE3" s="97" t="n"/>
      <c r="AF3" s="97" t="n"/>
      <c r="AG3" s="97" t="n"/>
      <c r="AH3" s="97" t="n"/>
      <c r="AI3" s="97" t="n"/>
      <c r="AJ3" s="97" t="n"/>
      <c r="AK3" s="97" t="n"/>
      <c r="AL3" s="97" t="n"/>
      <c r="AM3" s="97" t="n"/>
      <c r="AN3" s="97" t="n"/>
      <c r="AO3" s="97" t="n">
        <v>4.601609</v>
      </c>
      <c r="AP3" s="97" t="n"/>
      <c r="AQ3" s="97" t="n"/>
      <c r="AR3" s="97" t="n"/>
      <c r="AS3" s="97" t="n"/>
      <c r="AT3" s="97" t="n"/>
      <c r="AU3" s="97" t="n"/>
      <c r="AV3" s="97" t="n"/>
      <c r="AW3" s="97" t="n"/>
      <c r="AX3" s="97" t="n"/>
      <c r="AY3" s="97" t="n"/>
    </row>
    <row r="4" s="135">
      <c r="A4" t="inlineStr">
        <is>
          <t>1919-03</t>
        </is>
      </c>
      <c r="B4" s="2" t="n">
        <v>7000</v>
      </c>
      <c r="C4" s="96" t="n">
        <v>4</v>
      </c>
      <c r="D4" s="2" t="n"/>
      <c r="E4" s="2">
        <f>B4</f>
        <v/>
      </c>
      <c r="F4" s="3">
        <f>B4</f>
        <v/>
      </c>
      <c r="G4" s="96" t="n">
        <v>2</v>
      </c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>
        <v>4.468675</v>
      </c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</row>
    <row r="5" s="135">
      <c r="A5" t="inlineStr">
        <is>
          <t>1919-04</t>
        </is>
      </c>
      <c r="B5" s="2" t="n">
        <v>7031</v>
      </c>
      <c r="C5" s="96" t="n">
        <v>5</v>
      </c>
      <c r="D5" s="2" t="n"/>
      <c r="E5" s="2">
        <f>B5</f>
        <v/>
      </c>
      <c r="F5" s="3">
        <f>B5</f>
        <v/>
      </c>
      <c r="G5" s="96" t="n">
        <v>3</v>
      </c>
      <c r="H5" s="97" t="n"/>
      <c r="I5" s="97" t="n"/>
      <c r="J5" s="97" t="n"/>
      <c r="K5" s="97" t="n"/>
      <c r="L5" s="97" t="n"/>
      <c r="M5" s="97" t="n"/>
      <c r="N5" s="97" t="n"/>
      <c r="O5" s="97" t="n"/>
      <c r="P5" s="97" t="n"/>
      <c r="Q5" s="97" t="n"/>
      <c r="R5" s="97" t="n"/>
      <c r="S5" s="97" t="n"/>
      <c r="T5" s="97" t="n"/>
      <c r="U5" s="97" t="n"/>
      <c r="V5" s="97" t="n"/>
      <c r="W5" s="97" t="n"/>
      <c r="X5" s="97" t="n"/>
      <c r="Y5" s="97" t="n"/>
      <c r="Z5" s="97" t="n"/>
      <c r="AA5" s="97" t="n"/>
      <c r="AB5" s="97" t="n"/>
      <c r="AC5" s="97" t="n"/>
      <c r="AD5" s="97" t="n"/>
      <c r="AE5" s="97" t="n"/>
      <c r="AF5" s="97" t="n"/>
      <c r="AG5" s="97" t="n"/>
      <c r="AH5" s="97" t="n"/>
      <c r="AI5" s="97" t="n"/>
      <c r="AJ5" s="97" t="n"/>
      <c r="AK5" s="97" t="n"/>
      <c r="AL5" s="97" t="n"/>
      <c r="AM5" s="97" t="n"/>
      <c r="AN5" s="97" t="n"/>
      <c r="AO5" s="97" t="n">
        <v>4.548493</v>
      </c>
      <c r="AP5" s="97" t="n"/>
      <c r="AQ5" s="97" t="n"/>
      <c r="AR5" s="97" t="n"/>
      <c r="AS5" s="97" t="n"/>
      <c r="AT5" s="97" t="n"/>
      <c r="AU5" s="97" t="n"/>
      <c r="AV5" s="97" t="n"/>
      <c r="AW5" s="97" t="n"/>
      <c r="AX5" s="97" t="n"/>
      <c r="AY5" s="97" t="n"/>
    </row>
    <row r="6" s="135">
      <c r="A6" t="inlineStr">
        <is>
          <t>1919-05</t>
        </is>
      </c>
      <c r="B6" s="2" t="n">
        <v>7061</v>
      </c>
      <c r="C6" s="96" t="n">
        <v>6</v>
      </c>
      <c r="D6" s="2" t="n"/>
      <c r="E6" s="2">
        <f>B6</f>
        <v/>
      </c>
      <c r="F6" s="3">
        <f>B6</f>
        <v/>
      </c>
      <c r="G6" s="96" t="n">
        <v>4</v>
      </c>
      <c r="H6" s="97" t="n"/>
      <c r="I6" s="97" t="n"/>
      <c r="J6" s="97" t="n"/>
      <c r="K6" s="97" t="n"/>
      <c r="L6" s="97" t="n"/>
      <c r="M6" s="97" t="n"/>
      <c r="N6" s="97" t="n"/>
      <c r="O6" s="97" t="n"/>
      <c r="P6" s="97" t="n"/>
      <c r="Q6" s="97" t="n"/>
      <c r="R6" s="97" t="n"/>
      <c r="S6" s="97" t="n"/>
      <c r="T6" s="97" t="n"/>
      <c r="U6" s="97" t="n"/>
      <c r="V6" s="97" t="n"/>
      <c r="W6" s="97" t="n"/>
      <c r="X6" s="97" t="n"/>
      <c r="Y6" s="97" t="n"/>
      <c r="Z6" s="97" t="n"/>
      <c r="AA6" s="97" t="n"/>
      <c r="AB6" s="97" t="n"/>
      <c r="AC6" s="97" t="n"/>
      <c r="AD6" s="97" t="n"/>
      <c r="AE6" s="97" t="n"/>
      <c r="AF6" s="97" t="n"/>
      <c r="AG6" s="97" t="n"/>
      <c r="AH6" s="97" t="n"/>
      <c r="AI6" s="97" t="n"/>
      <c r="AJ6" s="97" t="n"/>
      <c r="AK6" s="97" t="n"/>
      <c r="AL6" s="97" t="n"/>
      <c r="AM6" s="97" t="n"/>
      <c r="AN6" s="97" t="n"/>
      <c r="AO6" s="97" t="n">
        <v>4.575099</v>
      </c>
      <c r="AP6" s="97" t="n"/>
      <c r="AQ6" s="97" t="n"/>
      <c r="AR6" s="97" t="n"/>
      <c r="AS6" s="97" t="n"/>
      <c r="AT6" s="97" t="n"/>
      <c r="AU6" s="97" t="n"/>
      <c r="AV6" s="97" t="n"/>
      <c r="AW6" s="97" t="n"/>
      <c r="AX6" s="97" t="n"/>
      <c r="AY6" s="97" t="n"/>
    </row>
    <row r="7" s="135">
      <c r="A7" t="inlineStr">
        <is>
          <t>1919-06</t>
        </is>
      </c>
      <c r="B7" s="2" t="n">
        <v>7092</v>
      </c>
      <c r="C7" s="96" t="n">
        <v>7</v>
      </c>
      <c r="D7" s="2" t="n"/>
      <c r="E7" s="2">
        <f>B7</f>
        <v/>
      </c>
      <c r="F7" s="3">
        <f>B7</f>
        <v/>
      </c>
      <c r="G7" s="96" t="n">
        <v>5</v>
      </c>
      <c r="H7" s="97" t="n"/>
      <c r="I7" s="97" t="n"/>
      <c r="J7" s="97" t="n"/>
      <c r="K7" s="97" t="n"/>
      <c r="L7" s="97" t="n"/>
      <c r="M7" s="97" t="n"/>
      <c r="N7" s="97" t="n"/>
      <c r="O7" s="97" t="n"/>
      <c r="P7" s="97" t="n"/>
      <c r="Q7" s="97" t="n"/>
      <c r="R7" s="97" t="n"/>
      <c r="S7" s="97" t="n"/>
      <c r="T7" s="97" t="n"/>
      <c r="U7" s="97" t="n"/>
      <c r="V7" s="97" t="n"/>
      <c r="W7" s="97" t="n"/>
      <c r="X7" s="97" t="n"/>
      <c r="Y7" s="97" t="n"/>
      <c r="Z7" s="97" t="n"/>
      <c r="AA7" s="97" t="n"/>
      <c r="AB7" s="97" t="n"/>
      <c r="AC7" s="97" t="n"/>
      <c r="AD7" s="97" t="n"/>
      <c r="AE7" s="97" t="n"/>
      <c r="AF7" s="97" t="n"/>
      <c r="AG7" s="97" t="n"/>
      <c r="AH7" s="97" t="n"/>
      <c r="AI7" s="97" t="n"/>
      <c r="AJ7" s="97" t="n"/>
      <c r="AK7" s="97" t="n"/>
      <c r="AL7" s="97" t="n"/>
      <c r="AM7" s="97" t="n"/>
      <c r="AN7" s="97" t="n"/>
      <c r="AO7" s="97" t="n">
        <v>4.86767</v>
      </c>
      <c r="AP7" s="97" t="n"/>
      <c r="AQ7" s="97" t="n"/>
      <c r="AR7" s="97" t="n"/>
      <c r="AS7" s="97" t="n"/>
      <c r="AT7" s="97" t="n"/>
      <c r="AU7" s="97" t="n"/>
      <c r="AV7" s="97" t="n"/>
      <c r="AW7" s="97" t="n"/>
      <c r="AX7" s="97" t="n"/>
      <c r="AY7" s="97" t="n"/>
    </row>
    <row r="8" s="135">
      <c r="A8" t="inlineStr">
        <is>
          <t>1919-07</t>
        </is>
      </c>
      <c r="B8" s="2" t="n">
        <v>7122</v>
      </c>
      <c r="C8" s="96" t="n">
        <v>8</v>
      </c>
      <c r="D8" s="2" t="n"/>
      <c r="E8" s="2">
        <f>B8</f>
        <v/>
      </c>
      <c r="F8" s="3">
        <f>B8</f>
        <v/>
      </c>
      <c r="G8" s="96" t="n">
        <v>6</v>
      </c>
      <c r="H8" s="97" t="n"/>
      <c r="I8" s="97" t="n"/>
      <c r="J8" s="97" t="n"/>
      <c r="K8" s="97" t="n"/>
      <c r="L8" s="97" t="n"/>
      <c r="M8" s="97" t="n"/>
      <c r="N8" s="97" t="n"/>
      <c r="O8" s="97" t="n"/>
      <c r="P8" s="97" t="n"/>
      <c r="Q8" s="97" t="n"/>
      <c r="R8" s="97" t="n"/>
      <c r="S8" s="97" t="n"/>
      <c r="T8" s="97" t="n"/>
      <c r="U8" s="97" t="n"/>
      <c r="V8" s="97" t="n"/>
      <c r="W8" s="97" t="n"/>
      <c r="X8" s="97" t="n"/>
      <c r="Y8" s="97" t="n"/>
      <c r="Z8" s="97" t="n"/>
      <c r="AA8" s="97" t="n"/>
      <c r="AB8" s="97" t="n"/>
      <c r="AC8" s="97" t="n"/>
      <c r="AD8" s="97" t="n"/>
      <c r="AE8" s="97" t="n"/>
      <c r="AF8" s="97" t="n"/>
      <c r="AG8" s="97" t="n"/>
      <c r="AH8" s="97" t="n"/>
      <c r="AI8" s="97" t="n"/>
      <c r="AJ8" s="97" t="n"/>
      <c r="AK8" s="97" t="n"/>
      <c r="AL8" s="97" t="n"/>
      <c r="AM8" s="97" t="n"/>
      <c r="AN8" s="97" t="n"/>
      <c r="AO8" s="97" t="n">
        <v>5.160242</v>
      </c>
      <c r="AP8" s="97" t="n"/>
      <c r="AQ8" s="97" t="n"/>
      <c r="AR8" s="97" t="n"/>
      <c r="AS8" s="97" t="n"/>
      <c r="AT8" s="97" t="n"/>
      <c r="AU8" s="97" t="n"/>
      <c r="AV8" s="97" t="n"/>
      <c r="AW8" s="97" t="n"/>
      <c r="AX8" s="97" t="n"/>
      <c r="AY8" s="97" t="n"/>
    </row>
    <row r="9" s="135">
      <c r="A9" t="inlineStr">
        <is>
          <t>1919-08</t>
        </is>
      </c>
      <c r="B9" s="2" t="n">
        <v>7153</v>
      </c>
      <c r="C9" s="96" t="n">
        <v>9</v>
      </c>
      <c r="D9" s="2" t="n"/>
      <c r="E9" s="2">
        <f>B9</f>
        <v/>
      </c>
      <c r="F9" s="3">
        <f>B9</f>
        <v/>
      </c>
      <c r="G9" s="96" t="n">
        <v>7</v>
      </c>
      <c r="H9" s="97" t="n"/>
      <c r="I9" s="97" t="n"/>
      <c r="J9" s="97" t="n"/>
      <c r="K9" s="97" t="n"/>
      <c r="L9" s="97" t="n"/>
      <c r="M9" s="97" t="n"/>
      <c r="N9" s="97" t="n"/>
      <c r="O9" s="97" t="n"/>
      <c r="P9" s="97" t="n"/>
      <c r="Q9" s="97" t="n"/>
      <c r="R9" s="97" t="n"/>
      <c r="S9" s="97" t="n"/>
      <c r="T9" s="97" t="n"/>
      <c r="U9" s="97" t="n"/>
      <c r="V9" s="97" t="n"/>
      <c r="W9" s="97" t="n"/>
      <c r="X9" s="97" t="n"/>
      <c r="Y9" s="97" t="n"/>
      <c r="Z9" s="97" t="n"/>
      <c r="AA9" s="97" t="n"/>
      <c r="AB9" s="97" t="n"/>
      <c r="AC9" s="97" t="n"/>
      <c r="AD9" s="97" t="n"/>
      <c r="AE9" s="97" t="n"/>
      <c r="AF9" s="97" t="n"/>
      <c r="AG9" s="97" t="n"/>
      <c r="AH9" s="97" t="n"/>
      <c r="AI9" s="97" t="n"/>
      <c r="AJ9" s="97" t="n"/>
      <c r="AK9" s="97" t="n"/>
      <c r="AL9" s="97" t="n"/>
      <c r="AM9" s="97" t="n"/>
      <c r="AN9" s="97" t="n"/>
      <c r="AO9" s="97" t="n">
        <v>5.24006</v>
      </c>
      <c r="AP9" s="97" t="n"/>
      <c r="AQ9" s="97" t="n"/>
      <c r="AR9" s="97" t="n"/>
      <c r="AS9" s="97" t="n"/>
      <c r="AT9" s="97" t="n"/>
      <c r="AU9" s="97" t="n"/>
      <c r="AV9" s="97" t="n"/>
      <c r="AW9" s="97" t="n"/>
      <c r="AX9" s="97" t="n"/>
      <c r="AY9" s="97" t="n"/>
    </row>
    <row r="10" s="135">
      <c r="A10" t="inlineStr">
        <is>
          <t>1919-09</t>
        </is>
      </c>
      <c r="B10" s="2" t="n">
        <v>7184</v>
      </c>
      <c r="C10" s="96" t="n">
        <v>10</v>
      </c>
      <c r="D10" s="2" t="n"/>
      <c r="E10" s="2">
        <f>B10</f>
        <v/>
      </c>
      <c r="F10" s="3">
        <f>B10</f>
        <v/>
      </c>
      <c r="G10" s="96" t="n">
        <v>8</v>
      </c>
      <c r="H10" s="97" t="n"/>
      <c r="I10" s="97" t="n"/>
      <c r="J10" s="97" t="n"/>
      <c r="K10" s="97" t="n"/>
      <c r="L10" s="97" t="n"/>
      <c r="M10" s="97" t="n"/>
      <c r="N10" s="97" t="n"/>
      <c r="O10" s="97" t="n"/>
      <c r="P10" s="97" t="n"/>
      <c r="Q10" s="97" t="n"/>
      <c r="R10" s="97" t="n"/>
      <c r="S10" s="97" t="n"/>
      <c r="T10" s="97" t="n"/>
      <c r="U10" s="97" t="n"/>
      <c r="V10" s="97" t="n"/>
      <c r="W10" s="97" t="n"/>
      <c r="X10" s="97" t="n"/>
      <c r="Y10" s="97" t="n"/>
      <c r="Z10" s="97" t="n"/>
      <c r="AA10" s="97" t="n"/>
      <c r="AB10" s="97" t="n"/>
      <c r="AC10" s="97" t="n"/>
      <c r="AD10" s="97" t="n"/>
      <c r="AE10" s="97" t="n"/>
      <c r="AF10" s="97" t="n"/>
      <c r="AG10" s="97" t="n"/>
      <c r="AH10" s="97" t="n"/>
      <c r="AI10" s="97" t="n"/>
      <c r="AJ10" s="97" t="n"/>
      <c r="AK10" s="97" t="n"/>
      <c r="AL10" s="97" t="n"/>
      <c r="AM10" s="97" t="n"/>
      <c r="AN10" s="97" t="n"/>
      <c r="AO10" s="97" t="n">
        <v>5.133636</v>
      </c>
      <c r="AP10" s="97" t="n"/>
      <c r="AQ10" s="97" t="n"/>
      <c r="AR10" s="97" t="n"/>
      <c r="AS10" s="97" t="n"/>
      <c r="AT10" s="97" t="n"/>
      <c r="AU10" s="97" t="n"/>
      <c r="AV10" s="97" t="n"/>
      <c r="AW10" s="97" t="n"/>
      <c r="AX10" s="97" t="n"/>
      <c r="AY10" s="97" t="n"/>
    </row>
    <row r="11" s="135">
      <c r="A11" t="inlineStr">
        <is>
          <t>1919-10</t>
        </is>
      </c>
      <c r="B11" s="2" t="n">
        <v>7214</v>
      </c>
      <c r="C11" s="96" t="n">
        <v>11</v>
      </c>
      <c r="D11" s="2" t="n"/>
      <c r="E11" s="2">
        <f>B11</f>
        <v/>
      </c>
      <c r="F11" s="3">
        <f>B11</f>
        <v/>
      </c>
      <c r="G11" s="96" t="n">
        <v>9</v>
      </c>
      <c r="H11" s="97" t="n"/>
      <c r="I11" s="97" t="n"/>
      <c r="J11" s="97" t="n"/>
      <c r="K11" s="97" t="n"/>
      <c r="L11" s="97" t="n"/>
      <c r="M11" s="97" t="n"/>
      <c r="N11" s="97" t="n"/>
      <c r="O11" s="97" t="n"/>
      <c r="P11" s="97" t="n"/>
      <c r="Q11" s="97" t="n"/>
      <c r="R11" s="97" t="n"/>
      <c r="S11" s="97" t="n"/>
      <c r="T11" s="97" t="n"/>
      <c r="U11" s="97" t="n"/>
      <c r="V11" s="97" t="n"/>
      <c r="W11" s="97" t="n"/>
      <c r="X11" s="97" t="n"/>
      <c r="Y11" s="97" t="n"/>
      <c r="Z11" s="97" t="n"/>
      <c r="AA11" s="97" t="n"/>
      <c r="AB11" s="97" t="n"/>
      <c r="AC11" s="97" t="n"/>
      <c r="AD11" s="97" t="n"/>
      <c r="AE11" s="97" t="n"/>
      <c r="AF11" s="97" t="n"/>
      <c r="AG11" s="97" t="n"/>
      <c r="AH11" s="97" t="n"/>
      <c r="AI11" s="97" t="n"/>
      <c r="AJ11" s="97" t="n"/>
      <c r="AK11" s="97" t="n"/>
      <c r="AL11" s="97" t="n"/>
      <c r="AM11" s="97" t="n"/>
      <c r="AN11" s="97" t="n"/>
      <c r="AO11" s="97" t="n">
        <v>5.080423</v>
      </c>
      <c r="AP11" s="97" t="n"/>
      <c r="AQ11" s="97" t="n"/>
      <c r="AR11" s="97" t="n"/>
      <c r="AS11" s="97" t="n"/>
      <c r="AT11" s="97" t="n"/>
      <c r="AU11" s="97" t="n"/>
      <c r="AV11" s="97" t="n"/>
      <c r="AW11" s="97" t="n"/>
      <c r="AX11" s="97" t="n"/>
      <c r="AY11" s="97" t="n"/>
    </row>
    <row r="12" s="135">
      <c r="A12" t="inlineStr">
        <is>
          <t>1919-11</t>
        </is>
      </c>
      <c r="B12" s="2" t="n">
        <v>7245</v>
      </c>
      <c r="C12" s="96" t="n">
        <v>12</v>
      </c>
      <c r="D12" s="2" t="n"/>
      <c r="E12" s="2">
        <f>B12</f>
        <v/>
      </c>
      <c r="F12" s="3">
        <f>B12</f>
        <v/>
      </c>
      <c r="G12" s="96" t="n">
        <v>10</v>
      </c>
      <c r="H12" s="97" t="n"/>
      <c r="I12" s="97" t="n"/>
      <c r="J12" s="97" t="n"/>
      <c r="K12" s="97" t="n"/>
      <c r="L12" s="97" t="n"/>
      <c r="M12" s="97" t="n"/>
      <c r="N12" s="97" t="n"/>
      <c r="O12" s="97" t="n"/>
      <c r="P12" s="97" t="n"/>
      <c r="Q12" s="97" t="n"/>
      <c r="R12" s="97" t="n"/>
      <c r="S12" s="97" t="n"/>
      <c r="T12" s="97" t="n"/>
      <c r="U12" s="97" t="n"/>
      <c r="V12" s="97" t="n"/>
      <c r="W12" s="97" t="n"/>
      <c r="X12" s="97" t="n"/>
      <c r="Y12" s="97" t="n"/>
      <c r="Z12" s="97" t="n"/>
      <c r="AA12" s="97" t="n"/>
      <c r="AB12" s="97" t="n"/>
      <c r="AC12" s="97" t="n"/>
      <c r="AD12" s="97" t="n"/>
      <c r="AE12" s="97" t="n"/>
      <c r="AF12" s="97" t="n"/>
      <c r="AG12" s="97" t="n"/>
      <c r="AH12" s="97" t="n"/>
      <c r="AI12" s="97" t="n"/>
      <c r="AJ12" s="97" t="n"/>
      <c r="AK12" s="97" t="n"/>
      <c r="AL12" s="97" t="n"/>
      <c r="AM12" s="97" t="n"/>
      <c r="AN12" s="97" t="n"/>
      <c r="AO12" s="97" t="n">
        <v>5.000605</v>
      </c>
      <c r="AP12" s="97" t="n"/>
      <c r="AQ12" s="97" t="n"/>
      <c r="AR12" s="97" t="n"/>
      <c r="AS12" s="97" t="n"/>
      <c r="AT12" s="97" t="n"/>
      <c r="AU12" s="97" t="n"/>
      <c r="AV12" s="97" t="n"/>
      <c r="AW12" s="97" t="n"/>
      <c r="AX12" s="97" t="n"/>
      <c r="AY12" s="97" t="n"/>
    </row>
    <row r="13" s="135">
      <c r="A13" t="inlineStr">
        <is>
          <t>1919-12</t>
        </is>
      </c>
      <c r="B13" s="2" t="n">
        <v>7275</v>
      </c>
      <c r="C13" s="96" t="n">
        <v>13</v>
      </c>
      <c r="D13" s="2" t="n"/>
      <c r="E13" s="2">
        <f>B13</f>
        <v/>
      </c>
      <c r="F13" s="3">
        <f>B13</f>
        <v/>
      </c>
      <c r="G13" s="96" t="n">
        <v>11</v>
      </c>
      <c r="H13" s="97" t="n"/>
      <c r="I13" s="97" t="n"/>
      <c r="J13" s="97" t="n"/>
      <c r="K13" s="97" t="n"/>
      <c r="L13" s="97" t="n"/>
      <c r="M13" s="97" t="n"/>
      <c r="N13" s="97" t="n"/>
      <c r="O13" s="97" t="n"/>
      <c r="P13" s="97" t="n"/>
      <c r="Q13" s="97" t="n"/>
      <c r="R13" s="97" t="n"/>
      <c r="S13" s="97" t="n"/>
      <c r="T13" s="97" t="n"/>
      <c r="U13" s="97" t="n"/>
      <c r="V13" s="97" t="n"/>
      <c r="W13" s="97" t="n"/>
      <c r="X13" s="97" t="n"/>
      <c r="Y13" s="97" t="n"/>
      <c r="Z13" s="97" t="n"/>
      <c r="AA13" s="97" t="n"/>
      <c r="AB13" s="97" t="n"/>
      <c r="AC13" s="97" t="n"/>
      <c r="AD13" s="97" t="n"/>
      <c r="AE13" s="97" t="n"/>
      <c r="AF13" s="97" t="n"/>
      <c r="AG13" s="97" t="n"/>
      <c r="AH13" s="97" t="n"/>
      <c r="AI13" s="97" t="n"/>
      <c r="AJ13" s="97" t="n"/>
      <c r="AK13" s="97" t="n"/>
      <c r="AL13" s="97" t="n"/>
      <c r="AM13" s="97" t="n"/>
      <c r="AN13" s="97" t="n"/>
      <c r="AO13" s="97" t="n">
        <v>5.080423</v>
      </c>
      <c r="AP13" s="97" t="n"/>
      <c r="AQ13" s="97" t="n"/>
      <c r="AR13" s="97" t="n"/>
      <c r="AS13" s="97" t="n"/>
      <c r="AT13" s="97" t="n"/>
      <c r="AU13" s="97" t="n"/>
      <c r="AV13" s="97" t="n"/>
      <c r="AW13" s="97" t="n"/>
      <c r="AX13" s="97" t="n"/>
      <c r="AY13" s="97" t="n"/>
    </row>
    <row r="14" s="135">
      <c r="A14" t="inlineStr">
        <is>
          <t>1920-01</t>
        </is>
      </c>
      <c r="B14" s="2" t="n">
        <v>7306</v>
      </c>
      <c r="C14" s="96" t="n">
        <v>14</v>
      </c>
      <c r="D14" s="2" t="n"/>
      <c r="E14" s="2">
        <f>B14</f>
        <v/>
      </c>
      <c r="F14" s="3">
        <f>B14</f>
        <v/>
      </c>
      <c r="G14" s="96" t="n">
        <v>12</v>
      </c>
      <c r="H14" s="97" t="n"/>
      <c r="I14" s="97" t="n"/>
      <c r="J14" s="97" t="n"/>
      <c r="K14" s="97" t="n"/>
      <c r="L14" s="97" t="n"/>
      <c r="M14" s="97" t="n"/>
      <c r="N14" s="97" t="n"/>
      <c r="O14" s="97" t="n"/>
      <c r="P14" s="97" t="n"/>
      <c r="Q14" s="97" t="n"/>
      <c r="R14" s="97" t="n"/>
      <c r="S14" s="97" t="n"/>
      <c r="T14" s="97" t="n"/>
      <c r="U14" s="97" t="n"/>
      <c r="V14" s="97" t="n"/>
      <c r="W14" s="97" t="n"/>
      <c r="X14" s="97" t="n"/>
      <c r="Y14" s="97" t="n"/>
      <c r="Z14" s="97" t="n"/>
      <c r="AA14" s="97" t="n"/>
      <c r="AB14" s="97" t="n"/>
      <c r="AC14" s="97" t="n"/>
      <c r="AD14" s="97" t="n"/>
      <c r="AE14" s="97" t="n"/>
      <c r="AF14" s="97" t="n"/>
      <c r="AG14" s="97" t="n"/>
      <c r="AH14" s="97" t="n"/>
      <c r="AI14" s="97" t="n"/>
      <c r="AJ14" s="97" t="n"/>
      <c r="AK14" s="97" t="n"/>
      <c r="AL14" s="97" t="n"/>
      <c r="AM14" s="97" t="n"/>
      <c r="AN14" s="97" t="n"/>
      <c r="AO14" s="97" t="n">
        <v>5.559237</v>
      </c>
      <c r="AP14" s="97" t="n"/>
      <c r="AQ14" s="97" t="n"/>
      <c r="AR14" s="97" t="n"/>
      <c r="AS14" s="97" t="n"/>
      <c r="AT14" s="97" t="n"/>
      <c r="AU14" s="97" t="n"/>
      <c r="AV14" s="97" t="n"/>
      <c r="AW14" s="97" t="n"/>
      <c r="AX14" s="97" t="n"/>
      <c r="AY14" s="97" t="n"/>
    </row>
    <row r="15" s="135">
      <c r="A15" t="inlineStr">
        <is>
          <t>1920-02</t>
        </is>
      </c>
      <c r="B15" s="2" t="n">
        <v>7337</v>
      </c>
      <c r="C15" s="96" t="n">
        <v>15</v>
      </c>
      <c r="D15" s="2" t="n"/>
      <c r="E15" s="2">
        <f>B15</f>
        <v/>
      </c>
      <c r="F15" s="3">
        <f>B15</f>
        <v/>
      </c>
      <c r="G15" s="96" t="n">
        <v>13</v>
      </c>
      <c r="H15" s="97" t="n"/>
      <c r="I15" s="97" t="n"/>
      <c r="J15" s="97" t="n"/>
      <c r="K15" s="97" t="n"/>
      <c r="L15" s="97" t="n"/>
      <c r="M15" s="97" t="n"/>
      <c r="N15" s="97" t="n"/>
      <c r="O15" s="97" t="n"/>
      <c r="P15" s="97" t="n"/>
      <c r="Q15" s="97" t="n"/>
      <c r="R15" s="97" t="n"/>
      <c r="S15" s="97" t="n"/>
      <c r="T15" s="97" t="n"/>
      <c r="U15" s="97" t="n"/>
      <c r="V15" s="97" t="n"/>
      <c r="W15" s="97" t="n"/>
      <c r="X15" s="97" t="n"/>
      <c r="Y15" s="97" t="n"/>
      <c r="Z15" s="97" t="n"/>
      <c r="AA15" s="97" t="n"/>
      <c r="AB15" s="97" t="n"/>
      <c r="AC15" s="97" t="n"/>
      <c r="AD15" s="97" t="n"/>
      <c r="AE15" s="97" t="n"/>
      <c r="AF15" s="97" t="n"/>
      <c r="AG15" s="97" t="n"/>
      <c r="AH15" s="97" t="n"/>
      <c r="AI15" s="97" t="n"/>
      <c r="AJ15" s="97" t="n"/>
      <c r="AK15" s="97" t="n"/>
      <c r="AL15" s="97" t="n"/>
      <c r="AM15" s="97" t="n"/>
      <c r="AN15" s="97" t="n"/>
      <c r="AO15" s="97" t="n">
        <v>5.559237</v>
      </c>
      <c r="AP15" s="97" t="n"/>
      <c r="AQ15" s="97" t="n"/>
      <c r="AR15" s="97" t="n"/>
      <c r="AS15" s="97" t="n"/>
      <c r="AT15" s="97" t="n"/>
      <c r="AU15" s="97" t="n"/>
      <c r="AV15" s="97" t="n"/>
      <c r="AW15" s="97" t="n"/>
      <c r="AX15" s="97" t="n"/>
      <c r="AY15" s="97" t="n"/>
    </row>
    <row r="16" s="135">
      <c r="A16" t="inlineStr">
        <is>
          <t>1920-03</t>
        </is>
      </c>
      <c r="B16" s="2" t="n">
        <v>7366</v>
      </c>
      <c r="C16" s="96" t="n">
        <v>16</v>
      </c>
      <c r="D16" s="2" t="n"/>
      <c r="E16" s="2">
        <f>B16</f>
        <v/>
      </c>
      <c r="F16" s="3">
        <f>B16</f>
        <v/>
      </c>
      <c r="G16" s="96" t="n">
        <v>14</v>
      </c>
      <c r="H16" s="97" t="n"/>
      <c r="I16" s="97" t="n"/>
      <c r="J16" s="97" t="n"/>
      <c r="K16" s="97" t="n"/>
      <c r="L16" s="97" t="n"/>
      <c r="M16" s="97" t="n"/>
      <c r="N16" s="97" t="n"/>
      <c r="O16" s="97" t="n"/>
      <c r="P16" s="97" t="n"/>
      <c r="Q16" s="97" t="n"/>
      <c r="R16" s="97" t="n"/>
      <c r="S16" s="97" t="n"/>
      <c r="T16" s="97" t="n"/>
      <c r="U16" s="97" t="n"/>
      <c r="V16" s="97" t="n"/>
      <c r="W16" s="97" t="n"/>
      <c r="X16" s="97" t="n"/>
      <c r="Y16" s="97" t="n"/>
      <c r="Z16" s="97" t="n"/>
      <c r="AA16" s="97" t="n"/>
      <c r="AB16" s="97" t="n"/>
      <c r="AC16" s="97" t="n"/>
      <c r="AD16" s="97" t="n"/>
      <c r="AE16" s="97" t="n"/>
      <c r="AF16" s="97" t="n"/>
      <c r="AG16" s="97" t="n"/>
      <c r="AH16" s="97" t="n"/>
      <c r="AI16" s="97" t="n"/>
      <c r="AJ16" s="97" t="n"/>
      <c r="AK16" s="97" t="n"/>
      <c r="AL16" s="97" t="n"/>
      <c r="AM16" s="97" t="n"/>
      <c r="AN16" s="97" t="n"/>
      <c r="AO16" s="97" t="n">
        <v>5.452813</v>
      </c>
      <c r="AP16" s="97" t="n"/>
      <c r="AQ16" s="97" t="n"/>
      <c r="AR16" s="97" t="n"/>
      <c r="AS16" s="97" t="n"/>
      <c r="AT16" s="97" t="n"/>
      <c r="AU16" s="97" t="n"/>
      <c r="AV16" s="97" t="n"/>
      <c r="AW16" s="97" t="n"/>
      <c r="AX16" s="97" t="n"/>
      <c r="AY16" s="97" t="n"/>
    </row>
    <row r="17" s="135">
      <c r="A17" t="inlineStr">
        <is>
          <t>1920-04</t>
        </is>
      </c>
      <c r="B17" s="2" t="n">
        <v>7397</v>
      </c>
      <c r="C17" s="96" t="n">
        <v>17</v>
      </c>
      <c r="D17" s="2" t="n"/>
      <c r="E17" s="2">
        <f>B17</f>
        <v/>
      </c>
      <c r="F17" s="3">
        <f>B17</f>
        <v/>
      </c>
      <c r="G17" s="96" t="n">
        <v>15</v>
      </c>
      <c r="H17" s="97" t="n"/>
      <c r="I17" s="97" t="n"/>
      <c r="J17" s="97" t="n"/>
      <c r="K17" s="97" t="n"/>
      <c r="L17" s="97" t="n"/>
      <c r="M17" s="97" t="n"/>
      <c r="N17" s="97" t="n"/>
      <c r="O17" s="97" t="n"/>
      <c r="P17" s="97" t="n"/>
      <c r="Q17" s="97" t="n"/>
      <c r="R17" s="97" t="n"/>
      <c r="S17" s="97" t="n"/>
      <c r="T17" s="97" t="n"/>
      <c r="U17" s="97" t="n"/>
      <c r="V17" s="97" t="n"/>
      <c r="W17" s="97" t="n"/>
      <c r="X17" s="97" t="n"/>
      <c r="Y17" s="97" t="n"/>
      <c r="Z17" s="97" t="n"/>
      <c r="AA17" s="97" t="n"/>
      <c r="AB17" s="97" t="n"/>
      <c r="AC17" s="97" t="n"/>
      <c r="AD17" s="97" t="n"/>
      <c r="AE17" s="97" t="n"/>
      <c r="AF17" s="97" t="n"/>
      <c r="AG17" s="97" t="n"/>
      <c r="AH17" s="97" t="n"/>
      <c r="AI17" s="97" t="n"/>
      <c r="AJ17" s="97" t="n"/>
      <c r="AK17" s="97" t="n"/>
      <c r="AL17" s="97" t="n"/>
      <c r="AM17" s="97" t="n"/>
      <c r="AN17" s="97" t="n"/>
      <c r="AO17" s="97" t="n">
        <v>5.160242</v>
      </c>
      <c r="AP17" s="97" t="n"/>
      <c r="AQ17" s="97" t="n"/>
      <c r="AR17" s="97" t="n"/>
      <c r="AS17" s="97" t="n"/>
      <c r="AT17" s="97" t="n"/>
      <c r="AU17" s="97" t="n"/>
      <c r="AV17" s="97" t="n"/>
      <c r="AW17" s="97" t="n"/>
      <c r="AX17" s="97" t="n"/>
      <c r="AY17" s="97" t="n"/>
    </row>
    <row r="18" s="135">
      <c r="A18" t="inlineStr">
        <is>
          <t>1920-05</t>
        </is>
      </c>
      <c r="B18" s="2" t="n">
        <v>7427</v>
      </c>
      <c r="C18" s="96" t="n">
        <v>18</v>
      </c>
      <c r="D18" s="2" t="n"/>
      <c r="E18" s="2">
        <f>B18</f>
        <v/>
      </c>
      <c r="F18" s="3">
        <f>B18</f>
        <v/>
      </c>
      <c r="G18" s="96" t="n">
        <v>16</v>
      </c>
      <c r="H18" s="97" t="n"/>
      <c r="I18" s="97" t="n"/>
      <c r="J18" s="97" t="n"/>
      <c r="K18" s="97" t="n"/>
      <c r="L18" s="97" t="n"/>
      <c r="M18" s="97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  <c r="W18" s="97" t="n"/>
      <c r="X18" s="97" t="n"/>
      <c r="Y18" s="97" t="n"/>
      <c r="Z18" s="97" t="n"/>
      <c r="AA18" s="97" t="n"/>
      <c r="AB18" s="97" t="n"/>
      <c r="AC18" s="97" t="n"/>
      <c r="AD18" s="97" t="n"/>
      <c r="AE18" s="97" t="n"/>
      <c r="AF18" s="97" t="n"/>
      <c r="AG18" s="97" t="n"/>
      <c r="AH18" s="97" t="n"/>
      <c r="AI18" s="97" t="n"/>
      <c r="AJ18" s="97" t="n"/>
      <c r="AK18" s="97" t="n"/>
      <c r="AL18" s="97" t="n"/>
      <c r="AM18" s="97" t="n"/>
      <c r="AN18" s="97" t="n"/>
      <c r="AO18" s="97" t="n">
        <v>5.293272</v>
      </c>
      <c r="AP18" s="97" t="n"/>
      <c r="AQ18" s="97" t="n"/>
      <c r="AR18" s="97" t="n"/>
      <c r="AS18" s="97" t="n"/>
      <c r="AT18" s="97" t="n"/>
      <c r="AU18" s="97" t="n"/>
      <c r="AV18" s="97" t="n"/>
      <c r="AW18" s="97" t="n"/>
      <c r="AX18" s="97" t="n"/>
      <c r="AY18" s="97" t="n"/>
    </row>
    <row r="19" s="135">
      <c r="A19" t="inlineStr">
        <is>
          <t>1920-06</t>
        </is>
      </c>
      <c r="B19" s="2" t="n">
        <v>7458</v>
      </c>
      <c r="C19" s="96" t="n">
        <v>19</v>
      </c>
      <c r="D19" s="2" t="n"/>
      <c r="E19" s="2">
        <f>B19</f>
        <v/>
      </c>
      <c r="F19" s="3">
        <f>B19</f>
        <v/>
      </c>
      <c r="G19" s="96" t="n">
        <v>17</v>
      </c>
      <c r="H19" s="97" t="n"/>
      <c r="I19" s="97" t="n"/>
      <c r="J19" s="97" t="n"/>
      <c r="K19" s="97" t="n"/>
      <c r="L19" s="97" t="n"/>
      <c r="M19" s="97" t="n"/>
      <c r="N19" s="97" t="n"/>
      <c r="O19" s="97" t="n"/>
      <c r="P19" s="97" t="n"/>
      <c r="Q19" s="97" t="n"/>
      <c r="R19" s="97" t="n"/>
      <c r="S19" s="97" t="n"/>
      <c r="T19" s="97" t="n"/>
      <c r="U19" s="97" t="n"/>
      <c r="V19" s="97" t="n"/>
      <c r="W19" s="97" t="n"/>
      <c r="X19" s="97" t="n"/>
      <c r="Y19" s="97" t="n"/>
      <c r="Z19" s="97" t="n"/>
      <c r="AA19" s="97" t="n"/>
      <c r="AB19" s="97" t="n"/>
      <c r="AC19" s="97" t="n"/>
      <c r="AD19" s="97" t="n"/>
      <c r="AE19" s="97" t="n"/>
      <c r="AF19" s="97" t="n"/>
      <c r="AG19" s="97" t="n"/>
      <c r="AH19" s="97" t="n"/>
      <c r="AI19" s="97" t="n"/>
      <c r="AJ19" s="97" t="n"/>
      <c r="AK19" s="97" t="n"/>
      <c r="AL19" s="97" t="n"/>
      <c r="AM19" s="97" t="n"/>
      <c r="AN19" s="97" t="n"/>
      <c r="AO19" s="97" t="n">
        <v>5.346484</v>
      </c>
      <c r="AP19" s="97" t="n"/>
      <c r="AQ19" s="97" t="n"/>
      <c r="AR19" s="97" t="n"/>
      <c r="AS19" s="97" t="n"/>
      <c r="AT19" s="97" t="n"/>
      <c r="AU19" s="97" t="n"/>
      <c r="AV19" s="97" t="n"/>
      <c r="AW19" s="97" t="n"/>
      <c r="AX19" s="97" t="n"/>
      <c r="AY19" s="97" t="n"/>
    </row>
    <row r="20" s="135">
      <c r="A20" t="inlineStr">
        <is>
          <t>1920-07</t>
        </is>
      </c>
      <c r="B20" s="2" t="n">
        <v>7488</v>
      </c>
      <c r="C20" s="96" t="n">
        <v>20</v>
      </c>
      <c r="D20" s="2" t="n"/>
      <c r="E20" s="2">
        <f>B20</f>
        <v/>
      </c>
      <c r="F20" s="3">
        <f>B20</f>
        <v/>
      </c>
      <c r="G20" s="96" t="n">
        <v>18</v>
      </c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97" t="n"/>
      <c r="S20" s="97" t="n"/>
      <c r="T20" s="97" t="n"/>
      <c r="U20" s="97" t="n"/>
      <c r="V20" s="97" t="n"/>
      <c r="W20" s="97" t="n"/>
      <c r="X20" s="97" t="n"/>
      <c r="Y20" s="97" t="n"/>
      <c r="Z20" s="97" t="n"/>
      <c r="AA20" s="97" t="n"/>
      <c r="AB20" s="97" t="n"/>
      <c r="AC20" s="97" t="n"/>
      <c r="AD20" s="97" t="n"/>
      <c r="AE20" s="97" t="n"/>
      <c r="AF20" s="97" t="n"/>
      <c r="AG20" s="97" t="n"/>
      <c r="AH20" s="97" t="n"/>
      <c r="AI20" s="97" t="n"/>
      <c r="AJ20" s="97" t="n"/>
      <c r="AK20" s="97" t="n"/>
      <c r="AL20" s="97" t="n"/>
      <c r="AM20" s="97" t="n"/>
      <c r="AN20" s="97" t="n"/>
      <c r="AO20" s="97" t="n">
        <v>5.213454</v>
      </c>
      <c r="AP20" s="97" t="n"/>
      <c r="AQ20" s="97" t="n"/>
      <c r="AR20" s="97" t="n"/>
      <c r="AS20" s="97" t="n"/>
      <c r="AT20" s="97" t="n"/>
      <c r="AU20" s="97" t="n"/>
      <c r="AV20" s="97" t="n"/>
      <c r="AW20" s="97" t="n"/>
      <c r="AX20" s="97" t="n"/>
      <c r="AY20" s="97" t="n"/>
    </row>
    <row r="21" s="135">
      <c r="A21" t="inlineStr">
        <is>
          <t>1920-08</t>
        </is>
      </c>
      <c r="B21" s="2" t="n">
        <v>7519</v>
      </c>
      <c r="C21" s="96" t="n">
        <v>21</v>
      </c>
      <c r="D21" s="2" t="n"/>
      <c r="E21" s="2">
        <f>B21</f>
        <v/>
      </c>
      <c r="F21" s="3">
        <f>B21</f>
        <v/>
      </c>
      <c r="G21" s="96" t="n">
        <v>19</v>
      </c>
      <c r="H21" s="97" t="n"/>
      <c r="I21" s="97" t="n"/>
      <c r="J21" s="97" t="n"/>
      <c r="K21" s="97" t="n"/>
      <c r="L21" s="97" t="n"/>
      <c r="M21" s="97" t="n"/>
      <c r="N21" s="97" t="n"/>
      <c r="O21" s="97" t="n"/>
      <c r="P21" s="97" t="n"/>
      <c r="Q21" s="97" t="n"/>
      <c r="R21" s="97" t="n"/>
      <c r="S21" s="97" t="n"/>
      <c r="T21" s="97" t="n"/>
      <c r="U21" s="97" t="n"/>
      <c r="V21" s="97" t="n"/>
      <c r="W21" s="97" t="n"/>
      <c r="X21" s="97" t="n"/>
      <c r="Y21" s="97" t="n"/>
      <c r="Z21" s="97" t="n"/>
      <c r="AA21" s="97" t="n"/>
      <c r="AB21" s="97" t="n"/>
      <c r="AC21" s="97" t="n"/>
      <c r="AD21" s="97" t="n"/>
      <c r="AE21" s="97" t="n"/>
      <c r="AF21" s="97" t="n"/>
      <c r="AG21" s="97" t="n"/>
      <c r="AH21" s="97" t="n"/>
      <c r="AI21" s="97" t="n"/>
      <c r="AJ21" s="97" t="n"/>
      <c r="AK21" s="97" t="n"/>
      <c r="AL21" s="97" t="n"/>
      <c r="AM21" s="97" t="n"/>
      <c r="AN21" s="97" t="n"/>
      <c r="AO21" s="97" t="n">
        <v>5.24006</v>
      </c>
      <c r="AP21" s="97" t="n"/>
      <c r="AQ21" s="97" t="n"/>
      <c r="AR21" s="97" t="n"/>
      <c r="AS21" s="97" t="n"/>
      <c r="AT21" s="97" t="n"/>
      <c r="AU21" s="97" t="n"/>
      <c r="AV21" s="97" t="n"/>
      <c r="AW21" s="97" t="n"/>
      <c r="AX21" s="97" t="n"/>
      <c r="AY21" s="97" t="n"/>
    </row>
    <row r="22" s="135">
      <c r="A22" t="inlineStr">
        <is>
          <t>1920-09</t>
        </is>
      </c>
      <c r="B22" s="2" t="n">
        <v>7550</v>
      </c>
      <c r="C22" s="96" t="n">
        <v>22</v>
      </c>
      <c r="D22" s="2" t="n"/>
      <c r="E22" s="2">
        <f>B22</f>
        <v/>
      </c>
      <c r="F22" s="3">
        <f>B22</f>
        <v/>
      </c>
      <c r="G22" s="96" t="n">
        <v>20</v>
      </c>
      <c r="H22" s="97" t="n"/>
      <c r="I22" s="97" t="n"/>
      <c r="J22" s="97" t="n"/>
      <c r="K22" s="97" t="n"/>
      <c r="L22" s="97" t="n"/>
      <c r="M22" s="97" t="n"/>
      <c r="N22" s="97" t="n"/>
      <c r="O22" s="97" t="n"/>
      <c r="P22" s="97" t="n"/>
      <c r="Q22" s="97" t="n"/>
      <c r="R22" s="97" t="n"/>
      <c r="S22" s="97" t="n"/>
      <c r="T22" s="97" t="n"/>
      <c r="U22" s="97" t="n"/>
      <c r="V22" s="97" t="n"/>
      <c r="W22" s="97" t="n"/>
      <c r="X22" s="97" t="n"/>
      <c r="Y22" s="97" t="n"/>
      <c r="Z22" s="97" t="n"/>
      <c r="AA22" s="97" t="n"/>
      <c r="AB22" s="97" t="n"/>
      <c r="AC22" s="97" t="n"/>
      <c r="AD22" s="97" t="n"/>
      <c r="AE22" s="97" t="n"/>
      <c r="AF22" s="97" t="n"/>
      <c r="AG22" s="97" t="n"/>
      <c r="AH22" s="97" t="n"/>
      <c r="AI22" s="97" t="n"/>
      <c r="AJ22" s="97" t="n"/>
      <c r="AK22" s="97" t="n"/>
      <c r="AL22" s="97" t="n"/>
      <c r="AM22" s="97" t="n"/>
      <c r="AN22" s="97" t="n"/>
      <c r="AO22" s="97" t="n">
        <v>5.053817</v>
      </c>
      <c r="AP22" s="97" t="n"/>
      <c r="AQ22" s="97" t="n"/>
      <c r="AR22" s="97" t="n"/>
      <c r="AS22" s="97" t="n"/>
      <c r="AT22" s="97" t="n"/>
      <c r="AU22" s="97" t="n"/>
      <c r="AV22" s="97" t="n"/>
      <c r="AW22" s="97" t="n"/>
      <c r="AX22" s="97" t="n"/>
      <c r="AY22" s="97" t="n"/>
    </row>
    <row r="23" s="135">
      <c r="A23" t="inlineStr">
        <is>
          <t>1920-10</t>
        </is>
      </c>
      <c r="B23" s="2" t="n">
        <v>7580</v>
      </c>
      <c r="C23" s="96" t="n">
        <v>23</v>
      </c>
      <c r="D23" s="2" t="n"/>
      <c r="E23" s="2">
        <f>B23</f>
        <v/>
      </c>
      <c r="F23" s="3">
        <f>B23</f>
        <v/>
      </c>
      <c r="G23" s="96" t="n">
        <v>21</v>
      </c>
      <c r="H23" s="97" t="n"/>
      <c r="I23" s="97" t="n"/>
      <c r="J23" s="97" t="n"/>
      <c r="K23" s="97" t="n"/>
      <c r="L23" s="97" t="n"/>
      <c r="M23" s="97" t="n"/>
      <c r="N23" s="97" t="n"/>
      <c r="O23" s="97" t="n"/>
      <c r="P23" s="97" t="n"/>
      <c r="Q23" s="97" t="n"/>
      <c r="R23" s="97" t="n"/>
      <c r="S23" s="97" t="n"/>
      <c r="T23" s="97" t="n"/>
      <c r="U23" s="97" t="n"/>
      <c r="V23" s="97" t="n"/>
      <c r="W23" s="97" t="n"/>
      <c r="X23" s="97" t="n"/>
      <c r="Y23" s="97" t="n"/>
      <c r="Z23" s="97" t="n"/>
      <c r="AA23" s="97" t="n"/>
      <c r="AB23" s="97" t="n"/>
      <c r="AC23" s="97" t="n"/>
      <c r="AD23" s="97" t="n"/>
      <c r="AE23" s="97" t="n"/>
      <c r="AF23" s="97" t="n"/>
      <c r="AG23" s="97" t="n"/>
      <c r="AH23" s="97" t="n"/>
      <c r="AI23" s="97" t="n"/>
      <c r="AJ23" s="97" t="n"/>
      <c r="AK23" s="97" t="n"/>
      <c r="AL23" s="97" t="n"/>
      <c r="AM23" s="97" t="n"/>
      <c r="AN23" s="97" t="n"/>
      <c r="AO23" s="97" t="n">
        <v>4.841064</v>
      </c>
      <c r="AP23" s="97" t="n"/>
      <c r="AQ23" s="97" t="n"/>
      <c r="AR23" s="97" t="n"/>
      <c r="AS23" s="97" t="n"/>
      <c r="AT23" s="97" t="n"/>
      <c r="AU23" s="97" t="n"/>
      <c r="AV23" s="97" t="n"/>
      <c r="AW23" s="97" t="n"/>
      <c r="AX23" s="97" t="n"/>
      <c r="AY23" s="97" t="n"/>
    </row>
    <row r="24" s="135">
      <c r="A24" t="inlineStr">
        <is>
          <t>1920-11</t>
        </is>
      </c>
      <c r="B24" s="2" t="n">
        <v>7611</v>
      </c>
      <c r="C24" s="96" t="n">
        <v>24</v>
      </c>
      <c r="D24" s="2" t="n"/>
      <c r="E24" s="2">
        <f>B24</f>
        <v/>
      </c>
      <c r="F24" s="3">
        <f>B24</f>
        <v/>
      </c>
      <c r="G24" s="96" t="n">
        <v>22</v>
      </c>
      <c r="H24" s="97" t="n"/>
      <c r="I24" s="97" t="n"/>
      <c r="J24" s="97" t="n"/>
      <c r="K24" s="97" t="n"/>
      <c r="L24" s="97" t="n"/>
      <c r="M24" s="97" t="n"/>
      <c r="N24" s="97" t="n"/>
      <c r="O24" s="97" t="n"/>
      <c r="P24" s="97" t="n"/>
      <c r="Q24" s="97" t="n"/>
      <c r="R24" s="97" t="n"/>
      <c r="S24" s="97" t="n"/>
      <c r="T24" s="97" t="n"/>
      <c r="U24" s="97" t="n"/>
      <c r="V24" s="97" t="n"/>
      <c r="W24" s="97" t="n"/>
      <c r="X24" s="97" t="n"/>
      <c r="Y24" s="97" t="n"/>
      <c r="Z24" s="97" t="n"/>
      <c r="AA24" s="97" t="n"/>
      <c r="AB24" s="97" t="n"/>
      <c r="AC24" s="97" t="n"/>
      <c r="AD24" s="97" t="n"/>
      <c r="AE24" s="97" t="n"/>
      <c r="AF24" s="97" t="n"/>
      <c r="AG24" s="97" t="n"/>
      <c r="AH24" s="97" t="n"/>
      <c r="AI24" s="97" t="n"/>
      <c r="AJ24" s="97" t="n"/>
      <c r="AK24" s="97" t="n"/>
      <c r="AL24" s="97" t="n"/>
      <c r="AM24" s="97" t="n"/>
      <c r="AN24" s="97" t="n"/>
      <c r="AO24" s="97" t="n">
        <v>4.442069</v>
      </c>
      <c r="AP24" s="97" t="n"/>
      <c r="AQ24" s="97" t="n"/>
      <c r="AR24" s="97" t="n"/>
      <c r="AS24" s="97" t="n"/>
      <c r="AT24" s="97" t="n"/>
      <c r="AU24" s="97" t="n"/>
      <c r="AV24" s="97" t="n"/>
      <c r="AW24" s="97" t="n"/>
      <c r="AX24" s="97" t="n"/>
      <c r="AY24" s="97" t="n"/>
    </row>
    <row r="25" s="135">
      <c r="A25" t="inlineStr">
        <is>
          <t>1920-12</t>
        </is>
      </c>
      <c r="B25" s="2" t="n">
        <v>7641</v>
      </c>
      <c r="C25" s="96" t="n">
        <v>25</v>
      </c>
      <c r="D25" s="2" t="n"/>
      <c r="E25" s="2">
        <f>B25</f>
        <v/>
      </c>
      <c r="F25" s="3">
        <f>B25</f>
        <v/>
      </c>
      <c r="G25" s="96" t="n">
        <v>23</v>
      </c>
      <c r="H25" s="97" t="n"/>
      <c r="I25" s="97" t="n"/>
      <c r="J25" s="97" t="n"/>
      <c r="K25" s="97" t="n"/>
      <c r="L25" s="97" t="n"/>
      <c r="M25" s="97" t="n"/>
      <c r="N25" s="97" t="n"/>
      <c r="O25" s="97" t="n"/>
      <c r="P25" s="97" t="n"/>
      <c r="Q25" s="97" t="n"/>
      <c r="R25" s="97" t="n"/>
      <c r="S25" s="97" t="n"/>
      <c r="T25" s="97" t="n"/>
      <c r="U25" s="97" t="n"/>
      <c r="V25" s="97" t="n"/>
      <c r="W25" s="97" t="n"/>
      <c r="X25" s="97" t="n"/>
      <c r="Y25" s="97" t="n"/>
      <c r="Z25" s="97" t="n"/>
      <c r="AA25" s="97" t="n"/>
      <c r="AB25" s="97" t="n"/>
      <c r="AC25" s="97" t="n"/>
      <c r="AD25" s="97" t="n"/>
      <c r="AE25" s="97" t="n"/>
      <c r="AF25" s="97" t="n"/>
      <c r="AG25" s="97" t="n"/>
      <c r="AH25" s="97" t="n"/>
      <c r="AI25" s="97" t="n"/>
      <c r="AJ25" s="97" t="n"/>
      <c r="AK25" s="97" t="n"/>
      <c r="AL25" s="97" t="n"/>
      <c r="AM25" s="97" t="n"/>
      <c r="AN25" s="97" t="n"/>
      <c r="AO25" s="97" t="n">
        <v>4.176103</v>
      </c>
      <c r="AP25" s="97" t="n"/>
      <c r="AQ25" s="97" t="n"/>
      <c r="AR25" s="97" t="n"/>
      <c r="AS25" s="97" t="n"/>
      <c r="AT25" s="97" t="n"/>
      <c r="AU25" s="97" t="n"/>
      <c r="AV25" s="97" t="n"/>
      <c r="AW25" s="97" t="n"/>
      <c r="AX25" s="97" t="n"/>
      <c r="AY25" s="97" t="n"/>
    </row>
    <row r="26" s="135">
      <c r="A26" t="inlineStr">
        <is>
          <t>1921-01</t>
        </is>
      </c>
      <c r="B26" s="2" t="n">
        <v>7672</v>
      </c>
      <c r="C26" s="96" t="n">
        <v>26</v>
      </c>
      <c r="D26" s="2" t="n"/>
      <c r="E26" s="2">
        <f>B26</f>
        <v/>
      </c>
      <c r="F26" s="3">
        <f>B26</f>
        <v/>
      </c>
      <c r="G26" s="96" t="n">
        <v>24</v>
      </c>
      <c r="H26" s="97" t="n"/>
      <c r="I26" s="97" t="n"/>
      <c r="J26" s="97" t="n"/>
      <c r="K26" s="97" t="n"/>
      <c r="L26" s="97" t="n"/>
      <c r="M26" s="97" t="n"/>
      <c r="N26" s="97" t="n"/>
      <c r="O26" s="97" t="n"/>
      <c r="P26" s="97" t="n"/>
      <c r="Q26" s="97" t="n"/>
      <c r="R26" s="97" t="n"/>
      <c r="S26" s="97" t="n"/>
      <c r="T26" s="97" t="n"/>
      <c r="U26" s="97" t="n"/>
      <c r="V26" s="97" t="n"/>
      <c r="W26" s="97" t="n"/>
      <c r="X26" s="97" t="n"/>
      <c r="Y26" s="97" t="n"/>
      <c r="Z26" s="97" t="n"/>
      <c r="AA26" s="97" t="n"/>
      <c r="AB26" s="97" t="n"/>
      <c r="AC26" s="97" t="n"/>
      <c r="AD26" s="97" t="n"/>
      <c r="AE26" s="97" t="n"/>
      <c r="AF26" s="97" t="n"/>
      <c r="AG26" s="97" t="n"/>
      <c r="AH26" s="97" t="n"/>
      <c r="AI26" s="97" t="n"/>
      <c r="AJ26" s="97" t="n"/>
      <c r="AK26" s="97" t="n"/>
      <c r="AL26" s="97" t="n"/>
      <c r="AM26" s="97" t="n"/>
      <c r="AN26" s="97" t="n"/>
      <c r="AO26" s="97" t="n">
        <v>3.936648</v>
      </c>
      <c r="AP26" s="97" t="n"/>
      <c r="AQ26" s="97" t="n"/>
      <c r="AR26" s="97" t="n"/>
      <c r="AS26" s="97" t="n"/>
      <c r="AT26" s="97" t="n"/>
      <c r="AU26" s="97" t="n"/>
      <c r="AV26" s="97" t="n"/>
      <c r="AW26" s="97" t="n"/>
      <c r="AX26" s="97" t="n"/>
      <c r="AY26" s="97" t="n"/>
    </row>
    <row r="27" s="135">
      <c r="A27" t="inlineStr">
        <is>
          <t>1921-02</t>
        </is>
      </c>
      <c r="B27" s="2" t="n">
        <v>7703</v>
      </c>
      <c r="C27" s="96" t="n">
        <v>27</v>
      </c>
      <c r="D27" s="2" t="n"/>
      <c r="E27" s="2">
        <f>B27</f>
        <v/>
      </c>
      <c r="F27" s="3">
        <f>B27</f>
        <v/>
      </c>
      <c r="G27" s="96" t="n">
        <v>25</v>
      </c>
      <c r="H27" s="97" t="n"/>
      <c r="I27" s="97" t="n"/>
      <c r="J27" s="97" t="n"/>
      <c r="K27" s="97" t="n"/>
      <c r="L27" s="97" t="n"/>
      <c r="M27" s="97" t="n"/>
      <c r="N27" s="97" t="n"/>
      <c r="O27" s="97" t="n"/>
      <c r="P27" s="97" t="n"/>
      <c r="Q27" s="97" t="n"/>
      <c r="R27" s="97" t="n"/>
      <c r="S27" s="97" t="n"/>
      <c r="T27" s="97" t="n"/>
      <c r="U27" s="97" t="n"/>
      <c r="V27" s="97" t="n"/>
      <c r="W27" s="97" t="n"/>
      <c r="X27" s="97" t="n"/>
      <c r="Y27" s="97" t="n"/>
      <c r="Z27" s="97" t="n"/>
      <c r="AA27" s="97" t="n"/>
      <c r="AB27" s="97" t="n"/>
      <c r="AC27" s="97" t="n"/>
      <c r="AD27" s="97" t="n"/>
      <c r="AE27" s="97" t="n"/>
      <c r="AF27" s="97" t="n"/>
      <c r="AG27" s="97" t="n"/>
      <c r="AH27" s="97" t="n"/>
      <c r="AI27" s="97" t="n"/>
      <c r="AJ27" s="97" t="n"/>
      <c r="AK27" s="97" t="n"/>
      <c r="AL27" s="97" t="n"/>
      <c r="AM27" s="97" t="n"/>
      <c r="AN27" s="97" t="n"/>
      <c r="AO27" s="97" t="n">
        <v>3.856926</v>
      </c>
      <c r="AP27" s="97" t="n"/>
      <c r="AQ27" s="97" t="n"/>
      <c r="AR27" s="97" t="n"/>
      <c r="AS27" s="97" t="n"/>
      <c r="AT27" s="97" t="n"/>
      <c r="AU27" s="97" t="n"/>
      <c r="AV27" s="97" t="n"/>
      <c r="AW27" s="97" t="n"/>
      <c r="AX27" s="97" t="n"/>
      <c r="AY27" s="97" t="n"/>
    </row>
    <row r="28" s="135">
      <c r="A28" t="inlineStr">
        <is>
          <t>1921-03</t>
        </is>
      </c>
      <c r="B28" s="2" t="n">
        <v>7731</v>
      </c>
      <c r="C28" s="96" t="n">
        <v>28</v>
      </c>
      <c r="D28" s="2" t="n"/>
      <c r="E28" s="2">
        <f>B28</f>
        <v/>
      </c>
      <c r="F28" s="3">
        <f>B28</f>
        <v/>
      </c>
      <c r="G28" s="96" t="n">
        <v>26</v>
      </c>
      <c r="H28" s="97" t="n"/>
      <c r="I28" s="97" t="n"/>
      <c r="J28" s="97" t="n"/>
      <c r="K28" s="97" t="n"/>
      <c r="L28" s="97" t="n"/>
      <c r="M28" s="97" t="n"/>
      <c r="N28" s="97" t="n"/>
      <c r="O28" s="97" t="n"/>
      <c r="P28" s="97" t="n"/>
      <c r="Q28" s="97" t="n"/>
      <c r="R28" s="97" t="n"/>
      <c r="S28" s="97" t="n"/>
      <c r="T28" s="97" t="n"/>
      <c r="U28" s="97" t="n"/>
      <c r="V28" s="97" t="n"/>
      <c r="W28" s="97" t="n"/>
      <c r="X28" s="97" t="n"/>
      <c r="Y28" s="97" t="n"/>
      <c r="Z28" s="97" t="n"/>
      <c r="AA28" s="97" t="n"/>
      <c r="AB28" s="97" t="n"/>
      <c r="AC28" s="97" t="n"/>
      <c r="AD28" s="97" t="n"/>
      <c r="AE28" s="97" t="n"/>
      <c r="AF28" s="97" t="n"/>
      <c r="AG28" s="97" t="n"/>
      <c r="AH28" s="97" t="n"/>
      <c r="AI28" s="97" t="n"/>
      <c r="AJ28" s="97" t="n"/>
      <c r="AK28" s="97" t="n"/>
      <c r="AL28" s="97" t="n"/>
      <c r="AM28" s="97" t="n"/>
      <c r="AN28" s="97" t="n"/>
      <c r="AO28" s="97" t="n">
        <v>3.750502</v>
      </c>
      <c r="AP28" s="97" t="n"/>
      <c r="AQ28" s="97" t="n"/>
      <c r="AR28" s="97" t="n"/>
      <c r="AS28" s="97" t="n"/>
      <c r="AT28" s="97" t="n"/>
      <c r="AU28" s="97" t="n"/>
      <c r="AV28" s="97" t="n"/>
      <c r="AW28" s="97" t="n"/>
      <c r="AX28" s="97" t="n"/>
      <c r="AY28" s="97" t="n"/>
    </row>
    <row r="29" s="135">
      <c r="A29" t="inlineStr">
        <is>
          <t>1921-04</t>
        </is>
      </c>
      <c r="B29" s="2" t="n">
        <v>7762</v>
      </c>
      <c r="C29" s="96" t="n">
        <v>29</v>
      </c>
      <c r="D29" s="2" t="n"/>
      <c r="E29" s="2">
        <f>B29</f>
        <v/>
      </c>
      <c r="F29" s="3">
        <f>B29</f>
        <v/>
      </c>
      <c r="G29" s="96" t="n">
        <v>27</v>
      </c>
      <c r="H29" s="97" t="n"/>
      <c r="I29" s="97" t="n"/>
      <c r="J29" s="97" t="n"/>
      <c r="K29" s="97" t="n"/>
      <c r="L29" s="97" t="n"/>
      <c r="M29" s="97" t="n"/>
      <c r="N29" s="97" t="n"/>
      <c r="O29" s="97" t="n"/>
      <c r="P29" s="97" t="n"/>
      <c r="Q29" s="97" t="n"/>
      <c r="R29" s="97" t="n"/>
      <c r="S29" s="97" t="n"/>
      <c r="T29" s="97" t="n"/>
      <c r="U29" s="97" t="n"/>
      <c r="V29" s="97" t="n"/>
      <c r="W29" s="97" t="n"/>
      <c r="X29" s="97" t="n"/>
      <c r="Y29" s="97" t="n"/>
      <c r="Z29" s="97" t="n"/>
      <c r="AA29" s="97" t="n"/>
      <c r="AB29" s="97" t="n"/>
      <c r="AC29" s="97" t="n"/>
      <c r="AD29" s="97" t="n"/>
      <c r="AE29" s="97" t="n"/>
      <c r="AF29" s="97" t="n"/>
      <c r="AG29" s="97" t="n"/>
      <c r="AH29" s="97" t="n"/>
      <c r="AI29" s="97" t="n"/>
      <c r="AJ29" s="97" t="n"/>
      <c r="AK29" s="97" t="n"/>
      <c r="AL29" s="97" t="n"/>
      <c r="AM29" s="97" t="n"/>
      <c r="AN29" s="97" t="n"/>
      <c r="AO29" s="97" t="n">
        <v>3.750502</v>
      </c>
      <c r="AP29" s="97" t="n"/>
      <c r="AQ29" s="97" t="n"/>
      <c r="AR29" s="97" t="n"/>
      <c r="AS29" s="97" t="n"/>
      <c r="AT29" s="97" t="n"/>
      <c r="AU29" s="97" t="n"/>
      <c r="AV29" s="97" t="n"/>
      <c r="AW29" s="97" t="n"/>
      <c r="AX29" s="97" t="n"/>
      <c r="AY29" s="97" t="n"/>
    </row>
    <row r="30" s="135">
      <c r="A30" t="inlineStr">
        <is>
          <t>1921-05</t>
        </is>
      </c>
      <c r="B30" s="2" t="n">
        <v>7792</v>
      </c>
      <c r="C30" s="96" t="n">
        <v>30</v>
      </c>
      <c r="D30" s="2" t="n"/>
      <c r="E30" s="2">
        <f>B30</f>
        <v/>
      </c>
      <c r="F30" s="3">
        <f>B30</f>
        <v/>
      </c>
      <c r="G30" s="96" t="n">
        <v>28</v>
      </c>
      <c r="H30" s="97" t="n"/>
      <c r="I30" s="97" t="n"/>
      <c r="J30" s="97" t="n"/>
      <c r="K30" s="97" t="n"/>
      <c r="L30" s="97" t="n"/>
      <c r="M30" s="97" t="n"/>
      <c r="N30" s="97" t="n"/>
      <c r="O30" s="97" t="n"/>
      <c r="P30" s="97" t="n"/>
      <c r="Q30" s="97" t="n"/>
      <c r="R30" s="97" t="n"/>
      <c r="S30" s="97" t="n"/>
      <c r="T30" s="97" t="n"/>
      <c r="U30" s="97" t="n"/>
      <c r="V30" s="97" t="n"/>
      <c r="W30" s="97" t="n"/>
      <c r="X30" s="97" t="n"/>
      <c r="Y30" s="97" t="n"/>
      <c r="Z30" s="97" t="n"/>
      <c r="AA30" s="97" t="n"/>
      <c r="AB30" s="97" t="n"/>
      <c r="AC30" s="97" t="n"/>
      <c r="AD30" s="97" t="n"/>
      <c r="AE30" s="97" t="n"/>
      <c r="AF30" s="97" t="n"/>
      <c r="AG30" s="97" t="n"/>
      <c r="AH30" s="97" t="n"/>
      <c r="AI30" s="97" t="n"/>
      <c r="AJ30" s="97" t="n"/>
      <c r="AK30" s="97" t="n"/>
      <c r="AL30" s="97" t="n"/>
      <c r="AM30" s="97" t="n"/>
      <c r="AN30" s="97" t="n"/>
      <c r="AO30" s="97" t="n">
        <v>3.856926</v>
      </c>
      <c r="AP30" s="97" t="n"/>
      <c r="AQ30" s="97" t="n"/>
      <c r="AR30" s="97" t="n"/>
      <c r="AS30" s="97" t="n"/>
      <c r="AT30" s="97" t="n"/>
      <c r="AU30" s="97" t="n"/>
      <c r="AV30" s="97" t="n"/>
      <c r="AW30" s="97" t="n"/>
      <c r="AX30" s="97" t="n"/>
      <c r="AY30" s="97" t="n"/>
    </row>
    <row r="31" s="135">
      <c r="A31" t="inlineStr">
        <is>
          <t>1921-06</t>
        </is>
      </c>
      <c r="B31" s="2" t="n">
        <v>7823</v>
      </c>
      <c r="C31" s="96" t="n">
        <v>31</v>
      </c>
      <c r="D31" s="2" t="n"/>
      <c r="E31" s="2">
        <f>B31</f>
        <v/>
      </c>
      <c r="F31" s="3">
        <f>B31</f>
        <v/>
      </c>
      <c r="G31" s="96" t="n">
        <v>29</v>
      </c>
      <c r="H31" s="97" t="n"/>
      <c r="I31" s="97" t="n"/>
      <c r="J31" s="97" t="n"/>
      <c r="K31" s="97" t="n"/>
      <c r="L31" s="97" t="n"/>
      <c r="M31" s="97" t="n"/>
      <c r="N31" s="97" t="n"/>
      <c r="O31" s="97" t="n"/>
      <c r="P31" s="97" t="n"/>
      <c r="Q31" s="97" t="n"/>
      <c r="R31" s="97" t="n"/>
      <c r="S31" s="97" t="n"/>
      <c r="T31" s="97" t="n"/>
      <c r="U31" s="97" t="n"/>
      <c r="V31" s="97" t="n"/>
      <c r="W31" s="97" t="n"/>
      <c r="X31" s="97" t="n"/>
      <c r="Y31" s="97" t="n"/>
      <c r="Z31" s="97" t="n"/>
      <c r="AA31" s="97" t="n"/>
      <c r="AB31" s="97" t="n"/>
      <c r="AC31" s="97" t="n"/>
      <c r="AD31" s="97" t="n"/>
      <c r="AE31" s="97" t="n"/>
      <c r="AF31" s="97" t="n"/>
      <c r="AG31" s="97" t="n"/>
      <c r="AH31" s="97" t="n"/>
      <c r="AI31" s="97" t="n"/>
      <c r="AJ31" s="97" t="n"/>
      <c r="AK31" s="97" t="n"/>
      <c r="AL31" s="97" t="n"/>
      <c r="AM31" s="97" t="n"/>
      <c r="AN31" s="97" t="n"/>
      <c r="AO31" s="97" t="n">
        <v>3.83032</v>
      </c>
      <c r="AP31" s="97" t="n"/>
      <c r="AQ31" s="97" t="n"/>
      <c r="AR31" s="97" t="n"/>
      <c r="AS31" s="97" t="n"/>
      <c r="AT31" s="97" t="n"/>
      <c r="AU31" s="97" t="n"/>
      <c r="AV31" s="97" t="n"/>
      <c r="AW31" s="97" t="n"/>
      <c r="AX31" s="97" t="n"/>
      <c r="AY31" s="97" t="n"/>
    </row>
    <row r="32" s="135">
      <c r="A32" t="inlineStr">
        <is>
          <t>1921-07</t>
        </is>
      </c>
      <c r="B32" s="2" t="n">
        <v>7853</v>
      </c>
      <c r="C32" s="96" t="n">
        <v>32</v>
      </c>
      <c r="D32" s="2" t="n"/>
      <c r="E32" s="2">
        <f>B32</f>
        <v/>
      </c>
      <c r="F32" s="3">
        <f>B32</f>
        <v/>
      </c>
      <c r="G32" s="96" t="n">
        <v>30</v>
      </c>
      <c r="H32" s="97" t="n"/>
      <c r="I32" s="97" t="n"/>
      <c r="J32" s="97" t="n"/>
      <c r="K32" s="97" t="n"/>
      <c r="L32" s="97" t="n"/>
      <c r="M32" s="97" t="n"/>
      <c r="N32" s="97" t="n"/>
      <c r="O32" s="97" t="n"/>
      <c r="P32" s="97" t="n"/>
      <c r="Q32" s="97" t="n"/>
      <c r="R32" s="97" t="n"/>
      <c r="S32" s="97" t="n"/>
      <c r="T32" s="97" t="n"/>
      <c r="U32" s="97" t="n"/>
      <c r="V32" s="97" t="n"/>
      <c r="W32" s="97" t="n"/>
      <c r="X32" s="97" t="n"/>
      <c r="Y32" s="97" t="n"/>
      <c r="Z32" s="97" t="n"/>
      <c r="AA32" s="97" t="n"/>
      <c r="AB32" s="97" t="n"/>
      <c r="AC32" s="97" t="n"/>
      <c r="AD32" s="97" t="n"/>
      <c r="AE32" s="97" t="n"/>
      <c r="AF32" s="97" t="n"/>
      <c r="AG32" s="97" t="n"/>
      <c r="AH32" s="97" t="n"/>
      <c r="AI32" s="97" t="n"/>
      <c r="AJ32" s="97" t="n"/>
      <c r="AK32" s="97" t="n"/>
      <c r="AL32" s="97" t="n"/>
      <c r="AM32" s="97" t="n"/>
      <c r="AN32" s="97" t="n"/>
      <c r="AO32" s="97" t="n">
        <v>3.803714</v>
      </c>
      <c r="AP32" s="97" t="n"/>
      <c r="AQ32" s="97" t="n"/>
      <c r="AR32" s="97" t="n"/>
      <c r="AS32" s="97" t="n"/>
      <c r="AT32" s="97" t="n"/>
      <c r="AU32" s="97" t="n"/>
      <c r="AV32" s="97" t="n"/>
      <c r="AW32" s="97" t="n"/>
      <c r="AX32" s="97" t="n"/>
      <c r="AY32" s="97" t="n"/>
    </row>
    <row r="33" s="135">
      <c r="A33" t="inlineStr">
        <is>
          <t>1921-08</t>
        </is>
      </c>
      <c r="B33" s="2" t="n">
        <v>7884</v>
      </c>
      <c r="C33" s="96" t="n">
        <v>33</v>
      </c>
      <c r="D33" s="2" t="n"/>
      <c r="E33" s="2">
        <f>B33</f>
        <v/>
      </c>
      <c r="F33" s="3">
        <f>B33</f>
        <v/>
      </c>
      <c r="G33" s="96" t="n">
        <v>31</v>
      </c>
      <c r="H33" s="97" t="n"/>
      <c r="I33" s="97" t="n"/>
      <c r="J33" s="97" t="n"/>
      <c r="K33" s="97" t="n"/>
      <c r="L33" s="97" t="n"/>
      <c r="M33" s="97" t="n"/>
      <c r="N33" s="97" t="n"/>
      <c r="O33" s="97" t="n"/>
      <c r="P33" s="97" t="n"/>
      <c r="Q33" s="97" t="n"/>
      <c r="R33" s="97" t="n"/>
      <c r="S33" s="97" t="n"/>
      <c r="T33" s="97" t="n"/>
      <c r="U33" s="97" t="n"/>
      <c r="V33" s="97" t="n"/>
      <c r="W33" s="97" t="n"/>
      <c r="X33" s="97" t="n"/>
      <c r="Y33" s="97" t="n"/>
      <c r="Z33" s="97" t="n"/>
      <c r="AA33" s="97" t="n"/>
      <c r="AB33" s="97" t="n"/>
      <c r="AC33" s="97" t="n"/>
      <c r="AD33" s="97" t="n"/>
      <c r="AE33" s="97" t="n"/>
      <c r="AF33" s="97" t="n"/>
      <c r="AG33" s="97" t="n"/>
      <c r="AH33" s="97" t="n"/>
      <c r="AI33" s="97" t="n"/>
      <c r="AJ33" s="97" t="n"/>
      <c r="AK33" s="97" t="n"/>
      <c r="AL33" s="97" t="n"/>
      <c r="AM33" s="97" t="n"/>
      <c r="AN33" s="97" t="n"/>
      <c r="AO33" s="97" t="n">
        <v>3.936648</v>
      </c>
      <c r="AP33" s="97" t="n"/>
      <c r="AQ33" s="97" t="n"/>
      <c r="AR33" s="97" t="n"/>
      <c r="AS33" s="97" t="n"/>
      <c r="AT33" s="97" t="n"/>
      <c r="AU33" s="97" t="n"/>
      <c r="AV33" s="97" t="n"/>
      <c r="AW33" s="97" t="n"/>
      <c r="AX33" s="97" t="n"/>
      <c r="AY33" s="97" t="n"/>
    </row>
    <row r="34" s="135">
      <c r="A34" t="inlineStr">
        <is>
          <t>1921-09</t>
        </is>
      </c>
      <c r="B34" s="2" t="n">
        <v>7915</v>
      </c>
      <c r="C34" s="96" t="n">
        <v>34</v>
      </c>
      <c r="D34" s="2" t="n"/>
      <c r="E34" s="2">
        <f>B34</f>
        <v/>
      </c>
      <c r="F34" s="3">
        <f>B34</f>
        <v/>
      </c>
      <c r="G34" s="96" t="n">
        <v>32</v>
      </c>
      <c r="H34" s="97" t="n"/>
      <c r="I34" s="97" t="n"/>
      <c r="J34" s="97" t="n"/>
      <c r="K34" s="97" t="n"/>
      <c r="L34" s="97" t="n"/>
      <c r="M34" s="97" t="n"/>
      <c r="N34" s="97" t="n"/>
      <c r="O34" s="97" t="n"/>
      <c r="P34" s="97" t="n"/>
      <c r="Q34" s="97" t="n"/>
      <c r="R34" s="97" t="n"/>
      <c r="S34" s="97" t="n"/>
      <c r="T34" s="97" t="n"/>
      <c r="U34" s="97" t="n"/>
      <c r="V34" s="97" t="n"/>
      <c r="W34" s="97" t="n"/>
      <c r="X34" s="97" t="n"/>
      <c r="Y34" s="97" t="n"/>
      <c r="Z34" s="97" t="n"/>
      <c r="AA34" s="97" t="n"/>
      <c r="AB34" s="97" t="n"/>
      <c r="AC34" s="97" t="n"/>
      <c r="AD34" s="97" t="n"/>
      <c r="AE34" s="97" t="n"/>
      <c r="AF34" s="97" t="n"/>
      <c r="AG34" s="97" t="n"/>
      <c r="AH34" s="97" t="n"/>
      <c r="AI34" s="97" t="n"/>
      <c r="AJ34" s="97" t="n"/>
      <c r="AK34" s="97" t="n"/>
      <c r="AL34" s="97" t="n"/>
      <c r="AM34" s="97" t="n"/>
      <c r="AN34" s="97" t="n"/>
      <c r="AO34" s="97" t="n">
        <v>3.963254</v>
      </c>
      <c r="AP34" s="97" t="n"/>
      <c r="AQ34" s="97" t="n"/>
      <c r="AR34" s="97" t="n"/>
      <c r="AS34" s="97" t="n"/>
      <c r="AT34" s="97" t="n"/>
      <c r="AU34" s="97" t="n"/>
      <c r="AV34" s="97" t="n"/>
      <c r="AW34" s="97" t="n"/>
      <c r="AX34" s="97" t="n"/>
      <c r="AY34" s="97" t="n"/>
    </row>
    <row r="35" s="135">
      <c r="A35" t="inlineStr">
        <is>
          <t>1921-10</t>
        </is>
      </c>
      <c r="B35" s="2" t="n">
        <v>7945</v>
      </c>
      <c r="C35" s="96" t="n">
        <v>35</v>
      </c>
      <c r="D35" s="2" t="n"/>
      <c r="E35" s="2">
        <f>B35</f>
        <v/>
      </c>
      <c r="F35" s="3">
        <f>B35</f>
        <v/>
      </c>
      <c r="G35" s="96" t="n">
        <v>33</v>
      </c>
      <c r="H35" s="97" t="n"/>
      <c r="I35" s="97" t="n"/>
      <c r="J35" s="97" t="n"/>
      <c r="K35" s="97" t="n"/>
      <c r="L35" s="97" t="n"/>
      <c r="M35" s="97" t="n"/>
      <c r="N35" s="97" t="n"/>
      <c r="O35" s="97" t="n"/>
      <c r="P35" s="97" t="n"/>
      <c r="Q35" s="97" t="n"/>
      <c r="R35" s="97" t="n"/>
      <c r="S35" s="97" t="n"/>
      <c r="T35" s="97" t="n"/>
      <c r="U35" s="97" t="n"/>
      <c r="V35" s="97" t="n"/>
      <c r="W35" s="97" t="n"/>
      <c r="X35" s="97" t="n"/>
      <c r="Y35" s="97" t="n"/>
      <c r="Z35" s="97" t="n"/>
      <c r="AA35" s="97" t="n"/>
      <c r="AB35" s="97" t="n"/>
      <c r="AC35" s="97" t="n"/>
      <c r="AD35" s="97" t="n"/>
      <c r="AE35" s="97" t="n"/>
      <c r="AF35" s="97" t="n"/>
      <c r="AG35" s="97" t="n"/>
      <c r="AH35" s="97" t="n"/>
      <c r="AI35" s="97" t="n"/>
      <c r="AJ35" s="97" t="n"/>
      <c r="AK35" s="97" t="n"/>
      <c r="AL35" s="97" t="n"/>
      <c r="AM35" s="97" t="n"/>
      <c r="AN35" s="97" t="n"/>
      <c r="AO35" s="97" t="n">
        <v>4.20271</v>
      </c>
      <c r="AP35" s="97" t="n"/>
      <c r="AQ35" s="97" t="n"/>
      <c r="AR35" s="97" t="n"/>
      <c r="AS35" s="97" t="n"/>
      <c r="AT35" s="97" t="n"/>
      <c r="AU35" s="97" t="n"/>
      <c r="AV35" s="97" t="n"/>
      <c r="AW35" s="97" t="n"/>
      <c r="AX35" s="97" t="n"/>
      <c r="AY35" s="97" t="n"/>
    </row>
    <row r="36" s="135">
      <c r="A36" t="inlineStr">
        <is>
          <t>1921-11</t>
        </is>
      </c>
      <c r="B36" s="2" t="n">
        <v>7976</v>
      </c>
      <c r="C36" s="96" t="n">
        <v>36</v>
      </c>
      <c r="D36" s="2" t="n"/>
      <c r="E36" s="2">
        <f>B36</f>
        <v/>
      </c>
      <c r="F36" s="3">
        <f>B36</f>
        <v/>
      </c>
      <c r="G36" s="96" t="n">
        <v>34</v>
      </c>
      <c r="H36" s="97" t="n"/>
      <c r="I36" s="97" t="n"/>
      <c r="J36" s="97" t="n"/>
      <c r="K36" s="97" t="n"/>
      <c r="L36" s="97" t="n"/>
      <c r="M36" s="97" t="n"/>
      <c r="N36" s="97" t="n"/>
      <c r="O36" s="97" t="n"/>
      <c r="P36" s="97" t="n"/>
      <c r="Q36" s="97" t="n"/>
      <c r="R36" s="97" t="n"/>
      <c r="S36" s="97" t="n"/>
      <c r="T36" s="97" t="n"/>
      <c r="U36" s="97" t="n"/>
      <c r="V36" s="97" t="n"/>
      <c r="W36" s="97" t="n"/>
      <c r="X36" s="97" t="n"/>
      <c r="Y36" s="97" t="n"/>
      <c r="Z36" s="97" t="n"/>
      <c r="AA36" s="97" t="n"/>
      <c r="AB36" s="97" t="n"/>
      <c r="AC36" s="97" t="n"/>
      <c r="AD36" s="97" t="n"/>
      <c r="AE36" s="97" t="n"/>
      <c r="AF36" s="97" t="n"/>
      <c r="AG36" s="97" t="n"/>
      <c r="AH36" s="97" t="n"/>
      <c r="AI36" s="97" t="n"/>
      <c r="AJ36" s="97" t="n"/>
      <c r="AK36" s="97" t="n"/>
      <c r="AL36" s="97" t="n"/>
      <c r="AM36" s="97" t="n"/>
      <c r="AN36" s="97" t="n"/>
      <c r="AO36" s="97" t="n">
        <v>4.149497</v>
      </c>
      <c r="AP36" s="97" t="n"/>
      <c r="AQ36" s="97" t="n"/>
      <c r="AR36" s="97" t="n"/>
      <c r="AS36" s="97" t="n"/>
      <c r="AT36" s="97" t="n"/>
      <c r="AU36" s="97" t="n"/>
      <c r="AV36" s="97" t="n"/>
      <c r="AW36" s="97" t="n"/>
      <c r="AX36" s="97" t="n"/>
      <c r="AY36" s="97" t="n"/>
    </row>
    <row r="37" s="135">
      <c r="A37" t="inlineStr">
        <is>
          <t>1921-12</t>
        </is>
      </c>
      <c r="B37" s="2" t="n">
        <v>8006</v>
      </c>
      <c r="C37" s="96" t="n">
        <v>37</v>
      </c>
      <c r="D37" s="2" t="n"/>
      <c r="E37" s="2">
        <f>B37</f>
        <v/>
      </c>
      <c r="F37" s="3">
        <f>B37</f>
        <v/>
      </c>
      <c r="G37" s="96" t="n">
        <v>35</v>
      </c>
      <c r="H37" s="97" t="n"/>
      <c r="I37" s="97" t="n"/>
      <c r="J37" s="97" t="n"/>
      <c r="K37" s="97" t="n"/>
      <c r="L37" s="97" t="n"/>
      <c r="M37" s="97" t="n"/>
      <c r="N37" s="97" t="n"/>
      <c r="O37" s="97" t="n"/>
      <c r="P37" s="97" t="n"/>
      <c r="Q37" s="97" t="n"/>
      <c r="R37" s="97" t="n"/>
      <c r="S37" s="97" t="n"/>
      <c r="T37" s="97" t="n"/>
      <c r="U37" s="97" t="n"/>
      <c r="V37" s="97" t="n"/>
      <c r="W37" s="97" t="n"/>
      <c r="X37" s="97" t="n"/>
      <c r="Y37" s="97" t="n"/>
      <c r="Z37" s="97" t="n"/>
      <c r="AA37" s="97" t="n"/>
      <c r="AB37" s="97" t="n"/>
      <c r="AC37" s="97" t="n"/>
      <c r="AD37" s="97" t="n"/>
      <c r="AE37" s="97" t="n"/>
      <c r="AF37" s="97" t="n"/>
      <c r="AG37" s="97" t="n"/>
      <c r="AH37" s="97" t="n"/>
      <c r="AI37" s="97" t="n"/>
      <c r="AJ37" s="97" t="n"/>
      <c r="AK37" s="97" t="n"/>
      <c r="AL37" s="97" t="n"/>
      <c r="AM37" s="97" t="n"/>
      <c r="AN37" s="97" t="n"/>
      <c r="AO37" s="97" t="n">
        <v>4.122891</v>
      </c>
      <c r="AP37" s="97" t="n"/>
      <c r="AQ37" s="97" t="n"/>
      <c r="AR37" s="97" t="n"/>
      <c r="AS37" s="97" t="n"/>
      <c r="AT37" s="97" t="n"/>
      <c r="AU37" s="97" t="n"/>
      <c r="AV37" s="97" t="n"/>
      <c r="AW37" s="97" t="n"/>
      <c r="AX37" s="97" t="n"/>
      <c r="AY37" s="97" t="n"/>
    </row>
    <row r="38" s="135">
      <c r="A38" t="inlineStr">
        <is>
          <t>1922-01</t>
        </is>
      </c>
      <c r="B38" s="2" t="n">
        <v>8037</v>
      </c>
      <c r="C38" s="96" t="n">
        <v>38</v>
      </c>
      <c r="D38" s="2" t="n"/>
      <c r="E38" s="2">
        <f>B38</f>
        <v/>
      </c>
      <c r="F38" s="3">
        <f>B38</f>
        <v/>
      </c>
      <c r="G38" s="96" t="n">
        <v>36</v>
      </c>
      <c r="H38" s="97" t="n"/>
      <c r="I38" s="97" t="n"/>
      <c r="J38" s="97" t="n"/>
      <c r="K38" s="97" t="n"/>
      <c r="L38" s="97" t="n"/>
      <c r="M38" s="97" t="n"/>
      <c r="N38" s="97" t="n"/>
      <c r="O38" s="97" t="n"/>
      <c r="P38" s="97" t="n"/>
      <c r="Q38" s="97" t="n"/>
      <c r="R38" s="97" t="n"/>
      <c r="S38" s="97" t="n"/>
      <c r="T38" s="97" t="n"/>
      <c r="U38" s="97" t="n"/>
      <c r="V38" s="97" t="n"/>
      <c r="W38" s="97" t="n"/>
      <c r="X38" s="97" t="n"/>
      <c r="Y38" s="97" t="n"/>
      <c r="Z38" s="97" t="n"/>
      <c r="AA38" s="97" t="n"/>
      <c r="AB38" s="97" t="n"/>
      <c r="AC38" s="97" t="n"/>
      <c r="AD38" s="97" t="n"/>
      <c r="AE38" s="97" t="n"/>
      <c r="AF38" s="97" t="n"/>
      <c r="AG38" s="97" t="n"/>
      <c r="AH38" s="97" t="n"/>
      <c r="AI38" s="97" t="n"/>
      <c r="AJ38" s="97" t="n"/>
      <c r="AK38" s="97" t="n"/>
      <c r="AL38" s="97" t="n"/>
      <c r="AM38" s="97" t="n"/>
      <c r="AN38" s="97" t="n"/>
      <c r="AO38" s="97" t="n">
        <v>4.282432</v>
      </c>
      <c r="AP38" s="97" t="n"/>
      <c r="AQ38" s="97" t="n"/>
      <c r="AR38" s="97" t="n"/>
      <c r="AS38" s="97" t="n"/>
      <c r="AT38" s="97" t="n"/>
      <c r="AU38" s="97" t="n"/>
      <c r="AV38" s="97" t="n"/>
      <c r="AW38" s="97" t="n"/>
      <c r="AX38" s="97" t="n"/>
      <c r="AY38" s="97" t="n"/>
    </row>
    <row r="39" s="135">
      <c r="A39" t="inlineStr">
        <is>
          <t>1922-02</t>
        </is>
      </c>
      <c r="B39" s="2" t="n">
        <v>8068</v>
      </c>
      <c r="C39" s="96" t="n">
        <v>39</v>
      </c>
      <c r="D39" s="2" t="n"/>
      <c r="E39" s="2">
        <f>B39</f>
        <v/>
      </c>
      <c r="F39" s="3">
        <f>B39</f>
        <v/>
      </c>
      <c r="G39" s="96" t="n">
        <v>37</v>
      </c>
      <c r="H39" s="97" t="n"/>
      <c r="I39" s="97" t="n"/>
      <c r="J39" s="97" t="n"/>
      <c r="K39" s="97" t="n"/>
      <c r="L39" s="97" t="n"/>
      <c r="M39" s="97" t="n"/>
      <c r="N39" s="97" t="n"/>
      <c r="O39" s="97" t="n"/>
      <c r="P39" s="97" t="n"/>
      <c r="Q39" s="97" t="n"/>
      <c r="R39" s="97" t="n"/>
      <c r="S39" s="97" t="n"/>
      <c r="T39" s="97" t="n"/>
      <c r="U39" s="97" t="n"/>
      <c r="V39" s="97" t="n"/>
      <c r="W39" s="97" t="n"/>
      <c r="X39" s="97" t="n"/>
      <c r="Y39" s="97" t="n"/>
      <c r="Z39" s="97" t="n"/>
      <c r="AA39" s="97" t="n"/>
      <c r="AB39" s="97" t="n"/>
      <c r="AC39" s="97" t="n"/>
      <c r="AD39" s="97" t="n"/>
      <c r="AE39" s="97" t="n"/>
      <c r="AF39" s="97" t="n"/>
      <c r="AG39" s="97" t="n"/>
      <c r="AH39" s="97" t="n"/>
      <c r="AI39" s="97" t="n"/>
      <c r="AJ39" s="97" t="n"/>
      <c r="AK39" s="97" t="n"/>
      <c r="AL39" s="97" t="n"/>
      <c r="AM39" s="97" t="n"/>
      <c r="AN39" s="97" t="n"/>
      <c r="AO39" s="97" t="n">
        <v>4.468675</v>
      </c>
      <c r="AP39" s="97" t="n"/>
      <c r="AQ39" s="97" t="n"/>
      <c r="AR39" s="97" t="n"/>
      <c r="AS39" s="97" t="n"/>
      <c r="AT39" s="97" t="n"/>
      <c r="AU39" s="97" t="n"/>
      <c r="AV39" s="97" t="n"/>
      <c r="AW39" s="97" t="n"/>
      <c r="AX39" s="97" t="n"/>
      <c r="AY39" s="97" t="n"/>
    </row>
    <row r="40" s="135">
      <c r="A40" t="inlineStr">
        <is>
          <t>1922-03</t>
        </is>
      </c>
      <c r="B40" s="2" t="n">
        <v>8096</v>
      </c>
      <c r="C40" s="96" t="n">
        <v>40</v>
      </c>
      <c r="D40" s="2" t="n"/>
      <c r="E40" s="2">
        <f>B40</f>
        <v/>
      </c>
      <c r="F40" s="3">
        <f>B40</f>
        <v/>
      </c>
      <c r="G40" s="96" t="n">
        <v>38</v>
      </c>
      <c r="H40" s="97" t="n"/>
      <c r="I40" s="97" t="n"/>
      <c r="J40" s="97" t="n"/>
      <c r="K40" s="97" t="n"/>
      <c r="L40" s="97" t="n"/>
      <c r="M40" s="97" t="n"/>
      <c r="N40" s="97" t="n"/>
      <c r="O40" s="97" t="n"/>
      <c r="P40" s="97" t="n"/>
      <c r="Q40" s="97" t="n"/>
      <c r="R40" s="97" t="n"/>
      <c r="S40" s="97" t="n"/>
      <c r="T40" s="97" t="n"/>
      <c r="U40" s="97" t="n"/>
      <c r="V40" s="97" t="n"/>
      <c r="W40" s="97" t="n"/>
      <c r="X40" s="97" t="n"/>
      <c r="Y40" s="97" t="n"/>
      <c r="Z40" s="97" t="n"/>
      <c r="AA40" s="97" t="n"/>
      <c r="AB40" s="97" t="n"/>
      <c r="AC40" s="97" t="n"/>
      <c r="AD40" s="97" t="n"/>
      <c r="AE40" s="97" t="n"/>
      <c r="AF40" s="97" t="n"/>
      <c r="AG40" s="97" t="n"/>
      <c r="AH40" s="97" t="n"/>
      <c r="AI40" s="97" t="n"/>
      <c r="AJ40" s="97" t="n"/>
      <c r="AK40" s="97" t="n"/>
      <c r="AL40" s="97" t="n"/>
      <c r="AM40" s="97" t="n"/>
      <c r="AN40" s="97" t="n"/>
      <c r="AO40" s="97" t="n">
        <v>4.708034</v>
      </c>
      <c r="AP40" s="97" t="n"/>
      <c r="AQ40" s="97" t="n"/>
      <c r="AR40" s="97" t="n"/>
      <c r="AS40" s="97" t="n"/>
      <c r="AT40" s="97" t="n"/>
      <c r="AU40" s="97" t="n"/>
      <c r="AV40" s="97" t="n"/>
      <c r="AW40" s="97" t="n"/>
      <c r="AX40" s="97" t="n"/>
      <c r="AY40" s="97" t="n"/>
    </row>
    <row r="41" s="135">
      <c r="A41" t="inlineStr">
        <is>
          <t>1922-04</t>
        </is>
      </c>
      <c r="B41" s="2" t="n">
        <v>8127</v>
      </c>
      <c r="C41" s="96" t="n">
        <v>41</v>
      </c>
      <c r="D41" s="2" t="n"/>
      <c r="E41" s="2">
        <f>B41</f>
        <v/>
      </c>
      <c r="F41" s="3">
        <f>B41</f>
        <v/>
      </c>
      <c r="G41" s="96" t="n">
        <v>39</v>
      </c>
      <c r="H41" s="97" t="n"/>
      <c r="I41" s="97" t="n"/>
      <c r="J41" s="97" t="n"/>
      <c r="K41" s="97" t="n"/>
      <c r="L41" s="97" t="n"/>
      <c r="M41" s="97" t="n"/>
      <c r="N41" s="97" t="n"/>
      <c r="O41" s="97" t="n"/>
      <c r="P41" s="97" t="n"/>
      <c r="Q41" s="97" t="n"/>
      <c r="R41" s="97" t="n"/>
      <c r="S41" s="97" t="n"/>
      <c r="T41" s="97" t="n"/>
      <c r="U41" s="97" t="n"/>
      <c r="V41" s="97" t="n"/>
      <c r="W41" s="97" t="n"/>
      <c r="X41" s="97" t="n"/>
      <c r="Y41" s="97" t="n"/>
      <c r="Z41" s="97" t="n"/>
      <c r="AA41" s="97" t="n"/>
      <c r="AB41" s="97" t="n"/>
      <c r="AC41" s="97" t="n"/>
      <c r="AD41" s="97" t="n"/>
      <c r="AE41" s="97" t="n"/>
      <c r="AF41" s="97" t="n"/>
      <c r="AG41" s="97" t="n"/>
      <c r="AH41" s="97" t="n"/>
      <c r="AI41" s="97" t="n"/>
      <c r="AJ41" s="97" t="n"/>
      <c r="AK41" s="97" t="n"/>
      <c r="AL41" s="97" t="n"/>
      <c r="AM41" s="97" t="n"/>
      <c r="AN41" s="97" t="n"/>
      <c r="AO41" s="97" t="n">
        <v>4.548493</v>
      </c>
      <c r="AP41" s="97" t="n"/>
      <c r="AQ41" s="97" t="n"/>
      <c r="AR41" s="97" t="n"/>
      <c r="AS41" s="97" t="n"/>
      <c r="AT41" s="97" t="n"/>
      <c r="AU41" s="97" t="n"/>
      <c r="AV41" s="97" t="n"/>
      <c r="AW41" s="97" t="n"/>
      <c r="AX41" s="97" t="n"/>
      <c r="AY41" s="97" t="n"/>
    </row>
    <row r="42" s="135">
      <c r="A42" t="inlineStr">
        <is>
          <t>1922-05</t>
        </is>
      </c>
      <c r="B42" s="2" t="n">
        <v>8157</v>
      </c>
      <c r="C42" s="96" t="n">
        <v>42</v>
      </c>
      <c r="D42" s="2" t="n"/>
      <c r="E42" s="2">
        <f>B42</f>
        <v/>
      </c>
      <c r="F42" s="3">
        <f>B42</f>
        <v/>
      </c>
      <c r="G42" s="96" t="n">
        <v>40</v>
      </c>
      <c r="H42" s="97" t="n"/>
      <c r="I42" s="97" t="n"/>
      <c r="J42" s="97" t="n"/>
      <c r="K42" s="97" t="n"/>
      <c r="L42" s="97" t="n"/>
      <c r="M42" s="97" t="n"/>
      <c r="N42" s="97" t="n"/>
      <c r="O42" s="97" t="n"/>
      <c r="P42" s="97" t="n"/>
      <c r="Q42" s="97" t="n"/>
      <c r="R42" s="97" t="n"/>
      <c r="S42" s="97" t="n"/>
      <c r="T42" s="97" t="n"/>
      <c r="U42" s="97" t="n"/>
      <c r="V42" s="97" t="n"/>
      <c r="W42" s="97" t="n"/>
      <c r="X42" s="97" t="n"/>
      <c r="Y42" s="97" t="n"/>
      <c r="Z42" s="97" t="n"/>
      <c r="AA42" s="97" t="n"/>
      <c r="AB42" s="97" t="n"/>
      <c r="AC42" s="97" t="n"/>
      <c r="AD42" s="97" t="n"/>
      <c r="AE42" s="97" t="n"/>
      <c r="AF42" s="97" t="n"/>
      <c r="AG42" s="97" t="n"/>
      <c r="AH42" s="97" t="n"/>
      <c r="AI42" s="97" t="n"/>
      <c r="AJ42" s="97" t="n"/>
      <c r="AK42" s="97" t="n"/>
      <c r="AL42" s="97" t="n"/>
      <c r="AM42" s="97" t="n"/>
      <c r="AN42" s="97" t="n"/>
      <c r="AO42" s="97" t="n">
        <v>4.787852</v>
      </c>
      <c r="AP42" s="97" t="n"/>
      <c r="AQ42" s="97" t="n"/>
      <c r="AR42" s="97" t="n"/>
      <c r="AS42" s="97" t="n"/>
      <c r="AT42" s="97" t="n"/>
      <c r="AU42" s="97" t="n"/>
      <c r="AV42" s="97" t="n"/>
      <c r="AW42" s="97" t="n"/>
      <c r="AX42" s="97" t="n"/>
      <c r="AY42" s="97" t="n"/>
    </row>
    <row r="43" s="135">
      <c r="A43" t="inlineStr">
        <is>
          <t>1922-06</t>
        </is>
      </c>
      <c r="B43" s="2" t="n">
        <v>8188</v>
      </c>
      <c r="C43" s="96" t="n">
        <v>43</v>
      </c>
      <c r="D43" s="2" t="n"/>
      <c r="E43" s="2">
        <f>B43</f>
        <v/>
      </c>
      <c r="F43" s="3">
        <f>B43</f>
        <v/>
      </c>
      <c r="G43" s="96" t="n">
        <v>41</v>
      </c>
      <c r="H43" s="97" t="n"/>
      <c r="I43" s="97" t="n"/>
      <c r="J43" s="97" t="n"/>
      <c r="K43" s="97" t="n"/>
      <c r="L43" s="97" t="n"/>
      <c r="M43" s="97" t="n"/>
      <c r="N43" s="97" t="n"/>
      <c r="O43" s="97" t="n"/>
      <c r="P43" s="97" t="n"/>
      <c r="Q43" s="97" t="n"/>
      <c r="R43" s="97" t="n"/>
      <c r="S43" s="97" t="n"/>
      <c r="T43" s="97" t="n"/>
      <c r="U43" s="97" t="n"/>
      <c r="V43" s="97" t="n"/>
      <c r="W43" s="97" t="n"/>
      <c r="X43" s="97" t="n"/>
      <c r="Y43" s="97" t="n"/>
      <c r="Z43" s="97" t="n"/>
      <c r="AA43" s="97" t="n"/>
      <c r="AB43" s="97" t="n"/>
      <c r="AC43" s="97" t="n"/>
      <c r="AD43" s="97" t="n"/>
      <c r="AE43" s="97" t="n"/>
      <c r="AF43" s="97" t="n"/>
      <c r="AG43" s="97" t="n"/>
      <c r="AH43" s="97" t="n"/>
      <c r="AI43" s="97" t="n"/>
      <c r="AJ43" s="97" t="n"/>
      <c r="AK43" s="97" t="n"/>
      <c r="AL43" s="97" t="n"/>
      <c r="AM43" s="97" t="n"/>
      <c r="AN43" s="97" t="n"/>
      <c r="AO43" s="97" t="n">
        <v>5.027211</v>
      </c>
      <c r="AP43" s="97" t="n"/>
      <c r="AQ43" s="97" t="n"/>
      <c r="AR43" s="97" t="n"/>
      <c r="AS43" s="97" t="n"/>
      <c r="AT43" s="97" t="n"/>
      <c r="AU43" s="97" t="n"/>
      <c r="AV43" s="97" t="n"/>
      <c r="AW43" s="97" t="n"/>
      <c r="AX43" s="97" t="n"/>
      <c r="AY43" s="97" t="n"/>
    </row>
    <row r="44" s="135">
      <c r="A44" t="inlineStr">
        <is>
          <t>1922-07</t>
        </is>
      </c>
      <c r="B44" s="2" t="n">
        <v>8218</v>
      </c>
      <c r="C44" s="96" t="n">
        <v>44</v>
      </c>
      <c r="D44" s="2" t="n"/>
      <c r="E44" s="2">
        <f>B44</f>
        <v/>
      </c>
      <c r="F44" s="3">
        <f>B44</f>
        <v/>
      </c>
      <c r="G44" s="96" t="n">
        <v>42</v>
      </c>
      <c r="H44" s="97" t="n"/>
      <c r="I44" s="97" t="n"/>
      <c r="J44" s="97" t="n"/>
      <c r="K44" s="97" t="n"/>
      <c r="L44" s="97" t="n"/>
      <c r="M44" s="97" t="n"/>
      <c r="N44" s="97" t="n"/>
      <c r="O44" s="97" t="n"/>
      <c r="P44" s="97" t="n"/>
      <c r="Q44" s="97" t="n"/>
      <c r="R44" s="97" t="n"/>
      <c r="S44" s="97" t="n"/>
      <c r="T44" s="97" t="n"/>
      <c r="U44" s="97" t="n"/>
      <c r="V44" s="97" t="n"/>
      <c r="W44" s="97" t="n"/>
      <c r="X44" s="97" t="n"/>
      <c r="Y44" s="97" t="n"/>
      <c r="Z44" s="97" t="n"/>
      <c r="AA44" s="97" t="n"/>
      <c r="AB44" s="97" t="n"/>
      <c r="AC44" s="97" t="n"/>
      <c r="AD44" s="97" t="n"/>
      <c r="AE44" s="97" t="n"/>
      <c r="AF44" s="97" t="n"/>
      <c r="AG44" s="97" t="n"/>
      <c r="AH44" s="97" t="n"/>
      <c r="AI44" s="97" t="n"/>
      <c r="AJ44" s="97" t="n"/>
      <c r="AK44" s="97" t="n"/>
      <c r="AL44" s="97" t="n"/>
      <c r="AM44" s="97" t="n"/>
      <c r="AN44" s="97" t="n"/>
      <c r="AO44" s="97" t="n">
        <v>5.027211</v>
      </c>
      <c r="AP44" s="97" t="n"/>
      <c r="AQ44" s="97" t="n"/>
      <c r="AR44" s="97" t="n"/>
      <c r="AS44" s="97" t="n"/>
      <c r="AT44" s="97" t="n"/>
      <c r="AU44" s="97" t="n"/>
      <c r="AV44" s="97" t="n"/>
      <c r="AW44" s="97" t="n"/>
      <c r="AX44" s="97" t="n"/>
      <c r="AY44" s="97" t="n"/>
    </row>
    <row r="45" s="135">
      <c r="A45" t="inlineStr">
        <is>
          <t>1922-08</t>
        </is>
      </c>
      <c r="B45" s="2" t="n">
        <v>8249</v>
      </c>
      <c r="C45" s="96" t="n">
        <v>45</v>
      </c>
      <c r="D45" s="2" t="n"/>
      <c r="E45" s="2">
        <f>B45</f>
        <v/>
      </c>
      <c r="F45" s="3">
        <f>B45</f>
        <v/>
      </c>
      <c r="G45" s="96" t="n">
        <v>43</v>
      </c>
      <c r="H45" s="97" t="n"/>
      <c r="I45" s="97" t="n"/>
      <c r="J45" s="97" t="n"/>
      <c r="K45" s="97" t="n"/>
      <c r="L45" s="97" t="n"/>
      <c r="M45" s="97" t="n"/>
      <c r="N45" s="97" t="n"/>
      <c r="O45" s="97" t="n"/>
      <c r="P45" s="97" t="n"/>
      <c r="Q45" s="97" t="n"/>
      <c r="R45" s="97" t="n"/>
      <c r="S45" s="97" t="n"/>
      <c r="T45" s="97" t="n"/>
      <c r="U45" s="97" t="n"/>
      <c r="V45" s="97" t="n"/>
      <c r="W45" s="97" t="n"/>
      <c r="X45" s="97" t="n"/>
      <c r="Y45" s="97" t="n"/>
      <c r="Z45" s="97" t="n"/>
      <c r="AA45" s="97" t="n"/>
      <c r="AB45" s="97" t="n"/>
      <c r="AC45" s="97" t="n"/>
      <c r="AD45" s="97" t="n"/>
      <c r="AE45" s="97" t="n"/>
      <c r="AF45" s="97" t="n"/>
      <c r="AG45" s="97" t="n"/>
      <c r="AH45" s="97" t="n"/>
      <c r="AI45" s="97" t="n"/>
      <c r="AJ45" s="97" t="n"/>
      <c r="AK45" s="97" t="n"/>
      <c r="AL45" s="97" t="n"/>
      <c r="AM45" s="97" t="n"/>
      <c r="AN45" s="97" t="n"/>
      <c r="AO45" s="97" t="n">
        <v>4.920882</v>
      </c>
      <c r="AP45" s="97" t="n"/>
      <c r="AQ45" s="97" t="n"/>
      <c r="AR45" s="97" t="n"/>
      <c r="AS45" s="97" t="n"/>
      <c r="AT45" s="97" t="n"/>
      <c r="AU45" s="97" t="n"/>
      <c r="AV45" s="97" t="n"/>
      <c r="AW45" s="97" t="n"/>
      <c r="AX45" s="97" t="n"/>
      <c r="AY45" s="97" t="n"/>
    </row>
    <row r="46" s="135">
      <c r="A46" t="inlineStr">
        <is>
          <t>1922-09</t>
        </is>
      </c>
      <c r="B46" s="2" t="n">
        <v>8280</v>
      </c>
      <c r="C46" s="96" t="n">
        <v>46</v>
      </c>
      <c r="D46" s="2" t="n"/>
      <c r="E46" s="2">
        <f>B46</f>
        <v/>
      </c>
      <c r="F46" s="3">
        <f>B46</f>
        <v/>
      </c>
      <c r="G46" s="96" t="n">
        <v>44</v>
      </c>
      <c r="H46" s="97" t="n"/>
      <c r="I46" s="97" t="n"/>
      <c r="J46" s="97" t="n"/>
      <c r="K46" s="97" t="n"/>
      <c r="L46" s="97" t="n"/>
      <c r="M46" s="97" t="n"/>
      <c r="N46" s="97" t="n"/>
      <c r="O46" s="97" t="n"/>
      <c r="P46" s="97" t="n"/>
      <c r="Q46" s="97" t="n"/>
      <c r="R46" s="97" t="n"/>
      <c r="S46" s="97" t="n"/>
      <c r="T46" s="97" t="n"/>
      <c r="U46" s="97" t="n"/>
      <c r="V46" s="97" t="n"/>
      <c r="W46" s="97" t="n"/>
      <c r="X46" s="97" t="n"/>
      <c r="Y46" s="97" t="n"/>
      <c r="Z46" s="97" t="n"/>
      <c r="AA46" s="97" t="n"/>
      <c r="AB46" s="97" t="n"/>
      <c r="AC46" s="97" t="n"/>
      <c r="AD46" s="97" t="n"/>
      <c r="AE46" s="97" t="n"/>
      <c r="AF46" s="97" t="n"/>
      <c r="AG46" s="97" t="n"/>
      <c r="AH46" s="97" t="n"/>
      <c r="AI46" s="97" t="n"/>
      <c r="AJ46" s="97" t="n"/>
      <c r="AK46" s="97" t="n"/>
      <c r="AL46" s="97" t="n"/>
      <c r="AM46" s="97" t="n"/>
      <c r="AN46" s="97" t="n"/>
      <c r="AO46" s="97" t="n">
        <v>5.186848</v>
      </c>
      <c r="AP46" s="97" t="n"/>
      <c r="AQ46" s="97" t="n"/>
      <c r="AR46" s="97" t="n"/>
      <c r="AS46" s="97" t="n"/>
      <c r="AT46" s="97" t="n"/>
      <c r="AU46" s="97" t="n"/>
      <c r="AV46" s="97" t="n"/>
      <c r="AW46" s="97" t="n"/>
      <c r="AX46" s="97" t="n"/>
      <c r="AY46" s="97" t="n"/>
    </row>
    <row r="47" s="135">
      <c r="A47" t="inlineStr">
        <is>
          <t>1922-10</t>
        </is>
      </c>
      <c r="B47" s="2" t="n">
        <v>8310</v>
      </c>
      <c r="C47" s="96" t="n">
        <v>47</v>
      </c>
      <c r="D47" s="2" t="n"/>
      <c r="E47" s="2">
        <f>B47</f>
        <v/>
      </c>
      <c r="F47" s="3">
        <f>B47</f>
        <v/>
      </c>
      <c r="G47" s="96" t="n">
        <v>45</v>
      </c>
      <c r="H47" s="97" t="n"/>
      <c r="I47" s="97" t="n"/>
      <c r="J47" s="97" t="n"/>
      <c r="K47" s="97" t="n"/>
      <c r="L47" s="97" t="n"/>
      <c r="M47" s="97" t="n"/>
      <c r="N47" s="97" t="n"/>
      <c r="O47" s="97" t="n"/>
      <c r="P47" s="97" t="n"/>
      <c r="Q47" s="97" t="n"/>
      <c r="R47" s="97" t="n"/>
      <c r="S47" s="97" t="n"/>
      <c r="T47" s="97" t="n"/>
      <c r="U47" s="97" t="n"/>
      <c r="V47" s="97" t="n"/>
      <c r="W47" s="97" t="n"/>
      <c r="X47" s="97" t="n"/>
      <c r="Y47" s="97" t="n"/>
      <c r="Z47" s="97" t="n"/>
      <c r="AA47" s="97" t="n"/>
      <c r="AB47" s="97" t="n"/>
      <c r="AC47" s="97" t="n"/>
      <c r="AD47" s="97" t="n"/>
      <c r="AE47" s="97" t="n"/>
      <c r="AF47" s="97" t="n"/>
      <c r="AG47" s="97" t="n"/>
      <c r="AH47" s="97" t="n"/>
      <c r="AI47" s="97" t="n"/>
      <c r="AJ47" s="97" t="n"/>
      <c r="AK47" s="97" t="n"/>
      <c r="AL47" s="97" t="n"/>
      <c r="AM47" s="97" t="n"/>
      <c r="AN47" s="97" t="n"/>
      <c r="AO47" s="97" t="n">
        <v>5.479419</v>
      </c>
      <c r="AP47" s="97" t="n"/>
      <c r="AQ47" s="97" t="n"/>
      <c r="AR47" s="97" t="n"/>
      <c r="AS47" s="97" t="n"/>
      <c r="AT47" s="97" t="n"/>
      <c r="AU47" s="97" t="n"/>
      <c r="AV47" s="97" t="n"/>
      <c r="AW47" s="97" t="n"/>
      <c r="AX47" s="97" t="n"/>
      <c r="AY47" s="97" t="n"/>
    </row>
    <row r="48" s="135">
      <c r="A48" t="inlineStr">
        <is>
          <t>1922-11</t>
        </is>
      </c>
      <c r="B48" s="2" t="n">
        <v>8341</v>
      </c>
      <c r="C48" s="96" t="n">
        <v>48</v>
      </c>
      <c r="D48" s="2" t="n"/>
      <c r="E48" s="2">
        <f>B48</f>
        <v/>
      </c>
      <c r="F48" s="3">
        <f>B48</f>
        <v/>
      </c>
      <c r="G48" s="96" t="n">
        <v>46</v>
      </c>
      <c r="H48" s="97" t="n"/>
      <c r="I48" s="97" t="n"/>
      <c r="J48" s="97" t="n"/>
      <c r="K48" s="97" t="n"/>
      <c r="L48" s="97" t="n"/>
      <c r="M48" s="97" t="n"/>
      <c r="N48" s="97" t="n"/>
      <c r="O48" s="97" t="n"/>
      <c r="P48" s="97" t="n"/>
      <c r="Q48" s="97" t="n"/>
      <c r="R48" s="97" t="n"/>
      <c r="S48" s="97" t="n"/>
      <c r="T48" s="97" t="n"/>
      <c r="U48" s="97" t="n"/>
      <c r="V48" s="97" t="n"/>
      <c r="W48" s="97" t="n"/>
      <c r="X48" s="97" t="n"/>
      <c r="Y48" s="97" t="n"/>
      <c r="Z48" s="97" t="n"/>
      <c r="AA48" s="97" t="n"/>
      <c r="AB48" s="97" t="n"/>
      <c r="AC48" s="97" t="n"/>
      <c r="AD48" s="97" t="n"/>
      <c r="AE48" s="97" t="n"/>
      <c r="AF48" s="97" t="n"/>
      <c r="AG48" s="97" t="n"/>
      <c r="AH48" s="97" t="n"/>
      <c r="AI48" s="97" t="n"/>
      <c r="AJ48" s="97" t="n"/>
      <c r="AK48" s="97" t="n"/>
      <c r="AL48" s="97" t="n"/>
      <c r="AM48" s="97" t="n"/>
      <c r="AN48" s="97" t="n"/>
      <c r="AO48" s="97" t="n">
        <v>5.718778</v>
      </c>
      <c r="AP48" s="97" t="n"/>
      <c r="AQ48" s="97" t="n"/>
      <c r="AR48" s="97" t="n"/>
      <c r="AS48" s="97" t="n"/>
      <c r="AT48" s="97" t="n"/>
      <c r="AU48" s="97" t="n"/>
      <c r="AV48" s="97" t="n"/>
      <c r="AW48" s="97" t="n"/>
      <c r="AX48" s="97" t="n"/>
      <c r="AY48" s="97" t="n"/>
    </row>
    <row r="49" s="135">
      <c r="A49" t="inlineStr">
        <is>
          <t>1922-12</t>
        </is>
      </c>
      <c r="B49" s="2" t="n">
        <v>8371</v>
      </c>
      <c r="C49" s="96" t="n">
        <v>49</v>
      </c>
      <c r="D49" s="2" t="n"/>
      <c r="E49" s="2">
        <f>B49</f>
        <v/>
      </c>
      <c r="F49" s="3">
        <f>B49</f>
        <v/>
      </c>
      <c r="G49" s="96" t="n">
        <v>47</v>
      </c>
      <c r="H49" s="97" t="n"/>
      <c r="I49" s="97" t="n"/>
      <c r="J49" s="97" t="n"/>
      <c r="K49" s="97" t="n"/>
      <c r="L49" s="97" t="n"/>
      <c r="M49" s="97" t="n"/>
      <c r="N49" s="97" t="n"/>
      <c r="O49" s="97" t="n"/>
      <c r="P49" s="97" t="n"/>
      <c r="Q49" s="97" t="n"/>
      <c r="R49" s="97" t="n"/>
      <c r="S49" s="97" t="n"/>
      <c r="T49" s="97" t="n"/>
      <c r="U49" s="97" t="n"/>
      <c r="V49" s="97" t="n"/>
      <c r="W49" s="97" t="n"/>
      <c r="X49" s="97" t="n"/>
      <c r="Y49" s="97" t="n"/>
      <c r="Z49" s="97" t="n"/>
      <c r="AA49" s="97" t="n"/>
      <c r="AB49" s="97" t="n"/>
      <c r="AC49" s="97" t="n"/>
      <c r="AD49" s="97" t="n"/>
      <c r="AE49" s="97" t="n"/>
      <c r="AF49" s="97" t="n"/>
      <c r="AG49" s="97" t="n"/>
      <c r="AH49" s="97" t="n"/>
      <c r="AI49" s="97" t="n"/>
      <c r="AJ49" s="97" t="n"/>
      <c r="AK49" s="97" t="n"/>
      <c r="AL49" s="97" t="n"/>
      <c r="AM49" s="97" t="n"/>
      <c r="AN49" s="97" t="n"/>
      <c r="AO49" s="97" t="n">
        <v>5.878414</v>
      </c>
      <c r="AP49" s="97" t="n"/>
      <c r="AQ49" s="97" t="n"/>
      <c r="AR49" s="97" t="n"/>
      <c r="AS49" s="97" t="n"/>
      <c r="AT49" s="97" t="n"/>
      <c r="AU49" s="97" t="n"/>
      <c r="AV49" s="97" t="n"/>
      <c r="AW49" s="97" t="n"/>
      <c r="AX49" s="97" t="n"/>
      <c r="AY49" s="97" t="n"/>
    </row>
    <row r="50" s="135">
      <c r="A50" t="inlineStr">
        <is>
          <t>1923-01</t>
        </is>
      </c>
      <c r="B50" s="2" t="n">
        <v>8402</v>
      </c>
      <c r="C50" s="96" t="n">
        <v>50</v>
      </c>
      <c r="D50" s="2" t="n"/>
      <c r="E50" s="2">
        <f>B50</f>
        <v/>
      </c>
      <c r="F50" s="3">
        <f>B50</f>
        <v/>
      </c>
      <c r="G50" s="96" t="n">
        <v>48</v>
      </c>
      <c r="H50" s="97" t="n"/>
      <c r="I50" s="97" t="n"/>
      <c r="J50" s="97" t="n"/>
      <c r="K50" s="97" t="n"/>
      <c r="L50" s="97" t="n"/>
      <c r="M50" s="97" t="n"/>
      <c r="N50" s="97" t="n"/>
      <c r="O50" s="97" t="n"/>
      <c r="P50" s="97" t="n"/>
      <c r="Q50" s="97" t="n"/>
      <c r="R50" s="97" t="n"/>
      <c r="S50" s="97" t="n"/>
      <c r="T50" s="97" t="n"/>
      <c r="U50" s="97" t="n"/>
      <c r="V50" s="97" t="n"/>
      <c r="W50" s="97" t="n"/>
      <c r="X50" s="97" t="n"/>
      <c r="Y50" s="97" t="n"/>
      <c r="Z50" s="97" t="n"/>
      <c r="AA50" s="97" t="n"/>
      <c r="AB50" s="97" t="n"/>
      <c r="AC50" s="97" t="n"/>
      <c r="AD50" s="97" t="n"/>
      <c r="AE50" s="97" t="n"/>
      <c r="AF50" s="97" t="n"/>
      <c r="AG50" s="97" t="n"/>
      <c r="AH50" s="97" t="n"/>
      <c r="AI50" s="97" t="n"/>
      <c r="AJ50" s="97" t="n"/>
      <c r="AK50" s="97" t="n"/>
      <c r="AL50" s="97" t="n"/>
      <c r="AM50" s="97" t="n"/>
      <c r="AN50" s="97" t="n"/>
      <c r="AO50" s="97" t="n">
        <v>5.745384</v>
      </c>
      <c r="AP50" s="97" t="n"/>
      <c r="AQ50" s="97" t="n"/>
      <c r="AR50" s="97" t="n"/>
      <c r="AS50" s="97" t="n"/>
      <c r="AT50" s="97" t="n"/>
      <c r="AU50" s="97" t="n"/>
      <c r="AV50" s="97" t="n"/>
      <c r="AW50" s="97" t="n"/>
      <c r="AX50" s="97" t="n"/>
      <c r="AY50" s="97" t="n"/>
    </row>
    <row r="51" s="135">
      <c r="A51" t="inlineStr">
        <is>
          <t>1923-02</t>
        </is>
      </c>
      <c r="B51" s="2" t="n">
        <v>8433</v>
      </c>
      <c r="C51" s="96" t="n">
        <v>51</v>
      </c>
      <c r="D51" s="2" t="n"/>
      <c r="E51" s="2">
        <f>B51</f>
        <v/>
      </c>
      <c r="F51" s="3">
        <f>B51</f>
        <v/>
      </c>
      <c r="G51" s="96" t="n">
        <v>49</v>
      </c>
      <c r="H51" s="97" t="n"/>
      <c r="I51" s="97" t="n"/>
      <c r="J51" s="97" t="n"/>
      <c r="K51" s="97" t="n"/>
      <c r="L51" s="97" t="n"/>
      <c r="M51" s="97" t="n"/>
      <c r="N51" s="97" t="n"/>
      <c r="O51" s="97" t="n"/>
      <c r="P51" s="97" t="n"/>
      <c r="Q51" s="97" t="n"/>
      <c r="R51" s="97" t="n"/>
      <c r="S51" s="97" t="n"/>
      <c r="T51" s="97" t="n"/>
      <c r="U51" s="97" t="n"/>
      <c r="V51" s="97" t="n"/>
      <c r="W51" s="97" t="n"/>
      <c r="X51" s="97" t="n"/>
      <c r="Y51" s="97" t="n"/>
      <c r="Z51" s="97" t="n"/>
      <c r="AA51" s="97" t="n"/>
      <c r="AB51" s="97" t="n"/>
      <c r="AC51" s="97" t="n"/>
      <c r="AD51" s="97" t="n"/>
      <c r="AE51" s="97" t="n"/>
      <c r="AF51" s="97" t="n"/>
      <c r="AG51" s="97" t="n"/>
      <c r="AH51" s="97" t="n"/>
      <c r="AI51" s="97" t="n"/>
      <c r="AJ51" s="97" t="n"/>
      <c r="AK51" s="97" t="n"/>
      <c r="AL51" s="97" t="n"/>
      <c r="AM51" s="97" t="n"/>
      <c r="AN51" s="97" t="n"/>
      <c r="AO51" s="97" t="n">
        <v>5.825202</v>
      </c>
      <c r="AP51" s="97" t="n"/>
      <c r="AQ51" s="97" t="n"/>
      <c r="AR51" s="97" t="n"/>
      <c r="AS51" s="97" t="n"/>
      <c r="AT51" s="97" t="n"/>
      <c r="AU51" s="97" t="n"/>
      <c r="AV51" s="97" t="n"/>
      <c r="AW51" s="97" t="n"/>
      <c r="AX51" s="97" t="n"/>
      <c r="AY51" s="97" t="n"/>
    </row>
    <row r="52" s="135">
      <c r="A52" t="inlineStr">
        <is>
          <t>1923-03</t>
        </is>
      </c>
      <c r="B52" s="2" t="n">
        <v>8461</v>
      </c>
      <c r="C52" s="96" t="n">
        <v>52</v>
      </c>
      <c r="D52" s="2" t="n"/>
      <c r="E52" s="2">
        <f>B52</f>
        <v/>
      </c>
      <c r="F52" s="3">
        <f>B52</f>
        <v/>
      </c>
      <c r="G52" s="96" t="n">
        <v>50</v>
      </c>
      <c r="H52" s="97" t="n"/>
      <c r="I52" s="97" t="n"/>
      <c r="J52" s="97" t="n"/>
      <c r="K52" s="97" t="n"/>
      <c r="L52" s="97" t="n"/>
      <c r="M52" s="97" t="n"/>
      <c r="N52" s="97" t="n"/>
      <c r="O52" s="97" t="n"/>
      <c r="P52" s="97" t="n"/>
      <c r="Q52" s="97" t="n"/>
      <c r="R52" s="97" t="n"/>
      <c r="S52" s="97" t="n"/>
      <c r="T52" s="97" t="n"/>
      <c r="U52" s="97" t="n"/>
      <c r="V52" s="97" t="n"/>
      <c r="W52" s="97" t="n"/>
      <c r="X52" s="97" t="n"/>
      <c r="Y52" s="97" t="n"/>
      <c r="Z52" s="97" t="n"/>
      <c r="AA52" s="97" t="n"/>
      <c r="AB52" s="97" t="n"/>
      <c r="AC52" s="97" t="n"/>
      <c r="AD52" s="97" t="n"/>
      <c r="AE52" s="97" t="n"/>
      <c r="AF52" s="97" t="n"/>
      <c r="AG52" s="97" t="n"/>
      <c r="AH52" s="97" t="n"/>
      <c r="AI52" s="97" t="n"/>
      <c r="AJ52" s="97" t="n"/>
      <c r="AK52" s="97" t="n"/>
      <c r="AL52" s="97" t="n"/>
      <c r="AM52" s="97" t="n"/>
      <c r="AN52" s="97" t="n"/>
      <c r="AO52" s="97" t="n">
        <v>6.011445</v>
      </c>
      <c r="AP52" s="97" t="n"/>
      <c r="AQ52" s="97" t="n"/>
      <c r="AR52" s="97" t="n"/>
      <c r="AS52" s="97" t="n"/>
      <c r="AT52" s="97" t="n"/>
      <c r="AU52" s="97" t="n"/>
      <c r="AV52" s="97" t="n"/>
      <c r="AW52" s="97" t="n"/>
      <c r="AX52" s="97" t="n"/>
      <c r="AY52" s="97" t="n"/>
    </row>
    <row r="53" s="135">
      <c r="A53" t="inlineStr">
        <is>
          <t>1923-04</t>
        </is>
      </c>
      <c r="B53" s="2" t="n">
        <v>8492</v>
      </c>
      <c r="C53" s="96" t="n">
        <v>53</v>
      </c>
      <c r="D53" s="2" t="n"/>
      <c r="E53" s="2">
        <f>B53</f>
        <v/>
      </c>
      <c r="F53" s="3">
        <f>B53</f>
        <v/>
      </c>
      <c r="G53" s="96" t="n">
        <v>51</v>
      </c>
      <c r="H53" s="97" t="n"/>
      <c r="I53" s="97" t="n"/>
      <c r="J53" s="97" t="n"/>
      <c r="K53" s="97" t="n"/>
      <c r="L53" s="97" t="n"/>
      <c r="M53" s="97" t="n"/>
      <c r="N53" s="97" t="n"/>
      <c r="O53" s="97" t="n"/>
      <c r="P53" s="97" t="n"/>
      <c r="Q53" s="97" t="n"/>
      <c r="R53" s="97" t="n"/>
      <c r="S53" s="97" t="n"/>
      <c r="T53" s="97" t="n"/>
      <c r="U53" s="97" t="n"/>
      <c r="V53" s="97" t="n"/>
      <c r="W53" s="97" t="n"/>
      <c r="X53" s="97" t="n"/>
      <c r="Y53" s="97" t="n"/>
      <c r="Z53" s="97" t="n"/>
      <c r="AA53" s="97" t="n"/>
      <c r="AB53" s="97" t="n"/>
      <c r="AC53" s="97" t="n"/>
      <c r="AD53" s="97" t="n"/>
      <c r="AE53" s="97" t="n"/>
      <c r="AF53" s="97" t="n"/>
      <c r="AG53" s="97" t="n"/>
      <c r="AH53" s="97" t="n"/>
      <c r="AI53" s="97" t="n"/>
      <c r="AJ53" s="97" t="n"/>
      <c r="AK53" s="97" t="n"/>
      <c r="AL53" s="97" t="n"/>
      <c r="AM53" s="97" t="n"/>
      <c r="AN53" s="97" t="n"/>
      <c r="AO53" s="97" t="n">
        <v>6.14438</v>
      </c>
      <c r="AP53" s="97" t="n"/>
      <c r="AQ53" s="97" t="n"/>
      <c r="AR53" s="97" t="n"/>
      <c r="AS53" s="97" t="n"/>
      <c r="AT53" s="97" t="n"/>
      <c r="AU53" s="97" t="n"/>
      <c r="AV53" s="97" t="n"/>
      <c r="AW53" s="97" t="n"/>
      <c r="AX53" s="97" t="n"/>
      <c r="AY53" s="97" t="n"/>
    </row>
    <row r="54" s="135">
      <c r="A54" t="inlineStr">
        <is>
          <t>1923-05</t>
        </is>
      </c>
      <c r="B54" s="2" t="n">
        <v>8522</v>
      </c>
      <c r="C54" s="96" t="n">
        <v>54</v>
      </c>
      <c r="D54" s="2" t="n"/>
      <c r="E54" s="2">
        <f>B54</f>
        <v/>
      </c>
      <c r="F54" s="3">
        <f>B54</f>
        <v/>
      </c>
      <c r="G54" s="96" t="n">
        <v>52</v>
      </c>
      <c r="H54" s="97" t="n"/>
      <c r="I54" s="97" t="n"/>
      <c r="J54" s="97" t="n"/>
      <c r="K54" s="97" t="n"/>
      <c r="L54" s="97" t="n"/>
      <c r="M54" s="97" t="n"/>
      <c r="N54" s="97" t="n"/>
      <c r="O54" s="97" t="n"/>
      <c r="P54" s="97" t="n"/>
      <c r="Q54" s="97" t="n"/>
      <c r="R54" s="97" t="n"/>
      <c r="S54" s="97" t="n"/>
      <c r="T54" s="97" t="n"/>
      <c r="U54" s="97" t="n"/>
      <c r="V54" s="97" t="n"/>
      <c r="W54" s="97" t="n"/>
      <c r="X54" s="97" t="n"/>
      <c r="Y54" s="97" t="n"/>
      <c r="Z54" s="97" t="n"/>
      <c r="AA54" s="97" t="n"/>
      <c r="AB54" s="97" t="n"/>
      <c r="AC54" s="97" t="n"/>
      <c r="AD54" s="97" t="n"/>
      <c r="AE54" s="97" t="n"/>
      <c r="AF54" s="97" t="n"/>
      <c r="AG54" s="97" t="n"/>
      <c r="AH54" s="97" t="n"/>
      <c r="AI54" s="97" t="n"/>
      <c r="AJ54" s="97" t="n"/>
      <c r="AK54" s="97" t="n"/>
      <c r="AL54" s="97" t="n"/>
      <c r="AM54" s="97" t="n"/>
      <c r="AN54" s="97" t="n"/>
      <c r="AO54" s="97" t="n">
        <v>6.224198</v>
      </c>
      <c r="AP54" s="97" t="n"/>
      <c r="AQ54" s="97" t="n"/>
      <c r="AR54" s="97" t="n"/>
      <c r="AS54" s="97" t="n">
        <v>2.027767</v>
      </c>
      <c r="AT54" s="97" t="n"/>
      <c r="AU54" s="97" t="n">
        <v>1.630733</v>
      </c>
      <c r="AV54" s="97" t="n"/>
      <c r="AW54" s="97" t="n"/>
      <c r="AX54" s="97" t="n"/>
      <c r="AY54" s="97" t="n"/>
    </row>
    <row r="55" s="135">
      <c r="A55" t="inlineStr">
        <is>
          <t>1923-06</t>
        </is>
      </c>
      <c r="B55" s="2" t="n">
        <v>8553</v>
      </c>
      <c r="C55" s="96" t="n">
        <v>55</v>
      </c>
      <c r="D55" s="2" t="n"/>
      <c r="E55" s="2">
        <f>B55</f>
        <v/>
      </c>
      <c r="F55" s="3">
        <f>B55</f>
        <v/>
      </c>
      <c r="G55" s="96" t="n">
        <v>53</v>
      </c>
      <c r="H55" s="97" t="n"/>
      <c r="I55" s="97" t="n"/>
      <c r="J55" s="97" t="n"/>
      <c r="K55" s="97" t="n"/>
      <c r="L55" s="97" t="n"/>
      <c r="M55" s="97" t="n"/>
      <c r="N55" s="97" t="n"/>
      <c r="O55" s="97" t="n"/>
      <c r="P55" s="97" t="n"/>
      <c r="Q55" s="97" t="n"/>
      <c r="R55" s="97" t="n"/>
      <c r="S55" s="97" t="n"/>
      <c r="T55" s="97" t="n"/>
      <c r="U55" s="97" t="n"/>
      <c r="V55" s="97" t="n"/>
      <c r="W55" s="97" t="n"/>
      <c r="X55" s="97" t="n"/>
      <c r="Y55" s="97" t="n"/>
      <c r="Z55" s="97" t="n"/>
      <c r="AA55" s="97" t="n"/>
      <c r="AB55" s="97" t="n"/>
      <c r="AC55" s="97" t="n"/>
      <c r="AD55" s="97" t="n"/>
      <c r="AE55" s="97" t="n"/>
      <c r="AF55" s="97" t="n"/>
      <c r="AG55" s="97" t="n"/>
      <c r="AH55" s="97" t="n"/>
      <c r="AI55" s="97" t="n"/>
      <c r="AJ55" s="97" t="n"/>
      <c r="AK55" s="97" t="n"/>
      <c r="AL55" s="97" t="n"/>
      <c r="AM55" s="97" t="n"/>
      <c r="AN55" s="97" t="n"/>
      <c r="AO55" s="97" t="n">
        <v>6.170986</v>
      </c>
      <c r="AP55" s="97" t="n"/>
      <c r="AQ55" s="97" t="n"/>
      <c r="AR55" s="97" t="n"/>
      <c r="AS55" s="97" t="n">
        <v>3.665932</v>
      </c>
      <c r="AT55" s="97" t="n"/>
      <c r="AU55" s="97" t="n">
        <v>1.842597</v>
      </c>
      <c r="AV55" s="97" t="n"/>
      <c r="AW55" s="97" t="n"/>
      <c r="AX55" s="97" t="n"/>
      <c r="AY55" s="97" t="n"/>
    </row>
    <row r="56" s="135">
      <c r="A56" t="inlineStr">
        <is>
          <t>1923-07</t>
        </is>
      </c>
      <c r="B56" s="2" t="n">
        <v>8583</v>
      </c>
      <c r="C56" s="96" t="n">
        <v>56</v>
      </c>
      <c r="D56" s="2" t="n"/>
      <c r="E56" s="2">
        <f>B56</f>
        <v/>
      </c>
      <c r="F56" s="3">
        <f>B56</f>
        <v/>
      </c>
      <c r="G56" s="96" t="n">
        <v>54</v>
      </c>
      <c r="H56" s="97" t="n"/>
      <c r="I56" s="97" t="n"/>
      <c r="J56" s="97" t="n"/>
      <c r="K56" s="97" t="n"/>
      <c r="L56" s="97" t="n"/>
      <c r="M56" s="97" t="n"/>
      <c r="N56" s="97" t="n"/>
      <c r="O56" s="97" t="n"/>
      <c r="P56" s="97" t="n"/>
      <c r="Q56" s="97" t="n"/>
      <c r="R56" s="97" t="n"/>
      <c r="S56" s="97" t="n"/>
      <c r="T56" s="97" t="n"/>
      <c r="U56" s="97" t="n"/>
      <c r="V56" s="97" t="n"/>
      <c r="W56" s="97" t="n"/>
      <c r="X56" s="97" t="n"/>
      <c r="Y56" s="97" t="n"/>
      <c r="Z56" s="97" t="n"/>
      <c r="AA56" s="97" t="n"/>
      <c r="AB56" s="97" t="n"/>
      <c r="AC56" s="97" t="n"/>
      <c r="AD56" s="97" t="n"/>
      <c r="AE56" s="97" t="n"/>
      <c r="AF56" s="97" t="n"/>
      <c r="AG56" s="97" t="n"/>
      <c r="AH56" s="97" t="n"/>
      <c r="AI56" s="97" t="n"/>
      <c r="AJ56" s="97" t="n"/>
      <c r="AK56" s="97" t="n"/>
      <c r="AL56" s="97" t="n"/>
      <c r="AM56" s="97" t="n"/>
      <c r="AN56" s="97" t="n"/>
      <c r="AO56" s="97" t="n">
        <v>6.117774</v>
      </c>
      <c r="AP56" s="97" t="n"/>
      <c r="AQ56" s="97" t="n"/>
      <c r="AR56" s="97" t="n"/>
      <c r="AS56" s="97" t="n">
        <v>0.04389</v>
      </c>
      <c r="AT56" s="97" t="n"/>
      <c r="AU56" s="97" t="n">
        <v>0.987063</v>
      </c>
      <c r="AV56" s="97" t="n"/>
      <c r="AW56" s="97" t="n"/>
      <c r="AX56" s="97" t="n"/>
      <c r="AY56" s="97" t="n"/>
    </row>
    <row r="57" s="135">
      <c r="A57" t="inlineStr">
        <is>
          <t>1923-08</t>
        </is>
      </c>
      <c r="B57" s="2" t="n">
        <v>8614</v>
      </c>
      <c r="C57" s="96" t="n">
        <v>57</v>
      </c>
      <c r="D57" s="2" t="n"/>
      <c r="E57" s="2">
        <f>B57</f>
        <v/>
      </c>
      <c r="F57" s="3">
        <f>B57</f>
        <v/>
      </c>
      <c r="G57" s="96" t="n">
        <v>55</v>
      </c>
      <c r="H57" s="97" t="n"/>
      <c r="I57" s="97" t="n"/>
      <c r="J57" s="97" t="n"/>
      <c r="K57" s="97" t="n"/>
      <c r="L57" s="97" t="n"/>
      <c r="M57" s="97" t="n"/>
      <c r="N57" s="97" t="n"/>
      <c r="O57" s="97" t="n"/>
      <c r="P57" s="97" t="n"/>
      <c r="Q57" s="97" t="n"/>
      <c r="R57" s="97" t="n"/>
      <c r="S57" s="97" t="n"/>
      <c r="T57" s="97" t="n"/>
      <c r="U57" s="97" t="n"/>
      <c r="V57" s="97" t="n"/>
      <c r="W57" s="97" t="n"/>
      <c r="X57" s="97" t="n"/>
      <c r="Y57" s="97" t="n"/>
      <c r="Z57" s="97" t="n"/>
      <c r="AA57" s="97" t="n"/>
      <c r="AB57" s="97" t="n"/>
      <c r="AC57" s="97" t="n"/>
      <c r="AD57" s="97" t="n"/>
      <c r="AE57" s="97" t="n"/>
      <c r="AF57" s="97" t="n"/>
      <c r="AG57" s="97" t="n"/>
      <c r="AH57" s="97" t="n"/>
      <c r="AI57" s="97" t="n"/>
      <c r="AJ57" s="97" t="n"/>
      <c r="AK57" s="97" t="n"/>
      <c r="AL57" s="97" t="n"/>
      <c r="AM57" s="97" t="n"/>
      <c r="AN57" s="97" t="n"/>
      <c r="AO57" s="97" t="n">
        <v>6.011445</v>
      </c>
      <c r="AP57" s="97" t="n"/>
      <c r="AQ57" s="97" t="n"/>
      <c r="AR57" s="97" t="n"/>
      <c r="AS57" s="97" t="n">
        <v>3.421946</v>
      </c>
      <c r="AT57" s="97" t="n"/>
      <c r="AU57" s="97" t="n">
        <v>0.72532</v>
      </c>
      <c r="AV57" s="97" t="n"/>
      <c r="AW57" s="97" t="n"/>
      <c r="AX57" s="97" t="n"/>
      <c r="AY57" s="97" t="n"/>
    </row>
    <row r="58" s="135">
      <c r="A58" t="inlineStr">
        <is>
          <t>1923-09</t>
        </is>
      </c>
      <c r="B58" s="2" t="n">
        <v>8645</v>
      </c>
      <c r="C58" s="96" t="n">
        <v>58</v>
      </c>
      <c r="D58" s="2" t="n"/>
      <c r="E58" s="2">
        <f>B58</f>
        <v/>
      </c>
      <c r="F58" s="3">
        <f>B58</f>
        <v/>
      </c>
      <c r="G58" s="96" t="n">
        <v>56</v>
      </c>
      <c r="H58" s="97" t="n"/>
      <c r="I58" s="97" t="n"/>
      <c r="J58" s="97" t="n"/>
      <c r="K58" s="97" t="n"/>
      <c r="L58" s="97" t="n"/>
      <c r="M58" s="97" t="n"/>
      <c r="N58" s="97" t="n"/>
      <c r="O58" s="97" t="n"/>
      <c r="P58" s="97" t="n"/>
      <c r="Q58" s="97" t="n"/>
      <c r="R58" s="97" t="n"/>
      <c r="S58" s="97" t="n"/>
      <c r="T58" s="97" t="n"/>
      <c r="U58" s="97" t="n"/>
      <c r="V58" s="97" t="n"/>
      <c r="W58" s="97" t="n"/>
      <c r="X58" s="97" t="n"/>
      <c r="Y58" s="97" t="n"/>
      <c r="Z58" s="97" t="n"/>
      <c r="AA58" s="97" t="n"/>
      <c r="AB58" s="97" t="n"/>
      <c r="AC58" s="97" t="n"/>
      <c r="AD58" s="97" t="n"/>
      <c r="AE58" s="97" t="n"/>
      <c r="AF58" s="97" t="n"/>
      <c r="AG58" s="97" t="n"/>
      <c r="AH58" s="97" t="n"/>
      <c r="AI58" s="97" t="n"/>
      <c r="AJ58" s="97" t="n"/>
      <c r="AK58" s="97" t="n"/>
      <c r="AL58" s="97" t="n"/>
      <c r="AM58" s="97" t="n"/>
      <c r="AN58" s="97" t="n"/>
      <c r="AO58" s="97" t="n">
        <v>5.878414</v>
      </c>
      <c r="AP58" s="97" t="n"/>
      <c r="AQ58" s="97" t="n"/>
      <c r="AR58" s="97" t="n"/>
      <c r="AS58" s="97" t="n">
        <v>1.355571</v>
      </c>
      <c r="AT58" s="97" t="n"/>
      <c r="AU58" s="97" t="n">
        <v>-0.436987</v>
      </c>
      <c r="AV58" s="97" t="n"/>
      <c r="AW58" s="97" t="n"/>
      <c r="AX58" s="97" t="n"/>
      <c r="AY58" s="97" t="n"/>
    </row>
    <row r="59" s="135">
      <c r="A59" t="inlineStr">
        <is>
          <t>1923-10</t>
        </is>
      </c>
      <c r="B59" s="2" t="n">
        <v>8675</v>
      </c>
      <c r="C59" s="96" t="n">
        <v>59</v>
      </c>
      <c r="D59" s="2" t="n"/>
      <c r="E59" s="2">
        <f>B59</f>
        <v/>
      </c>
      <c r="F59" s="3">
        <f>B59</f>
        <v/>
      </c>
      <c r="G59" s="96" t="n">
        <v>57</v>
      </c>
      <c r="H59" s="97" t="n"/>
      <c r="I59" s="97" t="n"/>
      <c r="J59" s="97" t="n"/>
      <c r="K59" s="97" t="n"/>
      <c r="L59" s="97" t="n"/>
      <c r="M59" s="97" t="n"/>
      <c r="N59" s="97" t="n"/>
      <c r="O59" s="97" t="n"/>
      <c r="P59" s="97" t="n"/>
      <c r="Q59" s="97" t="n"/>
      <c r="R59" s="97" t="n"/>
      <c r="S59" s="97" t="n"/>
      <c r="T59" s="97" t="n"/>
      <c r="U59" s="97" t="n"/>
      <c r="V59" s="97" t="n"/>
      <c r="W59" s="97" t="n"/>
      <c r="X59" s="97" t="n"/>
      <c r="Y59" s="97" t="n"/>
      <c r="Z59" s="97" t="n"/>
      <c r="AA59" s="97" t="n"/>
      <c r="AB59" s="97" t="n"/>
      <c r="AC59" s="97" t="n"/>
      <c r="AD59" s="97" t="n"/>
      <c r="AE59" s="97" t="n"/>
      <c r="AF59" s="97" t="n"/>
      <c r="AG59" s="97" t="n"/>
      <c r="AH59" s="97" t="n"/>
      <c r="AI59" s="97" t="n"/>
      <c r="AJ59" s="97" t="n"/>
      <c r="AK59" s="97" t="n"/>
      <c r="AL59" s="97" t="n"/>
      <c r="AM59" s="97" t="n"/>
      <c r="AN59" s="97" t="n"/>
      <c r="AO59" s="97" t="n">
        <v>5.851808</v>
      </c>
      <c r="AP59" s="97" t="n"/>
      <c r="AQ59" s="97" t="n"/>
      <c r="AR59" s="97" t="n"/>
      <c r="AS59" s="97" t="n">
        <v>1.242126</v>
      </c>
      <c r="AT59" s="97" t="n"/>
      <c r="AU59" s="97" t="n">
        <v>2.233625</v>
      </c>
      <c r="AV59" s="97" t="n"/>
      <c r="AW59" s="97" t="n"/>
      <c r="AX59" s="97" t="n"/>
      <c r="AY59" s="97" t="n"/>
    </row>
    <row r="60" s="135">
      <c r="A60" t="inlineStr">
        <is>
          <t>1923-11</t>
        </is>
      </c>
      <c r="B60" s="2" t="n">
        <v>8706</v>
      </c>
      <c r="C60" s="96" t="n">
        <v>60</v>
      </c>
      <c r="D60" s="2" t="n"/>
      <c r="E60" s="2">
        <f>B60</f>
        <v/>
      </c>
      <c r="F60" s="3">
        <f>B60</f>
        <v/>
      </c>
      <c r="G60" s="96" t="n">
        <v>58</v>
      </c>
      <c r="H60" s="97" t="n"/>
      <c r="I60" s="97" t="n"/>
      <c r="J60" s="97" t="n"/>
      <c r="K60" s="97" t="n"/>
      <c r="L60" s="97" t="n"/>
      <c r="M60" s="97" t="n"/>
      <c r="N60" s="97" t="n"/>
      <c r="O60" s="97" t="n"/>
      <c r="P60" s="97" t="n"/>
      <c r="Q60" s="97" t="n"/>
      <c r="R60" s="97" t="n"/>
      <c r="S60" s="97" t="n"/>
      <c r="T60" s="97" t="n"/>
      <c r="U60" s="97" t="n"/>
      <c r="V60" s="97" t="n"/>
      <c r="W60" s="97" t="n"/>
      <c r="X60" s="97" t="n"/>
      <c r="Y60" s="97" t="n"/>
      <c r="Z60" s="97" t="n"/>
      <c r="AA60" s="97" t="n"/>
      <c r="AB60" s="97" t="n"/>
      <c r="AC60" s="97" t="n"/>
      <c r="AD60" s="97" t="n"/>
      <c r="AE60" s="97" t="n"/>
      <c r="AF60" s="97" t="n"/>
      <c r="AG60" s="97" t="n"/>
      <c r="AH60" s="97" t="n"/>
      <c r="AI60" s="97" t="n"/>
      <c r="AJ60" s="97" t="n"/>
      <c r="AK60" s="97" t="n"/>
      <c r="AL60" s="97" t="n"/>
      <c r="AM60" s="97" t="n"/>
      <c r="AN60" s="97" t="n"/>
      <c r="AO60" s="97" t="n">
        <v>5.851808</v>
      </c>
      <c r="AP60" s="97" t="n"/>
      <c r="AQ60" s="97" t="n"/>
      <c r="AR60" s="97" t="n"/>
      <c r="AS60" s="97" t="n">
        <v>1.958044</v>
      </c>
      <c r="AT60" s="97" t="n"/>
      <c r="AU60" s="97" t="n">
        <v>0.909</v>
      </c>
      <c r="AV60" s="97" t="n"/>
      <c r="AW60" s="97" t="n"/>
      <c r="AX60" s="97" t="n"/>
      <c r="AY60" s="97" t="n"/>
    </row>
    <row r="61" s="135">
      <c r="A61" t="inlineStr">
        <is>
          <t>1923-12</t>
        </is>
      </c>
      <c r="B61" s="2" t="n">
        <v>8736</v>
      </c>
      <c r="C61" s="96" t="n">
        <v>61</v>
      </c>
      <c r="D61" s="2" t="n"/>
      <c r="E61" s="2">
        <f>B61</f>
        <v/>
      </c>
      <c r="F61" s="3">
        <f>B61</f>
        <v/>
      </c>
      <c r="G61" s="96" t="n">
        <v>59</v>
      </c>
      <c r="H61" s="97" t="n"/>
      <c r="I61" s="97" t="n"/>
      <c r="J61" s="97" t="n"/>
      <c r="K61" s="97" t="n"/>
      <c r="L61" s="97" t="n"/>
      <c r="M61" s="97" t="n"/>
      <c r="N61" s="97" t="n"/>
      <c r="O61" s="97" t="n"/>
      <c r="P61" s="97" t="n"/>
      <c r="Q61" s="97" t="n"/>
      <c r="R61" s="97" t="n"/>
      <c r="S61" s="97" t="n"/>
      <c r="T61" s="97" t="n"/>
      <c r="U61" s="97" t="n"/>
      <c r="V61" s="97" t="n"/>
      <c r="W61" s="97" t="n"/>
      <c r="X61" s="97" t="n"/>
      <c r="Y61" s="97" t="n"/>
      <c r="Z61" s="97" t="n"/>
      <c r="AA61" s="97" t="n"/>
      <c r="AB61" s="97" t="n"/>
      <c r="AC61" s="97" t="n"/>
      <c r="AD61" s="97" t="n"/>
      <c r="AE61" s="97" t="n"/>
      <c r="AF61" s="97" t="n"/>
      <c r="AG61" s="97" t="n"/>
      <c r="AH61" s="97" t="n"/>
      <c r="AI61" s="97" t="n"/>
      <c r="AJ61" s="97" t="n"/>
      <c r="AK61" s="97" t="n"/>
      <c r="AL61" s="97" t="n"/>
      <c r="AM61" s="97" t="n"/>
      <c r="AN61" s="97" t="n"/>
      <c r="AO61" s="97" t="n">
        <v>5.718778</v>
      </c>
      <c r="AP61" s="97" t="n"/>
      <c r="AQ61" s="97" t="n"/>
      <c r="AR61" s="97" t="n"/>
      <c r="AS61" s="97" t="n">
        <v>0.575396</v>
      </c>
      <c r="AT61" s="97" t="n"/>
      <c r="AU61" s="97" t="n">
        <v>2.586581</v>
      </c>
      <c r="AV61" s="97" t="n"/>
      <c r="AW61" s="97" t="n"/>
      <c r="AX61" s="97" t="n"/>
      <c r="AY61" s="97" t="n"/>
    </row>
    <row r="62" s="135">
      <c r="A62" t="inlineStr">
        <is>
          <t>1924-01</t>
        </is>
      </c>
      <c r="B62" s="2" t="n">
        <v>8767</v>
      </c>
      <c r="C62" s="96" t="n">
        <v>62</v>
      </c>
      <c r="D62" s="2" t="n"/>
      <c r="E62" s="2">
        <f>B62</f>
        <v/>
      </c>
      <c r="F62" s="3">
        <f>B62</f>
        <v/>
      </c>
      <c r="G62" s="96" t="n">
        <v>60</v>
      </c>
      <c r="H62" s="97" t="n"/>
      <c r="I62" s="97" t="n"/>
      <c r="J62" s="97" t="n"/>
      <c r="K62" s="97" t="n"/>
      <c r="L62" s="97" t="n"/>
      <c r="M62" s="97" t="n"/>
      <c r="N62" s="97" t="n"/>
      <c r="O62" s="97" t="n"/>
      <c r="P62" s="97" t="n"/>
      <c r="Q62" s="97" t="n"/>
      <c r="R62" s="97" t="n"/>
      <c r="S62" s="97" t="n"/>
      <c r="T62" s="97" t="n"/>
      <c r="U62" s="97" t="n"/>
      <c r="V62" s="97" t="n"/>
      <c r="W62" s="97" t="n"/>
      <c r="X62" s="97" t="n"/>
      <c r="Y62" s="97" t="n"/>
      <c r="Z62" s="97" t="n"/>
      <c r="AA62" s="97" t="n"/>
      <c r="AB62" s="97" t="n"/>
      <c r="AC62" s="97" t="n"/>
      <c r="AD62" s="97" t="n"/>
      <c r="AE62" s="97" t="n"/>
      <c r="AF62" s="97" t="n"/>
      <c r="AG62" s="97" t="n"/>
      <c r="AH62" s="97" t="n"/>
      <c r="AI62" s="97" t="n"/>
      <c r="AJ62" s="97" t="n"/>
      <c r="AK62" s="97" t="n"/>
      <c r="AL62" s="97" t="n"/>
      <c r="AM62" s="97" t="n"/>
      <c r="AN62" s="97" t="n"/>
      <c r="AO62" s="97" t="n">
        <v>5.851808</v>
      </c>
      <c r="AP62" s="97" t="n"/>
      <c r="AQ62" s="97" t="n"/>
      <c r="AR62" s="97" t="n"/>
      <c r="AS62" s="97" t="n">
        <v>1.155195</v>
      </c>
      <c r="AT62" s="97" t="n"/>
      <c r="AU62" s="97" t="n">
        <v>0.640571</v>
      </c>
      <c r="AV62" s="97" t="n"/>
      <c r="AW62" s="97" t="n"/>
      <c r="AX62" s="97" t="n"/>
      <c r="AY62" s="97" t="n"/>
    </row>
    <row r="63" s="135">
      <c r="A63" t="inlineStr">
        <is>
          <t>1924-02</t>
        </is>
      </c>
      <c r="B63" s="2" t="n">
        <v>8798</v>
      </c>
      <c r="C63" s="96" t="n">
        <v>63</v>
      </c>
      <c r="D63" s="2" t="n"/>
      <c r="E63" s="2">
        <f>B63</f>
        <v/>
      </c>
      <c r="F63" s="3">
        <f>B63</f>
        <v/>
      </c>
      <c r="G63" s="96" t="n">
        <v>61</v>
      </c>
      <c r="H63" s="97" t="n"/>
      <c r="I63" s="97" t="n"/>
      <c r="J63" s="97" t="n"/>
      <c r="K63" s="97" t="n"/>
      <c r="L63" s="97" t="n"/>
      <c r="M63" s="97" t="n"/>
      <c r="N63" s="97" t="n"/>
      <c r="O63" s="97" t="n"/>
      <c r="P63" s="97" t="n"/>
      <c r="Q63" s="97" t="n"/>
      <c r="R63" s="97" t="n"/>
      <c r="S63" s="97" t="n"/>
      <c r="T63" s="97" t="n"/>
      <c r="U63" s="97" t="n"/>
      <c r="V63" s="97" t="n"/>
      <c r="W63" s="97" t="n"/>
      <c r="X63" s="97" t="n"/>
      <c r="Y63" s="97" t="n"/>
      <c r="Z63" s="97" t="n"/>
      <c r="AA63" s="97" t="n"/>
      <c r="AB63" s="97" t="n"/>
      <c r="AC63" s="97" t="n"/>
      <c r="AD63" s="97" t="n"/>
      <c r="AE63" s="97" t="n"/>
      <c r="AF63" s="97" t="n"/>
      <c r="AG63" s="97" t="n"/>
      <c r="AH63" s="97" t="n"/>
      <c r="AI63" s="97" t="n"/>
      <c r="AJ63" s="97" t="n"/>
      <c r="AK63" s="97" t="n"/>
      <c r="AL63" s="97" t="n"/>
      <c r="AM63" s="97" t="n"/>
      <c r="AN63" s="97" t="n"/>
      <c r="AO63" s="97" t="n">
        <v>5.958233</v>
      </c>
      <c r="AP63" s="97" t="n"/>
      <c r="AQ63" s="97" t="n"/>
      <c r="AR63" s="97" t="n"/>
      <c r="AS63" s="97" t="n">
        <v>1.370741</v>
      </c>
      <c r="AT63" s="97" t="n"/>
      <c r="AU63" s="97" t="n">
        <v>1.952028</v>
      </c>
      <c r="AV63" s="97" t="n"/>
      <c r="AW63" s="97" t="n"/>
      <c r="AX63" s="97" t="n"/>
      <c r="AY63" s="97" t="n"/>
    </row>
    <row r="64" s="135">
      <c r="A64" t="inlineStr">
        <is>
          <t>1924-03</t>
        </is>
      </c>
      <c r="B64" s="2" t="n">
        <v>8827</v>
      </c>
      <c r="C64" s="96" t="n">
        <v>64</v>
      </c>
      <c r="D64" s="2" t="n"/>
      <c r="E64" s="2">
        <f>B64</f>
        <v/>
      </c>
      <c r="F64" s="3">
        <f>B64</f>
        <v/>
      </c>
      <c r="G64" s="96" t="n">
        <v>62</v>
      </c>
      <c r="H64" s="97" t="n"/>
      <c r="I64" s="97" t="n"/>
      <c r="J64" s="97" t="n"/>
      <c r="K64" s="97" t="n"/>
      <c r="L64" s="97" t="n"/>
      <c r="M64" s="97" t="n"/>
      <c r="N64" s="97" t="n"/>
      <c r="O64" s="97" t="n"/>
      <c r="P64" s="97" t="n"/>
      <c r="Q64" s="97" t="n"/>
      <c r="R64" s="97" t="n"/>
      <c r="S64" s="97" t="n"/>
      <c r="T64" s="97" t="n"/>
      <c r="U64" s="97" t="n"/>
      <c r="V64" s="97" t="n"/>
      <c r="W64" s="97" t="n"/>
      <c r="X64" s="97" t="n"/>
      <c r="Y64" s="97" t="n"/>
      <c r="Z64" s="97" t="n"/>
      <c r="AA64" s="97" t="n"/>
      <c r="AB64" s="97" t="n"/>
      <c r="AC64" s="97" t="n"/>
      <c r="AD64" s="97" t="n"/>
      <c r="AE64" s="97" t="n"/>
      <c r="AF64" s="97" t="n"/>
      <c r="AG64" s="97" t="n"/>
      <c r="AH64" s="97" t="n"/>
      <c r="AI64" s="97" t="n"/>
      <c r="AJ64" s="97" t="n"/>
      <c r="AK64" s="97" t="n"/>
      <c r="AL64" s="97" t="n"/>
      <c r="AM64" s="97" t="n"/>
      <c r="AN64" s="97" t="n"/>
      <c r="AO64" s="97" t="n">
        <v>5.851808</v>
      </c>
      <c r="AP64" s="97" t="n"/>
      <c r="AQ64" s="97" t="n"/>
      <c r="AR64" s="97" t="n"/>
      <c r="AS64" s="97" t="n">
        <v>0.645239</v>
      </c>
      <c r="AT64" s="97" t="n"/>
      <c r="AU64" s="97" t="n">
        <v>1.280861</v>
      </c>
      <c r="AV64" s="97" t="n"/>
      <c r="AW64" s="97" t="n"/>
      <c r="AX64" s="97" t="n"/>
      <c r="AY64" s="97" t="n"/>
    </row>
    <row r="65" s="135">
      <c r="A65" t="inlineStr">
        <is>
          <t>1924-04</t>
        </is>
      </c>
      <c r="B65" s="2" t="n">
        <v>8858</v>
      </c>
      <c r="C65" s="96" t="n">
        <v>65</v>
      </c>
      <c r="D65" s="2" t="n"/>
      <c r="E65" s="2">
        <f>B65</f>
        <v/>
      </c>
      <c r="F65" s="3">
        <f>B65</f>
        <v/>
      </c>
      <c r="G65" s="96" t="n">
        <v>63</v>
      </c>
      <c r="H65" s="97" t="n"/>
      <c r="I65" s="97" t="n"/>
      <c r="J65" s="97" t="n"/>
      <c r="K65" s="97" t="n"/>
      <c r="L65" s="97" t="n"/>
      <c r="M65" s="97" t="n"/>
      <c r="N65" s="97" t="n"/>
      <c r="O65" s="97" t="n"/>
      <c r="P65" s="97" t="n"/>
      <c r="Q65" s="97" t="n"/>
      <c r="R65" s="97" t="n"/>
      <c r="S65" s="97" t="n"/>
      <c r="T65" s="97" t="n"/>
      <c r="U65" s="97" t="n"/>
      <c r="V65" s="97" t="n"/>
      <c r="W65" s="97" t="n"/>
      <c r="X65" s="97" t="n"/>
      <c r="Y65" s="97" t="n"/>
      <c r="Z65" s="97" t="n"/>
      <c r="AA65" s="97" t="n"/>
      <c r="AB65" s="97" t="n"/>
      <c r="AC65" s="97" t="n"/>
      <c r="AD65" s="97" t="n"/>
      <c r="AE65" s="97" t="n"/>
      <c r="AF65" s="97" t="n"/>
      <c r="AG65" s="97" t="n"/>
      <c r="AH65" s="97" t="n"/>
      <c r="AI65" s="97" t="n"/>
      <c r="AJ65" s="97" t="n"/>
      <c r="AK65" s="97" t="n"/>
      <c r="AL65" s="97" t="n"/>
      <c r="AM65" s="97" t="n"/>
      <c r="AN65" s="97" t="n"/>
      <c r="AO65" s="97" t="n">
        <v>5.665661</v>
      </c>
      <c r="AP65" s="97" t="n"/>
      <c r="AQ65" s="97" t="n"/>
      <c r="AR65" s="97" t="n"/>
      <c r="AS65" s="97" t="n">
        <v>-0.905599</v>
      </c>
      <c r="AT65" s="97" t="n"/>
      <c r="AU65" s="97" t="n">
        <v>1.322738</v>
      </c>
      <c r="AV65" s="97" t="n"/>
      <c r="AW65" s="97" t="n"/>
      <c r="AX65" s="97" t="n"/>
      <c r="AY65" s="97" t="n"/>
    </row>
    <row r="66" s="135">
      <c r="A66" t="inlineStr">
        <is>
          <t>1924-05</t>
        </is>
      </c>
      <c r="B66" s="2" t="n">
        <v>8888</v>
      </c>
      <c r="C66" s="96" t="n">
        <v>66</v>
      </c>
      <c r="D66" s="2" t="n"/>
      <c r="E66" s="2">
        <f>B66</f>
        <v/>
      </c>
      <c r="F66" s="3">
        <f>B66</f>
        <v/>
      </c>
      <c r="G66" s="96" t="n">
        <v>64</v>
      </c>
      <c r="H66" s="97" t="n"/>
      <c r="I66" s="97" t="n"/>
      <c r="J66" s="97" t="n"/>
      <c r="K66" s="97" t="n"/>
      <c r="L66" s="97" t="n"/>
      <c r="M66" s="97" t="n"/>
      <c r="N66" s="97" t="n"/>
      <c r="O66" s="97" t="n"/>
      <c r="P66" s="97" t="n"/>
      <c r="Q66" s="97" t="n"/>
      <c r="R66" s="97" t="n"/>
      <c r="S66" s="97" t="n"/>
      <c r="T66" s="97" t="n"/>
      <c r="U66" s="97" t="n"/>
      <c r="V66" s="97" t="n"/>
      <c r="W66" s="97" t="n"/>
      <c r="X66" s="97" t="n"/>
      <c r="Y66" s="97" t="n"/>
      <c r="Z66" s="97" t="n"/>
      <c r="AA66" s="97" t="n"/>
      <c r="AB66" s="97" t="n"/>
      <c r="AC66" s="97" t="n"/>
      <c r="AD66" s="97" t="n"/>
      <c r="AE66" s="97" t="n"/>
      <c r="AF66" s="97" t="n"/>
      <c r="AG66" s="97" t="n"/>
      <c r="AH66" s="97" t="n"/>
      <c r="AI66" s="97" t="n"/>
      <c r="AJ66" s="97" t="n"/>
      <c r="AK66" s="97" t="n"/>
      <c r="AL66" s="97" t="n"/>
      <c r="AM66" s="97" t="n"/>
      <c r="AN66" s="97" t="n"/>
      <c r="AO66" s="97" t="n">
        <v>5.426207</v>
      </c>
      <c r="AP66" s="97" t="n"/>
      <c r="AQ66" s="97" t="n"/>
      <c r="AR66" s="97" t="n"/>
      <c r="AS66" s="97" t="n">
        <v>3.835381</v>
      </c>
      <c r="AT66" s="97" t="n"/>
      <c r="AU66" s="97" t="n">
        <v>2.644227</v>
      </c>
      <c r="AV66" s="97" t="n"/>
      <c r="AW66" s="97" t="n"/>
      <c r="AX66" s="97" t="n"/>
      <c r="AY66" s="97" t="n"/>
    </row>
    <row r="67" s="135">
      <c r="A67" t="inlineStr">
        <is>
          <t>1924-06</t>
        </is>
      </c>
      <c r="B67" s="2" t="n">
        <v>8919</v>
      </c>
      <c r="C67" s="96" t="n">
        <v>67</v>
      </c>
      <c r="D67" s="2" t="n"/>
      <c r="E67" s="2">
        <f>B67</f>
        <v/>
      </c>
      <c r="F67" s="3">
        <f>B67</f>
        <v/>
      </c>
      <c r="G67" s="96" t="n">
        <v>65</v>
      </c>
      <c r="H67" s="97" t="n"/>
      <c r="I67" s="97" t="n"/>
      <c r="J67" s="97" t="n"/>
      <c r="K67" s="97" t="n"/>
      <c r="L67" s="97" t="n"/>
      <c r="M67" s="97" t="n"/>
      <c r="N67" s="97" t="n"/>
      <c r="O67" s="97" t="n"/>
      <c r="P67" s="97" t="n"/>
      <c r="Q67" s="97" t="n"/>
      <c r="R67" s="97" t="n"/>
      <c r="S67" s="97" t="n"/>
      <c r="T67" s="97" t="n"/>
      <c r="U67" s="97" t="n"/>
      <c r="V67" s="97" t="n"/>
      <c r="W67" s="97" t="n"/>
      <c r="X67" s="97" t="n"/>
      <c r="Y67" s="97" t="n"/>
      <c r="Z67" s="97" t="n"/>
      <c r="AA67" s="97" t="n"/>
      <c r="AB67" s="97" t="n"/>
      <c r="AC67" s="97" t="n"/>
      <c r="AD67" s="97" t="n"/>
      <c r="AE67" s="97" t="n"/>
      <c r="AF67" s="97" t="n"/>
      <c r="AG67" s="97" t="n"/>
      <c r="AH67" s="97" t="n"/>
      <c r="AI67" s="97" t="n"/>
      <c r="AJ67" s="97" t="n"/>
      <c r="AK67" s="97" t="n"/>
      <c r="AL67" s="97" t="n"/>
      <c r="AM67" s="97" t="n"/>
      <c r="AN67" s="97" t="n"/>
      <c r="AO67" s="97" t="n">
        <v>5.186848</v>
      </c>
      <c r="AP67" s="97" t="n"/>
      <c r="AQ67" s="97" t="n"/>
      <c r="AR67" s="97" t="n"/>
      <c r="AS67" s="97" t="n">
        <v>2.228738</v>
      </c>
      <c r="AT67" s="97" t="n"/>
      <c r="AU67" s="97" t="n">
        <v>2.639167</v>
      </c>
      <c r="AV67" s="97" t="n"/>
      <c r="AW67" s="97" t="n"/>
      <c r="AX67" s="97" t="n"/>
      <c r="AY67" s="97" t="n"/>
    </row>
    <row r="68" s="135">
      <c r="A68" t="inlineStr">
        <is>
          <t>1924-07</t>
        </is>
      </c>
      <c r="B68" s="2" t="n">
        <v>8949</v>
      </c>
      <c r="C68" s="96" t="n">
        <v>68</v>
      </c>
      <c r="D68" s="2" t="n"/>
      <c r="E68" s="2">
        <f>B68</f>
        <v/>
      </c>
      <c r="F68" s="3">
        <f>B68</f>
        <v/>
      </c>
      <c r="G68" s="96" t="n">
        <v>66</v>
      </c>
      <c r="H68" s="97" t="n"/>
      <c r="I68" s="97" t="n"/>
      <c r="J68" s="97" t="n"/>
      <c r="K68" s="97" t="n"/>
      <c r="L68" s="97" t="n"/>
      <c r="M68" s="97" t="n"/>
      <c r="N68" s="97" t="n"/>
      <c r="O68" s="97" t="n"/>
      <c r="P68" s="97" t="n"/>
      <c r="Q68" s="97" t="n"/>
      <c r="R68" s="97" t="n"/>
      <c r="S68" s="97" t="n"/>
      <c r="T68" s="97" t="n"/>
      <c r="U68" s="97" t="n"/>
      <c r="V68" s="97" t="n"/>
      <c r="W68" s="97" t="n"/>
      <c r="X68" s="97" t="n"/>
      <c r="Y68" s="97" t="n"/>
      <c r="Z68" s="97" t="n"/>
      <c r="AA68" s="97" t="n"/>
      <c r="AB68" s="97" t="n"/>
      <c r="AC68" s="97" t="n"/>
      <c r="AD68" s="97" t="n"/>
      <c r="AE68" s="97" t="n"/>
      <c r="AF68" s="97" t="n"/>
      <c r="AG68" s="97" t="n"/>
      <c r="AH68" s="97" t="n"/>
      <c r="AI68" s="97" t="n"/>
      <c r="AJ68" s="97" t="n"/>
      <c r="AK68" s="97" t="n"/>
      <c r="AL68" s="97" t="n"/>
      <c r="AM68" s="97" t="n"/>
      <c r="AN68" s="97" t="n"/>
      <c r="AO68" s="97" t="n">
        <v>5.107029</v>
      </c>
      <c r="AP68" s="97" t="n"/>
      <c r="AQ68" s="97" t="n"/>
      <c r="AR68" s="97" t="n"/>
      <c r="AS68" s="97" t="n">
        <v>1.086478</v>
      </c>
      <c r="AT68" s="97" t="n"/>
      <c r="AU68" s="97" t="n">
        <v>1.762171</v>
      </c>
      <c r="AV68" s="97" t="n"/>
      <c r="AW68" s="97" t="n"/>
      <c r="AX68" s="97" t="n"/>
      <c r="AY68" s="97" t="n"/>
    </row>
    <row r="69" s="135">
      <c r="A69" t="inlineStr">
        <is>
          <t>1924-08</t>
        </is>
      </c>
      <c r="B69" s="2" t="n">
        <v>8980</v>
      </c>
      <c r="C69" s="96" t="n">
        <v>69</v>
      </c>
      <c r="D69" s="2" t="n"/>
      <c r="E69" s="2">
        <f>B69</f>
        <v/>
      </c>
      <c r="F69" s="3">
        <f>B69</f>
        <v/>
      </c>
      <c r="G69" s="96" t="n">
        <v>67</v>
      </c>
      <c r="H69" s="97" t="n"/>
      <c r="I69" s="97" t="n"/>
      <c r="J69" s="97" t="n"/>
      <c r="K69" s="97" t="n"/>
      <c r="L69" s="97" t="n"/>
      <c r="M69" s="97" t="n"/>
      <c r="N69" s="97" t="n"/>
      <c r="O69" s="97" t="n"/>
      <c r="P69" s="97" t="n"/>
      <c r="Q69" s="97" t="n"/>
      <c r="R69" s="97" t="n"/>
      <c r="S69" s="97" t="n"/>
      <c r="T69" s="97" t="n"/>
      <c r="U69" s="97" t="n"/>
      <c r="V69" s="97" t="n"/>
      <c r="W69" s="97" t="n"/>
      <c r="X69" s="97" t="n"/>
      <c r="Y69" s="97" t="n"/>
      <c r="Z69" s="97" t="n"/>
      <c r="AA69" s="97" t="n"/>
      <c r="AB69" s="97" t="n"/>
      <c r="AC69" s="97" t="n"/>
      <c r="AD69" s="97" t="n"/>
      <c r="AE69" s="97" t="n"/>
      <c r="AF69" s="97" t="n"/>
      <c r="AG69" s="97" t="n"/>
      <c r="AH69" s="97" t="n"/>
      <c r="AI69" s="97" t="n"/>
      <c r="AJ69" s="97" t="n"/>
      <c r="AK69" s="97" t="n"/>
      <c r="AL69" s="97" t="n"/>
      <c r="AM69" s="97" t="n"/>
      <c r="AN69" s="97" t="n"/>
      <c r="AO69" s="97" t="n">
        <v>5.293272</v>
      </c>
      <c r="AP69" s="97" t="n"/>
      <c r="AQ69" s="97" t="n"/>
      <c r="AR69" s="97" t="n"/>
      <c r="AS69" s="97" t="n">
        <v>0.124763</v>
      </c>
      <c r="AT69" s="97" t="n"/>
      <c r="AU69" s="97" t="n">
        <v>1.873092</v>
      </c>
      <c r="AV69" s="97" t="n"/>
      <c r="AW69" s="97" t="n"/>
      <c r="AX69" s="97" t="n"/>
      <c r="AY69" s="97" t="n"/>
    </row>
    <row r="70" s="135">
      <c r="A70" t="inlineStr">
        <is>
          <t>1924-09</t>
        </is>
      </c>
      <c r="B70" s="2" t="n">
        <v>9011</v>
      </c>
      <c r="C70" s="96" t="n">
        <v>70</v>
      </c>
      <c r="D70" s="2" t="n"/>
      <c r="E70" s="2">
        <f>B70</f>
        <v/>
      </c>
      <c r="F70" s="3">
        <f>B70</f>
        <v/>
      </c>
      <c r="G70" s="96" t="n">
        <v>68</v>
      </c>
      <c r="H70" s="97" t="n"/>
      <c r="I70" s="97" t="n"/>
      <c r="J70" s="97" t="n"/>
      <c r="K70" s="97" t="n"/>
      <c r="L70" s="97" t="n"/>
      <c r="M70" s="97" t="n"/>
      <c r="N70" s="97" t="n"/>
      <c r="O70" s="97" t="n"/>
      <c r="P70" s="97" t="n"/>
      <c r="Q70" s="97" t="n"/>
      <c r="R70" s="97" t="n"/>
      <c r="S70" s="97" t="n"/>
      <c r="T70" s="97" t="n"/>
      <c r="U70" s="97" t="n"/>
      <c r="V70" s="97" t="n"/>
      <c r="W70" s="97" t="n"/>
      <c r="X70" s="97" t="n"/>
      <c r="Y70" s="97" t="n"/>
      <c r="Z70" s="97" t="n"/>
      <c r="AA70" s="97" t="n"/>
      <c r="AB70" s="97" t="n"/>
      <c r="AC70" s="97" t="n"/>
      <c r="AD70" s="97" t="n"/>
      <c r="AE70" s="97" t="n"/>
      <c r="AF70" s="97" t="n"/>
      <c r="AG70" s="97" t="n"/>
      <c r="AH70" s="97" t="n"/>
      <c r="AI70" s="97" t="n"/>
      <c r="AJ70" s="97" t="n"/>
      <c r="AK70" s="97" t="n"/>
      <c r="AL70" s="97" t="n"/>
      <c r="AM70" s="97" t="n"/>
      <c r="AN70" s="97" t="n"/>
      <c r="AO70" s="97" t="n">
        <v>5.479419</v>
      </c>
      <c r="AP70" s="97" t="n"/>
      <c r="AQ70" s="97" t="n"/>
      <c r="AR70" s="97" t="n"/>
      <c r="AS70" s="97" t="n">
        <v>3.526249</v>
      </c>
      <c r="AT70" s="97" t="n"/>
      <c r="AU70" s="97" t="n">
        <v>1.809867</v>
      </c>
      <c r="AV70" s="97" t="n"/>
      <c r="AW70" s="97" t="n"/>
      <c r="AX70" s="97" t="n"/>
      <c r="AY70" s="97" t="n"/>
    </row>
    <row r="71" s="135">
      <c r="A71" t="inlineStr">
        <is>
          <t>1924-10</t>
        </is>
      </c>
      <c r="B71" s="2" t="n">
        <v>9041</v>
      </c>
      <c r="C71" s="96" t="n">
        <v>71</v>
      </c>
      <c r="D71" s="2" t="n"/>
      <c r="E71" s="2">
        <f>B71</f>
        <v/>
      </c>
      <c r="F71" s="3">
        <f>B71</f>
        <v/>
      </c>
      <c r="G71" s="96" t="n">
        <v>69</v>
      </c>
      <c r="H71" s="97" t="n"/>
      <c r="I71" s="97" t="n"/>
      <c r="J71" s="97" t="n"/>
      <c r="K71" s="97" t="n"/>
      <c r="L71" s="97" t="n"/>
      <c r="M71" s="97" t="n"/>
      <c r="N71" s="97" t="n"/>
      <c r="O71" s="97" t="n"/>
      <c r="P71" s="97" t="n"/>
      <c r="Q71" s="97" t="n"/>
      <c r="R71" s="97" t="n"/>
      <c r="S71" s="97" t="n"/>
      <c r="T71" s="97" t="n"/>
      <c r="U71" s="97" t="n"/>
      <c r="V71" s="97" t="n"/>
      <c r="W71" s="97" t="n"/>
      <c r="X71" s="97" t="n"/>
      <c r="Y71" s="97" t="n"/>
      <c r="Z71" s="97" t="n"/>
      <c r="AA71" s="97" t="n"/>
      <c r="AB71" s="97" t="n"/>
      <c r="AC71" s="97" t="n"/>
      <c r="AD71" s="97" t="n"/>
      <c r="AE71" s="97" t="n"/>
      <c r="AF71" s="97" t="n"/>
      <c r="AG71" s="97" t="n"/>
      <c r="AH71" s="97" t="n"/>
      <c r="AI71" s="97" t="n"/>
      <c r="AJ71" s="97" t="n"/>
      <c r="AK71" s="97" t="n"/>
      <c r="AL71" s="97" t="n"/>
      <c r="AM71" s="97" t="n"/>
      <c r="AN71" s="97" t="n"/>
      <c r="AO71" s="97" t="n">
        <v>5.612449</v>
      </c>
      <c r="AP71" s="97" t="n"/>
      <c r="AQ71" s="97" t="n"/>
      <c r="AR71" s="97" t="n"/>
      <c r="AS71" s="97" t="n">
        <v>-0.546061</v>
      </c>
      <c r="AT71" s="97" t="n"/>
      <c r="AU71" s="97" t="n">
        <v>0.939569</v>
      </c>
      <c r="AV71" s="97" t="n"/>
      <c r="AW71" s="97" t="n"/>
      <c r="AX71" s="97" t="n"/>
      <c r="AY71" s="97" t="n"/>
    </row>
    <row r="72" s="135">
      <c r="A72" t="inlineStr">
        <is>
          <t>1924-11</t>
        </is>
      </c>
      <c r="B72" s="2" t="n">
        <v>9072</v>
      </c>
      <c r="C72" s="96" t="n">
        <v>72</v>
      </c>
      <c r="D72" s="2" t="n"/>
      <c r="E72" s="2">
        <f>B72</f>
        <v/>
      </c>
      <c r="F72" s="3">
        <f>B72</f>
        <v/>
      </c>
      <c r="G72" s="96" t="n">
        <v>70</v>
      </c>
      <c r="H72" s="97" t="n"/>
      <c r="I72" s="97" t="n"/>
      <c r="J72" s="97" t="n"/>
      <c r="K72" s="97" t="n"/>
      <c r="L72" s="97" t="n"/>
      <c r="M72" s="97" t="n"/>
      <c r="N72" s="97" t="n"/>
      <c r="O72" s="97" t="n"/>
      <c r="P72" s="97" t="n"/>
      <c r="Q72" s="97" t="n"/>
      <c r="R72" s="97" t="n"/>
      <c r="S72" s="97" t="n"/>
      <c r="T72" s="97" t="n"/>
      <c r="U72" s="97" t="n"/>
      <c r="V72" s="97" t="n"/>
      <c r="W72" s="97" t="n"/>
      <c r="X72" s="97" t="n"/>
      <c r="Y72" s="97" t="n"/>
      <c r="Z72" s="97" t="n"/>
      <c r="AA72" s="97" t="n"/>
      <c r="AB72" s="97" t="n"/>
      <c r="AC72" s="97" t="n"/>
      <c r="AD72" s="97" t="n"/>
      <c r="AE72" s="97" t="n"/>
      <c r="AF72" s="97" t="n"/>
      <c r="AG72" s="97" t="n"/>
      <c r="AH72" s="97" t="n"/>
      <c r="AI72" s="97" t="n"/>
      <c r="AJ72" s="97" t="n"/>
      <c r="AK72" s="97" t="n"/>
      <c r="AL72" s="97" t="n"/>
      <c r="AM72" s="97" t="n"/>
      <c r="AN72" s="97" t="n"/>
      <c r="AO72" s="97" t="n">
        <v>5.718874</v>
      </c>
      <c r="AP72" s="97" t="n"/>
      <c r="AQ72" s="97" t="n"/>
      <c r="AR72" s="97" t="n"/>
      <c r="AS72" s="97" t="n">
        <v>-0.611582</v>
      </c>
      <c r="AT72" s="97" t="n"/>
      <c r="AU72" s="97" t="n">
        <v>2.924273</v>
      </c>
      <c r="AV72" s="97" t="n"/>
      <c r="AW72" s="97" t="n"/>
      <c r="AX72" s="97" t="n"/>
      <c r="AY72" s="97" t="n"/>
    </row>
    <row r="73" s="135">
      <c r="A73" t="inlineStr">
        <is>
          <t>1924-12</t>
        </is>
      </c>
      <c r="B73" s="2" t="n">
        <v>9102</v>
      </c>
      <c r="C73" s="96" t="n">
        <v>73</v>
      </c>
      <c r="D73" s="2" t="n"/>
      <c r="E73" s="2">
        <f>B73</f>
        <v/>
      </c>
      <c r="F73" s="3">
        <f>B73</f>
        <v/>
      </c>
      <c r="G73" s="96" t="n">
        <v>71</v>
      </c>
      <c r="H73" s="97" t="n"/>
      <c r="I73" s="97" t="n"/>
      <c r="J73" s="97" t="n"/>
      <c r="K73" s="97" t="n"/>
      <c r="L73" s="97" t="n"/>
      <c r="M73" s="97" t="n"/>
      <c r="N73" s="97" t="n"/>
      <c r="O73" s="97" t="n"/>
      <c r="P73" s="97" t="n"/>
      <c r="Q73" s="97" t="n"/>
      <c r="R73" s="97" t="n"/>
      <c r="S73" s="97" t="n"/>
      <c r="T73" s="97" t="n"/>
      <c r="U73" s="97" t="n"/>
      <c r="V73" s="97" t="n"/>
      <c r="W73" s="97" t="n"/>
      <c r="X73" s="97" t="n"/>
      <c r="Y73" s="97" t="n"/>
      <c r="Z73" s="97" t="n"/>
      <c r="AA73" s="97" t="n"/>
      <c r="AB73" s="97" t="n"/>
      <c r="AC73" s="97" t="n"/>
      <c r="AD73" s="97" t="n"/>
      <c r="AE73" s="97" t="n"/>
      <c r="AF73" s="97" t="n"/>
      <c r="AG73" s="97" t="n"/>
      <c r="AH73" s="97" t="n"/>
      <c r="AI73" s="97" t="n"/>
      <c r="AJ73" s="97" t="n"/>
      <c r="AK73" s="97" t="n"/>
      <c r="AL73" s="97" t="n"/>
      <c r="AM73" s="97" t="n"/>
      <c r="AN73" s="97" t="n"/>
      <c r="AO73" s="97" t="n">
        <v>5.878414</v>
      </c>
      <c r="AP73" s="97" t="n"/>
      <c r="AQ73" s="97" t="n"/>
      <c r="AR73" s="97" t="n"/>
      <c r="AS73" s="97" t="n">
        <v>2.485869</v>
      </c>
      <c r="AT73" s="97" t="n"/>
      <c r="AU73" s="97" t="n">
        <v>1.923998</v>
      </c>
      <c r="AV73" s="97" t="n"/>
      <c r="AW73" s="97" t="n"/>
      <c r="AX73" s="97" t="n"/>
      <c r="AY73" s="97" t="n"/>
    </row>
    <row r="74" s="135">
      <c r="A74" t="inlineStr">
        <is>
          <t>1925-01</t>
        </is>
      </c>
      <c r="B74" s="2" t="n">
        <v>9133</v>
      </c>
      <c r="C74" s="96" t="n">
        <v>74</v>
      </c>
      <c r="D74" s="2" t="n"/>
      <c r="E74" s="2">
        <f>B74</f>
        <v/>
      </c>
      <c r="F74" s="3">
        <f>B74</f>
        <v/>
      </c>
      <c r="G74" s="96" t="n">
        <v>72</v>
      </c>
      <c r="H74" s="97" t="n"/>
      <c r="I74" s="97" t="n"/>
      <c r="J74" s="97" t="n"/>
      <c r="K74" s="97" t="n"/>
      <c r="L74" s="97" t="n"/>
      <c r="M74" s="97" t="n"/>
      <c r="N74" s="97" t="n"/>
      <c r="O74" s="97" t="n"/>
      <c r="P74" s="97" t="n"/>
      <c r="Q74" s="97" t="n"/>
      <c r="R74" s="97" t="n"/>
      <c r="S74" s="97" t="n"/>
      <c r="T74" s="97" t="n"/>
      <c r="U74" s="97" t="n"/>
      <c r="V74" s="97" t="n"/>
      <c r="W74" s="97" t="n"/>
      <c r="X74" s="97" t="n"/>
      <c r="Y74" s="97" t="n"/>
      <c r="Z74" s="97" t="n"/>
      <c r="AA74" s="97" t="n"/>
      <c r="AB74" s="97" t="n"/>
      <c r="AC74" s="97" t="n"/>
      <c r="AD74" s="97" t="n"/>
      <c r="AE74" s="97" t="n"/>
      <c r="AF74" s="97" t="n"/>
      <c r="AG74" s="97" t="n"/>
      <c r="AH74" s="97" t="n"/>
      <c r="AI74" s="97" t="n"/>
      <c r="AJ74" s="97" t="n"/>
      <c r="AK74" s="97" t="n"/>
      <c r="AL74" s="97" t="n"/>
      <c r="AM74" s="97" t="n"/>
      <c r="AN74" s="97" t="n"/>
      <c r="AO74" s="97" t="n">
        <v>6.064657</v>
      </c>
      <c r="AP74" s="97" t="n"/>
      <c r="AQ74" s="97" t="n"/>
      <c r="AR74" s="97" t="n"/>
      <c r="AS74" s="97" t="n">
        <v>0.120877</v>
      </c>
      <c r="AT74" s="97" t="n"/>
      <c r="AU74" s="97" t="n">
        <v>0.967394</v>
      </c>
      <c r="AV74" s="97" t="n"/>
      <c r="AW74" s="97" t="n"/>
      <c r="AX74" s="97" t="n"/>
      <c r="AY74" s="97" t="n"/>
    </row>
    <row r="75" s="135">
      <c r="A75" t="inlineStr">
        <is>
          <t>1925-02</t>
        </is>
      </c>
      <c r="B75" s="2" t="n">
        <v>9164</v>
      </c>
      <c r="C75" s="96" t="n">
        <v>75</v>
      </c>
      <c r="D75" s="2" t="n"/>
      <c r="E75" s="2">
        <f>B75</f>
        <v/>
      </c>
      <c r="F75" s="3">
        <f>B75</f>
        <v/>
      </c>
      <c r="G75" s="96" t="n">
        <v>73</v>
      </c>
      <c r="H75" s="97" t="n"/>
      <c r="I75" s="97" t="n"/>
      <c r="J75" s="97" t="n"/>
      <c r="K75" s="97" t="n"/>
      <c r="L75" s="97" t="n"/>
      <c r="M75" s="97" t="n"/>
      <c r="N75" s="97" t="n"/>
      <c r="O75" s="97" t="n"/>
      <c r="P75" s="97" t="n"/>
      <c r="Q75" s="97" t="n"/>
      <c r="R75" s="97" t="n"/>
      <c r="S75" s="97" t="n"/>
      <c r="T75" s="97" t="n"/>
      <c r="U75" s="97" t="n"/>
      <c r="V75" s="97" t="n"/>
      <c r="W75" s="97" t="n"/>
      <c r="X75" s="97" t="n"/>
      <c r="Y75" s="97" t="n"/>
      <c r="Z75" s="97" t="n"/>
      <c r="AA75" s="97" t="n"/>
      <c r="AB75" s="97" t="n"/>
      <c r="AC75" s="97" t="n"/>
      <c r="AD75" s="97" t="n"/>
      <c r="AE75" s="97" t="n"/>
      <c r="AF75" s="97" t="n"/>
      <c r="AG75" s="97" t="n"/>
      <c r="AH75" s="97" t="n"/>
      <c r="AI75" s="97" t="n"/>
      <c r="AJ75" s="97" t="n"/>
      <c r="AK75" s="97" t="n"/>
      <c r="AL75" s="97" t="n"/>
      <c r="AM75" s="97" t="n"/>
      <c r="AN75" s="97" t="n"/>
      <c r="AO75" s="97" t="n">
        <v>6.064657</v>
      </c>
      <c r="AP75" s="97" t="n"/>
      <c r="AQ75" s="97" t="n"/>
      <c r="AR75" s="97" t="n"/>
      <c r="AS75" s="97" t="n">
        <v>1.059563</v>
      </c>
      <c r="AT75" s="97" t="n"/>
      <c r="AU75" s="97" t="n">
        <v>-0.315747</v>
      </c>
      <c r="AV75" s="97" t="n"/>
      <c r="AW75" s="97" t="n"/>
      <c r="AX75" s="97" t="n"/>
      <c r="AY75" s="97" t="n"/>
    </row>
    <row r="76" s="135">
      <c r="A76" t="inlineStr">
        <is>
          <t>1925-03</t>
        </is>
      </c>
      <c r="B76" s="2" t="n">
        <v>9192</v>
      </c>
      <c r="C76" s="96" t="n">
        <v>76</v>
      </c>
      <c r="D76" s="2" t="n"/>
      <c r="E76" s="2">
        <f>B76</f>
        <v/>
      </c>
      <c r="F76" s="3">
        <f>B76</f>
        <v/>
      </c>
      <c r="G76" s="96" t="n">
        <v>74</v>
      </c>
      <c r="H76" s="97" t="n"/>
      <c r="I76" s="97" t="n"/>
      <c r="J76" s="97" t="n"/>
      <c r="K76" s="97" t="n"/>
      <c r="L76" s="97" t="n"/>
      <c r="M76" s="97" t="n"/>
      <c r="N76" s="97" t="n"/>
      <c r="O76" s="97" t="n"/>
      <c r="P76" s="97" t="n"/>
      <c r="Q76" s="97" t="n"/>
      <c r="R76" s="97" t="n"/>
      <c r="S76" s="97" t="n"/>
      <c r="T76" s="97" t="n"/>
      <c r="U76" s="97" t="n"/>
      <c r="V76" s="97" t="n"/>
      <c r="W76" s="97" t="n"/>
      <c r="X76" s="97" t="n"/>
      <c r="Y76" s="97" t="n"/>
      <c r="Z76" s="97" t="n"/>
      <c r="AA76" s="97" t="n"/>
      <c r="AB76" s="97" t="n"/>
      <c r="AC76" s="97" t="n"/>
      <c r="AD76" s="97" t="n"/>
      <c r="AE76" s="97" t="n"/>
      <c r="AF76" s="97" t="n"/>
      <c r="AG76" s="97" t="n"/>
      <c r="AH76" s="97" t="n"/>
      <c r="AI76" s="97" t="n"/>
      <c r="AJ76" s="97" t="n"/>
      <c r="AK76" s="97" t="n"/>
      <c r="AL76" s="97" t="n"/>
      <c r="AM76" s="97" t="n"/>
      <c r="AN76" s="97" t="n"/>
      <c r="AO76" s="97" t="n">
        <v>6.064657</v>
      </c>
      <c r="AP76" s="97" t="n"/>
      <c r="AQ76" s="97" t="n"/>
      <c r="AR76" s="97" t="n"/>
      <c r="AS76" s="97" t="n">
        <v>-0.261584</v>
      </c>
      <c r="AT76" s="97" t="n"/>
      <c r="AU76" s="97" t="n">
        <v>1.663323</v>
      </c>
      <c r="AV76" s="97" t="n"/>
      <c r="AW76" s="97" t="n"/>
      <c r="AX76" s="97" t="n"/>
      <c r="AY76" s="97" t="n"/>
    </row>
    <row r="77" s="135">
      <c r="A77" t="inlineStr">
        <is>
          <t>1925-04</t>
        </is>
      </c>
      <c r="B77" s="2" t="n">
        <v>9223</v>
      </c>
      <c r="C77" s="96" t="n">
        <v>77</v>
      </c>
      <c r="D77" s="2" t="n"/>
      <c r="E77" s="2">
        <f>B77</f>
        <v/>
      </c>
      <c r="F77" s="3">
        <f>B77</f>
        <v/>
      </c>
      <c r="G77" s="96" t="n">
        <v>75</v>
      </c>
      <c r="H77" s="97" t="n"/>
      <c r="I77" s="97" t="n"/>
      <c r="J77" s="97" t="n"/>
      <c r="K77" s="97" t="n"/>
      <c r="L77" s="97" t="n"/>
      <c r="M77" s="97" t="n"/>
      <c r="N77" s="97" t="n"/>
      <c r="O77" s="97" t="n"/>
      <c r="P77" s="97" t="n"/>
      <c r="Q77" s="97" t="n"/>
      <c r="R77" s="97" t="n"/>
      <c r="S77" s="97" t="n"/>
      <c r="T77" s="97" t="n"/>
      <c r="U77" s="97" t="n"/>
      <c r="V77" s="97" t="n"/>
      <c r="W77" s="97" t="n"/>
      <c r="X77" s="97" t="n"/>
      <c r="Y77" s="97" t="n"/>
      <c r="Z77" s="97" t="n"/>
      <c r="AA77" s="97" t="n"/>
      <c r="AB77" s="97" t="n"/>
      <c r="AC77" s="97" t="n"/>
      <c r="AD77" s="97" t="n"/>
      <c r="AE77" s="97" t="n"/>
      <c r="AF77" s="97" t="n"/>
      <c r="AG77" s="97" t="n"/>
      <c r="AH77" s="97" t="n"/>
      <c r="AI77" s="97" t="n"/>
      <c r="AJ77" s="97" t="n"/>
      <c r="AK77" s="97" t="n"/>
      <c r="AL77" s="97" t="n"/>
      <c r="AM77" s="97" t="n"/>
      <c r="AN77" s="97" t="n"/>
      <c r="AO77" s="97" t="n">
        <v>6.117774</v>
      </c>
      <c r="AP77" s="97" t="n"/>
      <c r="AQ77" s="97" t="n"/>
      <c r="AR77" s="97" t="n"/>
      <c r="AS77" s="97" t="n">
        <v>-1.346317</v>
      </c>
      <c r="AT77" s="97" t="n"/>
      <c r="AU77" s="97" t="n">
        <v>1.404338</v>
      </c>
      <c r="AV77" s="97" t="n"/>
      <c r="AW77" s="97" t="n"/>
      <c r="AX77" s="97" t="n"/>
      <c r="AY77" s="97" t="n"/>
    </row>
    <row r="78" s="135">
      <c r="A78" t="inlineStr">
        <is>
          <t>1925-05</t>
        </is>
      </c>
      <c r="B78" s="2" t="n">
        <v>9253</v>
      </c>
      <c r="C78" s="96" t="n">
        <v>78</v>
      </c>
      <c r="D78" s="2" t="n"/>
      <c r="E78" s="2">
        <f>B78</f>
        <v/>
      </c>
      <c r="F78" s="3">
        <f>B78</f>
        <v/>
      </c>
      <c r="G78" s="96" t="n">
        <v>76</v>
      </c>
      <c r="H78" s="97" t="n"/>
      <c r="I78" s="97" t="n"/>
      <c r="J78" s="97" t="n"/>
      <c r="K78" s="97" t="n"/>
      <c r="L78" s="97" t="n"/>
      <c r="M78" s="97" t="n"/>
      <c r="N78" s="97" t="n"/>
      <c r="O78" s="97" t="n"/>
      <c r="P78" s="97" t="n"/>
      <c r="Q78" s="97" t="n"/>
      <c r="R78" s="97" t="n"/>
      <c r="S78" s="97" t="n"/>
      <c r="T78" s="97" t="n"/>
      <c r="U78" s="97" t="n"/>
      <c r="V78" s="97" t="n"/>
      <c r="W78" s="97" t="n"/>
      <c r="X78" s="97" t="n"/>
      <c r="Y78" s="97" t="n"/>
      <c r="Z78" s="97" t="n"/>
      <c r="AA78" s="97" t="n"/>
      <c r="AB78" s="97" t="n"/>
      <c r="AC78" s="97" t="n"/>
      <c r="AD78" s="97" t="n"/>
      <c r="AE78" s="97" t="n"/>
      <c r="AF78" s="97" t="n"/>
      <c r="AG78" s="97" t="n"/>
      <c r="AH78" s="97" t="n"/>
      <c r="AI78" s="97" t="n"/>
      <c r="AJ78" s="97" t="n"/>
      <c r="AK78" s="97" t="n"/>
      <c r="AL78" s="97" t="n"/>
      <c r="AM78" s="97" t="n"/>
      <c r="AN78" s="97" t="n"/>
      <c r="AO78" s="97" t="n">
        <v>6.091167</v>
      </c>
      <c r="AP78" s="97" t="n"/>
      <c r="AQ78" s="97" t="n"/>
      <c r="AR78" s="97" t="n"/>
      <c r="AS78" s="97" t="n">
        <v>5.130424</v>
      </c>
      <c r="AT78" s="97" t="n"/>
      <c r="AU78" s="97" t="n">
        <v>1.088242</v>
      </c>
      <c r="AV78" s="97" t="n"/>
      <c r="AW78" s="97" t="n"/>
      <c r="AX78" s="97" t="n"/>
      <c r="AY78" s="97" t="n"/>
    </row>
    <row r="79" s="135">
      <c r="A79" t="inlineStr">
        <is>
          <t>1925-06</t>
        </is>
      </c>
      <c r="B79" s="2" t="n">
        <v>9284</v>
      </c>
      <c r="C79" s="96" t="n">
        <v>79</v>
      </c>
      <c r="D79" s="2" t="n"/>
      <c r="E79" s="2">
        <f>B79</f>
        <v/>
      </c>
      <c r="F79" s="3">
        <f>B79</f>
        <v/>
      </c>
      <c r="G79" s="96" t="n">
        <v>77</v>
      </c>
      <c r="H79" s="97" t="n"/>
      <c r="I79" s="97" t="n"/>
      <c r="J79" s="97" t="n"/>
      <c r="K79" s="97" t="n"/>
      <c r="L79" s="97" t="n"/>
      <c r="M79" s="97" t="n"/>
      <c r="N79" s="97" t="n"/>
      <c r="O79" s="97" t="n"/>
      <c r="P79" s="97" t="n"/>
      <c r="Q79" s="97" t="n"/>
      <c r="R79" s="97" t="n"/>
      <c r="S79" s="97" t="n"/>
      <c r="T79" s="97" t="n"/>
      <c r="U79" s="97" t="n"/>
      <c r="V79" s="97" t="n"/>
      <c r="W79" s="97" t="n"/>
      <c r="X79" s="97" t="n"/>
      <c r="Y79" s="97" t="n"/>
      <c r="Z79" s="97" t="n"/>
      <c r="AA79" s="97" t="n"/>
      <c r="AB79" s="97" t="n"/>
      <c r="AC79" s="97" t="n"/>
      <c r="AD79" s="97" t="n"/>
      <c r="AE79" s="97" t="n"/>
      <c r="AF79" s="97" t="n"/>
      <c r="AG79" s="97" t="n"/>
      <c r="AH79" s="97" t="n"/>
      <c r="AI79" s="97" t="n"/>
      <c r="AJ79" s="97" t="n"/>
      <c r="AK79" s="97" t="n"/>
      <c r="AL79" s="97" t="n"/>
      <c r="AM79" s="97" t="n"/>
      <c r="AN79" s="97" t="n"/>
      <c r="AO79" s="97" t="n">
        <v>6.038051</v>
      </c>
      <c r="AP79" s="97" t="n"/>
      <c r="AQ79" s="97" t="n"/>
      <c r="AR79" s="97" t="n"/>
      <c r="AS79" s="97" t="n">
        <v>-1.256226</v>
      </c>
      <c r="AT79" s="97" t="n"/>
      <c r="AU79" s="97" t="n">
        <v>1.47329</v>
      </c>
      <c r="AV79" s="97" t="n"/>
      <c r="AW79" s="97" t="n"/>
      <c r="AX79" s="97" t="n"/>
      <c r="AY79" s="97" t="n"/>
    </row>
    <row r="80" s="135">
      <c r="A80" t="inlineStr">
        <is>
          <t>1925-07</t>
        </is>
      </c>
      <c r="B80" s="2" t="n">
        <v>9314</v>
      </c>
      <c r="C80" s="96" t="n">
        <v>80</v>
      </c>
      <c r="D80" s="2" t="n"/>
      <c r="E80" s="2">
        <f>B80</f>
        <v/>
      </c>
      <c r="F80" s="3">
        <f>B80</f>
        <v/>
      </c>
      <c r="G80" s="96" t="n">
        <v>78</v>
      </c>
      <c r="H80" s="97" t="n"/>
      <c r="I80" s="97" t="n"/>
      <c r="J80" s="97" t="n"/>
      <c r="K80" s="97" t="n"/>
      <c r="L80" s="97" t="n"/>
      <c r="M80" s="97" t="n"/>
      <c r="N80" s="97" t="n"/>
      <c r="O80" s="97" t="n"/>
      <c r="P80" s="97" t="n"/>
      <c r="Q80" s="97" t="n"/>
      <c r="R80" s="97" t="n"/>
      <c r="S80" s="97" t="n"/>
      <c r="T80" s="97" t="n"/>
      <c r="U80" s="97" t="n"/>
      <c r="V80" s="97" t="n"/>
      <c r="W80" s="97" t="n"/>
      <c r="X80" s="97" t="n"/>
      <c r="Y80" s="97" t="n"/>
      <c r="Z80" s="97" t="n"/>
      <c r="AA80" s="97" t="n"/>
      <c r="AB80" s="97" t="n"/>
      <c r="AC80" s="97" t="n"/>
      <c r="AD80" s="97" t="n"/>
      <c r="AE80" s="97" t="n"/>
      <c r="AF80" s="97" t="n"/>
      <c r="AG80" s="97" t="n"/>
      <c r="AH80" s="97" t="n"/>
      <c r="AI80" s="97" t="n"/>
      <c r="AJ80" s="97" t="n"/>
      <c r="AK80" s="97" t="n"/>
      <c r="AL80" s="97" t="n"/>
      <c r="AM80" s="97" t="n"/>
      <c r="AN80" s="97" t="n"/>
      <c r="AO80" s="97" t="n">
        <v>6.197592</v>
      </c>
      <c r="AP80" s="97" t="n"/>
      <c r="AQ80" s="97" t="n"/>
      <c r="AR80" s="97" t="n"/>
      <c r="AS80" s="97" t="n">
        <v>1.150618</v>
      </c>
      <c r="AT80" s="97" t="n"/>
      <c r="AU80" s="97" t="n">
        <v>0.329041</v>
      </c>
      <c r="AV80" s="97" t="n"/>
      <c r="AW80" s="97" t="n"/>
      <c r="AX80" s="97" t="n"/>
      <c r="AY80" s="97" t="n"/>
    </row>
    <row r="81" s="135">
      <c r="A81" t="inlineStr">
        <is>
          <t>1925-08</t>
        </is>
      </c>
      <c r="B81" s="2" t="n">
        <v>9345</v>
      </c>
      <c r="C81" s="96" t="n">
        <v>81</v>
      </c>
      <c r="D81" s="2" t="n"/>
      <c r="E81" s="2">
        <f>B81</f>
        <v/>
      </c>
      <c r="F81" s="3">
        <f>B81</f>
        <v/>
      </c>
      <c r="G81" s="96" t="n">
        <v>79</v>
      </c>
      <c r="H81" s="97" t="n"/>
      <c r="I81" s="97" t="n"/>
      <c r="J81" s="97" t="n"/>
      <c r="K81" s="97" t="n"/>
      <c r="L81" s="97" t="n"/>
      <c r="M81" s="97" t="n"/>
      <c r="N81" s="97" t="n"/>
      <c r="O81" s="97" t="n"/>
      <c r="P81" s="97" t="n"/>
      <c r="Q81" s="97" t="n"/>
      <c r="R81" s="97" t="n"/>
      <c r="S81" s="97" t="n"/>
      <c r="T81" s="97" t="n"/>
      <c r="U81" s="97" t="n"/>
      <c r="V81" s="97" t="n"/>
      <c r="W81" s="97" t="n"/>
      <c r="X81" s="97" t="n"/>
      <c r="Y81" s="97" t="n"/>
      <c r="Z81" s="97" t="n"/>
      <c r="AA81" s="97" t="n"/>
      <c r="AB81" s="97" t="n"/>
      <c r="AC81" s="97" t="n"/>
      <c r="AD81" s="97" t="n"/>
      <c r="AE81" s="97" t="n"/>
      <c r="AF81" s="97" t="n"/>
      <c r="AG81" s="97" t="n"/>
      <c r="AH81" s="97" t="n"/>
      <c r="AI81" s="97" t="n"/>
      <c r="AJ81" s="97" t="n"/>
      <c r="AK81" s="97" t="n"/>
      <c r="AL81" s="97" t="n"/>
      <c r="AM81" s="97" t="n"/>
      <c r="AN81" s="97" t="n"/>
      <c r="AO81" s="97" t="n">
        <v>6.091167</v>
      </c>
      <c r="AP81" s="97" t="n"/>
      <c r="AQ81" s="97" t="n"/>
      <c r="AR81" s="97" t="n"/>
      <c r="AS81" s="97" t="n">
        <v>2.80519</v>
      </c>
      <c r="AT81" s="97" t="n"/>
      <c r="AU81" s="97" t="n">
        <v>3.635516</v>
      </c>
      <c r="AV81" s="97" t="n"/>
      <c r="AW81" s="97" t="n"/>
      <c r="AX81" s="97" t="n"/>
      <c r="AY81" s="97" t="n"/>
    </row>
    <row r="82" s="135">
      <c r="A82" t="inlineStr">
        <is>
          <t>1925-09</t>
        </is>
      </c>
      <c r="B82" s="2" t="n">
        <v>9376</v>
      </c>
      <c r="C82" s="96" t="n">
        <v>82</v>
      </c>
      <c r="D82" s="2" t="n"/>
      <c r="E82" s="2">
        <f>B82</f>
        <v/>
      </c>
      <c r="F82" s="3">
        <f>B82</f>
        <v/>
      </c>
      <c r="G82" s="96" t="n">
        <v>80</v>
      </c>
      <c r="H82" s="97" t="n"/>
      <c r="I82" s="97" t="n"/>
      <c r="J82" s="97" t="n"/>
      <c r="K82" s="97" t="n"/>
      <c r="L82" s="97" t="n"/>
      <c r="M82" s="97" t="n"/>
      <c r="N82" s="97" t="n"/>
      <c r="O82" s="97" t="n"/>
      <c r="P82" s="97" t="n"/>
      <c r="Q82" s="97" t="n"/>
      <c r="R82" s="97" t="n"/>
      <c r="S82" s="97" t="n"/>
      <c r="T82" s="97" t="n"/>
      <c r="U82" s="97" t="n"/>
      <c r="V82" s="97" t="n"/>
      <c r="W82" s="97" t="n"/>
      <c r="X82" s="97" t="n"/>
      <c r="Y82" s="97" t="n"/>
      <c r="Z82" s="97" t="n"/>
      <c r="AA82" s="97" t="n"/>
      <c r="AB82" s="97" t="n"/>
      <c r="AC82" s="97" t="n"/>
      <c r="AD82" s="97" t="n"/>
      <c r="AE82" s="97" t="n"/>
      <c r="AF82" s="97" t="n"/>
      <c r="AG82" s="97" t="n"/>
      <c r="AH82" s="97" t="n"/>
      <c r="AI82" s="97" t="n"/>
      <c r="AJ82" s="97" t="n"/>
      <c r="AK82" s="97" t="n"/>
      <c r="AL82" s="97" t="n"/>
      <c r="AM82" s="97" t="n"/>
      <c r="AN82" s="97" t="n"/>
      <c r="AO82" s="97" t="n">
        <v>6.011445</v>
      </c>
      <c r="AP82" s="97" t="n"/>
      <c r="AQ82" s="97" t="n"/>
      <c r="AR82" s="97" t="n"/>
      <c r="AS82" s="97" t="n">
        <v>-0.979198</v>
      </c>
      <c r="AT82" s="97" t="n"/>
      <c r="AU82" s="97" t="n">
        <v>0.158926</v>
      </c>
      <c r="AV82" s="97" t="n"/>
      <c r="AW82" s="97" t="n"/>
      <c r="AX82" s="97" t="n"/>
      <c r="AY82" s="97" t="n"/>
    </row>
    <row r="83" s="135">
      <c r="A83" t="inlineStr">
        <is>
          <t>1925-10</t>
        </is>
      </c>
      <c r="B83" s="2" t="n">
        <v>9406</v>
      </c>
      <c r="C83" s="96" t="n">
        <v>83</v>
      </c>
      <c r="D83" s="2" t="n"/>
      <c r="E83" s="2">
        <f>B83</f>
        <v/>
      </c>
      <c r="F83" s="3">
        <f>B83</f>
        <v/>
      </c>
      <c r="G83" s="96" t="n">
        <v>81</v>
      </c>
      <c r="H83" s="97" t="n"/>
      <c r="I83" s="97" t="n"/>
      <c r="J83" s="97" t="n"/>
      <c r="K83" s="97" t="n"/>
      <c r="L83" s="97" t="n"/>
      <c r="M83" s="97" t="n"/>
      <c r="N83" s="97" t="n"/>
      <c r="O83" s="97" t="n"/>
      <c r="P83" s="97" t="n"/>
      <c r="Q83" s="97" t="n"/>
      <c r="R83" s="97" t="n"/>
      <c r="S83" s="97" t="n"/>
      <c r="T83" s="97" t="n"/>
      <c r="U83" s="97" t="n"/>
      <c r="V83" s="97" t="n"/>
      <c r="W83" s="97" t="n"/>
      <c r="X83" s="97" t="n"/>
      <c r="Y83" s="97" t="n"/>
      <c r="Z83" s="97" t="n"/>
      <c r="AA83" s="97" t="n"/>
      <c r="AB83" s="97" t="n"/>
      <c r="AC83" s="97" t="n"/>
      <c r="AD83" s="97" t="n"/>
      <c r="AE83" s="97" t="n"/>
      <c r="AF83" s="97" t="n"/>
      <c r="AG83" s="97" t="n"/>
      <c r="AH83" s="97" t="n"/>
      <c r="AI83" s="97" t="n"/>
      <c r="AJ83" s="97" t="n"/>
      <c r="AK83" s="97" t="n"/>
      <c r="AL83" s="97" t="n"/>
      <c r="AM83" s="97" t="n"/>
      <c r="AN83" s="97" t="n"/>
      <c r="AO83" s="97" t="n">
        <v>6.250804</v>
      </c>
      <c r="AP83" s="97" t="n"/>
      <c r="AQ83" s="97" t="n"/>
      <c r="AR83" s="97" t="n"/>
      <c r="AS83" s="97" t="n">
        <v>-1.163089</v>
      </c>
      <c r="AT83" s="97" t="n"/>
      <c r="AU83" s="97" t="n">
        <v>5.028337</v>
      </c>
      <c r="AV83" s="97" t="n"/>
      <c r="AW83" s="97" t="n"/>
      <c r="AX83" s="97" t="n"/>
      <c r="AY83" s="97" t="n"/>
    </row>
    <row r="84" s="135">
      <c r="A84" t="inlineStr">
        <is>
          <t>1925-11</t>
        </is>
      </c>
      <c r="B84" s="2" t="n">
        <v>9437</v>
      </c>
      <c r="C84" s="96" t="n">
        <v>84</v>
      </c>
      <c r="D84" s="2" t="n"/>
      <c r="E84" s="2">
        <f>B84</f>
        <v/>
      </c>
      <c r="F84" s="3">
        <f>B84</f>
        <v/>
      </c>
      <c r="G84" s="96" t="n">
        <v>82</v>
      </c>
      <c r="H84" s="97" t="n"/>
      <c r="I84" s="97" t="n"/>
      <c r="J84" s="97" t="n"/>
      <c r="K84" s="97" t="n"/>
      <c r="L84" s="97" t="n"/>
      <c r="M84" s="97" t="n"/>
      <c r="N84" s="97" t="n"/>
      <c r="O84" s="97" t="n"/>
      <c r="P84" s="97" t="n"/>
      <c r="Q84" s="97" t="n"/>
      <c r="R84" s="97" t="n"/>
      <c r="S84" s="97" t="n"/>
      <c r="T84" s="97" t="n"/>
      <c r="U84" s="97" t="n"/>
      <c r="V84" s="97" t="n"/>
      <c r="W84" s="97" t="n"/>
      <c r="X84" s="97" t="n"/>
      <c r="Y84" s="97" t="n"/>
      <c r="Z84" s="97" t="n"/>
      <c r="AA84" s="97" t="n"/>
      <c r="AB84" s="97" t="n"/>
      <c r="AC84" s="97" t="n"/>
      <c r="AD84" s="97" t="n"/>
      <c r="AE84" s="97" t="n"/>
      <c r="AF84" s="97" t="n"/>
      <c r="AG84" s="97" t="n"/>
      <c r="AH84" s="97" t="n"/>
      <c r="AI84" s="97" t="n"/>
      <c r="AJ84" s="97" t="n"/>
      <c r="AK84" s="97" t="n"/>
      <c r="AL84" s="97" t="n"/>
      <c r="AM84" s="97" t="n"/>
      <c r="AN84" s="97" t="n"/>
      <c r="AO84" s="97" t="n">
        <v>6.383834</v>
      </c>
      <c r="AP84" s="97" t="n"/>
      <c r="AQ84" s="97" t="n"/>
      <c r="AR84" s="97" t="n"/>
      <c r="AS84" s="97" t="n">
        <v>0.513219</v>
      </c>
      <c r="AT84" s="97" t="n"/>
      <c r="AU84" s="97" t="n">
        <v>-1.815748</v>
      </c>
      <c r="AV84" s="97" t="n"/>
      <c r="AW84" s="97" t="n"/>
      <c r="AX84" s="97" t="n"/>
      <c r="AY84" s="97" t="n"/>
    </row>
    <row r="85" s="135">
      <c r="A85" t="inlineStr">
        <is>
          <t>1925-12</t>
        </is>
      </c>
      <c r="B85" s="2" t="n">
        <v>9467</v>
      </c>
      <c r="C85" s="96" t="n">
        <v>85</v>
      </c>
      <c r="D85" s="2" t="n"/>
      <c r="E85" s="2">
        <f>B85</f>
        <v/>
      </c>
      <c r="F85" s="3">
        <f>B85</f>
        <v/>
      </c>
      <c r="G85" s="96" t="n">
        <v>83</v>
      </c>
      <c r="H85" s="97" t="n"/>
      <c r="I85" s="97" t="n"/>
      <c r="J85" s="97" t="n"/>
      <c r="K85" s="97" t="n"/>
      <c r="L85" s="97" t="n"/>
      <c r="M85" s="97" t="n"/>
      <c r="N85" s="97" t="n"/>
      <c r="O85" s="97" t="n"/>
      <c r="P85" s="97" t="n"/>
      <c r="Q85" s="97" t="n"/>
      <c r="R85" s="97" t="n"/>
      <c r="S85" s="97" t="n"/>
      <c r="T85" s="97" t="n"/>
      <c r="U85" s="97" t="n"/>
      <c r="V85" s="97" t="n"/>
      <c r="W85" s="97" t="n"/>
      <c r="X85" s="97" t="n"/>
      <c r="Y85" s="97" t="n"/>
      <c r="Z85" s="97" t="n"/>
      <c r="AA85" s="97" t="n"/>
      <c r="AB85" s="97" t="n"/>
      <c r="AC85" s="97" t="n"/>
      <c r="AD85" s="97" t="n"/>
      <c r="AE85" s="97" t="n"/>
      <c r="AF85" s="97" t="n"/>
      <c r="AG85" s="97" t="n"/>
      <c r="AH85" s="97" t="n"/>
      <c r="AI85" s="97" t="n"/>
      <c r="AJ85" s="97" t="n"/>
      <c r="AK85" s="97" t="n"/>
      <c r="AL85" s="97" t="n"/>
      <c r="AM85" s="97" t="n"/>
      <c r="AN85" s="97" t="n"/>
      <c r="AO85" s="97" t="n">
        <v>6.463557</v>
      </c>
      <c r="AP85" s="97" t="n"/>
      <c r="AQ85" s="97" t="n"/>
      <c r="AR85" s="97" t="n"/>
      <c r="AS85" s="97" t="n">
        <v>1.58853</v>
      </c>
      <c r="AT85" s="97" t="n"/>
      <c r="AU85" s="97" t="n">
        <v>1.641869</v>
      </c>
      <c r="AV85" s="97" t="n"/>
      <c r="AW85" s="97" t="n"/>
      <c r="AX85" s="97" t="n"/>
      <c r="AY85" s="97" t="n"/>
    </row>
    <row r="86" s="135">
      <c r="A86" t="inlineStr">
        <is>
          <t>1926-01</t>
        </is>
      </c>
      <c r="B86" s="2" t="n">
        <v>9498</v>
      </c>
      <c r="C86" s="96" t="n">
        <v>86</v>
      </c>
      <c r="D86" s="2" t="n"/>
      <c r="E86" s="2">
        <f>B86</f>
        <v/>
      </c>
      <c r="F86" s="3">
        <f>B86</f>
        <v/>
      </c>
      <c r="G86" s="96" t="n">
        <v>84</v>
      </c>
      <c r="H86" s="97" t="n"/>
      <c r="I86" s="97" t="n"/>
      <c r="J86" s="97" t="n"/>
      <c r="K86" s="97" t="n"/>
      <c r="L86" s="97" t="n"/>
      <c r="M86" s="97" t="n"/>
      <c r="N86" s="97" t="n"/>
      <c r="O86" s="97" t="n"/>
      <c r="P86" s="97" t="n"/>
      <c r="Q86" s="97" t="n"/>
      <c r="R86" s="97" t="n"/>
      <c r="S86" s="97" t="n"/>
      <c r="T86" s="97" t="n"/>
      <c r="U86" s="97" t="n"/>
      <c r="V86" s="97" t="n"/>
      <c r="W86" s="97" t="n"/>
      <c r="X86" s="97" t="n"/>
      <c r="Y86" s="97" t="n"/>
      <c r="Z86" s="97" t="n"/>
      <c r="AA86" s="97" t="n"/>
      <c r="AB86" s="97" t="n"/>
      <c r="AC86" s="97" t="n"/>
      <c r="AD86" s="97" t="n"/>
      <c r="AE86" s="97" t="n"/>
      <c r="AF86" s="97" t="n"/>
      <c r="AG86" s="97" t="n"/>
      <c r="AH86" s="97" t="n"/>
      <c r="AI86" s="97" t="n"/>
      <c r="AJ86" s="97" t="n"/>
      <c r="AK86" s="97" t="n"/>
      <c r="AL86" s="97" t="n"/>
      <c r="AM86" s="97" t="n"/>
      <c r="AN86" s="97" t="n"/>
      <c r="AO86" s="97" t="n">
        <v>6.357228</v>
      </c>
      <c r="AP86" s="97" t="n"/>
      <c r="AQ86" s="97" t="n"/>
      <c r="AR86" s="97" t="n"/>
      <c r="AS86" s="97" t="n">
        <v>0.553384</v>
      </c>
      <c r="AT86" s="97" t="n"/>
      <c r="AU86" s="97" t="n">
        <v>0.443369</v>
      </c>
      <c r="AV86" s="97" t="n"/>
      <c r="AW86" s="97" t="n"/>
      <c r="AX86" s="97" t="n"/>
      <c r="AY86" s="97" t="n"/>
    </row>
    <row r="87" s="135">
      <c r="A87" t="inlineStr">
        <is>
          <t>1926-02</t>
        </is>
      </c>
      <c r="B87" s="2" t="n">
        <v>9529</v>
      </c>
      <c r="C87" s="96" t="n">
        <v>87</v>
      </c>
      <c r="D87" s="2" t="n"/>
      <c r="E87" s="2">
        <f>B87</f>
        <v/>
      </c>
      <c r="F87" s="3">
        <f>B87</f>
        <v/>
      </c>
      <c r="G87" s="96" t="n">
        <v>85</v>
      </c>
      <c r="H87" s="97" t="n"/>
      <c r="I87" s="97" t="n"/>
      <c r="J87" s="97" t="n"/>
      <c r="K87" s="97" t="n"/>
      <c r="L87" s="97" t="n"/>
      <c r="M87" s="97" t="n"/>
      <c r="N87" s="97" t="n"/>
      <c r="O87" s="97" t="n"/>
      <c r="P87" s="97" t="n"/>
      <c r="Q87" s="97" t="n"/>
      <c r="R87" s="97" t="n"/>
      <c r="S87" s="97" t="n"/>
      <c r="T87" s="97" t="n"/>
      <c r="U87" s="97" t="n"/>
      <c r="V87" s="97" t="n"/>
      <c r="W87" s="97" t="n"/>
      <c r="X87" s="97" t="n"/>
      <c r="Y87" s="97" t="n"/>
      <c r="Z87" s="97" t="n"/>
      <c r="AA87" s="97" t="n"/>
      <c r="AB87" s="97" t="n"/>
      <c r="AC87" s="97" t="n"/>
      <c r="AD87" s="97" t="n"/>
      <c r="AE87" s="97" t="n"/>
      <c r="AF87" s="97" t="n"/>
      <c r="AG87" s="97" t="n"/>
      <c r="AH87" s="97" t="n"/>
      <c r="AI87" s="97" t="n"/>
      <c r="AJ87" s="97" t="n"/>
      <c r="AK87" s="97" t="n"/>
      <c r="AL87" s="97" t="n"/>
      <c r="AM87" s="97" t="n"/>
      <c r="AN87" s="97" t="n"/>
      <c r="AO87" s="97" t="n">
        <v>6.357228</v>
      </c>
      <c r="AP87" s="97" t="n"/>
      <c r="AQ87" s="97" t="n"/>
      <c r="AR87" s="97" t="n"/>
      <c r="AS87" s="97" t="n">
        <v>2.761789</v>
      </c>
      <c r="AT87" s="97" t="n"/>
      <c r="AU87" s="97" t="n">
        <v>1.079327</v>
      </c>
      <c r="AV87" s="97" t="n"/>
      <c r="AW87" s="97" t="n"/>
      <c r="AX87" s="97" t="n"/>
      <c r="AY87" s="97" t="n"/>
    </row>
    <row r="88" s="135">
      <c r="A88" t="inlineStr">
        <is>
          <t>1926-03</t>
        </is>
      </c>
      <c r="B88" s="2" t="n">
        <v>9557</v>
      </c>
      <c r="C88" s="96" t="n">
        <v>88</v>
      </c>
      <c r="D88" s="2" t="n"/>
      <c r="E88" s="2">
        <f>B88</f>
        <v/>
      </c>
      <c r="F88" s="3">
        <f>B88</f>
        <v/>
      </c>
      <c r="G88" s="96" t="n">
        <v>86</v>
      </c>
      <c r="H88" s="97" t="n"/>
      <c r="I88" s="97" t="n"/>
      <c r="J88" s="97" t="n"/>
      <c r="K88" s="97" t="n"/>
      <c r="L88" s="97" t="n"/>
      <c r="M88" s="97" t="n"/>
      <c r="N88" s="97" t="n"/>
      <c r="O88" s="97" t="n"/>
      <c r="P88" s="97" t="n"/>
      <c r="Q88" s="97" t="n"/>
      <c r="R88" s="97" t="n"/>
      <c r="S88" s="97" t="n"/>
      <c r="T88" s="97" t="n"/>
      <c r="U88" s="97" t="n"/>
      <c r="V88" s="97" t="n"/>
      <c r="W88" s="97" t="n"/>
      <c r="X88" s="97" t="n"/>
      <c r="Y88" s="97" t="n"/>
      <c r="Z88" s="97" t="n"/>
      <c r="AA88" s="97" t="n"/>
      <c r="AB88" s="97" t="n"/>
      <c r="AC88" s="97" t="n"/>
      <c r="AD88" s="97" t="n"/>
      <c r="AE88" s="97" t="n"/>
      <c r="AF88" s="97" t="n"/>
      <c r="AG88" s="97" t="n"/>
      <c r="AH88" s="97" t="n"/>
      <c r="AI88" s="97" t="n"/>
      <c r="AJ88" s="97" t="n"/>
      <c r="AK88" s="97" t="n"/>
      <c r="AL88" s="97" t="n"/>
      <c r="AM88" s="97" t="n"/>
      <c r="AN88" s="97" t="n"/>
      <c r="AO88" s="97" t="n">
        <v>6.437047</v>
      </c>
      <c r="AP88" s="97" t="n"/>
      <c r="AQ88" s="97" t="n"/>
      <c r="AR88" s="97" t="n"/>
      <c r="AS88" s="97" t="n">
        <v>2.432074</v>
      </c>
      <c r="AT88" s="97" t="n"/>
      <c r="AU88" s="97" t="n">
        <v>1.890613</v>
      </c>
      <c r="AV88" s="97" t="n"/>
      <c r="AW88" s="97" t="n"/>
      <c r="AX88" s="97" t="n"/>
      <c r="AY88" s="97" t="n"/>
    </row>
    <row r="89" s="135">
      <c r="A89" t="inlineStr">
        <is>
          <t>1926-04</t>
        </is>
      </c>
      <c r="B89" s="2" t="n">
        <v>9588</v>
      </c>
      <c r="C89" s="96" t="n">
        <v>89</v>
      </c>
      <c r="D89" s="2" t="n"/>
      <c r="E89" s="2">
        <f>B89</f>
        <v/>
      </c>
      <c r="F89" s="3">
        <f>B89</f>
        <v/>
      </c>
      <c r="G89" s="96" t="n">
        <v>87</v>
      </c>
      <c r="H89" s="97" t="n"/>
      <c r="I89" s="97" t="n"/>
      <c r="J89" s="97" t="n"/>
      <c r="K89" s="97" t="n"/>
      <c r="L89" s="97" t="n"/>
      <c r="M89" s="97" t="n"/>
      <c r="N89" s="97" t="n"/>
      <c r="O89" s="97" t="n"/>
      <c r="P89" s="97" t="n"/>
      <c r="Q89" s="97" t="n"/>
      <c r="R89" s="97" t="n"/>
      <c r="S89" s="97" t="n"/>
      <c r="T89" s="97" t="n"/>
      <c r="U89" s="97" t="n"/>
      <c r="V89" s="97" t="n"/>
      <c r="W89" s="97" t="n"/>
      <c r="X89" s="97" t="n"/>
      <c r="Y89" s="97" t="n"/>
      <c r="Z89" s="97" t="n"/>
      <c r="AA89" s="97" t="n"/>
      <c r="AB89" s="97" t="n"/>
      <c r="AC89" s="97" t="n"/>
      <c r="AD89" s="97" t="n"/>
      <c r="AE89" s="97" t="n"/>
      <c r="AF89" s="97" t="n"/>
      <c r="AG89" s="97" t="n"/>
      <c r="AH89" s="97" t="n"/>
      <c r="AI89" s="97" t="n"/>
      <c r="AJ89" s="97" t="n"/>
      <c r="AK89" s="97" t="n"/>
      <c r="AL89" s="97" t="n"/>
      <c r="AM89" s="97" t="n"/>
      <c r="AN89" s="97" t="n"/>
      <c r="AO89" s="97" t="n">
        <v>6.437047</v>
      </c>
      <c r="AP89" s="97" t="n"/>
      <c r="AQ89" s="97" t="n"/>
      <c r="AR89" s="97" t="n"/>
      <c r="AS89" s="97" t="n">
        <v>-2.393515</v>
      </c>
      <c r="AT89" s="97" t="n"/>
      <c r="AU89" s="97" t="n">
        <v>0.718688</v>
      </c>
      <c r="AV89" s="97" t="n"/>
      <c r="AW89" s="97" t="n"/>
      <c r="AX89" s="97" t="n"/>
      <c r="AY89" s="97" t="n"/>
    </row>
    <row r="90" s="135">
      <c r="A90" t="inlineStr">
        <is>
          <t>1926-05</t>
        </is>
      </c>
      <c r="B90" s="2" t="n">
        <v>9618</v>
      </c>
      <c r="C90" s="96" t="n">
        <v>90</v>
      </c>
      <c r="D90" s="2" t="n"/>
      <c r="E90" s="2">
        <f>B90</f>
        <v/>
      </c>
      <c r="F90" s="3">
        <f>B90</f>
        <v/>
      </c>
      <c r="G90" s="96" t="n">
        <v>88</v>
      </c>
      <c r="H90" s="97" t="n"/>
      <c r="I90" s="97" t="n"/>
      <c r="J90" s="97" t="n"/>
      <c r="K90" s="97" t="n"/>
      <c r="L90" s="97" t="n"/>
      <c r="M90" s="97" t="n"/>
      <c r="N90" s="97" t="n"/>
      <c r="O90" s="97" t="n"/>
      <c r="P90" s="97" t="n"/>
      <c r="Q90" s="97" t="n"/>
      <c r="R90" s="97" t="n"/>
      <c r="S90" s="97" t="n"/>
      <c r="T90" s="97" t="n"/>
      <c r="U90" s="97" t="n"/>
      <c r="V90" s="97" t="n"/>
      <c r="W90" s="97" t="n"/>
      <c r="X90" s="97" t="n"/>
      <c r="Y90" s="97" t="n"/>
      <c r="Z90" s="97" t="n"/>
      <c r="AA90" s="97" t="n"/>
      <c r="AB90" s="97" t="n"/>
      <c r="AC90" s="97" t="n"/>
      <c r="AD90" s="97" t="n"/>
      <c r="AE90" s="97" t="n"/>
      <c r="AF90" s="97" t="n"/>
      <c r="AG90" s="97" t="n"/>
      <c r="AH90" s="97" t="n"/>
      <c r="AI90" s="97" t="n"/>
      <c r="AJ90" s="97" t="n"/>
      <c r="AK90" s="97" t="n"/>
      <c r="AL90" s="97" t="n"/>
      <c r="AM90" s="97" t="n"/>
      <c r="AN90" s="97" t="n"/>
      <c r="AO90" s="97" t="n">
        <v>6.383834</v>
      </c>
      <c r="AP90" s="97" t="n"/>
      <c r="AQ90" s="97" t="n"/>
      <c r="AR90" s="97" t="n"/>
      <c r="AS90" s="97" t="n">
        <v>3.5186</v>
      </c>
      <c r="AT90" s="97" t="n"/>
      <c r="AU90" s="97" t="n">
        <v>-0.084331</v>
      </c>
      <c r="AV90" s="97" t="n"/>
      <c r="AW90" s="97" t="n"/>
      <c r="AX90" s="97" t="n"/>
      <c r="AY90" s="97" t="n"/>
    </row>
    <row r="91" s="135">
      <c r="A91" t="inlineStr">
        <is>
          <t>1926-06</t>
        </is>
      </c>
      <c r="B91" s="2" t="n">
        <v>9649</v>
      </c>
      <c r="C91" s="96" t="n">
        <v>91</v>
      </c>
      <c r="D91" s="2" t="n"/>
      <c r="E91" s="2">
        <f>B91</f>
        <v/>
      </c>
      <c r="F91" s="3">
        <f>B91</f>
        <v/>
      </c>
      <c r="G91" s="96" t="n">
        <v>89</v>
      </c>
      <c r="H91" s="97" t="n"/>
      <c r="I91" s="97" t="n"/>
      <c r="J91" s="97" t="n"/>
      <c r="K91" s="97" t="n"/>
      <c r="L91" s="97" t="n"/>
      <c r="M91" s="97" t="n"/>
      <c r="N91" s="97" t="n"/>
      <c r="O91" s="97" t="n"/>
      <c r="P91" s="97" t="n"/>
      <c r="Q91" s="97" t="n"/>
      <c r="R91" s="97" t="n"/>
      <c r="S91" s="97" t="n"/>
      <c r="T91" s="97" t="n"/>
      <c r="U91" s="97" t="n"/>
      <c r="V91" s="97" t="n"/>
      <c r="W91" s="97" t="n"/>
      <c r="X91" s="97" t="n"/>
      <c r="Y91" s="97" t="n"/>
      <c r="Z91" s="97" t="n"/>
      <c r="AA91" s="97" t="n"/>
      <c r="AB91" s="97" t="n"/>
      <c r="AC91" s="97" t="n"/>
      <c r="AD91" s="97" t="n"/>
      <c r="AE91" s="97" t="n"/>
      <c r="AF91" s="97" t="n"/>
      <c r="AG91" s="97" t="n"/>
      <c r="AH91" s="97" t="n"/>
      <c r="AI91" s="97" t="n"/>
      <c r="AJ91" s="97" t="n"/>
      <c r="AK91" s="97" t="n"/>
      <c r="AL91" s="97" t="n"/>
      <c r="AM91" s="97" t="n"/>
      <c r="AN91" s="97" t="n"/>
      <c r="AO91" s="97" t="n">
        <v>6.463557</v>
      </c>
      <c r="AP91" s="97" t="n"/>
      <c r="AQ91" s="97" t="n"/>
      <c r="AR91" s="97" t="n"/>
      <c r="AS91" s="97" t="n">
        <v>4.158557</v>
      </c>
      <c r="AT91" s="97" t="n"/>
      <c r="AU91" s="97" t="n">
        <v>4.566766</v>
      </c>
      <c r="AV91" s="97" t="n"/>
      <c r="AW91" s="97" t="n"/>
      <c r="AX91" s="97" t="n"/>
      <c r="AY91" s="97" t="n"/>
    </row>
    <row r="92" s="135">
      <c r="A92" t="inlineStr">
        <is>
          <t>1926-07</t>
        </is>
      </c>
      <c r="B92" s="2" t="n">
        <v>9679</v>
      </c>
      <c r="C92" s="96" t="n">
        <v>92</v>
      </c>
      <c r="D92" s="2" t="n"/>
      <c r="E92" s="2">
        <f>B92</f>
        <v/>
      </c>
      <c r="F92" s="3">
        <f>B92</f>
        <v/>
      </c>
      <c r="G92" s="96" t="n">
        <v>90</v>
      </c>
      <c r="H92" s="97" t="n"/>
      <c r="I92" s="97" t="n"/>
      <c r="J92" s="97" t="n"/>
      <c r="K92" s="97" t="n"/>
      <c r="L92" s="97" t="n"/>
      <c r="M92" s="97" t="n"/>
      <c r="N92" s="97" t="n"/>
      <c r="O92" s="97" t="n"/>
      <c r="P92" s="97" t="n"/>
      <c r="Q92" s="97" t="n"/>
      <c r="R92" s="97" t="n"/>
      <c r="S92" s="97" t="n"/>
      <c r="T92" s="97" t="n"/>
      <c r="U92" s="97" t="n"/>
      <c r="V92" s="97" t="n"/>
      <c r="W92" s="97" t="n"/>
      <c r="X92" s="97" t="n"/>
      <c r="Y92" s="97" t="n"/>
      <c r="Z92" s="97" t="n"/>
      <c r="AA92" s="97" t="n"/>
      <c r="AB92" s="97" t="n"/>
      <c r="AC92" s="97" t="n"/>
      <c r="AD92" s="97" t="n"/>
      <c r="AE92" s="97" t="n"/>
      <c r="AF92" s="97" t="n"/>
      <c r="AG92" s="97" t="n"/>
      <c r="AH92" s="97" t="n"/>
      <c r="AI92" s="97" t="n"/>
      <c r="AJ92" s="97" t="n"/>
      <c r="AK92" s="97" t="n"/>
      <c r="AL92" s="97" t="n"/>
      <c r="AM92" s="97" t="n"/>
      <c r="AN92" s="97" t="n"/>
      <c r="AO92" s="97" t="n">
        <v>6.490163</v>
      </c>
      <c r="AP92" s="97" t="n"/>
      <c r="AQ92" s="97" t="n"/>
      <c r="AR92" s="97" t="n"/>
      <c r="AS92" s="97" t="n">
        <v>-0.223326</v>
      </c>
      <c r="AT92" s="97" t="n"/>
      <c r="AU92" s="97" t="n">
        <v>-1.349817</v>
      </c>
      <c r="AV92" s="97" t="n"/>
      <c r="AW92" s="97" t="n"/>
      <c r="AX92" s="97" t="n"/>
      <c r="AY92" s="97" t="n"/>
    </row>
    <row r="93" s="135">
      <c r="A93" t="inlineStr">
        <is>
          <t>1926-08</t>
        </is>
      </c>
      <c r="B93" s="2" t="n">
        <v>9710</v>
      </c>
      <c r="C93" s="96" t="n">
        <v>93</v>
      </c>
      <c r="D93" s="2" t="n"/>
      <c r="E93" s="2">
        <f>B93</f>
        <v/>
      </c>
      <c r="F93" s="3">
        <f>B93</f>
        <v/>
      </c>
      <c r="G93" s="96" t="n">
        <v>91</v>
      </c>
      <c r="H93" s="97" t="n"/>
      <c r="I93" s="97" t="n"/>
      <c r="J93" s="97" t="n"/>
      <c r="K93" s="97" t="n"/>
      <c r="L93" s="97" t="n"/>
      <c r="M93" s="97" t="n"/>
      <c r="N93" s="97" t="n"/>
      <c r="O93" s="97" t="n"/>
      <c r="P93" s="97" t="n"/>
      <c r="Q93" s="97" t="n"/>
      <c r="R93" s="97" t="n"/>
      <c r="S93" s="97" t="n"/>
      <c r="T93" s="97" t="n"/>
      <c r="U93" s="97" t="n"/>
      <c r="V93" s="97" t="n"/>
      <c r="W93" s="97" t="n"/>
      <c r="X93" s="97" t="n"/>
      <c r="Y93" s="97" t="n"/>
      <c r="Z93" s="97" t="n"/>
      <c r="AA93" s="97" t="n"/>
      <c r="AB93" s="97" t="n"/>
      <c r="AC93" s="97" t="n"/>
      <c r="AD93" s="97" t="n"/>
      <c r="AE93" s="97" t="n"/>
      <c r="AF93" s="97" t="n"/>
      <c r="AG93" s="97" t="n"/>
      <c r="AH93" s="97" t="n"/>
      <c r="AI93" s="97" t="n"/>
      <c r="AJ93" s="97" t="n"/>
      <c r="AK93" s="97" t="n"/>
      <c r="AL93" s="97" t="n"/>
      <c r="AM93" s="97" t="n"/>
      <c r="AN93" s="97" t="n"/>
      <c r="AO93" s="97" t="n">
        <v>6.569981</v>
      </c>
      <c r="AP93" s="97" t="n"/>
      <c r="AQ93" s="97" t="n"/>
      <c r="AR93" s="97" t="n"/>
      <c r="AS93" s="97" t="n">
        <v>1.996142</v>
      </c>
      <c r="AT93" s="97" t="n"/>
      <c r="AU93" s="97" t="n">
        <v>2.152491</v>
      </c>
      <c r="AV93" s="97" t="n"/>
      <c r="AW93" s="97" t="n"/>
      <c r="AX93" s="97" t="n"/>
      <c r="AY93" s="97" t="n"/>
    </row>
    <row r="94" s="135">
      <c r="A94" t="inlineStr">
        <is>
          <t>1926-09</t>
        </is>
      </c>
      <c r="B94" s="2" t="n">
        <v>9741</v>
      </c>
      <c r="C94" s="96" t="n">
        <v>94</v>
      </c>
      <c r="D94" s="2" t="n"/>
      <c r="E94" s="2">
        <f>B94</f>
        <v/>
      </c>
      <c r="F94" s="3">
        <f>B94</f>
        <v/>
      </c>
      <c r="G94" s="96" t="n">
        <v>92</v>
      </c>
      <c r="H94" s="97" t="n"/>
      <c r="I94" s="97" t="n"/>
      <c r="J94" s="97" t="n"/>
      <c r="K94" s="97" t="n"/>
      <c r="L94" s="97" t="n"/>
      <c r="M94" s="97" t="n"/>
      <c r="N94" s="97" t="n"/>
      <c r="O94" s="97" t="n"/>
      <c r="P94" s="97" t="n"/>
      <c r="Q94" s="97" t="n"/>
      <c r="R94" s="97" t="n"/>
      <c r="S94" s="97" t="n"/>
      <c r="T94" s="97" t="n"/>
      <c r="U94" s="97" t="n"/>
      <c r="V94" s="97" t="n"/>
      <c r="W94" s="97" t="n"/>
      <c r="X94" s="97" t="n"/>
      <c r="Y94" s="97" t="n"/>
      <c r="Z94" s="97" t="n"/>
      <c r="AA94" s="97" t="n"/>
      <c r="AB94" s="97" t="n"/>
      <c r="AC94" s="97" t="n"/>
      <c r="AD94" s="97" t="n"/>
      <c r="AE94" s="97" t="n"/>
      <c r="AF94" s="97" t="n"/>
      <c r="AG94" s="97" t="n"/>
      <c r="AH94" s="97" t="n"/>
      <c r="AI94" s="97" t="n"/>
      <c r="AJ94" s="97" t="n"/>
      <c r="AK94" s="97" t="n"/>
      <c r="AL94" s="97" t="n"/>
      <c r="AM94" s="97" t="n"/>
      <c r="AN94" s="97" t="n"/>
      <c r="AO94" s="97" t="n">
        <v>6.676406</v>
      </c>
      <c r="AP94" s="97" t="n"/>
      <c r="AQ94" s="97" t="n"/>
      <c r="AR94" s="97" t="n"/>
      <c r="AS94" s="97" t="n">
        <v>1.186441</v>
      </c>
      <c r="AT94" s="97" t="n"/>
      <c r="AU94" s="97" t="n">
        <v>2.040588</v>
      </c>
      <c r="AV94" s="97" t="n"/>
      <c r="AW94" s="97" t="n"/>
      <c r="AX94" s="97" t="n"/>
      <c r="AY94" s="97" t="n"/>
    </row>
    <row r="95" s="135">
      <c r="A95" t="inlineStr">
        <is>
          <t>1926-10</t>
        </is>
      </c>
      <c r="B95" s="2" t="n">
        <v>9771</v>
      </c>
      <c r="C95" s="96" t="n">
        <v>95</v>
      </c>
      <c r="D95" s="2" t="n"/>
      <c r="E95" s="2">
        <f>B95</f>
        <v/>
      </c>
      <c r="F95" s="3">
        <f>B95</f>
        <v/>
      </c>
      <c r="G95" s="96" t="n">
        <v>93</v>
      </c>
      <c r="H95" s="97" t="n"/>
      <c r="I95" s="97" t="n"/>
      <c r="J95" s="97" t="n"/>
      <c r="K95" s="97" t="n"/>
      <c r="L95" s="97" t="n"/>
      <c r="M95" s="97" t="n"/>
      <c r="N95" s="97" t="n"/>
      <c r="O95" s="97" t="n"/>
      <c r="P95" s="97" t="n"/>
      <c r="Q95" s="97" t="n"/>
      <c r="R95" s="97" t="n"/>
      <c r="S95" s="97" t="n"/>
      <c r="T95" s="97" t="n"/>
      <c r="U95" s="97" t="n"/>
      <c r="V95" s="97" t="n"/>
      <c r="W95" s="97" t="n"/>
      <c r="X95" s="97" t="n"/>
      <c r="Y95" s="97" t="n"/>
      <c r="Z95" s="97" t="n"/>
      <c r="AA95" s="97" t="n"/>
      <c r="AB95" s="97" t="n"/>
      <c r="AC95" s="97" t="n"/>
      <c r="AD95" s="97" t="n"/>
      <c r="AE95" s="97" t="n"/>
      <c r="AF95" s="97" t="n"/>
      <c r="AG95" s="97" t="n"/>
      <c r="AH95" s="97" t="n"/>
      <c r="AI95" s="97" t="n"/>
      <c r="AJ95" s="97" t="n"/>
      <c r="AK95" s="97" t="n"/>
      <c r="AL95" s="97" t="n"/>
      <c r="AM95" s="97" t="n"/>
      <c r="AN95" s="97" t="n"/>
      <c r="AO95" s="97" t="n">
        <v>6.676406</v>
      </c>
      <c r="AP95" s="97" t="n"/>
      <c r="AQ95" s="97" t="n"/>
      <c r="AR95" s="97" t="n"/>
      <c r="AS95" s="97" t="n">
        <v>1.396769</v>
      </c>
      <c r="AT95" s="97" t="n"/>
      <c r="AU95" s="97" t="n">
        <v>-1.154461</v>
      </c>
      <c r="AV95" s="97" t="n"/>
      <c r="AW95" s="97" t="n"/>
      <c r="AX95" s="97" t="n"/>
      <c r="AY95" s="97" t="n"/>
    </row>
    <row r="96" s="135">
      <c r="A96" t="inlineStr">
        <is>
          <t>1926-11</t>
        </is>
      </c>
      <c r="B96" s="2" t="n">
        <v>9802</v>
      </c>
      <c r="C96" s="96" t="n">
        <v>96</v>
      </c>
      <c r="D96" s="2" t="n"/>
      <c r="E96" s="2">
        <f>B96</f>
        <v/>
      </c>
      <c r="F96" s="3">
        <f>B96</f>
        <v/>
      </c>
      <c r="G96" s="96" t="n">
        <v>94</v>
      </c>
      <c r="H96" s="97" t="n"/>
      <c r="I96" s="97" t="n"/>
      <c r="J96" s="97" t="n"/>
      <c r="K96" s="97" t="n"/>
      <c r="L96" s="97" t="n"/>
      <c r="M96" s="97" t="n"/>
      <c r="N96" s="97" t="n"/>
      <c r="O96" s="97" t="n"/>
      <c r="P96" s="97" t="n"/>
      <c r="Q96" s="97" t="n"/>
      <c r="R96" s="97" t="n"/>
      <c r="S96" s="97" t="n"/>
      <c r="T96" s="97" t="n"/>
      <c r="U96" s="97" t="n"/>
      <c r="V96" s="97" t="n"/>
      <c r="W96" s="97" t="n"/>
      <c r="X96" s="97" t="n"/>
      <c r="Y96" s="97" t="n"/>
      <c r="Z96" s="97" t="n"/>
      <c r="AA96" s="97" t="n"/>
      <c r="AB96" s="97" t="n"/>
      <c r="AC96" s="97" t="n"/>
      <c r="AD96" s="97" t="n"/>
      <c r="AE96" s="97" t="n"/>
      <c r="AF96" s="97" t="n"/>
      <c r="AG96" s="97" t="n"/>
      <c r="AH96" s="97" t="n"/>
      <c r="AI96" s="97" t="n"/>
      <c r="AJ96" s="97" t="n"/>
      <c r="AK96" s="97" t="n"/>
      <c r="AL96" s="97" t="n"/>
      <c r="AM96" s="97" t="n"/>
      <c r="AN96" s="97" t="n"/>
      <c r="AO96" s="97" t="n">
        <v>6.6498</v>
      </c>
      <c r="AP96" s="97" t="n"/>
      <c r="AQ96" s="97" t="n"/>
      <c r="AR96" s="97" t="n"/>
      <c r="AS96" s="97" t="n">
        <v>0.404999</v>
      </c>
      <c r="AT96" s="97" t="n"/>
      <c r="AU96" s="97" t="n">
        <v>3.518499</v>
      </c>
      <c r="AV96" s="97" t="n"/>
      <c r="AW96" s="97" t="n"/>
      <c r="AX96" s="97" t="n"/>
      <c r="AY96" s="97" t="n"/>
    </row>
    <row r="97" s="135">
      <c r="A97" t="inlineStr">
        <is>
          <t>1926-12</t>
        </is>
      </c>
      <c r="B97" s="2" t="n">
        <v>9832</v>
      </c>
      <c r="C97" s="96" t="n">
        <v>97</v>
      </c>
      <c r="D97" s="2" t="n"/>
      <c r="E97" s="2">
        <f>B97</f>
        <v/>
      </c>
      <c r="F97" s="3">
        <f>B97</f>
        <v/>
      </c>
      <c r="G97" s="96" t="n">
        <v>95</v>
      </c>
      <c r="H97" s="97" t="n"/>
      <c r="I97" s="97" t="n"/>
      <c r="J97" s="97" t="n"/>
      <c r="K97" s="97" t="n"/>
      <c r="L97" s="97" t="n"/>
      <c r="M97" s="97" t="n"/>
      <c r="N97" s="97" t="n"/>
      <c r="O97" s="97" t="n"/>
      <c r="P97" s="97" t="n"/>
      <c r="Q97" s="97" t="n"/>
      <c r="R97" s="97" t="n"/>
      <c r="S97" s="97" t="n"/>
      <c r="T97" s="97" t="n"/>
      <c r="U97" s="97" t="n"/>
      <c r="V97" s="97" t="n"/>
      <c r="W97" s="97" t="n"/>
      <c r="X97" s="97" t="n"/>
      <c r="Y97" s="97" t="n"/>
      <c r="Z97" s="97" t="n"/>
      <c r="AA97" s="97" t="n"/>
      <c r="AB97" s="97" t="n"/>
      <c r="AC97" s="97" t="n"/>
      <c r="AD97" s="97" t="n"/>
      <c r="AE97" s="97" t="n"/>
      <c r="AF97" s="97" t="n"/>
      <c r="AG97" s="97" t="n"/>
      <c r="AH97" s="97" t="n"/>
      <c r="AI97" s="97" t="n"/>
      <c r="AJ97" s="97" t="n"/>
      <c r="AK97" s="97" t="n"/>
      <c r="AL97" s="97" t="n"/>
      <c r="AM97" s="97" t="n"/>
      <c r="AN97" s="97" t="n"/>
      <c r="AO97" s="97" t="n">
        <v>6.623193</v>
      </c>
      <c r="AP97" s="97" t="n"/>
      <c r="AQ97" s="97" t="n"/>
      <c r="AR97" s="97" t="n"/>
      <c r="AS97" s="97" t="n">
        <v>1.114561</v>
      </c>
      <c r="AT97" s="97" t="n"/>
      <c r="AU97" s="97" t="n">
        <v>1.481128</v>
      </c>
      <c r="AV97" s="97" t="n"/>
      <c r="AW97" s="97" t="n"/>
      <c r="AX97" s="97" t="n"/>
      <c r="AY97" s="97" t="n"/>
    </row>
    <row r="98" s="135">
      <c r="A98" t="inlineStr">
        <is>
          <t>1927-01</t>
        </is>
      </c>
      <c r="B98" s="2" t="n">
        <v>9863</v>
      </c>
      <c r="C98" s="96" t="n">
        <v>98</v>
      </c>
      <c r="D98" s="2" t="n"/>
      <c r="E98" s="2">
        <f>B98</f>
        <v/>
      </c>
      <c r="F98" s="3">
        <f>B98</f>
        <v/>
      </c>
      <c r="G98" s="96" t="n">
        <v>96</v>
      </c>
      <c r="H98" s="97" t="n"/>
      <c r="I98" s="97" t="n"/>
      <c r="J98" s="97" t="n"/>
      <c r="K98" s="97" t="n"/>
      <c r="L98" s="97" t="n"/>
      <c r="M98" s="97" t="n"/>
      <c r="N98" s="97" t="n"/>
      <c r="O98" s="97" t="n"/>
      <c r="P98" s="97" t="n"/>
      <c r="Q98" s="97" t="n"/>
      <c r="R98" s="97" t="n"/>
      <c r="S98" s="97" t="n"/>
      <c r="T98" s="97" t="n"/>
      <c r="U98" s="97" t="n"/>
      <c r="V98" s="97" t="n"/>
      <c r="W98" s="97" t="n"/>
      <c r="X98" s="97" t="n"/>
      <c r="Y98" s="97" t="n"/>
      <c r="Z98" s="97" t="n"/>
      <c r="AA98" s="97" t="n"/>
      <c r="AB98" s="97" t="n"/>
      <c r="AC98" s="97" t="n"/>
      <c r="AD98" s="97" t="n"/>
      <c r="AE98" s="97" t="n"/>
      <c r="AF98" s="97" t="n"/>
      <c r="AG98" s="97" t="n"/>
      <c r="AH98" s="97" t="n"/>
      <c r="AI98" s="97" t="n"/>
      <c r="AJ98" s="97" t="n"/>
      <c r="AK98" s="97" t="n"/>
      <c r="AL98" s="97" t="n"/>
      <c r="AM98" s="97" t="n"/>
      <c r="AN98" s="97" t="n"/>
      <c r="AO98" s="97" t="n">
        <v>6.596587</v>
      </c>
      <c r="AP98" s="97" t="n"/>
      <c r="AQ98" s="97" t="n"/>
      <c r="AR98" s="97" t="n"/>
      <c r="AS98" s="97" t="n">
        <v>1.590426</v>
      </c>
      <c r="AT98" s="97" t="n"/>
      <c r="AU98" s="97" t="n">
        <v>-0.81523</v>
      </c>
      <c r="AV98" s="97" t="n"/>
      <c r="AW98" s="97" t="n"/>
      <c r="AX98" s="97" t="n"/>
      <c r="AY98" s="97" t="n"/>
    </row>
    <row r="99" s="135">
      <c r="A99" t="inlineStr">
        <is>
          <t>1927-02</t>
        </is>
      </c>
      <c r="B99" s="2" t="n">
        <v>9894</v>
      </c>
      <c r="C99" s="96" t="n">
        <v>99</v>
      </c>
      <c r="D99" s="2" t="n"/>
      <c r="E99" s="2">
        <f>B99</f>
        <v/>
      </c>
      <c r="F99" s="3">
        <f>B99</f>
        <v/>
      </c>
      <c r="G99" s="96" t="n">
        <v>97</v>
      </c>
      <c r="H99" s="97" t="n"/>
      <c r="I99" s="97" t="n"/>
      <c r="J99" s="97" t="n"/>
      <c r="K99" s="97" t="n"/>
      <c r="L99" s="97" t="n"/>
      <c r="M99" s="97" t="n"/>
      <c r="N99" s="97" t="n"/>
      <c r="O99" s="97" t="n"/>
      <c r="P99" s="97" t="n"/>
      <c r="Q99" s="97" t="n"/>
      <c r="R99" s="97" t="n"/>
      <c r="S99" s="97" t="n"/>
      <c r="T99" s="97" t="n"/>
      <c r="U99" s="97" t="n"/>
      <c r="V99" s="97" t="n"/>
      <c r="W99" s="97" t="n"/>
      <c r="X99" s="97" t="n"/>
      <c r="Y99" s="97" t="n"/>
      <c r="Z99" s="97" t="n"/>
      <c r="AA99" s="97" t="n"/>
      <c r="AB99" s="97" t="n"/>
      <c r="AC99" s="97" t="n"/>
      <c r="AD99" s="97" t="n"/>
      <c r="AE99" s="97" t="n"/>
      <c r="AF99" s="97" t="n"/>
      <c r="AG99" s="97" t="n"/>
      <c r="AH99" s="97" t="n"/>
      <c r="AI99" s="97" t="n"/>
      <c r="AJ99" s="97" t="n"/>
      <c r="AK99" s="97" t="n"/>
      <c r="AL99" s="97" t="n"/>
      <c r="AM99" s="97" t="n"/>
      <c r="AN99" s="97" t="n"/>
      <c r="AO99" s="97" t="n">
        <v>6.6498</v>
      </c>
      <c r="AP99" s="97" t="n"/>
      <c r="AQ99" s="97" t="n"/>
      <c r="AR99" s="97" t="n"/>
      <c r="AS99" s="97" t="n">
        <v>0.6174269999999999</v>
      </c>
      <c r="AT99" s="97" t="n"/>
      <c r="AU99" s="97" t="n">
        <v>1.302659</v>
      </c>
      <c r="AV99" s="97" t="n"/>
      <c r="AW99" s="97" t="n"/>
      <c r="AX99" s="97" t="n"/>
      <c r="AY99" s="97" t="n"/>
    </row>
    <row r="100" s="135">
      <c r="A100" t="inlineStr">
        <is>
          <t>1927-03</t>
        </is>
      </c>
      <c r="B100" s="2" t="n">
        <v>9922</v>
      </c>
      <c r="C100" s="96" t="n">
        <v>100</v>
      </c>
      <c r="D100" s="2" t="n"/>
      <c r="E100" s="2">
        <f>B100</f>
        <v/>
      </c>
      <c r="F100" s="3">
        <f>B100</f>
        <v/>
      </c>
      <c r="G100" s="96" t="n">
        <v>98</v>
      </c>
      <c r="H100" s="97" t="n"/>
      <c r="I100" s="97" t="n"/>
      <c r="J100" s="97" t="n"/>
      <c r="K100" s="97" t="n"/>
      <c r="L100" s="97" t="n"/>
      <c r="M100" s="97" t="n"/>
      <c r="N100" s="97" t="n"/>
      <c r="O100" s="97" t="n"/>
      <c r="P100" s="97" t="n"/>
      <c r="Q100" s="97" t="n"/>
      <c r="R100" s="97" t="n"/>
      <c r="S100" s="97" t="n"/>
      <c r="T100" s="97" t="n"/>
      <c r="U100" s="97" t="n"/>
      <c r="V100" s="97" t="n"/>
      <c r="W100" s="97" t="n"/>
      <c r="X100" s="97" t="n"/>
      <c r="Y100" s="97" t="n"/>
      <c r="Z100" s="97" t="n"/>
      <c r="AA100" s="97" t="n"/>
      <c r="AB100" s="97" t="n"/>
      <c r="AC100" s="97" t="n"/>
      <c r="AD100" s="97" t="n"/>
      <c r="AE100" s="97" t="n"/>
      <c r="AF100" s="97" t="n"/>
      <c r="AG100" s="97" t="n"/>
      <c r="AH100" s="97" t="n"/>
      <c r="AI100" s="97" t="n"/>
      <c r="AJ100" s="97" t="n"/>
      <c r="AK100" s="97" t="n"/>
      <c r="AL100" s="97" t="n"/>
      <c r="AM100" s="97" t="n"/>
      <c r="AN100" s="97" t="n"/>
      <c r="AO100" s="97" t="n">
        <v>6.729618</v>
      </c>
      <c r="AP100" s="97" t="n"/>
      <c r="AQ100" s="97" t="n"/>
      <c r="AR100" s="97" t="n"/>
      <c r="AS100" s="97" t="n">
        <v>0.749718</v>
      </c>
      <c r="AT100" s="97" t="n"/>
      <c r="AU100" s="97" t="n">
        <v>0.718762</v>
      </c>
      <c r="AV100" s="97" t="n"/>
      <c r="AW100" s="97" t="n"/>
      <c r="AX100" s="97" t="n"/>
      <c r="AY100" s="97" t="n"/>
    </row>
    <row r="101" s="135">
      <c r="A101" t="inlineStr">
        <is>
          <t>1927-04</t>
        </is>
      </c>
      <c r="B101" s="2" t="n">
        <v>9953</v>
      </c>
      <c r="C101" s="96" t="n">
        <v>101</v>
      </c>
      <c r="D101" s="2" t="n"/>
      <c r="E101" s="2">
        <f>B101</f>
        <v/>
      </c>
      <c r="F101" s="3">
        <f>B101</f>
        <v/>
      </c>
      <c r="G101" s="96" t="n">
        <v>99</v>
      </c>
      <c r="H101" s="97" t="n"/>
      <c r="I101" s="97" t="n"/>
      <c r="J101" s="97" t="n"/>
      <c r="K101" s="97" t="n"/>
      <c r="L101" s="97" t="n"/>
      <c r="M101" s="97" t="n"/>
      <c r="N101" s="97" t="n"/>
      <c r="O101" s="97" t="n"/>
      <c r="P101" s="97" t="n"/>
      <c r="Q101" s="97" t="n"/>
      <c r="R101" s="97" t="n"/>
      <c r="S101" s="97" t="n"/>
      <c r="T101" s="97" t="n"/>
      <c r="U101" s="97" t="n"/>
      <c r="V101" s="97" t="n"/>
      <c r="W101" s="97" t="n"/>
      <c r="X101" s="97" t="n"/>
      <c r="Y101" s="97" t="n"/>
      <c r="Z101" s="97" t="n"/>
      <c r="AA101" s="97" t="n"/>
      <c r="AB101" s="97" t="n"/>
      <c r="AC101" s="97" t="n"/>
      <c r="AD101" s="97" t="n"/>
      <c r="AE101" s="97" t="n"/>
      <c r="AF101" s="97" t="n"/>
      <c r="AG101" s="97" t="n"/>
      <c r="AH101" s="97" t="n"/>
      <c r="AI101" s="97" t="n"/>
      <c r="AJ101" s="97" t="n"/>
      <c r="AK101" s="97" t="n"/>
      <c r="AL101" s="97" t="n"/>
      <c r="AM101" s="97" t="n"/>
      <c r="AN101" s="97" t="n"/>
      <c r="AO101" s="97" t="n">
        <v>6.569981</v>
      </c>
      <c r="AP101" s="97" t="n"/>
      <c r="AQ101" s="97" t="n"/>
      <c r="AR101" s="97" t="n"/>
      <c r="AS101" s="97" t="n">
        <v>0.917431</v>
      </c>
      <c r="AT101" s="97" t="n"/>
      <c r="AU101" s="97" t="n">
        <v>-0.58952</v>
      </c>
      <c r="AV101" s="97" t="n"/>
      <c r="AW101" s="97" t="n"/>
      <c r="AX101" s="97" t="n"/>
      <c r="AY101" s="97" t="n"/>
    </row>
    <row r="102" s="135">
      <c r="A102" t="inlineStr">
        <is>
          <t>1927-05</t>
        </is>
      </c>
      <c r="B102" s="2" t="n">
        <v>9983</v>
      </c>
      <c r="C102" s="96" t="n">
        <v>102</v>
      </c>
      <c r="D102" s="2" t="n"/>
      <c r="E102" s="2">
        <f>B102</f>
        <v/>
      </c>
      <c r="F102" s="3">
        <f>B102</f>
        <v/>
      </c>
      <c r="G102" s="96" t="n">
        <v>100</v>
      </c>
      <c r="H102" s="97" t="n"/>
      <c r="I102" s="97" t="n"/>
      <c r="J102" s="97" t="n"/>
      <c r="K102" s="97" t="n"/>
      <c r="L102" s="97" t="n"/>
      <c r="M102" s="97" t="n"/>
      <c r="N102" s="97" t="n"/>
      <c r="O102" s="97" t="n"/>
      <c r="P102" s="97" t="n"/>
      <c r="Q102" s="97" t="n"/>
      <c r="R102" s="97" t="n"/>
      <c r="S102" s="97" t="n"/>
      <c r="T102" s="97" t="n"/>
      <c r="U102" s="97" t="n"/>
      <c r="V102" s="97" t="n"/>
      <c r="W102" s="97" t="n"/>
      <c r="X102" s="97" t="n"/>
      <c r="Y102" s="97" t="n"/>
      <c r="Z102" s="97" t="n"/>
      <c r="AA102" s="97" t="n"/>
      <c r="AB102" s="97" t="n"/>
      <c r="AC102" s="97" t="n"/>
      <c r="AD102" s="97" t="n"/>
      <c r="AE102" s="97" t="n"/>
      <c r="AF102" s="97" t="n"/>
      <c r="AG102" s="97" t="n"/>
      <c r="AH102" s="97" t="n"/>
      <c r="AI102" s="97" t="n"/>
      <c r="AJ102" s="97" t="n"/>
      <c r="AK102" s="97" t="n"/>
      <c r="AL102" s="97" t="n"/>
      <c r="AM102" s="97" t="n"/>
      <c r="AN102" s="97" t="n"/>
      <c r="AO102" s="97" t="n">
        <v>6.623193</v>
      </c>
      <c r="AP102" s="97" t="n"/>
      <c r="AQ102" s="97" t="n"/>
      <c r="AR102" s="97" t="n"/>
      <c r="AS102" s="97" t="n">
        <v>0.285354</v>
      </c>
      <c r="AT102" s="97" t="n"/>
      <c r="AU102" s="97" t="n">
        <v>1.04617</v>
      </c>
      <c r="AV102" s="97" t="n"/>
      <c r="AW102" s="97" t="n"/>
      <c r="AX102" s="97" t="n"/>
      <c r="AY102" s="97" t="n"/>
    </row>
    <row r="103" s="135">
      <c r="A103" t="inlineStr">
        <is>
          <t>1927-06</t>
        </is>
      </c>
      <c r="B103" s="2" t="n">
        <v>10014</v>
      </c>
      <c r="C103" s="96" t="n">
        <v>103</v>
      </c>
      <c r="D103" s="2" t="n"/>
      <c r="E103" s="2">
        <f>B103</f>
        <v/>
      </c>
      <c r="F103" s="3">
        <f>B103</f>
        <v/>
      </c>
      <c r="G103" s="96" t="n">
        <v>101</v>
      </c>
      <c r="H103" s="97" t="n"/>
      <c r="I103" s="97" t="n"/>
      <c r="J103" s="97" t="n"/>
      <c r="K103" s="97" t="n"/>
      <c r="L103" s="97" t="n"/>
      <c r="M103" s="97" t="n"/>
      <c r="N103" s="97" t="n"/>
      <c r="O103" s="97" t="n"/>
      <c r="P103" s="97" t="n"/>
      <c r="Q103" s="97" t="n"/>
      <c r="R103" s="97" t="n"/>
      <c r="S103" s="97" t="n"/>
      <c r="T103" s="97" t="n"/>
      <c r="U103" s="97" t="n"/>
      <c r="V103" s="97" t="n"/>
      <c r="W103" s="97" t="n"/>
      <c r="X103" s="97" t="n"/>
      <c r="Y103" s="97" t="n"/>
      <c r="Z103" s="97" t="n"/>
      <c r="AA103" s="97" t="n"/>
      <c r="AB103" s="97" t="n"/>
      <c r="AC103" s="97" t="n"/>
      <c r="AD103" s="97" t="n"/>
      <c r="AE103" s="97" t="n"/>
      <c r="AF103" s="97" t="n"/>
      <c r="AG103" s="97" t="n"/>
      <c r="AH103" s="97" t="n"/>
      <c r="AI103" s="97" t="n"/>
      <c r="AJ103" s="97" t="n"/>
      <c r="AK103" s="97" t="n"/>
      <c r="AL103" s="97" t="n"/>
      <c r="AM103" s="97" t="n"/>
      <c r="AN103" s="97" t="n"/>
      <c r="AO103" s="97" t="n">
        <v>6.596587</v>
      </c>
      <c r="AP103" s="97" t="n"/>
      <c r="AQ103" s="97" t="n"/>
      <c r="AR103" s="97" t="n"/>
      <c r="AS103" s="97" t="n">
        <v>0.8410339999999999</v>
      </c>
      <c r="AT103" s="97" t="n"/>
      <c r="AU103" s="97" t="n">
        <v>0.061773</v>
      </c>
      <c r="AV103" s="97" t="n"/>
      <c r="AW103" s="97" t="n"/>
      <c r="AX103" s="97" t="n"/>
      <c r="AY103" s="97" t="n"/>
    </row>
    <row r="104" s="135">
      <c r="A104" t="inlineStr">
        <is>
          <t>1927-07</t>
        </is>
      </c>
      <c r="B104" s="2" t="n">
        <v>10044</v>
      </c>
      <c r="C104" s="96" t="n">
        <v>104</v>
      </c>
      <c r="D104" s="2" t="n"/>
      <c r="E104" s="2">
        <f>B104</f>
        <v/>
      </c>
      <c r="F104" s="3">
        <f>B104</f>
        <v/>
      </c>
      <c r="G104" s="96" t="n">
        <v>102</v>
      </c>
      <c r="H104" s="97" t="n"/>
      <c r="I104" s="97" t="n"/>
      <c r="J104" s="97" t="n"/>
      <c r="K104" s="97" t="n"/>
      <c r="L104" s="97" t="n"/>
      <c r="M104" s="97" t="n"/>
      <c r="N104" s="97" t="n"/>
      <c r="O104" s="97" t="n"/>
      <c r="P104" s="97" t="n"/>
      <c r="Q104" s="97" t="n"/>
      <c r="R104" s="97" t="n"/>
      <c r="S104" s="97" t="n"/>
      <c r="T104" s="97" t="n"/>
      <c r="U104" s="97" t="n"/>
      <c r="V104" s="97" t="n"/>
      <c r="W104" s="97" t="n"/>
      <c r="X104" s="97" t="n"/>
      <c r="Y104" s="97" t="n"/>
      <c r="Z104" s="97" t="n"/>
      <c r="AA104" s="97" t="n"/>
      <c r="AB104" s="97" t="n"/>
      <c r="AC104" s="97" t="n"/>
      <c r="AD104" s="97" t="n"/>
      <c r="AE104" s="97" t="n"/>
      <c r="AF104" s="97" t="n"/>
      <c r="AG104" s="97" t="n"/>
      <c r="AH104" s="97" t="n"/>
      <c r="AI104" s="97" t="n"/>
      <c r="AJ104" s="97" t="n"/>
      <c r="AK104" s="97" t="n"/>
      <c r="AL104" s="97" t="n"/>
      <c r="AM104" s="97" t="n"/>
      <c r="AN104" s="97" t="n"/>
      <c r="AO104" s="97" t="n">
        <v>6.516769</v>
      </c>
      <c r="AP104" s="97" t="n"/>
      <c r="AQ104" s="97" t="n"/>
      <c r="AR104" s="97" t="n"/>
      <c r="AS104" s="97" t="n">
        <v>1.765426</v>
      </c>
      <c r="AT104" s="97" t="n"/>
      <c r="AU104" s="97" t="n">
        <v>1.770999</v>
      </c>
      <c r="AV104" s="97" t="n"/>
      <c r="AW104" s="97" t="n"/>
      <c r="AX104" s="97" t="n"/>
      <c r="AY104" s="97" t="n"/>
    </row>
    <row r="105" s="135">
      <c r="A105" t="inlineStr">
        <is>
          <t>1927-08</t>
        </is>
      </c>
      <c r="B105" s="2" t="n">
        <v>10075</v>
      </c>
      <c r="C105" s="96" t="n">
        <v>105</v>
      </c>
      <c r="D105" s="2" t="n"/>
      <c r="E105" s="2">
        <f>B105</f>
        <v/>
      </c>
      <c r="F105" s="3">
        <f>B105</f>
        <v/>
      </c>
      <c r="G105" s="96" t="n">
        <v>103</v>
      </c>
      <c r="H105" s="97" t="n"/>
      <c r="I105" s="97" t="n"/>
      <c r="J105" s="97" t="n"/>
      <c r="K105" s="97" t="n"/>
      <c r="L105" s="97" t="n"/>
      <c r="M105" s="97" t="n"/>
      <c r="N105" s="97" t="n"/>
      <c r="O105" s="97" t="n"/>
      <c r="P105" s="97" t="n"/>
      <c r="Q105" s="97" t="n"/>
      <c r="R105" s="97" t="n"/>
      <c r="S105" s="97" t="n"/>
      <c r="T105" s="97" t="n"/>
      <c r="U105" s="97" t="n"/>
      <c r="V105" s="97" t="n"/>
      <c r="W105" s="97" t="n"/>
      <c r="X105" s="97" t="n"/>
      <c r="Y105" s="97" t="n"/>
      <c r="Z105" s="97" t="n"/>
      <c r="AA105" s="97" t="n"/>
      <c r="AB105" s="97" t="n"/>
      <c r="AC105" s="97" t="n"/>
      <c r="AD105" s="97" t="n"/>
      <c r="AE105" s="97" t="n"/>
      <c r="AF105" s="97" t="n"/>
      <c r="AG105" s="97" t="n"/>
      <c r="AH105" s="97" t="n"/>
      <c r="AI105" s="97" t="n"/>
      <c r="AJ105" s="97" t="n"/>
      <c r="AK105" s="97" t="n"/>
      <c r="AL105" s="97" t="n"/>
      <c r="AM105" s="97" t="n"/>
      <c r="AN105" s="97" t="n"/>
      <c r="AO105" s="97" t="n">
        <v>6.516769</v>
      </c>
      <c r="AP105" s="97" t="n"/>
      <c r="AQ105" s="97" t="n"/>
      <c r="AR105" s="97" t="n"/>
      <c r="AS105" s="97" t="n">
        <v>0.498111</v>
      </c>
      <c r="AT105" s="97" t="n"/>
      <c r="AU105" s="97" t="n">
        <v>1.289678</v>
      </c>
      <c r="AV105" s="97" t="n"/>
      <c r="AW105" s="97" t="n"/>
      <c r="AX105" s="97" t="n"/>
      <c r="AY105" s="97" t="n"/>
    </row>
    <row r="106" s="135">
      <c r="A106" t="inlineStr">
        <is>
          <t>1927-09</t>
        </is>
      </c>
      <c r="B106" s="2" t="n">
        <v>10106</v>
      </c>
      <c r="C106" s="96" t="n">
        <v>106</v>
      </c>
      <c r="D106" s="2" t="n"/>
      <c r="E106" s="2">
        <f>B106</f>
        <v/>
      </c>
      <c r="F106" s="3">
        <f>B106</f>
        <v/>
      </c>
      <c r="G106" s="96" t="n">
        <v>104</v>
      </c>
      <c r="H106" s="97" t="n"/>
      <c r="I106" s="97" t="n"/>
      <c r="J106" s="97" t="n"/>
      <c r="K106" s="97" t="n"/>
      <c r="L106" s="97" t="n"/>
      <c r="M106" s="97" t="n"/>
      <c r="N106" s="97" t="n"/>
      <c r="O106" s="97" t="n"/>
      <c r="P106" s="97" t="n"/>
      <c r="Q106" s="97" t="n"/>
      <c r="R106" s="97" t="n"/>
      <c r="S106" s="97" t="n"/>
      <c r="T106" s="97" t="n"/>
      <c r="U106" s="97" t="n"/>
      <c r="V106" s="97" t="n"/>
      <c r="W106" s="97" t="n"/>
      <c r="X106" s="97" t="n"/>
      <c r="Y106" s="97" t="n"/>
      <c r="Z106" s="97" t="n"/>
      <c r="AA106" s="97" t="n"/>
      <c r="AB106" s="97" t="n"/>
      <c r="AC106" s="97" t="n"/>
      <c r="AD106" s="97" t="n"/>
      <c r="AE106" s="97" t="n"/>
      <c r="AF106" s="97" t="n"/>
      <c r="AG106" s="97" t="n"/>
      <c r="AH106" s="97" t="n"/>
      <c r="AI106" s="97" t="n"/>
      <c r="AJ106" s="97" t="n"/>
      <c r="AK106" s="97" t="n"/>
      <c r="AL106" s="97" t="n"/>
      <c r="AM106" s="97" t="n"/>
      <c r="AN106" s="97" t="n"/>
      <c r="AO106" s="97" t="n">
        <v>6.41044</v>
      </c>
      <c r="AP106" s="97" t="n"/>
      <c r="AQ106" s="97" t="n"/>
      <c r="AR106" s="97" t="n"/>
      <c r="AS106" s="97" t="n">
        <v>-0.087897</v>
      </c>
      <c r="AT106" s="97" t="n"/>
      <c r="AU106" s="97" t="n">
        <v>-0.444748</v>
      </c>
      <c r="AV106" s="97" t="n"/>
      <c r="AW106" s="97" t="n"/>
      <c r="AX106" s="97" t="n"/>
      <c r="AY106" s="97" t="n"/>
    </row>
    <row r="107" s="135">
      <c r="A107" t="inlineStr">
        <is>
          <t>1927-10</t>
        </is>
      </c>
      <c r="B107" s="2" t="n">
        <v>10136</v>
      </c>
      <c r="C107" s="96" t="n">
        <v>107</v>
      </c>
      <c r="D107" s="2" t="n"/>
      <c r="E107" s="2">
        <f>B107</f>
        <v/>
      </c>
      <c r="F107" s="3">
        <f>B107</f>
        <v/>
      </c>
      <c r="G107" s="96" t="n">
        <v>105</v>
      </c>
      <c r="H107" s="97" t="n"/>
      <c r="I107" s="97" t="n"/>
      <c r="J107" s="97" t="n"/>
      <c r="K107" s="97" t="n"/>
      <c r="L107" s="97" t="n"/>
      <c r="M107" s="97" t="n"/>
      <c r="N107" s="97" t="n"/>
      <c r="O107" s="97" t="n"/>
      <c r="P107" s="97" t="n"/>
      <c r="Q107" s="97" t="n"/>
      <c r="R107" s="97" t="n"/>
      <c r="S107" s="97" t="n"/>
      <c r="T107" s="97" t="n"/>
      <c r="U107" s="97" t="n"/>
      <c r="V107" s="97" t="n"/>
      <c r="W107" s="97" t="n"/>
      <c r="X107" s="97" t="n"/>
      <c r="Y107" s="97" t="n"/>
      <c r="Z107" s="97" t="n"/>
      <c r="AA107" s="97" t="n"/>
      <c r="AB107" s="97" t="n"/>
      <c r="AC107" s="97" t="n"/>
      <c r="AD107" s="97" t="n"/>
      <c r="AE107" s="97" t="n"/>
      <c r="AF107" s="97" t="n"/>
      <c r="AG107" s="97" t="n"/>
      <c r="AH107" s="97" t="n"/>
      <c r="AI107" s="97" t="n"/>
      <c r="AJ107" s="97" t="n"/>
      <c r="AK107" s="97" t="n"/>
      <c r="AL107" s="97" t="n"/>
      <c r="AM107" s="97" t="n"/>
      <c r="AN107" s="97" t="n"/>
      <c r="AO107" s="97" t="n">
        <v>6.27741</v>
      </c>
      <c r="AP107" s="97" t="n"/>
      <c r="AQ107" s="97" t="n"/>
      <c r="AR107" s="97" t="n"/>
      <c r="AS107" s="97" t="n">
        <v>0.923731</v>
      </c>
      <c r="AT107" s="97" t="n"/>
      <c r="AU107" s="97" t="n">
        <v>2.892126</v>
      </c>
      <c r="AV107" s="97" t="n"/>
      <c r="AW107" s="97" t="n"/>
      <c r="AX107" s="97" t="n"/>
      <c r="AY107" s="97" t="n"/>
    </row>
    <row r="108" s="135">
      <c r="A108" t="inlineStr">
        <is>
          <t>1927-11</t>
        </is>
      </c>
      <c r="B108" s="2" t="n">
        <v>10167</v>
      </c>
      <c r="C108" s="96" t="n">
        <v>108</v>
      </c>
      <c r="D108" s="2" t="n"/>
      <c r="E108" s="2">
        <f>B108</f>
        <v/>
      </c>
      <c r="F108" s="3">
        <f>B108</f>
        <v/>
      </c>
      <c r="G108" s="96" t="n">
        <v>106</v>
      </c>
      <c r="H108" s="97" t="n"/>
      <c r="I108" s="97" t="n"/>
      <c r="J108" s="97" t="n"/>
      <c r="K108" s="97" t="n"/>
      <c r="L108" s="97" t="n"/>
      <c r="M108" s="97" t="n"/>
      <c r="N108" s="97" t="n"/>
      <c r="O108" s="97" t="n"/>
      <c r="P108" s="97" t="n"/>
      <c r="Q108" s="97" t="n"/>
      <c r="R108" s="97" t="n"/>
      <c r="S108" s="97" t="n"/>
      <c r="T108" s="97" t="n"/>
      <c r="U108" s="97" t="n"/>
      <c r="V108" s="97" t="n"/>
      <c r="W108" s="97" t="n"/>
      <c r="X108" s="97" t="n"/>
      <c r="Y108" s="97" t="n"/>
      <c r="Z108" s="97" t="n"/>
      <c r="AA108" s="97" t="n"/>
      <c r="AB108" s="97" t="n"/>
      <c r="AC108" s="97" t="n"/>
      <c r="AD108" s="97" t="n"/>
      <c r="AE108" s="97" t="n"/>
      <c r="AF108" s="97" t="n"/>
      <c r="AG108" s="97" t="n"/>
      <c r="AH108" s="97" t="n"/>
      <c r="AI108" s="97" t="n"/>
      <c r="AJ108" s="97" t="n"/>
      <c r="AK108" s="97" t="n"/>
      <c r="AL108" s="97" t="n"/>
      <c r="AM108" s="97" t="n"/>
      <c r="AN108" s="97" t="n"/>
      <c r="AO108" s="97" t="n">
        <v>6.27741</v>
      </c>
      <c r="AP108" s="97" t="n"/>
      <c r="AQ108" s="97" t="n"/>
      <c r="AR108" s="97" t="n"/>
      <c r="AS108" s="97" t="n">
        <v>1.762755</v>
      </c>
      <c r="AT108" s="97" t="n"/>
      <c r="AU108" s="97" t="n">
        <v>1.926215</v>
      </c>
      <c r="AV108" s="97" t="n"/>
      <c r="AW108" s="97" t="n"/>
      <c r="AX108" s="97" t="n"/>
      <c r="AY108" s="97" t="n"/>
    </row>
    <row r="109" s="135">
      <c r="A109" t="inlineStr">
        <is>
          <t>1927-12</t>
        </is>
      </c>
      <c r="B109" s="2" t="n">
        <v>10197</v>
      </c>
      <c r="C109" s="96" t="n">
        <v>109</v>
      </c>
      <c r="D109" s="2" t="n"/>
      <c r="E109" s="2">
        <f>B109</f>
        <v/>
      </c>
      <c r="F109" s="3">
        <f>B109</f>
        <v/>
      </c>
      <c r="G109" s="96" t="n">
        <v>107</v>
      </c>
      <c r="H109" s="97" t="n"/>
      <c r="I109" s="97" t="n"/>
      <c r="J109" s="97" t="n"/>
      <c r="K109" s="97" t="n"/>
      <c r="L109" s="97" t="n"/>
      <c r="M109" s="97" t="n"/>
      <c r="N109" s="97" t="n"/>
      <c r="O109" s="97" t="n"/>
      <c r="P109" s="97" t="n"/>
      <c r="Q109" s="97" t="n"/>
      <c r="R109" s="97" t="n"/>
      <c r="S109" s="97" t="n"/>
      <c r="T109" s="97" t="n"/>
      <c r="U109" s="97" t="n"/>
      <c r="V109" s="97" t="n"/>
      <c r="W109" s="97" t="n"/>
      <c r="X109" s="97" t="n"/>
      <c r="Y109" s="97" t="n"/>
      <c r="Z109" s="97" t="n"/>
      <c r="AA109" s="97" t="n"/>
      <c r="AB109" s="97" t="n"/>
      <c r="AC109" s="97" t="n"/>
      <c r="AD109" s="97" t="n"/>
      <c r="AE109" s="97" t="n"/>
      <c r="AF109" s="97" t="n"/>
      <c r="AG109" s="97" t="n"/>
      <c r="AH109" s="97" t="n"/>
      <c r="AI109" s="97" t="n"/>
      <c r="AJ109" s="97" t="n"/>
      <c r="AK109" s="97" t="n"/>
      <c r="AL109" s="97" t="n"/>
      <c r="AM109" s="97" t="n"/>
      <c r="AN109" s="97" t="n"/>
      <c r="AO109" s="97" t="n">
        <v>6.304016</v>
      </c>
      <c r="AP109" s="97" t="n"/>
      <c r="AQ109" s="97" t="n"/>
      <c r="AR109" s="97" t="n"/>
      <c r="AS109" s="97" t="n">
        <v>1.460966</v>
      </c>
      <c r="AT109" s="97" t="n"/>
      <c r="AU109" s="97" t="n">
        <v>1.868575</v>
      </c>
      <c r="AV109" s="97" t="n"/>
      <c r="AW109" s="97" t="n"/>
      <c r="AX109" s="97" t="n"/>
      <c r="AY109" s="97" t="n"/>
    </row>
    <row r="110" s="135">
      <c r="A110" t="inlineStr">
        <is>
          <t>1928-01</t>
        </is>
      </c>
      <c r="B110" s="2" t="n">
        <v>10228</v>
      </c>
      <c r="C110" s="96" t="n">
        <v>110</v>
      </c>
      <c r="D110" s="2" t="n"/>
      <c r="E110" s="2">
        <f>B110</f>
        <v/>
      </c>
      <c r="F110" s="3">
        <f>B110</f>
        <v/>
      </c>
      <c r="G110" s="96" t="n">
        <v>108</v>
      </c>
      <c r="H110" s="97" t="n"/>
      <c r="I110" s="97" t="n"/>
      <c r="J110" s="97" t="n"/>
      <c r="K110" s="97" t="n"/>
      <c r="L110" s="97" t="n"/>
      <c r="M110" s="97" t="n"/>
      <c r="N110" s="97" t="n"/>
      <c r="O110" s="97" t="n"/>
      <c r="P110" s="97" t="n"/>
      <c r="Q110" s="97" t="n"/>
      <c r="R110" s="97" t="n"/>
      <c r="S110" s="97" t="n"/>
      <c r="T110" s="97" t="n"/>
      <c r="U110" s="97" t="n"/>
      <c r="V110" s="97" t="n"/>
      <c r="W110" s="97" t="n"/>
      <c r="X110" s="97" t="n"/>
      <c r="Y110" s="97" t="n"/>
      <c r="Z110" s="97" t="n"/>
      <c r="AA110" s="97" t="n"/>
      <c r="AB110" s="97" t="n"/>
      <c r="AC110" s="97" t="n"/>
      <c r="AD110" s="97" t="n"/>
      <c r="AE110" s="97" t="n"/>
      <c r="AF110" s="97" t="n"/>
      <c r="AG110" s="97" t="n"/>
      <c r="AH110" s="97" t="n"/>
      <c r="AI110" s="97" t="n"/>
      <c r="AJ110" s="97" t="n"/>
      <c r="AK110" s="97" t="n"/>
      <c r="AL110" s="97" t="n"/>
      <c r="AM110" s="97" t="n"/>
      <c r="AN110" s="97" t="n"/>
      <c r="AO110" s="97" t="n">
        <v>6.437047</v>
      </c>
      <c r="AP110" s="97" t="n"/>
      <c r="AQ110" s="97" t="n"/>
      <c r="AR110" s="97" t="n"/>
      <c r="AS110" s="97" t="n">
        <v>0.302526</v>
      </c>
      <c r="AT110" s="97" t="n"/>
      <c r="AU110" s="97" t="n">
        <v>1.374417</v>
      </c>
      <c r="AV110" s="97" t="n"/>
      <c r="AW110" s="97" t="n"/>
      <c r="AX110" s="97" t="n"/>
      <c r="AY110" s="97" t="n"/>
    </row>
    <row r="111" s="135">
      <c r="A111" t="inlineStr">
        <is>
          <t>1928-02</t>
        </is>
      </c>
      <c r="B111" s="2" t="n">
        <v>10259</v>
      </c>
      <c r="C111" s="96" t="n">
        <v>111</v>
      </c>
      <c r="D111" s="2" t="n"/>
      <c r="E111" s="2">
        <f>B111</f>
        <v/>
      </c>
      <c r="F111" s="3">
        <f>B111</f>
        <v/>
      </c>
      <c r="G111" s="96" t="n">
        <v>109</v>
      </c>
      <c r="H111" s="97" t="n"/>
      <c r="I111" s="97" t="n"/>
      <c r="J111" s="97" t="n"/>
      <c r="K111" s="97" t="n"/>
      <c r="L111" s="97" t="n"/>
      <c r="M111" s="97" t="n"/>
      <c r="N111" s="97" t="n"/>
      <c r="O111" s="97" t="n"/>
      <c r="P111" s="97" t="n"/>
      <c r="Q111" s="97" t="n"/>
      <c r="R111" s="97" t="n"/>
      <c r="S111" s="97" t="n"/>
      <c r="T111" s="97" t="n"/>
      <c r="U111" s="97" t="n"/>
      <c r="V111" s="97" t="n"/>
      <c r="W111" s="97" t="n"/>
      <c r="X111" s="97" t="n"/>
      <c r="Y111" s="97" t="n"/>
      <c r="Z111" s="97" t="n"/>
      <c r="AA111" s="97" t="n"/>
      <c r="AB111" s="97" t="n"/>
      <c r="AC111" s="97" t="n"/>
      <c r="AD111" s="97" t="n"/>
      <c r="AE111" s="97" t="n"/>
      <c r="AF111" s="97" t="n"/>
      <c r="AG111" s="97" t="n"/>
      <c r="AH111" s="97" t="n"/>
      <c r="AI111" s="97" t="n"/>
      <c r="AJ111" s="97" t="n"/>
      <c r="AK111" s="97" t="n"/>
      <c r="AL111" s="97" t="n"/>
      <c r="AM111" s="97" t="n"/>
      <c r="AN111" s="97" t="n"/>
      <c r="AO111" s="97" t="n">
        <v>6.490163</v>
      </c>
      <c r="AP111" s="97" t="n"/>
      <c r="AQ111" s="97" t="n"/>
      <c r="AR111" s="97" t="n"/>
      <c r="AS111" s="97" t="n">
        <v>-2.424597</v>
      </c>
      <c r="AT111" s="97" t="n"/>
      <c r="AU111" s="97" t="n">
        <v>1.132567</v>
      </c>
      <c r="AV111" s="97" t="n"/>
      <c r="AW111" s="97" t="n"/>
      <c r="AX111" s="97" t="n"/>
      <c r="AY111" s="97" t="n"/>
    </row>
    <row r="112" s="135">
      <c r="A112" t="inlineStr">
        <is>
          <t>1928-03</t>
        </is>
      </c>
      <c r="B112" s="2" t="n">
        <v>10288</v>
      </c>
      <c r="C112" s="96" t="n">
        <v>112</v>
      </c>
      <c r="D112" s="2" t="n"/>
      <c r="E112" s="2">
        <f>B112</f>
        <v/>
      </c>
      <c r="F112" s="3">
        <f>B112</f>
        <v/>
      </c>
      <c r="G112" s="96" t="n">
        <v>110</v>
      </c>
      <c r="H112" s="97" t="n"/>
      <c r="I112" s="97" t="n"/>
      <c r="J112" s="97" t="n"/>
      <c r="K112" s="97" t="n"/>
      <c r="L112" s="97" t="n"/>
      <c r="M112" s="97" t="n"/>
      <c r="N112" s="97" t="n"/>
      <c r="O112" s="97" t="n"/>
      <c r="P112" s="97" t="n"/>
      <c r="Q112" s="97" t="n"/>
      <c r="R112" s="97" t="n"/>
      <c r="S112" s="97" t="n"/>
      <c r="T112" s="97" t="n"/>
      <c r="U112" s="97" t="n"/>
      <c r="V112" s="97" t="n"/>
      <c r="W112" s="97" t="n"/>
      <c r="X112" s="97" t="n"/>
      <c r="Y112" s="97" t="n"/>
      <c r="Z112" s="97" t="n"/>
      <c r="AA112" s="97" t="n"/>
      <c r="AB112" s="97" t="n"/>
      <c r="AC112" s="97" t="n"/>
      <c r="AD112" s="97" t="n"/>
      <c r="AE112" s="97" t="n"/>
      <c r="AF112" s="97" t="n"/>
      <c r="AG112" s="97" t="n"/>
      <c r="AH112" s="97" t="n"/>
      <c r="AI112" s="97" t="n"/>
      <c r="AJ112" s="97" t="n"/>
      <c r="AK112" s="97" t="n"/>
      <c r="AL112" s="97" t="n"/>
      <c r="AM112" s="97" t="n"/>
      <c r="AN112" s="97" t="n"/>
      <c r="AO112" s="97" t="n">
        <v>6.543375</v>
      </c>
      <c r="AP112" s="97" t="n"/>
      <c r="AQ112" s="97" t="n"/>
      <c r="AR112" s="97" t="n"/>
      <c r="AS112" s="97" t="n">
        <v>-3.572712</v>
      </c>
      <c r="AT112" s="97" t="n"/>
      <c r="AU112" s="97" t="n">
        <v>-0.943914</v>
      </c>
      <c r="AV112" s="97" t="n"/>
      <c r="AW112" s="97" t="n"/>
      <c r="AX112" s="97" t="n"/>
      <c r="AY112" s="97" t="n"/>
    </row>
    <row r="113" s="135">
      <c r="A113" t="inlineStr">
        <is>
          <t>1928-04</t>
        </is>
      </c>
      <c r="B113" s="2" t="n">
        <v>10319</v>
      </c>
      <c r="C113" s="96" t="n">
        <v>113</v>
      </c>
      <c r="D113" s="2" t="n"/>
      <c r="E113" s="2">
        <f>B113</f>
        <v/>
      </c>
      <c r="F113" s="3">
        <f>B113</f>
        <v/>
      </c>
      <c r="G113" s="96" t="n">
        <v>111</v>
      </c>
      <c r="H113" s="97" t="n"/>
      <c r="I113" s="97" t="n"/>
      <c r="J113" s="97" t="n"/>
      <c r="K113" s="97" t="n"/>
      <c r="L113" s="97" t="n"/>
      <c r="M113" s="97" t="n"/>
      <c r="N113" s="97" t="n"/>
      <c r="O113" s="97" t="n"/>
      <c r="P113" s="97" t="n"/>
      <c r="Q113" s="97" t="n"/>
      <c r="R113" s="97" t="n"/>
      <c r="S113" s="97" t="n"/>
      <c r="T113" s="97" t="n"/>
      <c r="U113" s="97" t="n"/>
      <c r="V113" s="97" t="n"/>
      <c r="W113" s="97" t="n"/>
      <c r="X113" s="97" t="n"/>
      <c r="Y113" s="97" t="n"/>
      <c r="Z113" s="97" t="n"/>
      <c r="AA113" s="97" t="n"/>
      <c r="AB113" s="97" t="n"/>
      <c r="AC113" s="97" t="n"/>
      <c r="AD113" s="97" t="n"/>
      <c r="AE113" s="97" t="n"/>
      <c r="AF113" s="97" t="n"/>
      <c r="AG113" s="97" t="n"/>
      <c r="AH113" s="97" t="n"/>
      <c r="AI113" s="97" t="n"/>
      <c r="AJ113" s="97" t="n"/>
      <c r="AK113" s="97" t="n"/>
      <c r="AL113" s="97" t="n"/>
      <c r="AM113" s="97" t="n"/>
      <c r="AN113" s="97" t="n"/>
      <c r="AO113" s="97" t="n">
        <v>6.516769</v>
      </c>
      <c r="AP113" s="97" t="n"/>
      <c r="AQ113" s="97" t="n"/>
      <c r="AR113" s="97" t="n"/>
      <c r="AS113" s="97" t="n">
        <v>-2.127131</v>
      </c>
      <c r="AT113" s="97" t="n"/>
      <c r="AU113" s="97" t="n">
        <v>-0.400466</v>
      </c>
      <c r="AV113" s="97" t="n"/>
      <c r="AW113" s="97" t="n"/>
      <c r="AX113" s="97" t="n"/>
      <c r="AY113" s="97" t="n"/>
    </row>
    <row r="114" s="135">
      <c r="A114" t="inlineStr">
        <is>
          <t>1928-05</t>
        </is>
      </c>
      <c r="B114" s="2" t="n">
        <v>10349</v>
      </c>
      <c r="C114" s="96" t="n">
        <v>114</v>
      </c>
      <c r="D114" s="2" t="n"/>
      <c r="E114" s="2">
        <f>B114</f>
        <v/>
      </c>
      <c r="F114" s="3">
        <f>B114</f>
        <v/>
      </c>
      <c r="G114" s="96" t="n">
        <v>112</v>
      </c>
      <c r="H114" s="97" t="n"/>
      <c r="I114" s="97" t="n"/>
      <c r="J114" s="97" t="n"/>
      <c r="K114" s="97" t="n"/>
      <c r="L114" s="97" t="n"/>
      <c r="M114" s="97" t="n"/>
      <c r="N114" s="97" t="n"/>
      <c r="O114" s="97" t="n"/>
      <c r="P114" s="97" t="n"/>
      <c r="Q114" s="97" t="n"/>
      <c r="R114" s="97" t="n"/>
      <c r="S114" s="97" t="n"/>
      <c r="T114" s="97" t="n"/>
      <c r="U114" s="97" t="n"/>
      <c r="V114" s="97" t="n"/>
      <c r="W114" s="97" t="n"/>
      <c r="X114" s="97" t="n"/>
      <c r="Y114" s="97" t="n"/>
      <c r="Z114" s="97" t="n"/>
      <c r="AA114" s="97" t="n"/>
      <c r="AB114" s="97" t="n"/>
      <c r="AC114" s="97" t="n"/>
      <c r="AD114" s="97" t="n"/>
      <c r="AE114" s="97" t="n"/>
      <c r="AF114" s="97" t="n"/>
      <c r="AG114" s="97" t="n"/>
      <c r="AH114" s="97" t="n"/>
      <c r="AI114" s="97" t="n"/>
      <c r="AJ114" s="97" t="n"/>
      <c r="AK114" s="97" t="n"/>
      <c r="AL114" s="97" t="n"/>
      <c r="AM114" s="97" t="n"/>
      <c r="AN114" s="97" t="n"/>
      <c r="AO114" s="97" t="n">
        <v>6.596587</v>
      </c>
      <c r="AP114" s="97" t="n"/>
      <c r="AQ114" s="97" t="n"/>
      <c r="AR114" s="97" t="n"/>
      <c r="AS114" s="97" t="n">
        <v>-1.071447</v>
      </c>
      <c r="AT114" s="97" t="n"/>
      <c r="AU114" s="97" t="n">
        <v>1.723783</v>
      </c>
      <c r="AV114" s="97" t="n"/>
      <c r="AW114" s="97" t="n"/>
      <c r="AX114" s="97" t="n"/>
      <c r="AY114" s="97" t="n"/>
    </row>
    <row r="115" s="135">
      <c r="A115" t="inlineStr">
        <is>
          <t>1928-06</t>
        </is>
      </c>
      <c r="B115" s="2" t="n">
        <v>10380</v>
      </c>
      <c r="C115" s="96" t="n">
        <v>115</v>
      </c>
      <c r="D115" s="2" t="n"/>
      <c r="E115" s="2">
        <f>B115</f>
        <v/>
      </c>
      <c r="F115" s="3">
        <f>B115</f>
        <v/>
      </c>
      <c r="G115" s="96" t="n">
        <v>113</v>
      </c>
      <c r="H115" s="97" t="n"/>
      <c r="I115" s="97" t="n"/>
      <c r="J115" s="97" t="n"/>
      <c r="K115" s="97" t="n"/>
      <c r="L115" s="97" t="n"/>
      <c r="M115" s="97" t="n"/>
      <c r="N115" s="97" t="n"/>
      <c r="O115" s="97" t="n"/>
      <c r="P115" s="97" t="n"/>
      <c r="Q115" s="97" t="n"/>
      <c r="R115" s="97" t="n"/>
      <c r="S115" s="97" t="n"/>
      <c r="T115" s="97" t="n"/>
      <c r="U115" s="97" t="n"/>
      <c r="V115" s="97" t="n"/>
      <c r="W115" s="97" t="n"/>
      <c r="X115" s="97" t="n"/>
      <c r="Y115" s="97" t="n"/>
      <c r="Z115" s="97" t="n"/>
      <c r="AA115" s="97" t="n"/>
      <c r="AB115" s="97" t="n"/>
      <c r="AC115" s="97" t="n"/>
      <c r="AD115" s="97" t="n"/>
      <c r="AE115" s="97" t="n"/>
      <c r="AF115" s="97" t="n"/>
      <c r="AG115" s="97" t="n"/>
      <c r="AH115" s="97" t="n"/>
      <c r="AI115" s="97" t="n"/>
      <c r="AJ115" s="97" t="n"/>
      <c r="AK115" s="97" t="n"/>
      <c r="AL115" s="97" t="n"/>
      <c r="AM115" s="97" t="n"/>
      <c r="AN115" s="97" t="n"/>
      <c r="AO115" s="97" t="n">
        <v>6.6498</v>
      </c>
      <c r="AP115" s="97" t="n"/>
      <c r="AQ115" s="97" t="n"/>
      <c r="AR115" s="97" t="n"/>
      <c r="AS115" s="97" t="n">
        <v>-1.136947</v>
      </c>
      <c r="AT115" s="97" t="n"/>
      <c r="AU115" s="97" t="n">
        <v>0.800665</v>
      </c>
      <c r="AV115" s="97" t="n"/>
      <c r="AW115" s="97" t="n"/>
      <c r="AX115" s="97" t="n"/>
      <c r="AY115" s="97" t="n"/>
    </row>
    <row r="116" s="135">
      <c r="A116" t="inlineStr">
        <is>
          <t>1928-07</t>
        </is>
      </c>
      <c r="B116" s="2" t="n">
        <v>10410</v>
      </c>
      <c r="C116" s="96" t="n">
        <v>116</v>
      </c>
      <c r="D116" s="2" t="n"/>
      <c r="E116" s="2">
        <f>B116</f>
        <v/>
      </c>
      <c r="F116" s="3">
        <f>B116</f>
        <v/>
      </c>
      <c r="G116" s="96" t="n">
        <v>114</v>
      </c>
      <c r="H116" s="97" t="n"/>
      <c r="I116" s="97" t="n"/>
      <c r="J116" s="97" t="n"/>
      <c r="K116" s="97" t="n"/>
      <c r="L116" s="97" t="n"/>
      <c r="M116" s="97" t="n"/>
      <c r="N116" s="97" t="n"/>
      <c r="O116" s="97" t="n"/>
      <c r="P116" s="97" t="n"/>
      <c r="Q116" s="97" t="n"/>
      <c r="R116" s="97" t="n"/>
      <c r="S116" s="97" t="n"/>
      <c r="T116" s="97" t="n"/>
      <c r="U116" s="97" t="n"/>
      <c r="V116" s="97" t="n"/>
      <c r="W116" s="97" t="n"/>
      <c r="X116" s="97" t="n"/>
      <c r="Y116" s="97" t="n"/>
      <c r="Z116" s="97" t="n"/>
      <c r="AA116" s="97" t="n"/>
      <c r="AB116" s="97" t="n"/>
      <c r="AC116" s="97" t="n"/>
      <c r="AD116" s="97" t="n"/>
      <c r="AE116" s="97" t="n"/>
      <c r="AF116" s="97" t="n"/>
      <c r="AG116" s="97" t="n"/>
      <c r="AH116" s="97" t="n"/>
      <c r="AI116" s="97" t="n"/>
      <c r="AJ116" s="97" t="n"/>
      <c r="AK116" s="97" t="n"/>
      <c r="AL116" s="97" t="n"/>
      <c r="AM116" s="97" t="n"/>
      <c r="AN116" s="97" t="n"/>
      <c r="AO116" s="97" t="n">
        <v>6.729618</v>
      </c>
      <c r="AP116" s="97" t="n"/>
      <c r="AQ116" s="97" t="n"/>
      <c r="AR116" s="97" t="n"/>
      <c r="AS116" s="97" t="n">
        <v>-0.713896</v>
      </c>
      <c r="AT116" s="97" t="n"/>
      <c r="AU116" s="97" t="n">
        <v>0.824466</v>
      </c>
      <c r="AV116" s="97" t="n"/>
      <c r="AW116" s="97" t="n"/>
      <c r="AX116" s="97" t="n"/>
      <c r="AY116" s="97" t="n"/>
    </row>
    <row r="117" s="135">
      <c r="A117" t="inlineStr">
        <is>
          <t>1928-08</t>
        </is>
      </c>
      <c r="B117" s="2" t="n">
        <v>10441</v>
      </c>
      <c r="C117" s="96" t="n">
        <v>117</v>
      </c>
      <c r="D117" s="2" t="n"/>
      <c r="E117" s="2">
        <f>B117</f>
        <v/>
      </c>
      <c r="F117" s="3">
        <f>B117</f>
        <v/>
      </c>
      <c r="G117" s="96" t="n">
        <v>115</v>
      </c>
      <c r="H117" s="97" t="n"/>
      <c r="I117" s="97" t="n"/>
      <c r="J117" s="97" t="n"/>
      <c r="K117" s="97" t="n"/>
      <c r="L117" s="97" t="n"/>
      <c r="M117" s="97" t="n"/>
      <c r="N117" s="97" t="n"/>
      <c r="O117" s="97" t="n"/>
      <c r="P117" s="97" t="n"/>
      <c r="Q117" s="97" t="n"/>
      <c r="R117" s="97" t="n"/>
      <c r="S117" s="97" t="n"/>
      <c r="T117" s="97" t="n"/>
      <c r="U117" s="97" t="n"/>
      <c r="V117" s="97" t="n"/>
      <c r="W117" s="97" t="n"/>
      <c r="X117" s="97" t="n"/>
      <c r="Y117" s="97" t="n"/>
      <c r="Z117" s="97" t="n"/>
      <c r="AA117" s="97" t="n"/>
      <c r="AB117" s="97" t="n"/>
      <c r="AC117" s="97" t="n"/>
      <c r="AD117" s="97" t="n"/>
      <c r="AE117" s="97" t="n"/>
      <c r="AF117" s="97" t="n"/>
      <c r="AG117" s="97" t="n"/>
      <c r="AH117" s="97" t="n"/>
      <c r="AI117" s="97" t="n"/>
      <c r="AJ117" s="97" t="n"/>
      <c r="AK117" s="97" t="n"/>
      <c r="AL117" s="97" t="n"/>
      <c r="AM117" s="97" t="n"/>
      <c r="AN117" s="97" t="n"/>
      <c r="AO117" s="97" t="n">
        <v>6.862553</v>
      </c>
      <c r="AP117" s="97" t="n"/>
      <c r="AQ117" s="97" t="n"/>
      <c r="AR117" s="97" t="n"/>
      <c r="AS117" s="97" t="n">
        <v>-0.088898</v>
      </c>
      <c r="AT117" s="97" t="n"/>
      <c r="AU117" s="97" t="n">
        <v>1.314344</v>
      </c>
      <c r="AV117" s="97" t="n"/>
      <c r="AW117" s="97" t="n"/>
      <c r="AX117" s="97" t="n"/>
      <c r="AY117" s="97" t="n"/>
    </row>
    <row r="118" s="135">
      <c r="A118" t="inlineStr">
        <is>
          <t>1928-09</t>
        </is>
      </c>
      <c r="B118" s="2" t="n">
        <v>10472</v>
      </c>
      <c r="C118" s="96" t="n">
        <v>118</v>
      </c>
      <c r="D118" s="2" t="n"/>
      <c r="E118" s="2">
        <f>B118</f>
        <v/>
      </c>
      <c r="F118" s="3">
        <f>B118</f>
        <v/>
      </c>
      <c r="G118" s="96" t="n">
        <v>116</v>
      </c>
      <c r="H118" s="97" t="n"/>
      <c r="I118" s="97" t="n"/>
      <c r="J118" s="97" t="n"/>
      <c r="K118" s="97" t="n"/>
      <c r="L118" s="97" t="n"/>
      <c r="M118" s="97" t="n"/>
      <c r="N118" s="97" t="n"/>
      <c r="O118" s="97" t="n"/>
      <c r="P118" s="97" t="n"/>
      <c r="Q118" s="97" t="n"/>
      <c r="R118" s="97" t="n"/>
      <c r="S118" s="97" t="n"/>
      <c r="T118" s="97" t="n"/>
      <c r="U118" s="97" t="n"/>
      <c r="V118" s="97" t="n"/>
      <c r="W118" s="97" t="n"/>
      <c r="X118" s="97" t="n"/>
      <c r="Y118" s="97" t="n"/>
      <c r="Z118" s="97" t="n"/>
      <c r="AA118" s="97" t="n"/>
      <c r="AB118" s="97" t="n"/>
      <c r="AC118" s="97" t="n"/>
      <c r="AD118" s="97" t="n"/>
      <c r="AE118" s="97" t="n"/>
      <c r="AF118" s="97" t="n"/>
      <c r="AG118" s="97" t="n"/>
      <c r="AH118" s="97" t="n"/>
      <c r="AI118" s="97" t="n"/>
      <c r="AJ118" s="97" t="n"/>
      <c r="AK118" s="97" t="n"/>
      <c r="AL118" s="97" t="n"/>
      <c r="AM118" s="97" t="n"/>
      <c r="AN118" s="97" t="n"/>
      <c r="AO118" s="97" t="n">
        <v>6.915765</v>
      </c>
      <c r="AP118" s="97" t="n"/>
      <c r="AQ118" s="97" t="n"/>
      <c r="AR118" s="97" t="n"/>
      <c r="AS118" s="97" t="n">
        <v>0.5129280000000001</v>
      </c>
      <c r="AT118" s="97" t="n"/>
      <c r="AU118" s="97" t="n">
        <v>-1.995152</v>
      </c>
      <c r="AV118" s="97" t="n"/>
      <c r="AW118" s="97" t="n"/>
      <c r="AX118" s="97" t="n"/>
      <c r="AY118" s="97" t="n"/>
    </row>
    <row r="119" s="135">
      <c r="A119" t="inlineStr">
        <is>
          <t>1928-10</t>
        </is>
      </c>
      <c r="B119" s="2" t="n">
        <v>10502</v>
      </c>
      <c r="C119" s="96" t="n">
        <v>119</v>
      </c>
      <c r="D119" s="2" t="n"/>
      <c r="E119" s="2">
        <f>B119</f>
        <v/>
      </c>
      <c r="F119" s="3">
        <f>B119</f>
        <v/>
      </c>
      <c r="G119" s="96" t="n">
        <v>117</v>
      </c>
      <c r="H119" s="97" t="n"/>
      <c r="I119" s="97" t="n"/>
      <c r="J119" s="97" t="n"/>
      <c r="K119" s="97" t="n"/>
      <c r="L119" s="97" t="n"/>
      <c r="M119" s="97" t="n"/>
      <c r="N119" s="97" t="n"/>
      <c r="O119" s="97" t="n"/>
      <c r="P119" s="97" t="n"/>
      <c r="Q119" s="97" t="n"/>
      <c r="R119" s="97" t="n"/>
      <c r="S119" s="97" t="n"/>
      <c r="T119" s="97" t="n"/>
      <c r="U119" s="97" t="n"/>
      <c r="V119" s="97" t="n"/>
      <c r="W119" s="97" t="n"/>
      <c r="X119" s="97" t="n"/>
      <c r="Y119" s="97" t="n"/>
      <c r="Z119" s="97" t="n"/>
      <c r="AA119" s="97" t="n"/>
      <c r="AB119" s="97" t="n"/>
      <c r="AC119" s="97" t="n"/>
      <c r="AD119" s="97" t="n"/>
      <c r="AE119" s="97" t="n"/>
      <c r="AF119" s="97" t="n"/>
      <c r="AG119" s="97" t="n"/>
      <c r="AH119" s="97" t="n"/>
      <c r="AI119" s="97" t="n"/>
      <c r="AJ119" s="97" t="n"/>
      <c r="AK119" s="97" t="n"/>
      <c r="AL119" s="97" t="n"/>
      <c r="AM119" s="97" t="n"/>
      <c r="AN119" s="97" t="n"/>
      <c r="AO119" s="97" t="n">
        <v>7.048795</v>
      </c>
      <c r="AP119" s="97" t="n"/>
      <c r="AQ119" s="97" t="n"/>
      <c r="AR119" s="97" t="n"/>
      <c r="AS119" s="97" t="n">
        <v>1.658509</v>
      </c>
      <c r="AT119" s="97" t="n"/>
      <c r="AU119" s="97" t="n">
        <v>2.379248</v>
      </c>
      <c r="AV119" s="97" t="n"/>
      <c r="AW119" s="97" t="n"/>
      <c r="AX119" s="97" t="n"/>
      <c r="AY119" s="97" t="n"/>
    </row>
    <row r="120" s="135">
      <c r="A120" t="inlineStr">
        <is>
          <t>1928-11</t>
        </is>
      </c>
      <c r="B120" s="2" t="n">
        <v>10533</v>
      </c>
      <c r="C120" s="96" t="n">
        <v>120</v>
      </c>
      <c r="D120" s="2" t="n"/>
      <c r="E120" s="2">
        <f>B120</f>
        <v/>
      </c>
      <c r="F120" s="3">
        <f>B120</f>
        <v/>
      </c>
      <c r="G120" s="96" t="n">
        <v>118</v>
      </c>
      <c r="H120" s="97" t="n"/>
      <c r="I120" s="97" t="n"/>
      <c r="J120" s="97" t="n"/>
      <c r="K120" s="97" t="n"/>
      <c r="L120" s="97" t="n"/>
      <c r="M120" s="97" t="n"/>
      <c r="N120" s="97" t="n"/>
      <c r="O120" s="97" t="n"/>
      <c r="P120" s="97" t="n"/>
      <c r="Q120" s="97" t="n"/>
      <c r="R120" s="97" t="n"/>
      <c r="S120" s="97" t="n"/>
      <c r="T120" s="97" t="n"/>
      <c r="U120" s="97" t="n"/>
      <c r="V120" s="97" t="n"/>
      <c r="W120" s="97" t="n"/>
      <c r="X120" s="97" t="n"/>
      <c r="Y120" s="97" t="n"/>
      <c r="Z120" s="97" t="n"/>
      <c r="AA120" s="97" t="n"/>
      <c r="AB120" s="97" t="n"/>
      <c r="AC120" s="97" t="n"/>
      <c r="AD120" s="97" t="n"/>
      <c r="AE120" s="97" t="n"/>
      <c r="AF120" s="97" t="n"/>
      <c r="AG120" s="97" t="n"/>
      <c r="AH120" s="97" t="n"/>
      <c r="AI120" s="97" t="n"/>
      <c r="AJ120" s="97" t="n"/>
      <c r="AK120" s="97" t="n"/>
      <c r="AL120" s="97" t="n"/>
      <c r="AM120" s="97" t="n"/>
      <c r="AN120" s="97" t="n"/>
      <c r="AO120" s="97" t="n">
        <v>7.18173</v>
      </c>
      <c r="AP120" s="97" t="n"/>
      <c r="AQ120" s="97" t="n"/>
      <c r="AR120" s="97" t="n"/>
      <c r="AS120" s="97" t="n">
        <v>1.119221</v>
      </c>
      <c r="AT120" s="97" t="n"/>
      <c r="AU120" s="97" t="n">
        <v>-0.730837</v>
      </c>
      <c r="AV120" s="97" t="n"/>
      <c r="AW120" s="97" t="n"/>
      <c r="AX120" s="97" t="n"/>
      <c r="AY120" s="97" t="n"/>
    </row>
    <row r="121" s="135">
      <c r="A121" t="inlineStr">
        <is>
          <t>1928-12</t>
        </is>
      </c>
      <c r="B121" s="2" t="n">
        <v>10563</v>
      </c>
      <c r="C121" s="96" t="n">
        <v>121</v>
      </c>
      <c r="D121" s="2" t="n"/>
      <c r="E121" s="2">
        <f>B121</f>
        <v/>
      </c>
      <c r="F121" s="3">
        <f>B121</f>
        <v/>
      </c>
      <c r="G121" s="96" t="n">
        <v>119</v>
      </c>
      <c r="H121" s="97" t="n"/>
      <c r="I121" s="97" t="n"/>
      <c r="J121" s="97" t="n"/>
      <c r="K121" s="97" t="n"/>
      <c r="L121" s="97" t="n"/>
      <c r="M121" s="97" t="n"/>
      <c r="N121" s="97" t="n"/>
      <c r="O121" s="97" t="n"/>
      <c r="P121" s="97" t="n"/>
      <c r="Q121" s="97" t="n"/>
      <c r="R121" s="97" t="n"/>
      <c r="S121" s="97" t="n"/>
      <c r="T121" s="97" t="n"/>
      <c r="U121" s="97" t="n"/>
      <c r="V121" s="97" t="n"/>
      <c r="W121" s="97" t="n"/>
      <c r="X121" s="97" t="n"/>
      <c r="Y121" s="97" t="n"/>
      <c r="Z121" s="97" t="n"/>
      <c r="AA121" s="97" t="n"/>
      <c r="AB121" s="97" t="n"/>
      <c r="AC121" s="97" t="n"/>
      <c r="AD121" s="97" t="n"/>
      <c r="AE121" s="97" t="n"/>
      <c r="AF121" s="97" t="n"/>
      <c r="AG121" s="97" t="n"/>
      <c r="AH121" s="97" t="n"/>
      <c r="AI121" s="97" t="n"/>
      <c r="AJ121" s="97" t="n"/>
      <c r="AK121" s="97" t="n"/>
      <c r="AL121" s="97" t="n"/>
      <c r="AM121" s="97" t="n"/>
      <c r="AN121" s="97" t="n"/>
      <c r="AO121" s="97" t="n">
        <v>7.31476</v>
      </c>
      <c r="AP121" s="97" t="n"/>
      <c r="AQ121" s="97" t="n"/>
      <c r="AR121" s="97" t="n"/>
      <c r="AS121" s="97" t="n">
        <v>-0.058254</v>
      </c>
      <c r="AT121" s="97" t="n"/>
      <c r="AU121" s="97" t="n">
        <v>-0.218388</v>
      </c>
      <c r="AV121" s="97" t="n"/>
      <c r="AW121" s="97" t="n"/>
      <c r="AX121" s="97" t="n"/>
      <c r="AY121" s="97" t="n"/>
    </row>
    <row r="122" s="135">
      <c r="A122" t="inlineStr">
        <is>
          <t>1929-01</t>
        </is>
      </c>
      <c r="B122" s="2" t="n">
        <v>10594</v>
      </c>
      <c r="C122" s="96" t="n">
        <v>122</v>
      </c>
      <c r="D122" s="2" t="n"/>
      <c r="E122" s="2">
        <f>B122</f>
        <v/>
      </c>
      <c r="F122" s="3">
        <f>B122</f>
        <v/>
      </c>
      <c r="G122" s="96" t="n">
        <v>120</v>
      </c>
      <c r="H122" s="97" t="n"/>
      <c r="I122" s="97" t="n"/>
      <c r="J122" s="97" t="n"/>
      <c r="K122" s="97" t="n"/>
      <c r="L122" s="97" t="n"/>
      <c r="M122" s="97" t="n"/>
      <c r="N122" s="97" t="n"/>
      <c r="O122" s="97" t="n"/>
      <c r="P122" s="97" t="n"/>
      <c r="Q122" s="97" t="n"/>
      <c r="R122" s="97" t="n"/>
      <c r="S122" s="97" t="n"/>
      <c r="T122" s="97" t="n"/>
      <c r="U122" s="97" t="n"/>
      <c r="V122" s="97" t="n"/>
      <c r="W122" s="97" t="n"/>
      <c r="X122" s="97" t="n"/>
      <c r="Y122" s="97" t="n"/>
      <c r="Z122" s="97" t="n"/>
      <c r="AA122" s="97" t="n"/>
      <c r="AB122" s="97" t="n"/>
      <c r="AC122" s="97" t="n"/>
      <c r="AD122" s="97" t="n"/>
      <c r="AE122" s="97" t="n"/>
      <c r="AF122" s="97" t="n"/>
      <c r="AG122" s="97" t="n"/>
      <c r="AH122" s="97" t="n"/>
      <c r="AI122" s="97" t="n"/>
      <c r="AJ122" s="97" t="n"/>
      <c r="AK122" s="97" t="n"/>
      <c r="AL122" s="97" t="n"/>
      <c r="AM122" s="97" t="n"/>
      <c r="AN122" s="97" t="n"/>
      <c r="AO122" s="97" t="n">
        <v>7.421185</v>
      </c>
      <c r="AP122" s="97" t="n"/>
      <c r="AQ122" s="97" t="n"/>
      <c r="AR122" s="97" t="n"/>
      <c r="AS122" s="97" t="n">
        <v>-0.005069</v>
      </c>
      <c r="AT122" s="97" t="n"/>
      <c r="AU122" s="97" t="n">
        <v>0.096064</v>
      </c>
      <c r="AV122" s="97" t="n"/>
      <c r="AW122" s="97" t="n"/>
      <c r="AX122" s="97" t="n"/>
      <c r="AY122" s="97" t="n"/>
    </row>
    <row r="123" s="135">
      <c r="A123" t="inlineStr">
        <is>
          <t>1929-02</t>
        </is>
      </c>
      <c r="B123" s="2" t="n">
        <v>10625</v>
      </c>
      <c r="C123" s="96" t="n">
        <v>123</v>
      </c>
      <c r="D123" s="2" t="n"/>
      <c r="E123" s="2">
        <f>B123</f>
        <v/>
      </c>
      <c r="F123" s="3">
        <f>B123</f>
        <v/>
      </c>
      <c r="G123" s="96" t="n">
        <v>121</v>
      </c>
      <c r="H123" s="97" t="n"/>
      <c r="I123" s="97" t="n"/>
      <c r="J123" s="97" t="n"/>
      <c r="K123" s="97" t="n"/>
      <c r="L123" s="97" t="n"/>
      <c r="M123" s="97" t="n"/>
      <c r="N123" s="97" t="n"/>
      <c r="O123" s="97" t="n"/>
      <c r="P123" s="97" t="n"/>
      <c r="Q123" s="97" t="n"/>
      <c r="R123" s="97" t="n"/>
      <c r="S123" s="97" t="n"/>
      <c r="T123" s="97" t="n"/>
      <c r="U123" s="97" t="n"/>
      <c r="V123" s="97" t="n"/>
      <c r="W123" s="97" t="n"/>
      <c r="X123" s="97" t="n"/>
      <c r="Y123" s="97" t="n"/>
      <c r="Z123" s="97" t="n"/>
      <c r="AA123" s="97" t="n"/>
      <c r="AB123" s="97" t="n"/>
      <c r="AC123" s="97" t="n"/>
      <c r="AD123" s="97" t="n"/>
      <c r="AE123" s="97" t="n"/>
      <c r="AF123" s="97" t="n"/>
      <c r="AG123" s="97" t="n"/>
      <c r="AH123" s="97" t="n"/>
      <c r="AI123" s="97" t="n"/>
      <c r="AJ123" s="97" t="n"/>
      <c r="AK123" s="97" t="n"/>
      <c r="AL123" s="97" t="n"/>
      <c r="AM123" s="97" t="n"/>
      <c r="AN123" s="97" t="n"/>
      <c r="AO123" s="97" t="n">
        <v>7.394578</v>
      </c>
      <c r="AP123" s="97" t="n"/>
      <c r="AQ123" s="97" t="n"/>
      <c r="AR123" s="97" t="n"/>
      <c r="AS123" s="97" t="n">
        <v>0.780597</v>
      </c>
      <c r="AT123" s="97" t="n"/>
      <c r="AU123" s="97" t="n">
        <v>-0.385873</v>
      </c>
      <c r="AV123" s="97" t="n"/>
      <c r="AW123" s="97" t="n"/>
      <c r="AX123" s="97" t="n"/>
      <c r="AY123" s="97" t="n"/>
    </row>
    <row r="124" s="135">
      <c r="A124" t="inlineStr">
        <is>
          <t>1929-03</t>
        </is>
      </c>
      <c r="B124" s="2" t="n">
        <v>10653</v>
      </c>
      <c r="C124" s="96" t="n">
        <v>124</v>
      </c>
      <c r="D124" s="2" t="n"/>
      <c r="E124" s="2">
        <f>B124</f>
        <v/>
      </c>
      <c r="F124" s="3">
        <f>B124</f>
        <v/>
      </c>
      <c r="G124" s="96" t="n">
        <v>122</v>
      </c>
      <c r="H124" s="97" t="n"/>
      <c r="I124" s="97" t="n"/>
      <c r="J124" s="97" t="n"/>
      <c r="K124" s="97" t="n"/>
      <c r="L124" s="97" t="n"/>
      <c r="M124" s="97" t="n"/>
      <c r="N124" s="97" t="n"/>
      <c r="O124" s="97" t="n"/>
      <c r="P124" s="97" t="n"/>
      <c r="Q124" s="97" t="n"/>
      <c r="R124" s="97" t="n"/>
      <c r="S124" s="97" t="n"/>
      <c r="T124" s="97" t="n"/>
      <c r="U124" s="97" t="n"/>
      <c r="V124" s="97" t="n"/>
      <c r="W124" s="97" t="n"/>
      <c r="X124" s="97" t="n"/>
      <c r="Y124" s="97" t="n"/>
      <c r="Z124" s="97" t="n"/>
      <c r="AA124" s="97" t="n"/>
      <c r="AB124" s="97" t="n"/>
      <c r="AC124" s="97" t="n"/>
      <c r="AD124" s="97" t="n"/>
      <c r="AE124" s="97" t="n"/>
      <c r="AF124" s="97" t="n"/>
      <c r="AG124" s="97" t="n"/>
      <c r="AH124" s="97" t="n"/>
      <c r="AI124" s="97" t="n"/>
      <c r="AJ124" s="97" t="n"/>
      <c r="AK124" s="97" t="n"/>
      <c r="AL124" s="97" t="n"/>
      <c r="AM124" s="97" t="n"/>
      <c r="AN124" s="97" t="n"/>
      <c r="AO124" s="97" t="n">
        <v>7.421185</v>
      </c>
      <c r="AP124" s="97" t="n"/>
      <c r="AQ124" s="97" t="n"/>
      <c r="AR124" s="97" t="n"/>
      <c r="AS124" s="97" t="n">
        <v>-0.06286899999999999</v>
      </c>
      <c r="AT124" s="97" t="n"/>
      <c r="AU124" s="97" t="n">
        <v>0.513506</v>
      </c>
      <c r="AV124" s="97" t="n"/>
      <c r="AW124" s="97" t="n"/>
      <c r="AX124" s="97" t="n"/>
      <c r="AY124" s="97" t="n"/>
    </row>
    <row r="125" s="135">
      <c r="A125" t="inlineStr">
        <is>
          <t>1929-04</t>
        </is>
      </c>
      <c r="B125" s="2" t="n">
        <v>10684</v>
      </c>
      <c r="C125" s="96" t="n">
        <v>125</v>
      </c>
      <c r="D125" s="2" t="n"/>
      <c r="E125" s="2">
        <f>B125</f>
        <v/>
      </c>
      <c r="F125" s="3">
        <f>B125</f>
        <v/>
      </c>
      <c r="G125" s="96" t="n">
        <v>123</v>
      </c>
      <c r="H125" s="97" t="n"/>
      <c r="I125" s="97" t="n"/>
      <c r="J125" s="97" t="n"/>
      <c r="K125" s="97" t="n"/>
      <c r="L125" s="97" t="n"/>
      <c r="M125" s="97" t="n"/>
      <c r="N125" s="97" t="n"/>
      <c r="O125" s="97" t="n"/>
      <c r="P125" s="97" t="n"/>
      <c r="Q125" s="97" t="n"/>
      <c r="R125" s="97" t="n"/>
      <c r="S125" s="97" t="n"/>
      <c r="T125" s="97" t="n"/>
      <c r="U125" s="97" t="n"/>
      <c r="V125" s="97" t="n"/>
      <c r="W125" s="97" t="n"/>
      <c r="X125" s="97" t="n"/>
      <c r="Y125" s="97" t="n"/>
      <c r="Z125" s="97" t="n"/>
      <c r="AA125" s="97" t="n"/>
      <c r="AB125" s="97" t="n"/>
      <c r="AC125" s="97" t="n"/>
      <c r="AD125" s="97" t="n"/>
      <c r="AE125" s="97" t="n"/>
      <c r="AF125" s="97" t="n"/>
      <c r="AG125" s="97" t="n"/>
      <c r="AH125" s="97" t="n"/>
      <c r="AI125" s="97" t="n"/>
      <c r="AJ125" s="97" t="n"/>
      <c r="AK125" s="97" t="n"/>
      <c r="AL125" s="97" t="n"/>
      <c r="AM125" s="97" t="n"/>
      <c r="AN125" s="97" t="n"/>
      <c r="AO125" s="97" t="n">
        <v>7.554215</v>
      </c>
      <c r="AP125" s="97" t="n"/>
      <c r="AQ125" s="97" t="n"/>
      <c r="AR125" s="97" t="n"/>
      <c r="AS125" s="97" t="n">
        <v>-0.012582</v>
      </c>
      <c r="AT125" s="97" t="n"/>
      <c r="AU125" s="97" t="n">
        <v>1.644337</v>
      </c>
      <c r="AV125" s="97" t="n"/>
      <c r="AW125" s="97" t="n"/>
      <c r="AX125" s="97" t="n"/>
      <c r="AY125" s="97" t="n"/>
    </row>
    <row r="126" s="135">
      <c r="A126" t="inlineStr">
        <is>
          <t>1929-05</t>
        </is>
      </c>
      <c r="B126" s="2" t="n">
        <v>10714</v>
      </c>
      <c r="C126" s="96" t="n">
        <v>126</v>
      </c>
      <c r="D126" s="2" t="n"/>
      <c r="E126" s="2">
        <f>B126</f>
        <v/>
      </c>
      <c r="F126" s="3">
        <f>B126</f>
        <v/>
      </c>
      <c r="G126" s="96" t="n">
        <v>124</v>
      </c>
      <c r="H126" s="97" t="n"/>
      <c r="I126" s="97" t="n"/>
      <c r="J126" s="97" t="n"/>
      <c r="K126" s="97" t="n"/>
      <c r="L126" s="97" t="n"/>
      <c r="M126" s="97" t="n"/>
      <c r="N126" s="97" t="n"/>
      <c r="O126" s="97" t="n"/>
      <c r="P126" s="97" t="n"/>
      <c r="Q126" s="97" t="n"/>
      <c r="R126" s="97" t="n"/>
      <c r="S126" s="97" t="n"/>
      <c r="T126" s="97" t="n"/>
      <c r="U126" s="97" t="n"/>
      <c r="V126" s="97" t="n"/>
      <c r="W126" s="97" t="n"/>
      <c r="X126" s="97" t="n"/>
      <c r="Y126" s="97" t="n"/>
      <c r="Z126" s="97" t="n"/>
      <c r="AA126" s="97" t="n"/>
      <c r="AB126" s="97" t="n"/>
      <c r="AC126" s="97" t="n"/>
      <c r="AD126" s="97" t="n"/>
      <c r="AE126" s="97" t="n"/>
      <c r="AF126" s="97" t="n"/>
      <c r="AG126" s="97" t="n"/>
      <c r="AH126" s="97" t="n"/>
      <c r="AI126" s="97" t="n"/>
      <c r="AJ126" s="97" t="n"/>
      <c r="AK126" s="97" t="n"/>
      <c r="AL126" s="97" t="n"/>
      <c r="AM126" s="97" t="n"/>
      <c r="AN126" s="97" t="n"/>
      <c r="AO126" s="97" t="n">
        <v>7.68715</v>
      </c>
      <c r="AP126" s="97" t="n"/>
      <c r="AQ126" s="97" t="n"/>
      <c r="AR126" s="97" t="n"/>
      <c r="AS126" s="97" t="n">
        <v>0.226501</v>
      </c>
      <c r="AT126" s="97" t="n"/>
      <c r="AU126" s="97" t="n">
        <v>1.932725</v>
      </c>
      <c r="AV126" s="97" t="n"/>
      <c r="AW126" s="97" t="n"/>
      <c r="AX126" s="97" t="n"/>
      <c r="AY126" s="97" t="n"/>
    </row>
    <row r="127" s="135">
      <c r="A127" t="inlineStr">
        <is>
          <t>1929-06</t>
        </is>
      </c>
      <c r="B127" s="2" t="n">
        <v>10745</v>
      </c>
      <c r="C127" s="96" t="n">
        <v>127</v>
      </c>
      <c r="D127" s="2" t="n"/>
      <c r="E127" s="2">
        <f>B127</f>
        <v/>
      </c>
      <c r="F127" s="3">
        <f>B127</f>
        <v/>
      </c>
      <c r="G127" s="96" t="n">
        <v>125</v>
      </c>
      <c r="H127" s="97" t="n"/>
      <c r="I127" s="97" t="n"/>
      <c r="J127" s="97" t="n"/>
      <c r="K127" s="97" t="n"/>
      <c r="L127" s="97" t="n"/>
      <c r="M127" s="97" t="n"/>
      <c r="N127" s="97" t="n"/>
      <c r="O127" s="97" t="n"/>
      <c r="P127" s="97" t="n"/>
      <c r="Q127" s="97" t="n"/>
      <c r="R127" s="97" t="n"/>
      <c r="S127" s="97" t="n"/>
      <c r="T127" s="97" t="n"/>
      <c r="U127" s="97" t="n"/>
      <c r="V127" s="97" t="n"/>
      <c r="W127" s="97" t="n"/>
      <c r="X127" s="97" t="n"/>
      <c r="Y127" s="97" t="n"/>
      <c r="Z127" s="97" t="n"/>
      <c r="AA127" s="97" t="n"/>
      <c r="AB127" s="97" t="n"/>
      <c r="AC127" s="97" t="n"/>
      <c r="AD127" s="97" t="n"/>
      <c r="AE127" s="97" t="n"/>
      <c r="AF127" s="97" t="n"/>
      <c r="AG127" s="97" t="n"/>
      <c r="AH127" s="97" t="n"/>
      <c r="AI127" s="97" t="n"/>
      <c r="AJ127" s="97" t="n"/>
      <c r="AK127" s="97" t="n"/>
      <c r="AL127" s="97" t="n"/>
      <c r="AM127" s="97" t="n"/>
      <c r="AN127" s="97" t="n"/>
      <c r="AO127" s="97" t="n">
        <v>7.740362</v>
      </c>
      <c r="AP127" s="97" t="n"/>
      <c r="AQ127" s="97" t="n"/>
      <c r="AR127" s="97" t="n"/>
      <c r="AS127" s="97" t="n">
        <v>0.035154</v>
      </c>
      <c r="AT127" s="97" t="n"/>
      <c r="AU127" s="97" t="n">
        <v>-1.075844</v>
      </c>
      <c r="AV127" s="97" t="n"/>
      <c r="AW127" s="97" t="n"/>
      <c r="AX127" s="97" t="n"/>
      <c r="AY127" s="97" t="n"/>
    </row>
    <row r="128" s="135">
      <c r="A128" t="inlineStr">
        <is>
          <t>1929-07</t>
        </is>
      </c>
      <c r="B128" s="2" t="n">
        <v>10775</v>
      </c>
      <c r="C128" s="96" t="n">
        <v>128</v>
      </c>
      <c r="D128" s="2" t="n"/>
      <c r="E128" s="2">
        <f>B128</f>
        <v/>
      </c>
      <c r="F128" s="3">
        <f>B128</f>
        <v/>
      </c>
      <c r="G128" s="96" t="n">
        <v>126</v>
      </c>
      <c r="H128" s="97" t="n"/>
      <c r="I128" s="97" t="n"/>
      <c r="J128" s="97" t="n"/>
      <c r="K128" s="97" t="n"/>
      <c r="L128" s="97" t="n"/>
      <c r="M128" s="97" t="n"/>
      <c r="N128" s="97" t="n"/>
      <c r="O128" s="97" t="n"/>
      <c r="P128" s="97" t="n"/>
      <c r="Q128" s="97" t="n"/>
      <c r="R128" s="97" t="n"/>
      <c r="S128" s="97" t="n"/>
      <c r="T128" s="97" t="n"/>
      <c r="U128" s="97" t="n"/>
      <c r="V128" s="97" t="n"/>
      <c r="W128" s="97" t="n"/>
      <c r="X128" s="97" t="n"/>
      <c r="Y128" s="97" t="n"/>
      <c r="Z128" s="97" t="n"/>
      <c r="AA128" s="97" t="n"/>
      <c r="AB128" s="97" t="n"/>
      <c r="AC128" s="97" t="n"/>
      <c r="AD128" s="97" t="n"/>
      <c r="AE128" s="97" t="n"/>
      <c r="AF128" s="97" t="n"/>
      <c r="AG128" s="97" t="n"/>
      <c r="AH128" s="97" t="n"/>
      <c r="AI128" s="97" t="n"/>
      <c r="AJ128" s="97" t="n"/>
      <c r="AK128" s="97" t="n"/>
      <c r="AL128" s="97" t="n"/>
      <c r="AM128" s="97" t="n"/>
      <c r="AN128" s="97" t="n"/>
      <c r="AO128" s="97" t="n">
        <v>7.846786</v>
      </c>
      <c r="AP128" s="97" t="n"/>
      <c r="AQ128" s="97" t="n"/>
      <c r="AR128" s="97" t="n"/>
      <c r="AS128" s="97" t="n">
        <v>0.386556</v>
      </c>
      <c r="AT128" s="97" t="n"/>
      <c r="AU128" s="97" t="n">
        <v>0.910145</v>
      </c>
      <c r="AV128" s="97" t="n"/>
      <c r="AW128" s="97" t="n"/>
      <c r="AX128" s="97" t="n"/>
      <c r="AY128" s="97" t="n"/>
    </row>
    <row r="129" s="135">
      <c r="A129" t="inlineStr">
        <is>
          <t>1929-08</t>
        </is>
      </c>
      <c r="B129" s="2" t="n">
        <v>10806</v>
      </c>
      <c r="C129" s="96" t="n">
        <v>129</v>
      </c>
      <c r="D129" s="2" t="n"/>
      <c r="E129" s="2">
        <f>B129</f>
        <v/>
      </c>
      <c r="F129" s="3">
        <f>B129</f>
        <v/>
      </c>
      <c r="G129" s="96" t="n">
        <v>127</v>
      </c>
      <c r="H129" s="97" t="n"/>
      <c r="I129" s="97" t="n"/>
      <c r="J129" s="97" t="n"/>
      <c r="K129" s="97" t="n"/>
      <c r="L129" s="97" t="n"/>
      <c r="M129" s="97" t="n"/>
      <c r="N129" s="97" t="n"/>
      <c r="O129" s="97" t="n"/>
      <c r="P129" s="97" t="n"/>
      <c r="Q129" s="97" t="n"/>
      <c r="R129" s="97" t="n"/>
      <c r="S129" s="97" t="n"/>
      <c r="T129" s="97" t="n"/>
      <c r="U129" s="97" t="n"/>
      <c r="V129" s="97" t="n"/>
      <c r="W129" s="97" t="n"/>
      <c r="X129" s="97" t="n"/>
      <c r="Y129" s="97" t="n"/>
      <c r="Z129" s="97" t="n"/>
      <c r="AA129" s="97" t="n"/>
      <c r="AB129" s="97" t="n"/>
      <c r="AC129" s="97" t="n"/>
      <c r="AD129" s="97" t="n"/>
      <c r="AE129" s="97" t="n"/>
      <c r="AF129" s="97" t="n"/>
      <c r="AG129" s="97" t="n"/>
      <c r="AH129" s="97" t="n"/>
      <c r="AI129" s="97" t="n"/>
      <c r="AJ129" s="97" t="n"/>
      <c r="AK129" s="97" t="n"/>
      <c r="AL129" s="97" t="n"/>
      <c r="AM129" s="97" t="n"/>
      <c r="AN129" s="97" t="n"/>
      <c r="AO129" s="97" t="n">
        <v>7.766968</v>
      </c>
      <c r="AP129" s="97" t="n"/>
      <c r="AQ129" s="97" t="n"/>
      <c r="AR129" s="97" t="n"/>
      <c r="AS129" s="97" t="n">
        <v>0.725127</v>
      </c>
      <c r="AT129" s="97" t="n"/>
      <c r="AU129" s="97" t="n">
        <v>1.750363</v>
      </c>
      <c r="AV129" s="97" t="n"/>
      <c r="AW129" s="97" t="n"/>
      <c r="AX129" s="97" t="n"/>
      <c r="AY129" s="97" t="n"/>
    </row>
    <row r="130" s="135">
      <c r="A130" t="inlineStr">
        <is>
          <t>1929-09</t>
        </is>
      </c>
      <c r="B130" s="2" t="n">
        <v>10837</v>
      </c>
      <c r="C130" s="96" t="n">
        <v>130</v>
      </c>
      <c r="D130" s="2" t="n"/>
      <c r="E130" s="2">
        <f>B130</f>
        <v/>
      </c>
      <c r="F130" s="3">
        <f>B130</f>
        <v/>
      </c>
      <c r="G130" s="96" t="n">
        <v>128</v>
      </c>
      <c r="H130" s="97" t="n"/>
      <c r="I130" s="97" t="n"/>
      <c r="J130" s="97" t="n"/>
      <c r="K130" s="97" t="n"/>
      <c r="L130" s="97" t="n"/>
      <c r="M130" s="97" t="n"/>
      <c r="N130" s="97" t="n"/>
      <c r="O130" s="97" t="n"/>
      <c r="P130" s="97" t="n"/>
      <c r="Q130" s="97" t="n"/>
      <c r="R130" s="97" t="n"/>
      <c r="S130" s="97" t="n"/>
      <c r="T130" s="97" t="n"/>
      <c r="U130" s="97" t="n"/>
      <c r="V130" s="97" t="n"/>
      <c r="W130" s="97" t="n"/>
      <c r="X130" s="97" t="n"/>
      <c r="Y130" s="97" t="n"/>
      <c r="Z130" s="97" t="n"/>
      <c r="AA130" s="97" t="n"/>
      <c r="AB130" s="97" t="n"/>
      <c r="AC130" s="97" t="n"/>
      <c r="AD130" s="97" t="n"/>
      <c r="AE130" s="97" t="n"/>
      <c r="AF130" s="97" t="n"/>
      <c r="AG130" s="97" t="n"/>
      <c r="AH130" s="97" t="n"/>
      <c r="AI130" s="97" t="n"/>
      <c r="AJ130" s="97" t="n"/>
      <c r="AK130" s="97" t="n"/>
      <c r="AL130" s="97" t="n"/>
      <c r="AM130" s="97" t="n"/>
      <c r="AN130" s="97" t="n"/>
      <c r="AO130" s="97" t="n">
        <v>7.713756</v>
      </c>
      <c r="AP130" s="97" t="n"/>
      <c r="AQ130" s="97" t="n"/>
      <c r="AR130" s="97" t="n"/>
      <c r="AS130" s="97" t="n">
        <v>0.5610309999999999</v>
      </c>
      <c r="AT130" s="97" t="n"/>
      <c r="AU130" s="97" t="n">
        <v>0.64603</v>
      </c>
      <c r="AV130" s="97" t="n"/>
      <c r="AW130" s="97" t="n"/>
      <c r="AX130" s="97" t="n"/>
      <c r="AY130" s="97" t="n"/>
    </row>
    <row r="131" s="135">
      <c r="A131" t="inlineStr">
        <is>
          <t>1929-10</t>
        </is>
      </c>
      <c r="B131" s="2" t="n">
        <v>10867</v>
      </c>
      <c r="C131" s="96" t="n">
        <v>131</v>
      </c>
      <c r="D131" s="2" t="n"/>
      <c r="E131" s="2">
        <f>B131</f>
        <v/>
      </c>
      <c r="F131" s="3">
        <f>B131</f>
        <v/>
      </c>
      <c r="G131" s="96" t="n">
        <v>129</v>
      </c>
      <c r="H131" s="97" t="n"/>
      <c r="I131" s="97" t="n"/>
      <c r="J131" s="97" t="n"/>
      <c r="K131" s="97" t="n"/>
      <c r="L131" s="97" t="n"/>
      <c r="M131" s="97" t="n"/>
      <c r="N131" s="97" t="n"/>
      <c r="O131" s="97" t="n"/>
      <c r="P131" s="97" t="n"/>
      <c r="Q131" s="97" t="n"/>
      <c r="R131" s="97" t="n"/>
      <c r="S131" s="97" t="n"/>
      <c r="T131" s="97" t="n"/>
      <c r="U131" s="97" t="n"/>
      <c r="V131" s="97" t="n"/>
      <c r="W131" s="97" t="n"/>
      <c r="X131" s="97" t="n"/>
      <c r="Y131" s="97" t="n"/>
      <c r="Z131" s="97" t="n"/>
      <c r="AA131" s="97" t="n"/>
      <c r="AB131" s="97" t="n"/>
      <c r="AC131" s="97" t="n"/>
      <c r="AD131" s="97" t="n"/>
      <c r="AE131" s="97" t="n"/>
      <c r="AF131" s="97" t="n"/>
      <c r="AG131" s="97" t="n"/>
      <c r="AH131" s="97" t="n"/>
      <c r="AI131" s="97" t="n"/>
      <c r="AJ131" s="97" t="n"/>
      <c r="AK131" s="97" t="n"/>
      <c r="AL131" s="97" t="n"/>
      <c r="AM131" s="97" t="n"/>
      <c r="AN131" s="97" t="n"/>
      <c r="AO131" s="97" t="n">
        <v>7.580725</v>
      </c>
      <c r="AP131" s="97" t="n"/>
      <c r="AQ131" s="97" t="n"/>
      <c r="AR131" s="97" t="n"/>
      <c r="AS131" s="97" t="n">
        <v>0.940532</v>
      </c>
      <c r="AT131" s="97" t="n"/>
      <c r="AU131" s="97" t="n">
        <v>0.746385</v>
      </c>
      <c r="AV131" s="97" t="n"/>
      <c r="AW131" s="97" t="n"/>
      <c r="AX131" s="97" t="n"/>
      <c r="AY131" s="97" t="n"/>
    </row>
    <row r="132" s="135">
      <c r="A132" t="inlineStr">
        <is>
          <t>1929-11</t>
        </is>
      </c>
      <c r="B132" s="2" t="n">
        <v>10898</v>
      </c>
      <c r="C132" s="96" t="n">
        <v>132</v>
      </c>
      <c r="D132" s="2" t="n"/>
      <c r="E132" s="2">
        <f>B132</f>
        <v/>
      </c>
      <c r="F132" s="3">
        <f>B132</f>
        <v/>
      </c>
      <c r="G132" s="96" t="n">
        <v>130</v>
      </c>
      <c r="H132" s="97" t="n"/>
      <c r="I132" s="97" t="n"/>
      <c r="J132" s="97" t="n"/>
      <c r="K132" s="97" t="n"/>
      <c r="L132" s="97" t="n"/>
      <c r="M132" s="97" t="n"/>
      <c r="N132" s="97" t="n"/>
      <c r="O132" s="97" t="n"/>
      <c r="P132" s="97" t="n"/>
      <c r="Q132" s="97" t="n"/>
      <c r="R132" s="97" t="n"/>
      <c r="S132" s="97" t="n"/>
      <c r="T132" s="97" t="n"/>
      <c r="U132" s="97" t="n"/>
      <c r="V132" s="97" t="n"/>
      <c r="W132" s="97" t="n"/>
      <c r="X132" s="97" t="n"/>
      <c r="Y132" s="97" t="n"/>
      <c r="Z132" s="97" t="n"/>
      <c r="AA132" s="97" t="n"/>
      <c r="AB132" s="97" t="n"/>
      <c r="AC132" s="97" t="n"/>
      <c r="AD132" s="97" t="n"/>
      <c r="AE132" s="97" t="n"/>
      <c r="AF132" s="97" t="n"/>
      <c r="AG132" s="97" t="n"/>
      <c r="AH132" s="97" t="n"/>
      <c r="AI132" s="97" t="n"/>
      <c r="AJ132" s="97" t="n"/>
      <c r="AK132" s="97" t="n"/>
      <c r="AL132" s="97" t="n"/>
      <c r="AM132" s="97" t="n"/>
      <c r="AN132" s="97" t="n"/>
      <c r="AO132" s="97" t="n">
        <v>7.208336</v>
      </c>
      <c r="AP132" s="97" t="n"/>
      <c r="AQ132" s="97" t="n"/>
      <c r="AR132" s="97" t="n"/>
      <c r="AS132" s="97" t="n">
        <v>1.530937</v>
      </c>
      <c r="AT132" s="97" t="n"/>
      <c r="AU132" s="97" t="n">
        <v>2.052156</v>
      </c>
      <c r="AV132" s="97" t="n"/>
      <c r="AW132" s="97" t="n"/>
      <c r="AX132" s="97" t="n"/>
      <c r="AY132" s="97" t="n"/>
    </row>
    <row r="133" s="135">
      <c r="A133" t="inlineStr">
        <is>
          <t>1929-12</t>
        </is>
      </c>
      <c r="B133" s="2" t="n">
        <v>10928</v>
      </c>
      <c r="C133" s="96" t="n">
        <v>133</v>
      </c>
      <c r="D133" s="2" t="n"/>
      <c r="E133" s="2">
        <f>B133</f>
        <v/>
      </c>
      <c r="F133" s="3">
        <f>B133</f>
        <v/>
      </c>
      <c r="G133" s="96" t="n">
        <v>131</v>
      </c>
      <c r="H133" s="97" t="n"/>
      <c r="I133" s="97" t="n"/>
      <c r="J133" s="97" t="n"/>
      <c r="K133" s="97" t="n"/>
      <c r="L133" s="97" t="n"/>
      <c r="M133" s="97" t="n"/>
      <c r="N133" s="97" t="n"/>
      <c r="O133" s="97" t="n"/>
      <c r="P133" s="97" t="n"/>
      <c r="Q133" s="97" t="n"/>
      <c r="R133" s="97" t="n"/>
      <c r="S133" s="97" t="n"/>
      <c r="T133" s="97" t="n"/>
      <c r="U133" s="97" t="n"/>
      <c r="V133" s="97" t="n"/>
      <c r="W133" s="97" t="n"/>
      <c r="X133" s="97" t="n"/>
      <c r="Y133" s="97" t="n"/>
      <c r="Z133" s="97" t="n"/>
      <c r="AA133" s="97" t="n"/>
      <c r="AB133" s="97" t="n"/>
      <c r="AC133" s="97" t="n"/>
      <c r="AD133" s="97" t="n"/>
      <c r="AE133" s="97" t="n"/>
      <c r="AF133" s="97" t="n"/>
      <c r="AG133" s="97" t="n"/>
      <c r="AH133" s="97" t="n"/>
      <c r="AI133" s="97" t="n"/>
      <c r="AJ133" s="97" t="n"/>
      <c r="AK133" s="97" t="n"/>
      <c r="AL133" s="97" t="n"/>
      <c r="AM133" s="97" t="n"/>
      <c r="AN133" s="97" t="n"/>
      <c r="AO133" s="97" t="n">
        <v>6.889159</v>
      </c>
      <c r="AP133" s="97" t="n"/>
      <c r="AQ133" s="97" t="n"/>
      <c r="AR133" s="97" t="n"/>
      <c r="AS133" s="97" t="n">
        <v>1.89392</v>
      </c>
      <c r="AT133" s="97" t="n"/>
      <c r="AU133" s="97" t="n">
        <v>2.054445</v>
      </c>
      <c r="AV133" s="97" t="n"/>
      <c r="AW133" s="97" t="n"/>
      <c r="AX133" s="97" t="n"/>
      <c r="AY133" s="97" t="n"/>
    </row>
    <row r="134" s="135">
      <c r="A134" t="inlineStr">
        <is>
          <t>1930-01</t>
        </is>
      </c>
      <c r="B134" s="2" t="n">
        <v>10959</v>
      </c>
      <c r="C134" s="96" t="n">
        <v>134</v>
      </c>
      <c r="D134" s="2" t="n"/>
      <c r="E134" s="2">
        <f>B134</f>
        <v/>
      </c>
      <c r="F134" s="3">
        <f>B134</f>
        <v/>
      </c>
      <c r="G134" s="96" t="n">
        <v>132</v>
      </c>
      <c r="H134" s="97" t="n"/>
      <c r="I134" s="97" t="n"/>
      <c r="J134" s="97" t="n"/>
      <c r="K134" s="97" t="n"/>
      <c r="L134" s="97" t="n"/>
      <c r="M134" s="97" t="n"/>
      <c r="N134" s="97" t="n"/>
      <c r="O134" s="97" t="n"/>
      <c r="P134" s="97" t="n"/>
      <c r="Q134" s="97" t="n"/>
      <c r="R134" s="97" t="n"/>
      <c r="S134" s="97" t="n"/>
      <c r="T134" s="97" t="n"/>
      <c r="U134" s="97" t="n"/>
      <c r="V134" s="97" t="n"/>
      <c r="W134" s="97" t="n"/>
      <c r="X134" s="97" t="n"/>
      <c r="Y134" s="97" t="n"/>
      <c r="Z134" s="97" t="n"/>
      <c r="AA134" s="97" t="n"/>
      <c r="AB134" s="97" t="n"/>
      <c r="AC134" s="97" t="n"/>
      <c r="AD134" s="97" t="n"/>
      <c r="AE134" s="97" t="n"/>
      <c r="AF134" s="97" t="n"/>
      <c r="AG134" s="97" t="n"/>
      <c r="AH134" s="97" t="n"/>
      <c r="AI134" s="97" t="n"/>
      <c r="AJ134" s="97" t="n"/>
      <c r="AK134" s="97" t="n"/>
      <c r="AL134" s="97" t="n"/>
      <c r="AM134" s="97" t="n"/>
      <c r="AN134" s="97" t="n"/>
      <c r="AO134" s="97" t="n">
        <v>6.889159</v>
      </c>
      <c r="AP134" s="97" t="n"/>
      <c r="AQ134" s="97" t="n"/>
      <c r="AR134" s="97" t="n"/>
      <c r="AS134" s="97" t="n">
        <v>0.291044</v>
      </c>
      <c r="AT134" s="97" t="n"/>
      <c r="AU134" s="97" t="n">
        <v>1.901049</v>
      </c>
      <c r="AV134" s="97" t="n"/>
      <c r="AW134" s="97" t="n"/>
      <c r="AX134" s="97" t="n"/>
      <c r="AY134" s="97" t="n"/>
    </row>
    <row r="135" s="135">
      <c r="A135" t="inlineStr">
        <is>
          <t>1930-02</t>
        </is>
      </c>
      <c r="B135" s="2" t="n">
        <v>10990</v>
      </c>
      <c r="C135" s="96" t="n">
        <v>135</v>
      </c>
      <c r="D135" s="2" t="n"/>
      <c r="E135" s="2">
        <f>B135</f>
        <v/>
      </c>
      <c r="F135" s="3">
        <f>B135</f>
        <v/>
      </c>
      <c r="G135" s="96" t="n">
        <v>133</v>
      </c>
      <c r="H135" s="97" t="n"/>
      <c r="I135" s="97" t="n"/>
      <c r="J135" s="97" t="n"/>
      <c r="K135" s="97" t="n"/>
      <c r="L135" s="97" t="n"/>
      <c r="M135" s="97" t="n"/>
      <c r="N135" s="97" t="n"/>
      <c r="O135" s="97" t="n"/>
      <c r="P135" s="97" t="n"/>
      <c r="Q135" s="97" t="n"/>
      <c r="R135" s="97" t="n"/>
      <c r="S135" s="97" t="n"/>
      <c r="T135" s="97" t="n"/>
      <c r="U135" s="97" t="n"/>
      <c r="V135" s="97" t="n"/>
      <c r="W135" s="97" t="n"/>
      <c r="X135" s="97" t="n"/>
      <c r="Y135" s="97" t="n"/>
      <c r="Z135" s="97" t="n"/>
      <c r="AA135" s="97" t="n"/>
      <c r="AB135" s="97" t="n"/>
      <c r="AC135" s="97" t="n"/>
      <c r="AD135" s="97" t="n"/>
      <c r="AE135" s="97" t="n"/>
      <c r="AF135" s="97" t="n"/>
      <c r="AG135" s="97" t="n"/>
      <c r="AH135" s="97" t="n"/>
      <c r="AI135" s="97" t="n"/>
      <c r="AJ135" s="97" t="n"/>
      <c r="AK135" s="97" t="n"/>
      <c r="AL135" s="97" t="n"/>
      <c r="AM135" s="97" t="n"/>
      <c r="AN135" s="97" t="n"/>
      <c r="AO135" s="97" t="n">
        <v>6.862553</v>
      </c>
      <c r="AP135" s="97" t="n"/>
      <c r="AQ135" s="97" t="n"/>
      <c r="AR135" s="97" t="n"/>
      <c r="AS135" s="97" t="n">
        <v>0.665695</v>
      </c>
      <c r="AT135" s="97" t="n"/>
      <c r="AU135" s="97" t="n">
        <v>1.712014</v>
      </c>
      <c r="AV135" s="97" t="n"/>
      <c r="AW135" s="97" t="n"/>
      <c r="AX135" s="97" t="n"/>
      <c r="AY135" s="97" t="n"/>
    </row>
    <row r="136" s="135">
      <c r="A136" t="inlineStr">
        <is>
          <t>1930-03</t>
        </is>
      </c>
      <c r="B136" s="2" t="n">
        <v>11018</v>
      </c>
      <c r="C136" s="96" t="n">
        <v>136</v>
      </c>
      <c r="D136" s="2" t="n"/>
      <c r="E136" s="2">
        <f>B136</f>
        <v/>
      </c>
      <c r="F136" s="3">
        <f>B136</f>
        <v/>
      </c>
      <c r="G136" s="96" t="n">
        <v>134</v>
      </c>
      <c r="H136" s="97" t="n"/>
      <c r="I136" s="97" t="n"/>
      <c r="J136" s="97" t="n"/>
      <c r="K136" s="97" t="n"/>
      <c r="L136" s="97" t="n"/>
      <c r="M136" s="97" t="n"/>
      <c r="N136" s="97" t="n"/>
      <c r="O136" s="97" t="n"/>
      <c r="P136" s="97" t="n"/>
      <c r="Q136" s="97" t="n"/>
      <c r="R136" s="97" t="n"/>
      <c r="S136" s="97" t="n"/>
      <c r="T136" s="97" t="n"/>
      <c r="U136" s="97" t="n"/>
      <c r="V136" s="97" t="n"/>
      <c r="W136" s="97" t="n"/>
      <c r="X136" s="97" t="n"/>
      <c r="Y136" s="97" t="n"/>
      <c r="Z136" s="97" t="n"/>
      <c r="AA136" s="97" t="n"/>
      <c r="AB136" s="97" t="n"/>
      <c r="AC136" s="97" t="n"/>
      <c r="AD136" s="97" t="n"/>
      <c r="AE136" s="97" t="n"/>
      <c r="AF136" s="97" t="n"/>
      <c r="AG136" s="97" t="n"/>
      <c r="AH136" s="97" t="n"/>
      <c r="AI136" s="97" t="n"/>
      <c r="AJ136" s="97" t="n"/>
      <c r="AK136" s="97" t="n"/>
      <c r="AL136" s="97" t="n"/>
      <c r="AM136" s="97" t="n"/>
      <c r="AN136" s="97" t="n"/>
      <c r="AO136" s="97" t="n">
        <v>6.756224</v>
      </c>
      <c r="AP136" s="97" t="n"/>
      <c r="AQ136" s="97" t="n"/>
      <c r="AR136" s="97" t="n"/>
      <c r="AS136" s="97" t="n">
        <v>0.441722</v>
      </c>
      <c r="AT136" s="97" t="n"/>
      <c r="AU136" s="97" t="n">
        <v>0.224772</v>
      </c>
      <c r="AV136" s="97" t="n"/>
      <c r="AW136" s="97" t="n"/>
      <c r="AX136" s="97" t="n"/>
      <c r="AY136" s="97" t="n"/>
    </row>
    <row r="137" s="135">
      <c r="A137" t="inlineStr">
        <is>
          <t>1930-04</t>
        </is>
      </c>
      <c r="B137" s="2" t="n">
        <v>11049</v>
      </c>
      <c r="C137" s="96" t="n">
        <v>137</v>
      </c>
      <c r="D137" s="2" t="n"/>
      <c r="E137" s="2">
        <f>B137</f>
        <v/>
      </c>
      <c r="F137" s="3">
        <f>B137</f>
        <v/>
      </c>
      <c r="G137" s="96" t="n">
        <v>135</v>
      </c>
      <c r="H137" s="97" t="n"/>
      <c r="I137" s="97" t="n"/>
      <c r="J137" s="97" t="n"/>
      <c r="K137" s="97" t="n"/>
      <c r="L137" s="97" t="n"/>
      <c r="M137" s="97" t="n"/>
      <c r="N137" s="97" t="n"/>
      <c r="O137" s="97" t="n"/>
      <c r="P137" s="97" t="n"/>
      <c r="Q137" s="97" t="n"/>
      <c r="R137" s="97" t="n"/>
      <c r="S137" s="97" t="n"/>
      <c r="T137" s="97" t="n"/>
      <c r="U137" s="97" t="n"/>
      <c r="V137" s="97" t="n"/>
      <c r="W137" s="97" t="n"/>
      <c r="X137" s="97" t="n"/>
      <c r="Y137" s="97" t="n"/>
      <c r="Z137" s="97" t="n"/>
      <c r="AA137" s="97" t="n"/>
      <c r="AB137" s="97" t="n"/>
      <c r="AC137" s="97" t="n"/>
      <c r="AD137" s="97" t="n"/>
      <c r="AE137" s="97" t="n"/>
      <c r="AF137" s="97" t="n"/>
      <c r="AG137" s="97" t="n"/>
      <c r="AH137" s="97" t="n"/>
      <c r="AI137" s="97" t="n"/>
      <c r="AJ137" s="97" t="n"/>
      <c r="AK137" s="97" t="n"/>
      <c r="AL137" s="97" t="n"/>
      <c r="AM137" s="97" t="n"/>
      <c r="AN137" s="97" t="n"/>
      <c r="AO137" s="97" t="n">
        <v>6.703012</v>
      </c>
      <c r="AP137" s="97" t="n"/>
      <c r="AQ137" s="97" t="n"/>
      <c r="AR137" s="97" t="n"/>
      <c r="AS137" s="97" t="n">
        <v>0.235268</v>
      </c>
      <c r="AT137" s="97" t="n"/>
      <c r="AU137" s="97" t="n">
        <v>1.242017</v>
      </c>
      <c r="AV137" s="97" t="n"/>
      <c r="AW137" s="97" t="n"/>
      <c r="AX137" s="97" t="n"/>
      <c r="AY137" s="97" t="n"/>
    </row>
    <row r="138" s="135">
      <c r="A138" t="inlineStr">
        <is>
          <t>1930-05</t>
        </is>
      </c>
      <c r="B138" s="2" t="n">
        <v>11079</v>
      </c>
      <c r="C138" s="96" t="n">
        <v>138</v>
      </c>
      <c r="D138" s="2" t="n"/>
      <c r="E138" s="2">
        <f>B138</f>
        <v/>
      </c>
      <c r="F138" s="3">
        <f>B138</f>
        <v/>
      </c>
      <c r="G138" s="96" t="n">
        <v>136</v>
      </c>
      <c r="H138" s="97" t="n"/>
      <c r="I138" s="97" t="n"/>
      <c r="J138" s="97" t="n"/>
      <c r="K138" s="97" t="n"/>
      <c r="L138" s="97" t="n"/>
      <c r="M138" s="97" t="n"/>
      <c r="N138" s="97" t="n"/>
      <c r="O138" s="97" t="n"/>
      <c r="P138" s="97" t="n"/>
      <c r="Q138" s="97" t="n"/>
      <c r="R138" s="97" t="n"/>
      <c r="S138" s="97" t="n"/>
      <c r="T138" s="97" t="n"/>
      <c r="U138" s="97" t="n"/>
      <c r="V138" s="97" t="n"/>
      <c r="W138" s="97" t="n"/>
      <c r="X138" s="97" t="n"/>
      <c r="Y138" s="97" t="n"/>
      <c r="Z138" s="97" t="n"/>
      <c r="AA138" s="97" t="n"/>
      <c r="AB138" s="97" t="n"/>
      <c r="AC138" s="97" t="n"/>
      <c r="AD138" s="97" t="n"/>
      <c r="AE138" s="97" t="n"/>
      <c r="AF138" s="97" t="n"/>
      <c r="AG138" s="97" t="n"/>
      <c r="AH138" s="97" t="n"/>
      <c r="AI138" s="97" t="n"/>
      <c r="AJ138" s="97" t="n"/>
      <c r="AK138" s="97" t="n"/>
      <c r="AL138" s="97" t="n"/>
      <c r="AM138" s="97" t="n"/>
      <c r="AN138" s="97" t="n"/>
      <c r="AO138" s="97" t="n">
        <v>6.596587</v>
      </c>
      <c r="AP138" s="97" t="n"/>
      <c r="AQ138" s="97" t="n"/>
      <c r="AR138" s="97" t="n"/>
      <c r="AS138" s="97" t="n">
        <v>0.709407</v>
      </c>
      <c r="AT138" s="97" t="n"/>
      <c r="AU138" s="97" t="n">
        <v>2.183855</v>
      </c>
      <c r="AV138" s="97" t="n"/>
      <c r="AW138" s="97" t="n"/>
      <c r="AX138" s="97" t="n"/>
      <c r="AY138" s="97" t="n"/>
    </row>
    <row r="139" s="135">
      <c r="A139" t="inlineStr">
        <is>
          <t>1930-06</t>
        </is>
      </c>
      <c r="B139" s="2" t="n">
        <v>11110</v>
      </c>
      <c r="C139" s="96" t="n">
        <v>139</v>
      </c>
      <c r="D139" s="2" t="n"/>
      <c r="E139" s="2">
        <f>B139</f>
        <v/>
      </c>
      <c r="F139" s="3">
        <f>B139</f>
        <v/>
      </c>
      <c r="G139" s="96" t="n">
        <v>137</v>
      </c>
      <c r="H139" s="97" t="n"/>
      <c r="I139" s="97" t="n"/>
      <c r="J139" s="97" t="n"/>
      <c r="K139" s="97" t="n"/>
      <c r="L139" s="97" t="n"/>
      <c r="M139" s="97" t="n"/>
      <c r="N139" s="97" t="n"/>
      <c r="O139" s="97" t="n"/>
      <c r="P139" s="97" t="n"/>
      <c r="Q139" s="97" t="n"/>
      <c r="R139" s="97" t="n"/>
      <c r="S139" s="97" t="n"/>
      <c r="T139" s="97" t="n"/>
      <c r="U139" s="97" t="n"/>
      <c r="V139" s="97" t="n"/>
      <c r="W139" s="97" t="n"/>
      <c r="X139" s="97" t="n"/>
      <c r="Y139" s="97" t="n"/>
      <c r="Z139" s="97" t="n"/>
      <c r="AA139" s="97" t="n"/>
      <c r="AB139" s="97" t="n"/>
      <c r="AC139" s="97" t="n"/>
      <c r="AD139" s="97" t="n"/>
      <c r="AE139" s="97" t="n"/>
      <c r="AF139" s="97" t="n"/>
      <c r="AG139" s="97" t="n"/>
      <c r="AH139" s="97" t="n"/>
      <c r="AI139" s="97" t="n"/>
      <c r="AJ139" s="97" t="n"/>
      <c r="AK139" s="97" t="n"/>
      <c r="AL139" s="97" t="n"/>
      <c r="AM139" s="97" t="n"/>
      <c r="AN139" s="97" t="n"/>
      <c r="AO139" s="97" t="n">
        <v>6.41044</v>
      </c>
      <c r="AP139" s="97" t="n"/>
      <c r="AQ139" s="97" t="n"/>
      <c r="AR139" s="97" t="n"/>
      <c r="AS139" s="97" t="n">
        <v>0.282689</v>
      </c>
      <c r="AT139" s="97" t="n"/>
      <c r="AU139" s="97" t="n">
        <v>1.455404</v>
      </c>
      <c r="AV139" s="97" t="n"/>
      <c r="AW139" s="97" t="n"/>
      <c r="AX139" s="97" t="n"/>
      <c r="AY139" s="97" t="n"/>
    </row>
    <row r="140" s="135">
      <c r="A140" t="inlineStr">
        <is>
          <t>1930-07</t>
        </is>
      </c>
      <c r="B140" s="2" t="n">
        <v>11140</v>
      </c>
      <c r="C140" s="96" t="n">
        <v>140</v>
      </c>
      <c r="D140" s="2" t="n"/>
      <c r="E140" s="2">
        <f>B140</f>
        <v/>
      </c>
      <c r="F140" s="3">
        <f>B140</f>
        <v/>
      </c>
      <c r="G140" s="96" t="n">
        <v>138</v>
      </c>
      <c r="H140" s="97" t="n"/>
      <c r="I140" s="97" t="n"/>
      <c r="J140" s="97" t="n"/>
      <c r="K140" s="97" t="n"/>
      <c r="L140" s="97" t="n"/>
      <c r="M140" s="97" t="n"/>
      <c r="N140" s="97" t="n"/>
      <c r="O140" s="97" t="n"/>
      <c r="P140" s="97" t="n"/>
      <c r="Q140" s="97" t="n"/>
      <c r="R140" s="97" t="n"/>
      <c r="S140" s="97" t="n"/>
      <c r="T140" s="97" t="n"/>
      <c r="U140" s="97" t="n"/>
      <c r="V140" s="97" t="n"/>
      <c r="W140" s="97" t="n"/>
      <c r="X140" s="97" t="n"/>
      <c r="Y140" s="97" t="n"/>
      <c r="Z140" s="97" t="n"/>
      <c r="AA140" s="97" t="n"/>
      <c r="AB140" s="97" t="n"/>
      <c r="AC140" s="97" t="n"/>
      <c r="AD140" s="97" t="n"/>
      <c r="AE140" s="97" t="n"/>
      <c r="AF140" s="97" t="n"/>
      <c r="AG140" s="97" t="n"/>
      <c r="AH140" s="97" t="n"/>
      <c r="AI140" s="97" t="n"/>
      <c r="AJ140" s="97" t="n"/>
      <c r="AK140" s="97" t="n"/>
      <c r="AL140" s="97" t="n"/>
      <c r="AM140" s="97" t="n"/>
      <c r="AN140" s="97" t="n"/>
      <c r="AO140" s="97" t="n">
        <v>6.117774</v>
      </c>
      <c r="AP140" s="97" t="n"/>
      <c r="AQ140" s="97" t="n"/>
      <c r="AR140" s="97" t="n"/>
      <c r="AS140" s="97" t="n">
        <v>-0.204738</v>
      </c>
      <c r="AT140" s="97" t="n"/>
      <c r="AU140" s="97" t="n">
        <v>0.623885</v>
      </c>
      <c r="AV140" s="97" t="n"/>
      <c r="AW140" s="97" t="n"/>
      <c r="AX140" s="97" t="n"/>
      <c r="AY140" s="97" t="n"/>
    </row>
    <row r="141" s="135">
      <c r="A141" t="inlineStr">
        <is>
          <t>1930-08</t>
        </is>
      </c>
      <c r="B141" s="2" t="n">
        <v>11171</v>
      </c>
      <c r="C141" s="96" t="n">
        <v>141</v>
      </c>
      <c r="D141" s="2" t="n"/>
      <c r="E141" s="2">
        <f>B141</f>
        <v/>
      </c>
      <c r="F141" s="3">
        <f>B141</f>
        <v/>
      </c>
      <c r="G141" s="96" t="n">
        <v>139</v>
      </c>
      <c r="H141" s="97" t="n"/>
      <c r="I141" s="97" t="n"/>
      <c r="J141" s="97" t="n"/>
      <c r="K141" s="97" t="n"/>
      <c r="L141" s="97" t="n"/>
      <c r="M141" s="97" t="n"/>
      <c r="N141" s="97" t="n"/>
      <c r="O141" s="97" t="n"/>
      <c r="P141" s="97" t="n"/>
      <c r="Q141" s="97" t="n"/>
      <c r="R141" s="97" t="n"/>
      <c r="S141" s="97" t="n"/>
      <c r="T141" s="97" t="n"/>
      <c r="U141" s="97" t="n"/>
      <c r="V141" s="97" t="n"/>
      <c r="W141" s="97" t="n"/>
      <c r="X141" s="97" t="n"/>
      <c r="Y141" s="97" t="n"/>
      <c r="Z141" s="97" t="n"/>
      <c r="AA141" s="97" t="n"/>
      <c r="AB141" s="97" t="n"/>
      <c r="AC141" s="97" t="n"/>
      <c r="AD141" s="97" t="n"/>
      <c r="AE141" s="97" t="n"/>
      <c r="AF141" s="97" t="n"/>
      <c r="AG141" s="97" t="n"/>
      <c r="AH141" s="97" t="n"/>
      <c r="AI141" s="97" t="n"/>
      <c r="AJ141" s="97" t="n"/>
      <c r="AK141" s="97" t="n"/>
      <c r="AL141" s="97" t="n"/>
      <c r="AM141" s="97" t="n"/>
      <c r="AN141" s="97" t="n"/>
      <c r="AO141" s="97" t="n">
        <v>5.984839</v>
      </c>
      <c r="AP141" s="97" t="n"/>
      <c r="AQ141" s="97" t="n"/>
      <c r="AR141" s="97" t="n"/>
      <c r="AS141" s="97" t="n">
        <v>-0.304714</v>
      </c>
      <c r="AT141" s="97" t="n"/>
      <c r="AU141" s="97" t="n">
        <v>-0.926379</v>
      </c>
      <c r="AV141" s="97" t="n"/>
      <c r="AW141" s="97" t="n"/>
      <c r="AX141" s="97" t="n"/>
      <c r="AY141" s="97" t="n"/>
    </row>
    <row r="142" s="135">
      <c r="A142" t="inlineStr">
        <is>
          <t>1930-09</t>
        </is>
      </c>
      <c r="B142" s="2" t="n">
        <v>11202</v>
      </c>
      <c r="C142" s="96" t="n">
        <v>142</v>
      </c>
      <c r="D142" s="2" t="n"/>
      <c r="E142" s="2">
        <f>B142</f>
        <v/>
      </c>
      <c r="F142" s="3">
        <f>B142</f>
        <v/>
      </c>
      <c r="G142" s="96" t="n">
        <v>140</v>
      </c>
      <c r="H142" s="97" t="n"/>
      <c r="I142" s="97" t="n"/>
      <c r="J142" s="97" t="n"/>
      <c r="K142" s="97" t="n"/>
      <c r="L142" s="97" t="n"/>
      <c r="M142" s="97" t="n"/>
      <c r="N142" s="97" t="n"/>
      <c r="O142" s="97" t="n"/>
      <c r="P142" s="97" t="n"/>
      <c r="Q142" s="97" t="n"/>
      <c r="R142" s="97" t="n"/>
      <c r="S142" s="97" t="n"/>
      <c r="T142" s="97" t="n"/>
      <c r="U142" s="97" t="n"/>
      <c r="V142" s="97" t="n"/>
      <c r="W142" s="97" t="n"/>
      <c r="X142" s="97" t="n"/>
      <c r="Y142" s="97" t="n"/>
      <c r="Z142" s="97" t="n"/>
      <c r="AA142" s="97" t="n"/>
      <c r="AB142" s="97" t="n"/>
      <c r="AC142" s="97" t="n"/>
      <c r="AD142" s="97" t="n"/>
      <c r="AE142" s="97" t="n"/>
      <c r="AF142" s="97" t="n"/>
      <c r="AG142" s="97" t="n"/>
      <c r="AH142" s="97" t="n"/>
      <c r="AI142" s="97" t="n"/>
      <c r="AJ142" s="97" t="n"/>
      <c r="AK142" s="97" t="n"/>
      <c r="AL142" s="97" t="n"/>
      <c r="AM142" s="97" t="n"/>
      <c r="AN142" s="97" t="n"/>
      <c r="AO142" s="97" t="n">
        <v>5.878414</v>
      </c>
      <c r="AP142" s="97" t="n"/>
      <c r="AQ142" s="97" t="n"/>
      <c r="AR142" s="97" t="n"/>
      <c r="AS142" s="97" t="n">
        <v>-1.174907</v>
      </c>
      <c r="AT142" s="97" t="n"/>
      <c r="AU142" s="97" t="n">
        <v>-0.834417</v>
      </c>
      <c r="AV142" s="97" t="n"/>
      <c r="AW142" s="97" t="n"/>
      <c r="AX142" s="97" t="n"/>
      <c r="AY142" s="97" t="n"/>
    </row>
    <row r="143" s="135">
      <c r="A143" t="inlineStr">
        <is>
          <t>1930-10</t>
        </is>
      </c>
      <c r="B143" s="2" t="n">
        <v>11232</v>
      </c>
      <c r="C143" s="96" t="n">
        <v>143</v>
      </c>
      <c r="D143" s="2" t="n"/>
      <c r="E143" s="2">
        <f>B143</f>
        <v/>
      </c>
      <c r="F143" s="3">
        <f>B143</f>
        <v/>
      </c>
      <c r="G143" s="96" t="n">
        <v>141</v>
      </c>
      <c r="H143" s="97" t="n"/>
      <c r="I143" s="97" t="n"/>
      <c r="J143" s="97" t="n"/>
      <c r="K143" s="97" t="n"/>
      <c r="L143" s="97" t="n"/>
      <c r="M143" s="97" t="n"/>
      <c r="N143" s="97" t="n"/>
      <c r="O143" s="97" t="n"/>
      <c r="P143" s="97" t="n"/>
      <c r="Q143" s="97" t="n"/>
      <c r="R143" s="97" t="n"/>
      <c r="S143" s="97" t="n"/>
      <c r="T143" s="97" t="n"/>
      <c r="U143" s="97" t="n"/>
      <c r="V143" s="97" t="n"/>
      <c r="W143" s="97" t="n"/>
      <c r="X143" s="97" t="n"/>
      <c r="Y143" s="97" t="n"/>
      <c r="Z143" s="97" t="n"/>
      <c r="AA143" s="97" t="n"/>
      <c r="AB143" s="97" t="n"/>
      <c r="AC143" s="97" t="n"/>
      <c r="AD143" s="97" t="n"/>
      <c r="AE143" s="97" t="n"/>
      <c r="AF143" s="97" t="n"/>
      <c r="AG143" s="97" t="n"/>
      <c r="AH143" s="97" t="n"/>
      <c r="AI143" s="97" t="n"/>
      <c r="AJ143" s="97" t="n"/>
      <c r="AK143" s="97" t="n"/>
      <c r="AL143" s="97" t="n"/>
      <c r="AM143" s="97" t="n"/>
      <c r="AN143" s="97" t="n"/>
      <c r="AO143" s="97" t="n">
        <v>5.718778</v>
      </c>
      <c r="AP143" s="97" t="n"/>
      <c r="AQ143" s="97" t="n"/>
      <c r="AR143" s="97" t="n"/>
      <c r="AS143" s="97" t="n">
        <v>-0.500121</v>
      </c>
      <c r="AT143" s="97" t="n"/>
      <c r="AU143" s="97" t="n">
        <v>-0.025571</v>
      </c>
      <c r="AV143" s="97" t="n"/>
      <c r="AW143" s="97" t="n"/>
      <c r="AX143" s="97" t="n"/>
      <c r="AY143" s="97" t="n"/>
    </row>
    <row r="144" s="135">
      <c r="A144" t="inlineStr">
        <is>
          <t>1930-11</t>
        </is>
      </c>
      <c r="B144" s="2" t="n">
        <v>11263</v>
      </c>
      <c r="C144" s="96" t="n">
        <v>144</v>
      </c>
      <c r="D144" s="2" t="n"/>
      <c r="E144" s="2">
        <f>B144</f>
        <v/>
      </c>
      <c r="F144" s="3">
        <f>B144</f>
        <v/>
      </c>
      <c r="G144" s="96" t="n">
        <v>142</v>
      </c>
      <c r="H144" s="97" t="n"/>
      <c r="I144" s="97" t="n"/>
      <c r="J144" s="97" t="n"/>
      <c r="K144" s="97" t="n"/>
      <c r="L144" s="97" t="n"/>
      <c r="M144" s="97" t="n"/>
      <c r="N144" s="97" t="n"/>
      <c r="O144" s="97" t="n"/>
      <c r="P144" s="97" t="n"/>
      <c r="Q144" s="97" t="n"/>
      <c r="R144" s="97" t="n"/>
      <c r="S144" s="97" t="n"/>
      <c r="T144" s="97" t="n"/>
      <c r="U144" s="97" t="n"/>
      <c r="V144" s="97" t="n"/>
      <c r="W144" s="97" t="n"/>
      <c r="X144" s="97" t="n"/>
      <c r="Y144" s="97" t="n"/>
      <c r="Z144" s="97" t="n"/>
      <c r="AA144" s="97" t="n"/>
      <c r="AB144" s="97" t="n"/>
      <c r="AC144" s="97" t="n"/>
      <c r="AD144" s="97" t="n"/>
      <c r="AE144" s="97" t="n"/>
      <c r="AF144" s="97" t="n"/>
      <c r="AG144" s="97" t="n"/>
      <c r="AH144" s="97" t="n"/>
      <c r="AI144" s="97" t="n"/>
      <c r="AJ144" s="97" t="n"/>
      <c r="AK144" s="97" t="n"/>
      <c r="AL144" s="97" t="n"/>
      <c r="AM144" s="97" t="n"/>
      <c r="AN144" s="97" t="n"/>
      <c r="AO144" s="97" t="n">
        <v>5.585843</v>
      </c>
      <c r="AP144" s="97" t="n"/>
      <c r="AQ144" s="97" t="n"/>
      <c r="AR144" s="97" t="n"/>
      <c r="AS144" s="97" t="n">
        <v>-0.136518</v>
      </c>
      <c r="AT144" s="97" t="n"/>
      <c r="AU144" s="97" t="n">
        <v>-2.11404</v>
      </c>
      <c r="AV144" s="97" t="n"/>
      <c r="AW144" s="97" t="n"/>
      <c r="AX144" s="97" t="n"/>
      <c r="AY144" s="97" t="n"/>
    </row>
    <row r="145" s="135">
      <c r="A145" t="inlineStr">
        <is>
          <t>1930-12</t>
        </is>
      </c>
      <c r="B145" s="2" t="n">
        <v>11293</v>
      </c>
      <c r="C145" s="96" t="n">
        <v>145</v>
      </c>
      <c r="D145" s="2" t="n"/>
      <c r="E145" s="2">
        <f>B145</f>
        <v/>
      </c>
      <c r="F145" s="3">
        <f>B145</f>
        <v/>
      </c>
      <c r="G145" s="96" t="n">
        <v>143</v>
      </c>
      <c r="H145" s="97" t="n"/>
      <c r="I145" s="97" t="n"/>
      <c r="J145" s="97" t="n"/>
      <c r="K145" s="97" t="n"/>
      <c r="L145" s="97" t="n"/>
      <c r="M145" s="97" t="n"/>
      <c r="N145" s="97" t="n"/>
      <c r="O145" s="97" t="n"/>
      <c r="P145" s="97" t="n"/>
      <c r="Q145" s="97" t="n"/>
      <c r="R145" s="97" t="n"/>
      <c r="S145" s="97" t="n"/>
      <c r="T145" s="97" t="n"/>
      <c r="U145" s="97" t="n"/>
      <c r="V145" s="97" t="n"/>
      <c r="W145" s="97" t="n"/>
      <c r="X145" s="97" t="n"/>
      <c r="Y145" s="97" t="n"/>
      <c r="Z145" s="97" t="n"/>
      <c r="AA145" s="97" t="n"/>
      <c r="AB145" s="97" t="n"/>
      <c r="AC145" s="97" t="n"/>
      <c r="AD145" s="97" t="n"/>
      <c r="AE145" s="97" t="n"/>
      <c r="AF145" s="97" t="n"/>
      <c r="AG145" s="97" t="n"/>
      <c r="AH145" s="97" t="n"/>
      <c r="AI145" s="97" t="n"/>
      <c r="AJ145" s="97" t="n"/>
      <c r="AK145" s="97" t="n"/>
      <c r="AL145" s="97" t="n"/>
      <c r="AM145" s="97" t="n"/>
      <c r="AN145" s="97" t="n"/>
      <c r="AO145" s="97" t="n">
        <v>5.452813</v>
      </c>
      <c r="AP145" s="97" t="n"/>
      <c r="AQ145" s="97" t="n"/>
      <c r="AR145" s="97" t="n"/>
      <c r="AS145" s="97" t="n">
        <v>0.174809</v>
      </c>
      <c r="AT145" s="97" t="n"/>
      <c r="AU145" s="97" t="n">
        <v>-1.543481</v>
      </c>
      <c r="AV145" s="97" t="n"/>
      <c r="AW145" s="97" t="n"/>
      <c r="AX145" s="97" t="n"/>
      <c r="AY145" s="97" t="n"/>
    </row>
    <row r="146" s="135">
      <c r="A146" t="inlineStr">
        <is>
          <t>1931-01</t>
        </is>
      </c>
      <c r="B146" s="2" t="n">
        <v>11324</v>
      </c>
      <c r="C146" s="96" t="n">
        <v>146</v>
      </c>
      <c r="D146" s="2" t="n"/>
      <c r="E146" s="2">
        <f>B146</f>
        <v/>
      </c>
      <c r="F146" s="3">
        <f>B146</f>
        <v/>
      </c>
      <c r="G146" s="96" t="n">
        <v>144</v>
      </c>
      <c r="H146" s="97" t="n"/>
      <c r="I146" s="97" t="n"/>
      <c r="J146" s="97" t="n"/>
      <c r="K146" s="97" t="n"/>
      <c r="L146" s="97" t="n"/>
      <c r="M146" s="97" t="n"/>
      <c r="N146" s="97" t="n"/>
      <c r="O146" s="97" t="n"/>
      <c r="P146" s="97" t="n"/>
      <c r="Q146" s="97" t="n"/>
      <c r="R146" s="97" t="n"/>
      <c r="S146" s="97" t="n"/>
      <c r="T146" s="97" t="n"/>
      <c r="U146" s="97" t="n"/>
      <c r="V146" s="97" t="n"/>
      <c r="W146" s="97" t="n"/>
      <c r="X146" s="97" t="n"/>
      <c r="Y146" s="97" t="n"/>
      <c r="Z146" s="97" t="n"/>
      <c r="AA146" s="97" t="n"/>
      <c r="AB146" s="97" t="n"/>
      <c r="AC146" s="97" t="n"/>
      <c r="AD146" s="97" t="n"/>
      <c r="AE146" s="97" t="n"/>
      <c r="AF146" s="97" t="n"/>
      <c r="AG146" s="97" t="n"/>
      <c r="AH146" s="97" t="n"/>
      <c r="AI146" s="97" t="n"/>
      <c r="AJ146" s="97" t="n"/>
      <c r="AK146" s="97" t="n"/>
      <c r="AL146" s="97" t="n"/>
      <c r="AM146" s="97" t="n"/>
      <c r="AN146" s="97" t="n"/>
      <c r="AO146" s="97" t="n">
        <v>5.426207</v>
      </c>
      <c r="AP146" s="97" t="n"/>
      <c r="AQ146" s="97" t="n"/>
      <c r="AR146" s="97" t="n"/>
      <c r="AS146" s="97" t="n">
        <v>0.915728</v>
      </c>
      <c r="AT146" s="97" t="n"/>
      <c r="AU146" s="97" t="n">
        <v>0.415254</v>
      </c>
      <c r="AV146" s="97" t="n"/>
      <c r="AW146" s="97" t="n"/>
      <c r="AX146" s="97" t="n"/>
      <c r="AY146" s="97" t="n"/>
    </row>
    <row r="147" s="135">
      <c r="A147" t="inlineStr">
        <is>
          <t>1931-02</t>
        </is>
      </c>
      <c r="B147" s="2" t="n">
        <v>11355</v>
      </c>
      <c r="C147" s="96" t="n">
        <v>147</v>
      </c>
      <c r="D147" s="2" t="n"/>
      <c r="E147" s="2">
        <f>B147</f>
        <v/>
      </c>
      <c r="F147" s="3">
        <f>B147</f>
        <v/>
      </c>
      <c r="G147" s="96" t="n">
        <v>145</v>
      </c>
      <c r="H147" s="97" t="n"/>
      <c r="I147" s="97" t="n"/>
      <c r="J147" s="97" t="n"/>
      <c r="K147" s="97" t="n"/>
      <c r="L147" s="97" t="n"/>
      <c r="M147" s="97" t="n"/>
      <c r="N147" s="97" t="n"/>
      <c r="O147" s="97" t="n"/>
      <c r="P147" s="97" t="n"/>
      <c r="Q147" s="97" t="n"/>
      <c r="R147" s="97" t="n"/>
      <c r="S147" s="97" t="n"/>
      <c r="T147" s="97" t="n"/>
      <c r="U147" s="97" t="n"/>
      <c r="V147" s="97" t="n"/>
      <c r="W147" s="97" t="n"/>
      <c r="X147" s="97" t="n"/>
      <c r="Y147" s="97" t="n"/>
      <c r="Z147" s="97" t="n"/>
      <c r="AA147" s="97" t="n"/>
      <c r="AB147" s="97" t="n"/>
      <c r="AC147" s="97" t="n"/>
      <c r="AD147" s="97" t="n"/>
      <c r="AE147" s="97" t="n"/>
      <c r="AF147" s="97" t="n"/>
      <c r="AG147" s="97" t="n"/>
      <c r="AH147" s="97" t="n"/>
      <c r="AI147" s="97" t="n"/>
      <c r="AJ147" s="97" t="n"/>
      <c r="AK147" s="97" t="n"/>
      <c r="AL147" s="97" t="n"/>
      <c r="AM147" s="97" t="n"/>
      <c r="AN147" s="97" t="n"/>
      <c r="AO147" s="97" t="n">
        <v>5.452813</v>
      </c>
      <c r="AP147" s="97" t="n"/>
      <c r="AQ147" s="97" t="n"/>
      <c r="AR147" s="97" t="n"/>
      <c r="AS147" s="97" t="n">
        <v>0.42976</v>
      </c>
      <c r="AT147" s="97" t="n"/>
      <c r="AU147" s="97" t="n">
        <v>1.152779</v>
      </c>
      <c r="AV147" s="97" t="n"/>
      <c r="AW147" s="97" t="n"/>
      <c r="AX147" s="97" t="n"/>
      <c r="AY147" s="97" t="n"/>
    </row>
    <row r="148" s="135">
      <c r="A148" t="inlineStr">
        <is>
          <t>1931-03</t>
        </is>
      </c>
      <c r="B148" s="2" t="n">
        <v>11383</v>
      </c>
      <c r="C148" s="96" t="n">
        <v>148</v>
      </c>
      <c r="D148" s="2" t="n"/>
      <c r="E148" s="2">
        <f>B148</f>
        <v/>
      </c>
      <c r="F148" s="3">
        <f>B148</f>
        <v/>
      </c>
      <c r="G148" s="96" t="n">
        <v>146</v>
      </c>
      <c r="H148" s="97" t="n"/>
      <c r="I148" s="97" t="n"/>
      <c r="J148" s="97" t="n"/>
      <c r="K148" s="97" t="n"/>
      <c r="L148" s="97" t="n"/>
      <c r="M148" s="97" t="n"/>
      <c r="N148" s="97" t="n"/>
      <c r="O148" s="97" t="n"/>
      <c r="P148" s="97" t="n"/>
      <c r="Q148" s="97" t="n"/>
      <c r="R148" s="97" t="n"/>
      <c r="S148" s="97" t="n"/>
      <c r="T148" s="97" t="n"/>
      <c r="U148" s="97" t="n"/>
      <c r="V148" s="97" t="n"/>
      <c r="W148" s="97" t="n"/>
      <c r="X148" s="97" t="n"/>
      <c r="Y148" s="97" t="n"/>
      <c r="Z148" s="97" t="n"/>
      <c r="AA148" s="97" t="n"/>
      <c r="AB148" s="97" t="n"/>
      <c r="AC148" s="97" t="n"/>
      <c r="AD148" s="97" t="n"/>
      <c r="AE148" s="97" t="n"/>
      <c r="AF148" s="97" t="n"/>
      <c r="AG148" s="97" t="n"/>
      <c r="AH148" s="97" t="n"/>
      <c r="AI148" s="97" t="n"/>
      <c r="AJ148" s="97" t="n"/>
      <c r="AK148" s="97" t="n"/>
      <c r="AL148" s="97" t="n"/>
      <c r="AM148" s="97" t="n"/>
      <c r="AN148" s="97" t="n"/>
      <c r="AO148" s="97" t="n">
        <v>5.559237</v>
      </c>
      <c r="AP148" s="97" t="n"/>
      <c r="AQ148" s="97" t="n"/>
      <c r="AR148" s="97" t="n"/>
      <c r="AS148" s="97" t="n">
        <v>0.709607</v>
      </c>
      <c r="AT148" s="97" t="n"/>
      <c r="AU148" s="97" t="n">
        <v>2.536372</v>
      </c>
      <c r="AV148" s="97" t="n"/>
      <c r="AW148" s="97" t="n"/>
      <c r="AX148" s="97" t="n"/>
      <c r="AY148" s="97" t="n"/>
    </row>
    <row r="149" s="135">
      <c r="A149" t="inlineStr">
        <is>
          <t>1931-04</t>
        </is>
      </c>
      <c r="B149" s="2" t="n">
        <v>11414</v>
      </c>
      <c r="C149" s="96" t="n">
        <v>149</v>
      </c>
      <c r="D149" s="2" t="n"/>
      <c r="E149" s="2">
        <f>B149</f>
        <v/>
      </c>
      <c r="F149" s="3">
        <f>B149</f>
        <v/>
      </c>
      <c r="G149" s="96" t="n">
        <v>147</v>
      </c>
      <c r="H149" s="97" t="n"/>
      <c r="I149" s="97" t="n"/>
      <c r="J149" s="97" t="n"/>
      <c r="K149" s="97" t="n"/>
      <c r="L149" s="97" t="n"/>
      <c r="M149" s="97" t="n"/>
      <c r="N149" s="97" t="n"/>
      <c r="O149" s="97" t="n"/>
      <c r="P149" s="97" t="n"/>
      <c r="Q149" s="97" t="n"/>
      <c r="R149" s="97" t="n"/>
      <c r="S149" s="97" t="n"/>
      <c r="T149" s="97" t="n"/>
      <c r="U149" s="97" t="n"/>
      <c r="V149" s="97" t="n"/>
      <c r="W149" s="97" t="n"/>
      <c r="X149" s="97" t="n"/>
      <c r="Y149" s="97" t="n"/>
      <c r="Z149" s="97" t="n"/>
      <c r="AA149" s="97" t="n"/>
      <c r="AB149" s="97" t="n"/>
      <c r="AC149" s="97" t="n"/>
      <c r="AD149" s="97" t="n"/>
      <c r="AE149" s="97" t="n"/>
      <c r="AF149" s="97" t="n"/>
      <c r="AG149" s="97" t="n"/>
      <c r="AH149" s="97" t="n"/>
      <c r="AI149" s="97" t="n"/>
      <c r="AJ149" s="97" t="n"/>
      <c r="AK149" s="97" t="n"/>
      <c r="AL149" s="97" t="n"/>
      <c r="AM149" s="97" t="n"/>
      <c r="AN149" s="97" t="n"/>
      <c r="AO149" s="97" t="n">
        <v>5.585843</v>
      </c>
      <c r="AP149" s="97" t="n"/>
      <c r="AQ149" s="97" t="n"/>
      <c r="AR149" s="97" t="n"/>
      <c r="AS149" s="97" t="n">
        <v>0.58752</v>
      </c>
      <c r="AT149" s="97" t="n"/>
      <c r="AU149" s="97" t="n">
        <v>1.696766</v>
      </c>
      <c r="AV149" s="97" t="n"/>
      <c r="AW149" s="97" t="n"/>
      <c r="AX149" s="97" t="n"/>
      <c r="AY149" s="97" t="n"/>
    </row>
    <row r="150" s="135">
      <c r="A150" t="inlineStr">
        <is>
          <t>1931-05</t>
        </is>
      </c>
      <c r="B150" s="2" t="n">
        <v>11444</v>
      </c>
      <c r="C150" s="96" t="n">
        <v>150</v>
      </c>
      <c r="D150" s="2" t="n"/>
      <c r="E150" s="2">
        <f>B150</f>
        <v/>
      </c>
      <c r="F150" s="3">
        <f>B150</f>
        <v/>
      </c>
      <c r="G150" s="96" t="n">
        <v>148</v>
      </c>
      <c r="H150" s="97" t="n"/>
      <c r="I150" s="97" t="n"/>
      <c r="J150" s="97" t="n"/>
      <c r="K150" s="97" t="n"/>
      <c r="L150" s="97" t="n"/>
      <c r="M150" s="97" t="n"/>
      <c r="N150" s="97" t="n"/>
      <c r="O150" s="97" t="n"/>
      <c r="P150" s="97" t="n"/>
      <c r="Q150" s="97" t="n"/>
      <c r="R150" s="97" t="n"/>
      <c r="S150" s="97" t="n"/>
      <c r="T150" s="97" t="n"/>
      <c r="U150" s="97" t="n"/>
      <c r="V150" s="97" t="n"/>
      <c r="W150" s="97" t="n"/>
      <c r="X150" s="97" t="n"/>
      <c r="Y150" s="97" t="n"/>
      <c r="Z150" s="97" t="n"/>
      <c r="AA150" s="97" t="n"/>
      <c r="AB150" s="97" t="n"/>
      <c r="AC150" s="97" t="n"/>
      <c r="AD150" s="97" t="n"/>
      <c r="AE150" s="97" t="n"/>
      <c r="AF150" s="97" t="n"/>
      <c r="AG150" s="97" t="n"/>
      <c r="AH150" s="97" t="n"/>
      <c r="AI150" s="97" t="n"/>
      <c r="AJ150" s="97" t="n"/>
      <c r="AK150" s="97" t="n"/>
      <c r="AL150" s="97" t="n"/>
      <c r="AM150" s="97" t="n"/>
      <c r="AN150" s="97" t="n"/>
      <c r="AO150" s="97" t="n">
        <v>5.506025</v>
      </c>
      <c r="AP150" s="97" t="n"/>
      <c r="AQ150" s="97" t="n"/>
      <c r="AR150" s="97" t="n"/>
      <c r="AS150" s="97" t="n">
        <v>0.644184</v>
      </c>
      <c r="AT150" s="97" t="n"/>
      <c r="AU150" s="97" t="n">
        <v>2.077492</v>
      </c>
      <c r="AV150" s="97" t="n"/>
      <c r="AW150" s="97" t="n"/>
      <c r="AX150" s="97" t="n"/>
      <c r="AY150" s="97" t="n"/>
    </row>
    <row r="151" s="135">
      <c r="A151" t="inlineStr">
        <is>
          <t>1931-06</t>
        </is>
      </c>
      <c r="B151" s="2" t="n">
        <v>11475</v>
      </c>
      <c r="C151" s="96" t="n">
        <v>151</v>
      </c>
      <c r="D151" s="2" t="n"/>
      <c r="E151" s="2">
        <f>B151</f>
        <v/>
      </c>
      <c r="F151" s="3">
        <f>B151</f>
        <v/>
      </c>
      <c r="G151" s="96" t="n">
        <v>149</v>
      </c>
      <c r="H151" s="97" t="n"/>
      <c r="I151" s="97" t="n"/>
      <c r="J151" s="97" t="n"/>
      <c r="K151" s="97" t="n"/>
      <c r="L151" s="97" t="n"/>
      <c r="M151" s="97" t="n"/>
      <c r="N151" s="97" t="n"/>
      <c r="O151" s="97" t="n"/>
      <c r="P151" s="97" t="n"/>
      <c r="Q151" s="97" t="n"/>
      <c r="R151" s="97" t="n"/>
      <c r="S151" s="97" t="n"/>
      <c r="T151" s="97" t="n"/>
      <c r="U151" s="97" t="n"/>
      <c r="V151" s="97" t="n"/>
      <c r="W151" s="97" t="n"/>
      <c r="X151" s="97" t="n"/>
      <c r="Y151" s="97" t="n"/>
      <c r="Z151" s="97" t="n"/>
      <c r="AA151" s="97" t="n"/>
      <c r="AB151" s="97" t="n"/>
      <c r="AC151" s="97" t="n"/>
      <c r="AD151" s="97" t="n"/>
      <c r="AE151" s="97" t="n"/>
      <c r="AF151" s="97" t="n"/>
      <c r="AG151" s="97" t="n"/>
      <c r="AH151" s="97" t="n"/>
      <c r="AI151" s="97" t="n"/>
      <c r="AJ151" s="97" t="n"/>
      <c r="AK151" s="97" t="n"/>
      <c r="AL151" s="97" t="n"/>
      <c r="AM151" s="97" t="n"/>
      <c r="AN151" s="97" t="n"/>
      <c r="AO151" s="97" t="n">
        <v>5.372994</v>
      </c>
      <c r="AP151" s="97" t="n"/>
      <c r="AQ151" s="97" t="n"/>
      <c r="AR151" s="97" t="n"/>
      <c r="AS151" s="97" t="n">
        <v>1.506108</v>
      </c>
      <c r="AT151" s="97" t="n"/>
      <c r="AU151" s="97" t="n">
        <v>-1.65747</v>
      </c>
      <c r="AV151" s="97" t="n"/>
      <c r="AW151" s="97" t="n"/>
      <c r="AX151" s="97" t="n"/>
      <c r="AY151" s="97" t="n"/>
    </row>
    <row r="152" s="135">
      <c r="A152" t="inlineStr">
        <is>
          <t>1931-07</t>
        </is>
      </c>
      <c r="B152" s="2" t="n">
        <v>11505</v>
      </c>
      <c r="C152" s="96" t="n">
        <v>152</v>
      </c>
      <c r="D152" s="2" t="n"/>
      <c r="E152" s="2">
        <f>B152</f>
        <v/>
      </c>
      <c r="F152" s="3">
        <f>B152</f>
        <v/>
      </c>
      <c r="G152" s="96" t="n">
        <v>150</v>
      </c>
      <c r="H152" s="97" t="n"/>
      <c r="I152" s="97" t="n"/>
      <c r="J152" s="97" t="n"/>
      <c r="K152" s="97" t="n"/>
      <c r="L152" s="97" t="n"/>
      <c r="M152" s="97" t="n"/>
      <c r="N152" s="97" t="n"/>
      <c r="O152" s="97" t="n"/>
      <c r="P152" s="97" t="n"/>
      <c r="Q152" s="97" t="n"/>
      <c r="R152" s="97" t="n"/>
      <c r="S152" s="97" t="n"/>
      <c r="T152" s="97" t="n"/>
      <c r="U152" s="97" t="n"/>
      <c r="V152" s="97" t="n"/>
      <c r="W152" s="97" t="n"/>
      <c r="X152" s="97" t="n"/>
      <c r="Y152" s="97" t="n"/>
      <c r="Z152" s="97" t="n"/>
      <c r="AA152" s="97" t="n"/>
      <c r="AB152" s="97" t="n"/>
      <c r="AC152" s="97" t="n"/>
      <c r="AD152" s="97" t="n"/>
      <c r="AE152" s="97" t="n"/>
      <c r="AF152" s="97" t="n"/>
      <c r="AG152" s="97" t="n"/>
      <c r="AH152" s="97" t="n"/>
      <c r="AI152" s="97" t="n"/>
      <c r="AJ152" s="97" t="n"/>
      <c r="AK152" s="97" t="n"/>
      <c r="AL152" s="97" t="n"/>
      <c r="AM152" s="97" t="n"/>
      <c r="AN152" s="97" t="n"/>
      <c r="AO152" s="97" t="n">
        <v>5.293272</v>
      </c>
      <c r="AP152" s="97" t="n"/>
      <c r="AQ152" s="97" t="n"/>
      <c r="AR152" s="97" t="n"/>
      <c r="AS152" s="97" t="n">
        <v>1.042697</v>
      </c>
      <c r="AT152" s="97" t="n"/>
      <c r="AU152" s="97" t="n">
        <v>0.154613</v>
      </c>
      <c r="AV152" s="97" t="n"/>
      <c r="AW152" s="97" t="n"/>
      <c r="AX152" s="97" t="n"/>
      <c r="AY152" s="97" t="n"/>
    </row>
    <row r="153" s="135">
      <c r="A153" t="inlineStr">
        <is>
          <t>1931-08</t>
        </is>
      </c>
      <c r="B153" s="2" t="n">
        <v>11536</v>
      </c>
      <c r="C153" s="96" t="n">
        <v>153</v>
      </c>
      <c r="D153" s="2" t="n"/>
      <c r="E153" s="2">
        <f>B153</f>
        <v/>
      </c>
      <c r="F153" s="3">
        <f>B153</f>
        <v/>
      </c>
      <c r="G153" s="96" t="n">
        <v>151</v>
      </c>
      <c r="H153" s="97" t="n"/>
      <c r="I153" s="97" t="n"/>
      <c r="J153" s="97" t="n"/>
      <c r="K153" s="97" t="n"/>
      <c r="L153" s="97" t="n"/>
      <c r="M153" s="97" t="n"/>
      <c r="N153" s="97" t="n"/>
      <c r="O153" s="97" t="n"/>
      <c r="P153" s="97" t="n"/>
      <c r="Q153" s="97" t="n"/>
      <c r="R153" s="97" t="n"/>
      <c r="S153" s="97" t="n"/>
      <c r="T153" s="97" t="n"/>
      <c r="U153" s="97" t="n"/>
      <c r="V153" s="97" t="n"/>
      <c r="W153" s="97" t="n"/>
      <c r="X153" s="97" t="n"/>
      <c r="Y153" s="97" t="n"/>
      <c r="Z153" s="97" t="n"/>
      <c r="AA153" s="97" t="n"/>
      <c r="AB153" s="97" t="n"/>
      <c r="AC153" s="97" t="n"/>
      <c r="AD153" s="97" t="n"/>
      <c r="AE153" s="97" t="n"/>
      <c r="AF153" s="97" t="n"/>
      <c r="AG153" s="97" t="n"/>
      <c r="AH153" s="97" t="n"/>
      <c r="AI153" s="97" t="n"/>
      <c r="AJ153" s="97" t="n"/>
      <c r="AK153" s="97" t="n"/>
      <c r="AL153" s="97" t="n"/>
      <c r="AM153" s="97" t="n"/>
      <c r="AN153" s="97" t="n"/>
      <c r="AO153" s="97" t="n">
        <v>5.107029</v>
      </c>
      <c r="AP153" s="97" t="n"/>
      <c r="AQ153" s="97" t="n"/>
      <c r="AR153" s="97" t="n"/>
      <c r="AS153" s="97" t="n">
        <v>0.7479980000000001</v>
      </c>
      <c r="AT153" s="97" t="n"/>
      <c r="AU153" s="97" t="n">
        <v>-0.595776</v>
      </c>
      <c r="AV153" s="97" t="n"/>
      <c r="AW153" s="97" t="n"/>
      <c r="AX153" s="97" t="n"/>
      <c r="AY153" s="97" t="n"/>
    </row>
    <row r="154" s="135">
      <c r="A154" t="inlineStr">
        <is>
          <t>1931-09</t>
        </is>
      </c>
      <c r="B154" s="2" t="n">
        <v>11567</v>
      </c>
      <c r="C154" s="96" t="n">
        <v>154</v>
      </c>
      <c r="D154" s="2" t="n"/>
      <c r="E154" s="2">
        <f>B154</f>
        <v/>
      </c>
      <c r="F154" s="3">
        <f>B154</f>
        <v/>
      </c>
      <c r="G154" s="96" t="n">
        <v>152</v>
      </c>
      <c r="H154" s="97" t="n"/>
      <c r="I154" s="97" t="n"/>
      <c r="J154" s="97" t="n"/>
      <c r="K154" s="97" t="n"/>
      <c r="L154" s="97" t="n"/>
      <c r="M154" s="97" t="n"/>
      <c r="N154" s="97" t="n"/>
      <c r="O154" s="97" t="n"/>
      <c r="P154" s="97" t="n"/>
      <c r="Q154" s="97" t="n"/>
      <c r="R154" s="97" t="n"/>
      <c r="S154" s="97" t="n"/>
      <c r="T154" s="97" t="n"/>
      <c r="U154" s="97" t="n"/>
      <c r="V154" s="97" t="n"/>
      <c r="W154" s="97" t="n"/>
      <c r="X154" s="97" t="n"/>
      <c r="Y154" s="97" t="n"/>
      <c r="Z154" s="97" t="n"/>
      <c r="AA154" s="97" t="n"/>
      <c r="AB154" s="97" t="n"/>
      <c r="AC154" s="97" t="n"/>
      <c r="AD154" s="97" t="n"/>
      <c r="AE154" s="97" t="n"/>
      <c r="AF154" s="97" t="n"/>
      <c r="AG154" s="97" t="n"/>
      <c r="AH154" s="97" t="n"/>
      <c r="AI154" s="97" t="n"/>
      <c r="AJ154" s="97" t="n"/>
      <c r="AK154" s="97" t="n"/>
      <c r="AL154" s="97" t="n"/>
      <c r="AM154" s="97" t="n"/>
      <c r="AN154" s="97" t="n"/>
      <c r="AO154" s="97" t="n">
        <v>4.86767</v>
      </c>
      <c r="AP154" s="97" t="n"/>
      <c r="AQ154" s="97" t="n"/>
      <c r="AR154" s="97" t="n"/>
      <c r="AS154" s="97" t="n">
        <v>0.9118230000000001</v>
      </c>
      <c r="AT154" s="97" t="n"/>
      <c r="AU154" s="97" t="n">
        <v>-0.727142</v>
      </c>
      <c r="AV154" s="97" t="n"/>
      <c r="AW154" s="97" t="n"/>
      <c r="AX154" s="97" t="n"/>
      <c r="AY154" s="97" t="n"/>
    </row>
    <row r="155" s="135">
      <c r="A155" t="inlineStr">
        <is>
          <t>1931-10</t>
        </is>
      </c>
      <c r="B155" s="2" t="n">
        <v>11597</v>
      </c>
      <c r="C155" s="96" t="n">
        <v>155</v>
      </c>
      <c r="D155" s="2" t="n"/>
      <c r="E155" s="2">
        <f>B155</f>
        <v/>
      </c>
      <c r="F155" s="3">
        <f>B155</f>
        <v/>
      </c>
      <c r="G155" s="96" t="n">
        <v>153</v>
      </c>
      <c r="H155" s="97" t="n"/>
      <c r="I155" s="97" t="n"/>
      <c r="J155" s="97" t="n"/>
      <c r="K155" s="97" t="n"/>
      <c r="L155" s="97" t="n"/>
      <c r="M155" s="97" t="n"/>
      <c r="N155" s="97" t="n"/>
      <c r="O155" s="97" t="n"/>
      <c r="P155" s="97" t="n"/>
      <c r="Q155" s="97" t="n"/>
      <c r="R155" s="97" t="n"/>
      <c r="S155" s="97" t="n"/>
      <c r="T155" s="97" t="n"/>
      <c r="U155" s="97" t="n"/>
      <c r="V155" s="97" t="n"/>
      <c r="W155" s="97" t="n"/>
      <c r="X155" s="97" t="n"/>
      <c r="Y155" s="97" t="n"/>
      <c r="Z155" s="97" t="n"/>
      <c r="AA155" s="97" t="n"/>
      <c r="AB155" s="97" t="n"/>
      <c r="AC155" s="97" t="n"/>
      <c r="AD155" s="97" t="n"/>
      <c r="AE155" s="97" t="n"/>
      <c r="AF155" s="97" t="n"/>
      <c r="AG155" s="97" t="n"/>
      <c r="AH155" s="97" t="n"/>
      <c r="AI155" s="97" t="n"/>
      <c r="AJ155" s="97" t="n"/>
      <c r="AK155" s="97" t="n"/>
      <c r="AL155" s="97" t="n"/>
      <c r="AM155" s="97" t="n"/>
      <c r="AN155" s="97" t="n"/>
      <c r="AO155" s="97" t="n">
        <v>4.681427</v>
      </c>
      <c r="AP155" s="97" t="n"/>
      <c r="AQ155" s="97" t="n"/>
      <c r="AR155" s="97" t="n"/>
      <c r="AS155" s="97" t="n">
        <v>0.475206</v>
      </c>
      <c r="AT155" s="97" t="n"/>
      <c r="AU155" s="97" t="n">
        <v>-0.263979</v>
      </c>
      <c r="AV155" s="97" t="n"/>
      <c r="AW155" s="97" t="n"/>
      <c r="AX155" s="97" t="n"/>
      <c r="AY155" s="97" t="n"/>
    </row>
    <row r="156" s="135">
      <c r="A156" t="inlineStr">
        <is>
          <t>1931-11</t>
        </is>
      </c>
      <c r="B156" s="2" t="n">
        <v>11628</v>
      </c>
      <c r="C156" s="96" t="n">
        <v>156</v>
      </c>
      <c r="D156" s="2" t="n"/>
      <c r="E156" s="2">
        <f>B156</f>
        <v/>
      </c>
      <c r="F156" s="3">
        <f>B156</f>
        <v/>
      </c>
      <c r="G156" s="96" t="n">
        <v>154</v>
      </c>
      <c r="H156" s="97" t="n"/>
      <c r="I156" s="97" t="n"/>
      <c r="J156" s="97" t="n"/>
      <c r="K156" s="97" t="n"/>
      <c r="L156" s="97" t="n"/>
      <c r="M156" s="97" t="n"/>
      <c r="N156" s="97" t="n"/>
      <c r="O156" s="97" t="n"/>
      <c r="P156" s="97" t="n"/>
      <c r="Q156" s="97" t="n"/>
      <c r="R156" s="97" t="n"/>
      <c r="S156" s="97" t="n"/>
      <c r="T156" s="97" t="n"/>
      <c r="U156" s="97" t="n"/>
      <c r="V156" s="97" t="n"/>
      <c r="W156" s="97" t="n"/>
      <c r="X156" s="97" t="n"/>
      <c r="Y156" s="97" t="n"/>
      <c r="Z156" s="97" t="n"/>
      <c r="AA156" s="97" t="n"/>
      <c r="AB156" s="97" t="n"/>
      <c r="AC156" s="97" t="n"/>
      <c r="AD156" s="97" t="n"/>
      <c r="AE156" s="97" t="n"/>
      <c r="AF156" s="97" t="n"/>
      <c r="AG156" s="97" t="n"/>
      <c r="AH156" s="97" t="n"/>
      <c r="AI156" s="97" t="n"/>
      <c r="AJ156" s="97" t="n"/>
      <c r="AK156" s="97" t="n"/>
      <c r="AL156" s="97" t="n"/>
      <c r="AM156" s="97" t="n"/>
      <c r="AN156" s="97" t="n"/>
      <c r="AO156" s="97" t="n">
        <v>4.628215</v>
      </c>
      <c r="AP156" s="97" t="n"/>
      <c r="AQ156" s="97" t="n"/>
      <c r="AR156" s="97" t="n"/>
      <c r="AS156" s="97" t="n">
        <v>0.965029</v>
      </c>
      <c r="AT156" s="97" t="n"/>
      <c r="AU156" s="97" t="n">
        <v>1.06934</v>
      </c>
      <c r="AV156" s="97" t="n"/>
      <c r="AW156" s="97" t="n"/>
      <c r="AX156" s="97" t="n"/>
      <c r="AY156" s="97" t="n"/>
    </row>
    <row r="157" s="135">
      <c r="A157" t="inlineStr">
        <is>
          <t>1931-12</t>
        </is>
      </c>
      <c r="B157" s="2" t="n">
        <v>11658</v>
      </c>
      <c r="C157" s="96" t="n">
        <v>157</v>
      </c>
      <c r="D157" s="2" t="n"/>
      <c r="E157" s="2">
        <f>B157</f>
        <v/>
      </c>
      <c r="F157" s="3">
        <f>B157</f>
        <v/>
      </c>
      <c r="G157" s="96" t="n">
        <v>155</v>
      </c>
      <c r="H157" s="97" t="n"/>
      <c r="I157" s="97" t="n"/>
      <c r="J157" s="97" t="n"/>
      <c r="K157" s="97" t="n"/>
      <c r="L157" s="97" t="n"/>
      <c r="M157" s="97" t="n"/>
      <c r="N157" s="97" t="n"/>
      <c r="O157" s="97" t="n"/>
      <c r="P157" s="97" t="n"/>
      <c r="Q157" s="97" t="n"/>
      <c r="R157" s="97" t="n"/>
      <c r="S157" s="97" t="n"/>
      <c r="T157" s="97" t="n"/>
      <c r="U157" s="97" t="n"/>
      <c r="V157" s="97" t="n"/>
      <c r="W157" s="97" t="n"/>
      <c r="X157" s="97" t="n"/>
      <c r="Y157" s="97" t="n"/>
      <c r="Z157" s="97" t="n"/>
      <c r="AA157" s="97" t="n"/>
      <c r="AB157" s="97" t="n"/>
      <c r="AC157" s="97" t="n"/>
      <c r="AD157" s="97" t="n"/>
      <c r="AE157" s="97" t="n"/>
      <c r="AF157" s="97" t="n"/>
      <c r="AG157" s="97" t="n"/>
      <c r="AH157" s="97" t="n"/>
      <c r="AI157" s="97" t="n"/>
      <c r="AJ157" s="97" t="n"/>
      <c r="AK157" s="97" t="n"/>
      <c r="AL157" s="97" t="n"/>
      <c r="AM157" s="97" t="n"/>
      <c r="AN157" s="97" t="n"/>
      <c r="AO157" s="97" t="n">
        <v>4.601609</v>
      </c>
      <c r="AP157" s="97" t="n"/>
      <c r="AQ157" s="97" t="n"/>
      <c r="AR157" s="97" t="n"/>
      <c r="AS157" s="97" t="n">
        <v>0.017379</v>
      </c>
      <c r="AT157" s="97" t="n"/>
      <c r="AU157" s="97" t="n">
        <v>-1.191396</v>
      </c>
      <c r="AV157" s="97" t="n"/>
      <c r="AW157" s="97" t="n"/>
      <c r="AX157" s="97" t="n"/>
      <c r="AY157" s="97" t="n"/>
    </row>
    <row r="158" s="135">
      <c r="A158" t="inlineStr">
        <is>
          <t>1932-01</t>
        </is>
      </c>
      <c r="B158" s="2" t="n">
        <v>11689</v>
      </c>
      <c r="C158" s="96" t="n">
        <v>158</v>
      </c>
      <c r="D158" s="2" t="n"/>
      <c r="E158" s="2">
        <f>B158</f>
        <v/>
      </c>
      <c r="F158" s="3">
        <f>B158</f>
        <v/>
      </c>
      <c r="G158" s="96" t="n">
        <v>156</v>
      </c>
      <c r="H158" s="97" t="n"/>
      <c r="I158" s="97" t="n"/>
      <c r="J158" s="97" t="n"/>
      <c r="K158" s="97" t="n"/>
      <c r="L158" s="97" t="n"/>
      <c r="M158" s="97" t="n"/>
      <c r="N158" s="97" t="n"/>
      <c r="O158" s="97" t="n"/>
      <c r="P158" s="97" t="n"/>
      <c r="Q158" s="97" t="n"/>
      <c r="R158" s="97" t="n"/>
      <c r="S158" s="97" t="n"/>
      <c r="T158" s="97" t="n"/>
      <c r="U158" s="97" t="n"/>
      <c r="V158" s="97" t="n"/>
      <c r="W158" s="97" t="n"/>
      <c r="X158" s="97" t="n"/>
      <c r="Y158" s="97" t="n"/>
      <c r="Z158" s="97" t="n"/>
      <c r="AA158" s="97" t="n"/>
      <c r="AB158" s="97" t="n"/>
      <c r="AC158" s="97" t="n"/>
      <c r="AD158" s="97" t="n"/>
      <c r="AE158" s="97" t="n"/>
      <c r="AF158" s="97" t="n"/>
      <c r="AG158" s="97" t="n"/>
      <c r="AH158" s="97" t="n"/>
      <c r="AI158" s="97" t="n"/>
      <c r="AJ158" s="97" t="n"/>
      <c r="AK158" s="97" t="n"/>
      <c r="AL158" s="97" t="n"/>
      <c r="AM158" s="97" t="n"/>
      <c r="AN158" s="97" t="n"/>
      <c r="AO158" s="97" t="n">
        <v>4.468675</v>
      </c>
      <c r="AP158" s="97" t="n"/>
      <c r="AQ158" s="97" t="n"/>
      <c r="AR158" s="97" t="n"/>
      <c r="AS158" s="97" t="n">
        <v>0.783517</v>
      </c>
      <c r="AT158" s="97" t="n"/>
      <c r="AU158" s="97" t="n">
        <v>0.69041</v>
      </c>
      <c r="AV158" s="97" t="n"/>
      <c r="AW158" s="97" t="n"/>
      <c r="AX158" s="97" t="n"/>
      <c r="AY158" s="97" t="n"/>
    </row>
    <row r="159" s="135">
      <c r="A159" t="inlineStr">
        <is>
          <t>1932-02</t>
        </is>
      </c>
      <c r="B159" s="2" t="n">
        <v>11720</v>
      </c>
      <c r="C159" s="96" t="n">
        <v>159</v>
      </c>
      <c r="D159" s="2" t="n"/>
      <c r="E159" s="2">
        <f>B159</f>
        <v/>
      </c>
      <c r="F159" s="3">
        <f>B159</f>
        <v/>
      </c>
      <c r="G159" s="96" t="n">
        <v>157</v>
      </c>
      <c r="H159" s="97" t="n"/>
      <c r="I159" s="97" t="n"/>
      <c r="J159" s="97" t="n"/>
      <c r="K159" s="97" t="n"/>
      <c r="L159" s="97" t="n"/>
      <c r="M159" s="97" t="n"/>
      <c r="N159" s="97" t="n"/>
      <c r="O159" s="97" t="n"/>
      <c r="P159" s="97" t="n"/>
      <c r="Q159" s="97" t="n"/>
      <c r="R159" s="97" t="n"/>
      <c r="S159" s="97" t="n"/>
      <c r="T159" s="97" t="n"/>
      <c r="U159" s="97" t="n"/>
      <c r="V159" s="97" t="n"/>
      <c r="W159" s="97" t="n"/>
      <c r="X159" s="97" t="n"/>
      <c r="Y159" s="97" t="n"/>
      <c r="Z159" s="97" t="n"/>
      <c r="AA159" s="97" t="n"/>
      <c r="AB159" s="97" t="n"/>
      <c r="AC159" s="97" t="n"/>
      <c r="AD159" s="97" t="n"/>
      <c r="AE159" s="97" t="n"/>
      <c r="AF159" s="97" t="n"/>
      <c r="AG159" s="97" t="n"/>
      <c r="AH159" s="97" t="n"/>
      <c r="AI159" s="97" t="n"/>
      <c r="AJ159" s="97" t="n"/>
      <c r="AK159" s="97" t="n"/>
      <c r="AL159" s="97" t="n"/>
      <c r="AM159" s="97" t="n"/>
      <c r="AN159" s="97" t="n"/>
      <c r="AO159" s="97" t="n">
        <v>4.36225</v>
      </c>
      <c r="AP159" s="97" t="n"/>
      <c r="AQ159" s="97" t="n"/>
      <c r="AR159" s="97" t="n"/>
      <c r="AS159" s="97" t="n">
        <v>0.123472</v>
      </c>
      <c r="AT159" s="97" t="n"/>
      <c r="AU159" s="97" t="n">
        <v>0.225035</v>
      </c>
      <c r="AV159" s="97" t="n"/>
      <c r="AW159" s="97" t="n"/>
      <c r="AX159" s="97" t="n"/>
      <c r="AY159" s="97" t="n"/>
    </row>
    <row r="160" s="135">
      <c r="A160" t="inlineStr">
        <is>
          <t>1932-03</t>
        </is>
      </c>
      <c r="B160" s="2" t="n">
        <v>11749</v>
      </c>
      <c r="C160" s="96" t="n">
        <v>160</v>
      </c>
      <c r="D160" s="2" t="n"/>
      <c r="E160" s="2">
        <f>B160</f>
        <v/>
      </c>
      <c r="F160" s="3">
        <f>B160</f>
        <v/>
      </c>
      <c r="G160" s="96" t="n">
        <v>158</v>
      </c>
      <c r="H160" s="97" t="n"/>
      <c r="I160" s="97" t="n"/>
      <c r="J160" s="97" t="n"/>
      <c r="K160" s="97" t="n"/>
      <c r="L160" s="97" t="n"/>
      <c r="M160" s="97" t="n"/>
      <c r="N160" s="97" t="n"/>
      <c r="O160" s="97" t="n"/>
      <c r="P160" s="97" t="n"/>
      <c r="Q160" s="97" t="n"/>
      <c r="R160" s="97" t="n"/>
      <c r="S160" s="97" t="n"/>
      <c r="T160" s="97" t="n"/>
      <c r="U160" s="97" t="n"/>
      <c r="V160" s="97" t="n"/>
      <c r="W160" s="97" t="n"/>
      <c r="X160" s="97" t="n"/>
      <c r="Y160" s="97" t="n"/>
      <c r="Z160" s="97" t="n"/>
      <c r="AA160" s="97" t="n"/>
      <c r="AB160" s="97" t="n"/>
      <c r="AC160" s="97" t="n"/>
      <c r="AD160" s="97" t="n"/>
      <c r="AE160" s="97" t="n"/>
      <c r="AF160" s="97" t="n"/>
      <c r="AG160" s="97" t="n"/>
      <c r="AH160" s="97" t="n"/>
      <c r="AI160" s="97" t="n"/>
      <c r="AJ160" s="97" t="n"/>
      <c r="AK160" s="97" t="n"/>
      <c r="AL160" s="97" t="n"/>
      <c r="AM160" s="97" t="n"/>
      <c r="AN160" s="97" t="n"/>
      <c r="AO160" s="97" t="n">
        <v>4.309038</v>
      </c>
      <c r="AP160" s="97" t="n"/>
      <c r="AQ160" s="97" t="n"/>
      <c r="AR160" s="97" t="n"/>
      <c r="AS160" s="97" t="n">
        <v>-0.021129</v>
      </c>
      <c r="AT160" s="97" t="n"/>
      <c r="AU160" s="97" t="n">
        <v>0.419883</v>
      </c>
      <c r="AV160" s="97" t="n"/>
      <c r="AW160" s="97" t="n"/>
      <c r="AX160" s="97" t="n"/>
      <c r="AY160" s="97" t="n"/>
    </row>
    <row r="161" s="135">
      <c r="A161" t="inlineStr">
        <is>
          <t>1932-04</t>
        </is>
      </c>
      <c r="B161" s="2" t="n">
        <v>11780</v>
      </c>
      <c r="C161" s="96" t="n">
        <v>161</v>
      </c>
      <c r="D161" s="2" t="n"/>
      <c r="E161" s="2">
        <f>B161</f>
        <v/>
      </c>
      <c r="F161" s="3">
        <f>B161</f>
        <v/>
      </c>
      <c r="G161" s="96" t="n">
        <v>159</v>
      </c>
      <c r="H161" s="97" t="n"/>
      <c r="I161" s="97" t="n"/>
      <c r="J161" s="97" t="n"/>
      <c r="K161" s="97" t="n"/>
      <c r="L161" s="97" t="n"/>
      <c r="M161" s="97" t="n"/>
      <c r="N161" s="97" t="n"/>
      <c r="O161" s="97" t="n"/>
      <c r="P161" s="97" t="n"/>
      <c r="Q161" s="97" t="n"/>
      <c r="R161" s="97" t="n"/>
      <c r="S161" s="97" t="n"/>
      <c r="T161" s="97" t="n"/>
      <c r="U161" s="97" t="n"/>
      <c r="V161" s="97" t="n"/>
      <c r="W161" s="97" t="n"/>
      <c r="X161" s="97" t="n"/>
      <c r="Y161" s="97" t="n"/>
      <c r="Z161" s="97" t="n"/>
      <c r="AA161" s="97" t="n"/>
      <c r="AB161" s="97" t="n"/>
      <c r="AC161" s="97" t="n"/>
      <c r="AD161" s="97" t="n"/>
      <c r="AE161" s="97" t="n"/>
      <c r="AF161" s="97" t="n"/>
      <c r="AG161" s="97" t="n"/>
      <c r="AH161" s="97" t="n"/>
      <c r="AI161" s="97" t="n"/>
      <c r="AJ161" s="97" t="n"/>
      <c r="AK161" s="97" t="n"/>
      <c r="AL161" s="97" t="n"/>
      <c r="AM161" s="97" t="n"/>
      <c r="AN161" s="97" t="n"/>
      <c r="AO161" s="97" t="n">
        <v>4.016467</v>
      </c>
      <c r="AP161" s="97" t="n"/>
      <c r="AQ161" s="97" t="n"/>
      <c r="AR161" s="97" t="n"/>
      <c r="AS161" s="97" t="n">
        <v>0.02591</v>
      </c>
      <c r="AT161" s="97" t="n"/>
      <c r="AU161" s="97" t="n">
        <v>0.727283</v>
      </c>
      <c r="AV161" s="97" t="n"/>
      <c r="AW161" s="97" t="n"/>
      <c r="AX161" s="97" t="n"/>
      <c r="AY161" s="97" t="n"/>
    </row>
    <row r="162" s="135">
      <c r="A162" t="inlineStr">
        <is>
          <t>1932-05</t>
        </is>
      </c>
      <c r="B162" s="2" t="n">
        <v>11810</v>
      </c>
      <c r="C162" s="96" t="n">
        <v>162</v>
      </c>
      <c r="D162" s="2" t="n"/>
      <c r="E162" s="2">
        <f>B162</f>
        <v/>
      </c>
      <c r="F162" s="3">
        <f>B162</f>
        <v/>
      </c>
      <c r="G162" s="96" t="n">
        <v>160</v>
      </c>
      <c r="H162" s="97" t="n"/>
      <c r="I162" s="97" t="n"/>
      <c r="J162" s="97" t="n"/>
      <c r="K162" s="97" t="n"/>
      <c r="L162" s="97" t="n"/>
      <c r="M162" s="97" t="n"/>
      <c r="N162" s="97" t="n"/>
      <c r="O162" s="97" t="n"/>
      <c r="P162" s="97" t="n"/>
      <c r="Q162" s="97" t="n"/>
      <c r="R162" s="97" t="n"/>
      <c r="S162" s="97" t="n"/>
      <c r="T162" s="97" t="n"/>
      <c r="U162" s="97" t="n"/>
      <c r="V162" s="97" t="n"/>
      <c r="W162" s="97" t="n"/>
      <c r="X162" s="97" t="n"/>
      <c r="Y162" s="97" t="n"/>
      <c r="Z162" s="97" t="n"/>
      <c r="AA162" s="97" t="n"/>
      <c r="AB162" s="97" t="n"/>
      <c r="AC162" s="97" t="n"/>
      <c r="AD162" s="97" t="n"/>
      <c r="AE162" s="97" t="n"/>
      <c r="AF162" s="97" t="n"/>
      <c r="AG162" s="97" t="n"/>
      <c r="AH162" s="97" t="n"/>
      <c r="AI162" s="97" t="n"/>
      <c r="AJ162" s="97" t="n"/>
      <c r="AK162" s="97" t="n"/>
      <c r="AL162" s="97" t="n"/>
      <c r="AM162" s="97" t="n"/>
      <c r="AN162" s="97" t="n"/>
      <c r="AO162" s="97" t="n">
        <v>3.883436</v>
      </c>
      <c r="AP162" s="97" t="n"/>
      <c r="AQ162" s="97" t="n"/>
      <c r="AR162" s="97" t="n"/>
      <c r="AS162" s="97" t="n">
        <v>0.803005</v>
      </c>
      <c r="AT162" s="97" t="n"/>
      <c r="AU162" s="97" t="n">
        <v>0.356603</v>
      </c>
      <c r="AV162" s="97" t="n"/>
      <c r="AW162" s="97" t="n"/>
      <c r="AX162" s="97" t="n"/>
      <c r="AY162" s="97" t="n"/>
    </row>
    <row r="163" s="135">
      <c r="A163" t="inlineStr">
        <is>
          <t>1932-06</t>
        </is>
      </c>
      <c r="B163" s="2" t="n">
        <v>11841</v>
      </c>
      <c r="C163" s="96" t="n">
        <v>163</v>
      </c>
      <c r="D163" s="2" t="n"/>
      <c r="E163" s="2">
        <f>B163</f>
        <v/>
      </c>
      <c r="F163" s="3">
        <f>B163</f>
        <v/>
      </c>
      <c r="G163" s="96" t="n">
        <v>161</v>
      </c>
      <c r="H163" s="97" t="n"/>
      <c r="I163" s="97" t="n"/>
      <c r="J163" s="97" t="n"/>
      <c r="K163" s="97" t="n"/>
      <c r="L163" s="97" t="n"/>
      <c r="M163" s="97" t="n"/>
      <c r="N163" s="97" t="n"/>
      <c r="O163" s="97" t="n"/>
      <c r="P163" s="97" t="n"/>
      <c r="Q163" s="97" t="n"/>
      <c r="R163" s="97" t="n"/>
      <c r="S163" s="97" t="n"/>
      <c r="T163" s="97" t="n"/>
      <c r="U163" s="97" t="n"/>
      <c r="V163" s="97" t="n"/>
      <c r="W163" s="97" t="n"/>
      <c r="X163" s="97" t="n"/>
      <c r="Y163" s="97" t="n"/>
      <c r="Z163" s="97" t="n"/>
      <c r="AA163" s="97" t="n"/>
      <c r="AB163" s="97" t="n"/>
      <c r="AC163" s="97" t="n"/>
      <c r="AD163" s="97" t="n"/>
      <c r="AE163" s="97" t="n"/>
      <c r="AF163" s="97" t="n"/>
      <c r="AG163" s="97" t="n"/>
      <c r="AH163" s="97" t="n"/>
      <c r="AI163" s="97" t="n"/>
      <c r="AJ163" s="97" t="n"/>
      <c r="AK163" s="97" t="n"/>
      <c r="AL163" s="97" t="n"/>
      <c r="AM163" s="97" t="n"/>
      <c r="AN163" s="97" t="n"/>
      <c r="AO163" s="97" t="n">
        <v>3.750502</v>
      </c>
      <c r="AP163" s="97" t="n"/>
      <c r="AQ163" s="97" t="n"/>
      <c r="AR163" s="97" t="n"/>
      <c r="AS163" s="97" t="n">
        <v>0.945474</v>
      </c>
      <c r="AT163" s="97" t="n"/>
      <c r="AU163" s="97" t="n">
        <v>0.364928</v>
      </c>
      <c r="AV163" s="97" t="n"/>
      <c r="AW163" s="97" t="n"/>
      <c r="AX163" s="97" t="n"/>
      <c r="AY163" s="97" t="n"/>
    </row>
    <row r="164" s="135">
      <c r="A164" t="inlineStr">
        <is>
          <t>1932-07</t>
        </is>
      </c>
      <c r="B164" s="2" t="n">
        <v>11871</v>
      </c>
      <c r="C164" s="96" t="n">
        <v>164</v>
      </c>
      <c r="D164" s="2" t="n"/>
      <c r="E164" s="2">
        <f>B164</f>
        <v/>
      </c>
      <c r="F164" s="3">
        <f>B164</f>
        <v/>
      </c>
      <c r="G164" s="96" t="n">
        <v>162</v>
      </c>
      <c r="H164" s="97" t="n"/>
      <c r="I164" s="97" t="n"/>
      <c r="J164" s="97" t="n"/>
      <c r="K164" s="97" t="n"/>
      <c r="L164" s="97" t="n"/>
      <c r="M164" s="97" t="n"/>
      <c r="N164" s="97" t="n"/>
      <c r="O164" s="97" t="n"/>
      <c r="P164" s="97" t="n"/>
      <c r="Q164" s="97" t="n"/>
      <c r="R164" s="97" t="n"/>
      <c r="S164" s="97" t="n"/>
      <c r="T164" s="97" t="n"/>
      <c r="U164" s="97" t="n"/>
      <c r="V164" s="97" t="n"/>
      <c r="W164" s="97" t="n"/>
      <c r="X164" s="97" t="n"/>
      <c r="Y164" s="97" t="n"/>
      <c r="Z164" s="97" t="n"/>
      <c r="AA164" s="97" t="n"/>
      <c r="AB164" s="97" t="n"/>
      <c r="AC164" s="97" t="n"/>
      <c r="AD164" s="97" t="n"/>
      <c r="AE164" s="97" t="n"/>
      <c r="AF164" s="97" t="n"/>
      <c r="AG164" s="97" t="n"/>
      <c r="AH164" s="97" t="n"/>
      <c r="AI164" s="97" t="n"/>
      <c r="AJ164" s="97" t="n"/>
      <c r="AK164" s="97" t="n"/>
      <c r="AL164" s="97" t="n"/>
      <c r="AM164" s="97" t="n"/>
      <c r="AN164" s="97" t="n"/>
      <c r="AO164" s="97" t="n">
        <v>3.644077</v>
      </c>
      <c r="AP164" s="97" t="n"/>
      <c r="AQ164" s="97" t="n"/>
      <c r="AR164" s="97" t="n"/>
      <c r="AS164" s="97" t="n">
        <v>0.918114</v>
      </c>
      <c r="AT164" s="97" t="n"/>
      <c r="AU164" s="97" t="n">
        <v>1.227632</v>
      </c>
      <c r="AV164" s="97" t="n"/>
      <c r="AW164" s="97" t="n"/>
      <c r="AX164" s="97" t="n"/>
      <c r="AY164" s="97" t="n"/>
    </row>
    <row r="165" s="135">
      <c r="A165" t="inlineStr">
        <is>
          <t>1932-08</t>
        </is>
      </c>
      <c r="B165" s="2" t="n">
        <v>11902</v>
      </c>
      <c r="C165" s="96" t="n">
        <v>165</v>
      </c>
      <c r="D165" s="2" t="n"/>
      <c r="E165" s="2">
        <f>B165</f>
        <v/>
      </c>
      <c r="F165" s="3">
        <f>B165</f>
        <v/>
      </c>
      <c r="G165" s="96" t="n">
        <v>163</v>
      </c>
      <c r="H165" s="97" t="n"/>
      <c r="I165" s="97" t="n"/>
      <c r="J165" s="97" t="n"/>
      <c r="K165" s="97" t="n"/>
      <c r="L165" s="97" t="n"/>
      <c r="M165" s="97" t="n"/>
      <c r="N165" s="97" t="n"/>
      <c r="O165" s="97" t="n"/>
      <c r="P165" s="97" t="n"/>
      <c r="Q165" s="97" t="n"/>
      <c r="R165" s="97" t="n"/>
      <c r="S165" s="97" t="n"/>
      <c r="T165" s="97" t="n"/>
      <c r="U165" s="97" t="n"/>
      <c r="V165" s="97" t="n"/>
      <c r="W165" s="97" t="n"/>
      <c r="X165" s="97" t="n"/>
      <c r="Y165" s="97" t="n"/>
      <c r="Z165" s="97" t="n"/>
      <c r="AA165" s="97" t="n"/>
      <c r="AB165" s="97" t="n"/>
      <c r="AC165" s="97" t="n"/>
      <c r="AD165" s="97" t="n"/>
      <c r="AE165" s="97" t="n"/>
      <c r="AF165" s="97" t="n"/>
      <c r="AG165" s="97" t="n"/>
      <c r="AH165" s="97" t="n"/>
      <c r="AI165" s="97" t="n"/>
      <c r="AJ165" s="97" t="n"/>
      <c r="AK165" s="97" t="n"/>
      <c r="AL165" s="97" t="n"/>
      <c r="AM165" s="97" t="n"/>
      <c r="AN165" s="97" t="n"/>
      <c r="AO165" s="97" t="n">
        <v>3.750502</v>
      </c>
      <c r="AP165" s="97" t="n"/>
      <c r="AQ165" s="97" t="n"/>
      <c r="AR165" s="97" t="n"/>
      <c r="AS165" s="97" t="n">
        <v>0.428505</v>
      </c>
      <c r="AT165" s="97" t="n"/>
      <c r="AU165" s="97" t="n">
        <v>1.502943</v>
      </c>
      <c r="AV165" s="97" t="n"/>
      <c r="AW165" s="97" t="n"/>
      <c r="AX165" s="97" t="n"/>
      <c r="AY165" s="97" t="n"/>
    </row>
    <row r="166" s="135">
      <c r="A166" t="inlineStr">
        <is>
          <t>1932-09</t>
        </is>
      </c>
      <c r="B166" s="2" t="n">
        <v>11933</v>
      </c>
      <c r="C166" s="96" t="n">
        <v>166</v>
      </c>
      <c r="D166" s="2" t="n"/>
      <c r="E166" s="2">
        <f>B166</f>
        <v/>
      </c>
      <c r="F166" s="3">
        <f>B166</f>
        <v/>
      </c>
      <c r="G166" s="96" t="n">
        <v>164</v>
      </c>
      <c r="H166" s="97" t="n"/>
      <c r="I166" s="97" t="n"/>
      <c r="J166" s="97" t="n"/>
      <c r="K166" s="97" t="n"/>
      <c r="L166" s="97" t="n"/>
      <c r="M166" s="97" t="n"/>
      <c r="N166" s="97" t="n"/>
      <c r="O166" s="97" t="n"/>
      <c r="P166" s="97" t="n"/>
      <c r="Q166" s="97" t="n"/>
      <c r="R166" s="97" t="n"/>
      <c r="S166" s="97" t="n"/>
      <c r="T166" s="97" t="n"/>
      <c r="U166" s="97" t="n"/>
      <c r="V166" s="97" t="n"/>
      <c r="W166" s="97" t="n"/>
      <c r="X166" s="97" t="n"/>
      <c r="Y166" s="97" t="n"/>
      <c r="Z166" s="97" t="n"/>
      <c r="AA166" s="97" t="n"/>
      <c r="AB166" s="97" t="n"/>
      <c r="AC166" s="97" t="n"/>
      <c r="AD166" s="97" t="n"/>
      <c r="AE166" s="97" t="n"/>
      <c r="AF166" s="97" t="n"/>
      <c r="AG166" s="97" t="n"/>
      <c r="AH166" s="97" t="n"/>
      <c r="AI166" s="97" t="n"/>
      <c r="AJ166" s="97" t="n"/>
      <c r="AK166" s="97" t="n"/>
      <c r="AL166" s="97" t="n"/>
      <c r="AM166" s="97" t="n"/>
      <c r="AN166" s="97" t="n"/>
      <c r="AO166" s="97" t="n">
        <v>3.989861</v>
      </c>
      <c r="AP166" s="97" t="n"/>
      <c r="AQ166" s="97" t="n"/>
      <c r="AR166" s="97" t="n"/>
      <c r="AS166" s="97" t="n">
        <v>0.765038</v>
      </c>
      <c r="AT166" s="97" t="n"/>
      <c r="AU166" s="97" t="n">
        <v>0.710055</v>
      </c>
      <c r="AV166" s="97" t="n"/>
      <c r="AW166" s="97" t="n"/>
      <c r="AX166" s="97" t="n"/>
      <c r="AY166" s="97" t="n"/>
    </row>
    <row r="167" s="135">
      <c r="A167" t="inlineStr">
        <is>
          <t>1932-10</t>
        </is>
      </c>
      <c r="B167" s="2" t="n">
        <v>11963</v>
      </c>
      <c r="C167" s="96" t="n">
        <v>167</v>
      </c>
      <c r="D167" s="2" t="n"/>
      <c r="E167" s="2">
        <f>B167</f>
        <v/>
      </c>
      <c r="F167" s="3">
        <f>B167</f>
        <v/>
      </c>
      <c r="G167" s="96" t="n">
        <v>165</v>
      </c>
      <c r="H167" s="97" t="n"/>
      <c r="I167" s="97" t="n"/>
      <c r="J167" s="97" t="n"/>
      <c r="K167" s="97" t="n"/>
      <c r="L167" s="97" t="n"/>
      <c r="M167" s="97" t="n"/>
      <c r="N167" s="97" t="n"/>
      <c r="O167" s="97" t="n"/>
      <c r="P167" s="97" t="n"/>
      <c r="Q167" s="97" t="n"/>
      <c r="R167" s="97" t="n"/>
      <c r="S167" s="97" t="n"/>
      <c r="T167" s="97" t="n"/>
      <c r="U167" s="97" t="n"/>
      <c r="V167" s="97" t="n"/>
      <c r="W167" s="97" t="n"/>
      <c r="X167" s="97" t="n"/>
      <c r="Y167" s="97" t="n"/>
      <c r="Z167" s="97" t="n"/>
      <c r="AA167" s="97" t="n"/>
      <c r="AB167" s="97" t="n"/>
      <c r="AC167" s="97" t="n"/>
      <c r="AD167" s="97" t="n"/>
      <c r="AE167" s="97" t="n"/>
      <c r="AF167" s="97" t="n"/>
      <c r="AG167" s="97" t="n"/>
      <c r="AH167" s="97" t="n"/>
      <c r="AI167" s="97" t="n"/>
      <c r="AJ167" s="97" t="n"/>
      <c r="AK167" s="97" t="n"/>
      <c r="AL167" s="97" t="n"/>
      <c r="AM167" s="97" t="n"/>
      <c r="AN167" s="97" t="n"/>
      <c r="AO167" s="97" t="n">
        <v>4.122891</v>
      </c>
      <c r="AP167" s="97" t="n"/>
      <c r="AQ167" s="97" t="n"/>
      <c r="AR167" s="97" t="n"/>
      <c r="AS167" s="97" t="n">
        <v>1.11191</v>
      </c>
      <c r="AT167" s="97" t="n"/>
      <c r="AU167" s="97" t="n">
        <v>1.344919</v>
      </c>
      <c r="AV167" s="97" t="n"/>
      <c r="AW167" s="97" t="n"/>
      <c r="AX167" s="97" t="n"/>
      <c r="AY167" s="97" t="n"/>
    </row>
    <row r="168" s="135">
      <c r="A168" t="inlineStr">
        <is>
          <t>1932-11</t>
        </is>
      </c>
      <c r="B168" s="2" t="n">
        <v>11994</v>
      </c>
      <c r="C168" s="96" t="n">
        <v>168</v>
      </c>
      <c r="D168" s="2" t="n"/>
      <c r="E168" s="2">
        <f>B168</f>
        <v/>
      </c>
      <c r="F168" s="3">
        <f>B168</f>
        <v/>
      </c>
      <c r="G168" s="96" t="n">
        <v>166</v>
      </c>
      <c r="H168" s="97" t="n"/>
      <c r="I168" s="97" t="n"/>
      <c r="J168" s="97" t="n"/>
      <c r="K168" s="97" t="n"/>
      <c r="L168" s="97" t="n"/>
      <c r="M168" s="97" t="n"/>
      <c r="N168" s="97" t="n"/>
      <c r="O168" s="97" t="n"/>
      <c r="P168" s="97" t="n"/>
      <c r="Q168" s="97" t="n"/>
      <c r="R168" s="97" t="n"/>
      <c r="S168" s="97" t="n"/>
      <c r="T168" s="97" t="n"/>
      <c r="U168" s="97" t="n"/>
      <c r="V168" s="97" t="n"/>
      <c r="W168" s="97" t="n"/>
      <c r="X168" s="97" t="n"/>
      <c r="Y168" s="97" t="n"/>
      <c r="Z168" s="97" t="n"/>
      <c r="AA168" s="97" t="n"/>
      <c r="AB168" s="97" t="n"/>
      <c r="AC168" s="97" t="n"/>
      <c r="AD168" s="97" t="n"/>
      <c r="AE168" s="97" t="n"/>
      <c r="AF168" s="97" t="n"/>
      <c r="AG168" s="97" t="n"/>
      <c r="AH168" s="97" t="n"/>
      <c r="AI168" s="97" t="n"/>
      <c r="AJ168" s="97" t="n"/>
      <c r="AK168" s="97" t="n"/>
      <c r="AL168" s="97" t="n"/>
      <c r="AM168" s="97" t="n"/>
      <c r="AN168" s="97" t="n"/>
      <c r="AO168" s="97" t="n">
        <v>4.122891</v>
      </c>
      <c r="AP168" s="97" t="n"/>
      <c r="AQ168" s="97" t="n"/>
      <c r="AR168" s="97" t="n"/>
      <c r="AS168" s="97" t="n">
        <v>1.397197</v>
      </c>
      <c r="AT168" s="97" t="n"/>
      <c r="AU168" s="97" t="n">
        <v>0.93898</v>
      </c>
      <c r="AV168" s="97" t="n"/>
      <c r="AW168" s="97" t="n"/>
      <c r="AX168" s="97" t="n"/>
      <c r="AY168" s="97" t="n"/>
    </row>
    <row r="169" s="135">
      <c r="A169" t="inlineStr">
        <is>
          <t>1932-12</t>
        </is>
      </c>
      <c r="B169" s="2" t="n">
        <v>12024</v>
      </c>
      <c r="C169" s="96" t="n">
        <v>169</v>
      </c>
      <c r="D169" s="2" t="n"/>
      <c r="E169" s="2">
        <f>B169</f>
        <v/>
      </c>
      <c r="F169" s="3">
        <f>B169</f>
        <v/>
      </c>
      <c r="G169" s="96" t="n">
        <v>167</v>
      </c>
      <c r="H169" s="97" t="n"/>
      <c r="I169" s="97" t="n"/>
      <c r="J169" s="97" t="n"/>
      <c r="K169" s="97" t="n"/>
      <c r="L169" s="97" t="n"/>
      <c r="M169" s="97" t="n"/>
      <c r="N169" s="97" t="n"/>
      <c r="O169" s="97" t="n"/>
      <c r="P169" s="97" t="n"/>
      <c r="Q169" s="97" t="n"/>
      <c r="R169" s="97" t="n"/>
      <c r="S169" s="97" t="n"/>
      <c r="T169" s="97" t="n"/>
      <c r="U169" s="97" t="n"/>
      <c r="V169" s="97" t="n"/>
      <c r="W169" s="97" t="n"/>
      <c r="X169" s="97" t="n"/>
      <c r="Y169" s="97" t="n"/>
      <c r="Z169" s="97" t="n"/>
      <c r="AA169" s="97" t="n"/>
      <c r="AB169" s="97" t="n"/>
      <c r="AC169" s="97" t="n"/>
      <c r="AD169" s="97" t="n"/>
      <c r="AE169" s="97" t="n"/>
      <c r="AF169" s="97" t="n"/>
      <c r="AG169" s="97" t="n"/>
      <c r="AH169" s="97" t="n"/>
      <c r="AI169" s="97" t="n"/>
      <c r="AJ169" s="97" t="n"/>
      <c r="AK169" s="97" t="n"/>
      <c r="AL169" s="97" t="n"/>
      <c r="AM169" s="97" t="n"/>
      <c r="AN169" s="97" t="n"/>
      <c r="AO169" s="97" t="n">
        <v>4.043073</v>
      </c>
      <c r="AP169" s="97" t="n"/>
      <c r="AQ169" s="97" t="n"/>
      <c r="AR169" s="97" t="n"/>
      <c r="AS169" s="97" t="n">
        <v>0.441225</v>
      </c>
      <c r="AT169" s="97" t="n"/>
      <c r="AU169" s="97" t="n">
        <v>0.619316</v>
      </c>
      <c r="AV169" s="97" t="n"/>
      <c r="AW169" s="97" t="n"/>
      <c r="AX169" s="97" t="n"/>
      <c r="AY169" s="97" t="n"/>
    </row>
    <row r="170" s="135">
      <c r="A170" t="inlineStr">
        <is>
          <t>1933-01</t>
        </is>
      </c>
      <c r="B170" s="2" t="n">
        <v>12055</v>
      </c>
      <c r="C170" s="96" t="n">
        <v>170</v>
      </c>
      <c r="D170" s="2" t="n"/>
      <c r="E170" s="2">
        <f>B170</f>
        <v/>
      </c>
      <c r="F170" s="3">
        <f>B170</f>
        <v/>
      </c>
      <c r="G170" s="96" t="n">
        <v>168</v>
      </c>
      <c r="H170" s="97" t="n"/>
      <c r="I170" s="97" t="n"/>
      <c r="J170" s="97" t="n"/>
      <c r="K170" s="97" t="n"/>
      <c r="L170" s="97" t="n"/>
      <c r="M170" s="97" t="n"/>
      <c r="N170" s="97" t="n"/>
      <c r="O170" s="97" t="n"/>
      <c r="P170" s="97" t="n"/>
      <c r="Q170" s="97" t="n"/>
      <c r="R170" s="97" t="n"/>
      <c r="S170" s="97" t="n"/>
      <c r="T170" s="97" t="n"/>
      <c r="U170" s="97" t="n"/>
      <c r="V170" s="97" t="n"/>
      <c r="W170" s="97" t="n"/>
      <c r="X170" s="97" t="n"/>
      <c r="Y170" s="97" t="n"/>
      <c r="Z170" s="97" t="n"/>
      <c r="AA170" s="97" t="n"/>
      <c r="AB170" s="97" t="n"/>
      <c r="AC170" s="97" t="n"/>
      <c r="AD170" s="97" t="n"/>
      <c r="AE170" s="97" t="n"/>
      <c r="AF170" s="97" t="n"/>
      <c r="AG170" s="97" t="n"/>
      <c r="AH170" s="97" t="n"/>
      <c r="AI170" s="97" t="n"/>
      <c r="AJ170" s="97" t="n"/>
      <c r="AK170" s="97" t="n"/>
      <c r="AL170" s="97" t="n"/>
      <c r="AM170" s="97" t="n"/>
      <c r="AN170" s="97" t="n"/>
      <c r="AO170" s="97" t="n">
        <v>3.963254</v>
      </c>
      <c r="AP170" s="97" t="n"/>
      <c r="AQ170" s="97" t="n"/>
      <c r="AR170" s="97" t="n"/>
      <c r="AS170" s="97" t="n">
        <v>1.631376</v>
      </c>
      <c r="AT170" s="97" t="n"/>
      <c r="AU170" s="97" t="n">
        <v>0.433857</v>
      </c>
      <c r="AV170" s="97" t="n"/>
      <c r="AW170" s="97" t="n"/>
      <c r="AX170" s="97" t="n"/>
      <c r="AY170" s="97" t="n"/>
    </row>
    <row r="171" s="135">
      <c r="A171" t="inlineStr">
        <is>
          <t>1933-02</t>
        </is>
      </c>
      <c r="B171" s="2" t="n">
        <v>12086</v>
      </c>
      <c r="C171" s="96" t="n">
        <v>171</v>
      </c>
      <c r="D171" s="2" t="n"/>
      <c r="E171" s="2">
        <f>B171</f>
        <v/>
      </c>
      <c r="F171" s="3">
        <f>B171</f>
        <v/>
      </c>
      <c r="G171" s="96" t="n">
        <v>169</v>
      </c>
      <c r="H171" s="97" t="n"/>
      <c r="I171" s="97" t="n"/>
      <c r="J171" s="97" t="n"/>
      <c r="K171" s="97" t="n"/>
      <c r="L171" s="97" t="n"/>
      <c r="M171" s="97" t="n"/>
      <c r="N171" s="97" t="n"/>
      <c r="O171" s="97" t="n"/>
      <c r="P171" s="97" t="n"/>
      <c r="Q171" s="97" t="n"/>
      <c r="R171" s="97" t="n"/>
      <c r="S171" s="97" t="n"/>
      <c r="T171" s="97" t="n"/>
      <c r="U171" s="97" t="n"/>
      <c r="V171" s="97" t="n"/>
      <c r="W171" s="97" t="n"/>
      <c r="X171" s="97" t="n"/>
      <c r="Y171" s="97" t="n"/>
      <c r="Z171" s="97" t="n"/>
      <c r="AA171" s="97" t="n"/>
      <c r="AB171" s="97" t="n"/>
      <c r="AC171" s="97" t="n"/>
      <c r="AD171" s="97" t="n"/>
      <c r="AE171" s="97" t="n"/>
      <c r="AF171" s="97" t="n"/>
      <c r="AG171" s="97" t="n"/>
      <c r="AH171" s="97" t="n"/>
      <c r="AI171" s="97" t="n"/>
      <c r="AJ171" s="97" t="n"/>
      <c r="AK171" s="97" t="n"/>
      <c r="AL171" s="97" t="n"/>
      <c r="AM171" s="97" t="n"/>
      <c r="AN171" s="97" t="n"/>
      <c r="AO171" s="97" t="n">
        <v>3.989861</v>
      </c>
      <c r="AP171" s="97" t="n"/>
      <c r="AQ171" s="97" t="n"/>
      <c r="AR171" s="97" t="n"/>
      <c r="AS171" s="97" t="n">
        <v>1.059046</v>
      </c>
      <c r="AT171" s="97" t="n"/>
      <c r="AU171" s="97" t="n">
        <v>0.080345</v>
      </c>
      <c r="AV171" s="97" t="n"/>
      <c r="AW171" s="97" t="n"/>
      <c r="AX171" s="97" t="n"/>
      <c r="AY171" s="97" t="n"/>
    </row>
    <row r="172" s="135">
      <c r="A172" t="inlineStr">
        <is>
          <t>1933-03</t>
        </is>
      </c>
      <c r="B172" s="2" t="n">
        <v>12114</v>
      </c>
      <c r="C172" s="96" t="n">
        <v>172</v>
      </c>
      <c r="D172" s="2" t="n"/>
      <c r="E172" s="2">
        <f>B172</f>
        <v/>
      </c>
      <c r="F172" s="3">
        <f>B172</f>
        <v/>
      </c>
      <c r="G172" s="96" t="n">
        <v>170</v>
      </c>
      <c r="H172" s="97" t="n"/>
      <c r="I172" s="97" t="n"/>
      <c r="J172" s="97" t="n"/>
      <c r="K172" s="97" t="n"/>
      <c r="L172" s="97" t="n"/>
      <c r="M172" s="97" t="n"/>
      <c r="N172" s="97" t="n"/>
      <c r="O172" s="97" t="n"/>
      <c r="P172" s="97" t="n"/>
      <c r="Q172" s="97" t="n"/>
      <c r="R172" s="97" t="n"/>
      <c r="S172" s="97" t="n"/>
      <c r="T172" s="97" t="n"/>
      <c r="U172" s="97" t="n"/>
      <c r="V172" s="97" t="n"/>
      <c r="W172" s="97" t="n"/>
      <c r="X172" s="97" t="n"/>
      <c r="Y172" s="97" t="n"/>
      <c r="Z172" s="97" t="n"/>
      <c r="AA172" s="97" t="n"/>
      <c r="AB172" s="97" t="n"/>
      <c r="AC172" s="97" t="n"/>
      <c r="AD172" s="97" t="n"/>
      <c r="AE172" s="97" t="n"/>
      <c r="AF172" s="97" t="n"/>
      <c r="AG172" s="97" t="n"/>
      <c r="AH172" s="97" t="n"/>
      <c r="AI172" s="97" t="n"/>
      <c r="AJ172" s="97" t="n"/>
      <c r="AK172" s="97" t="n"/>
      <c r="AL172" s="97" t="n"/>
      <c r="AM172" s="97" t="n"/>
      <c r="AN172" s="97" t="n"/>
      <c r="AO172" s="97" t="n">
        <v>3.750502</v>
      </c>
      <c r="AP172" s="97" t="n"/>
      <c r="AQ172" s="97" t="n"/>
      <c r="AR172" s="97" t="n"/>
      <c r="AS172" s="97" t="n">
        <v>1.33132</v>
      </c>
      <c r="AT172" s="97" t="n"/>
      <c r="AU172" s="97" t="n">
        <v>-0.618832</v>
      </c>
      <c r="AV172" s="97" t="n"/>
      <c r="AW172" s="97" t="n"/>
      <c r="AX172" s="97" t="n"/>
      <c r="AY172" s="97" t="n"/>
    </row>
    <row r="173" s="135">
      <c r="A173" t="inlineStr">
        <is>
          <t>1933-04</t>
        </is>
      </c>
      <c r="B173" s="2" t="n">
        <v>12145</v>
      </c>
      <c r="C173" s="96" t="n">
        <v>173</v>
      </c>
      <c r="D173" s="2" t="n"/>
      <c r="E173" s="2">
        <f>B173</f>
        <v/>
      </c>
      <c r="F173" s="3">
        <f>B173</f>
        <v/>
      </c>
      <c r="G173" s="96" t="n">
        <v>171</v>
      </c>
      <c r="H173" s="97" t="n"/>
      <c r="I173" s="97" t="n"/>
      <c r="J173" s="97" t="n"/>
      <c r="K173" s="97" t="n"/>
      <c r="L173" s="97" t="n"/>
      <c r="M173" s="97" t="n"/>
      <c r="N173" s="97" t="n"/>
      <c r="O173" s="97" t="n"/>
      <c r="P173" s="97" t="n"/>
      <c r="Q173" s="97" t="n"/>
      <c r="R173" s="97" t="n"/>
      <c r="S173" s="97" t="n"/>
      <c r="T173" s="97" t="n"/>
      <c r="U173" s="97" t="n"/>
      <c r="V173" s="97" t="n"/>
      <c r="W173" s="97" t="n"/>
      <c r="X173" s="97" t="n"/>
      <c r="Y173" s="97" t="n"/>
      <c r="Z173" s="97" t="n"/>
      <c r="AA173" s="97" t="n"/>
      <c r="AB173" s="97" t="n"/>
      <c r="AC173" s="97" t="n"/>
      <c r="AD173" s="97" t="n"/>
      <c r="AE173" s="97" t="n"/>
      <c r="AF173" s="97" t="n"/>
      <c r="AG173" s="97" t="n"/>
      <c r="AH173" s="97" t="n"/>
      <c r="AI173" s="97" t="n"/>
      <c r="AJ173" s="97" t="n"/>
      <c r="AK173" s="97" t="n"/>
      <c r="AL173" s="97" t="n"/>
      <c r="AM173" s="97" t="n"/>
      <c r="AN173" s="97" t="n"/>
      <c r="AO173" s="97" t="n">
        <v>4.016467</v>
      </c>
      <c r="AP173" s="97" t="n"/>
      <c r="AQ173" s="97" t="n"/>
      <c r="AR173" s="97" t="n"/>
      <c r="AS173" s="97" t="n">
        <v>1.541258</v>
      </c>
      <c r="AT173" s="97" t="n"/>
      <c r="AU173" s="97" t="n">
        <v>0.080051</v>
      </c>
      <c r="AV173" s="97" t="n"/>
      <c r="AW173" s="97" t="n"/>
      <c r="AX173" s="97" t="n"/>
      <c r="AY173" s="97" t="n"/>
    </row>
    <row r="174" s="135">
      <c r="A174" t="inlineStr">
        <is>
          <t>1933-05</t>
        </is>
      </c>
      <c r="B174" s="2" t="n">
        <v>12175</v>
      </c>
      <c r="C174" s="96" t="n">
        <v>174</v>
      </c>
      <c r="D174" s="2" t="n"/>
      <c r="E174" s="2">
        <f>B174</f>
        <v/>
      </c>
      <c r="F174" s="3">
        <f>B174</f>
        <v/>
      </c>
      <c r="G174" s="96" t="n">
        <v>172</v>
      </c>
      <c r="H174" s="97" t="n"/>
      <c r="I174" s="97" t="n"/>
      <c r="J174" s="97" t="n"/>
      <c r="K174" s="97" t="n"/>
      <c r="L174" s="97" t="n"/>
      <c r="M174" s="97" t="n"/>
      <c r="N174" s="97" t="n"/>
      <c r="O174" s="97" t="n"/>
      <c r="P174" s="97" t="n"/>
      <c r="Q174" s="97" t="n"/>
      <c r="R174" s="97" t="n"/>
      <c r="S174" s="97" t="n"/>
      <c r="T174" s="97" t="n"/>
      <c r="U174" s="97" t="n"/>
      <c r="V174" s="97" t="n"/>
      <c r="W174" s="97" t="n"/>
      <c r="X174" s="97" t="n"/>
      <c r="Y174" s="97" t="n"/>
      <c r="Z174" s="97" t="n"/>
      <c r="AA174" s="97" t="n"/>
      <c r="AB174" s="97" t="n"/>
      <c r="AC174" s="97" t="n"/>
      <c r="AD174" s="97" t="n"/>
      <c r="AE174" s="97" t="n"/>
      <c r="AF174" s="97" t="n"/>
      <c r="AG174" s="97" t="n"/>
      <c r="AH174" s="97" t="n"/>
      <c r="AI174" s="97" t="n"/>
      <c r="AJ174" s="97" t="n"/>
      <c r="AK174" s="97" t="n"/>
      <c r="AL174" s="97" t="n"/>
      <c r="AM174" s="97" t="n"/>
      <c r="AN174" s="97" t="n"/>
      <c r="AO174" s="97" t="n">
        <v>4.681427</v>
      </c>
      <c r="AP174" s="97" t="n"/>
      <c r="AQ174" s="97" t="n"/>
      <c r="AR174" s="97" t="n"/>
      <c r="AS174" s="97" t="n">
        <v>0.293292</v>
      </c>
      <c r="AT174" s="97" t="n"/>
      <c r="AU174" s="97" t="n">
        <v>-0.082522</v>
      </c>
      <c r="AV174" s="97" t="n"/>
      <c r="AW174" s="97" t="n"/>
      <c r="AX174" s="97" t="n"/>
      <c r="AY174" s="97" t="n"/>
    </row>
    <row r="175" s="135">
      <c r="A175" t="inlineStr">
        <is>
          <t>1933-06</t>
        </is>
      </c>
      <c r="B175" s="2" t="n">
        <v>12206</v>
      </c>
      <c r="C175" s="96" t="n">
        <v>175</v>
      </c>
      <c r="D175" s="2" t="n"/>
      <c r="E175" s="2">
        <f>B175</f>
        <v/>
      </c>
      <c r="F175" s="3">
        <f>B175</f>
        <v/>
      </c>
      <c r="G175" s="96" t="n">
        <v>173</v>
      </c>
      <c r="H175" s="97" t="n"/>
      <c r="I175" s="97" t="n"/>
      <c r="J175" s="97" t="n"/>
      <c r="K175" s="97" t="n"/>
      <c r="L175" s="97" t="n"/>
      <c r="M175" s="97" t="n"/>
      <c r="N175" s="97" t="n"/>
      <c r="O175" s="97" t="n"/>
      <c r="P175" s="97" t="n"/>
      <c r="Q175" s="97" t="n"/>
      <c r="R175" s="97" t="n"/>
      <c r="S175" s="97" t="n"/>
      <c r="T175" s="97" t="n"/>
      <c r="U175" s="97" t="n"/>
      <c r="V175" s="97" t="n"/>
      <c r="W175" s="97" t="n"/>
      <c r="X175" s="97" t="n"/>
      <c r="Y175" s="97" t="n"/>
      <c r="Z175" s="97" t="n"/>
      <c r="AA175" s="97" t="n"/>
      <c r="AB175" s="97" t="n"/>
      <c r="AC175" s="97" t="n"/>
      <c r="AD175" s="97" t="n"/>
      <c r="AE175" s="97" t="n"/>
      <c r="AF175" s="97" t="n"/>
      <c r="AG175" s="97" t="n"/>
      <c r="AH175" s="97" t="n"/>
      <c r="AI175" s="97" t="n"/>
      <c r="AJ175" s="97" t="n"/>
      <c r="AK175" s="97" t="n"/>
      <c r="AL175" s="97" t="n"/>
      <c r="AM175" s="97" t="n"/>
      <c r="AN175" s="97" t="n"/>
      <c r="AO175" s="97" t="n">
        <v>5.399601</v>
      </c>
      <c r="AP175" s="97" t="n"/>
      <c r="AQ175" s="97" t="n"/>
      <c r="AR175" s="97" t="n"/>
      <c r="AS175" s="97" t="n">
        <v>-0.24896</v>
      </c>
      <c r="AT175" s="97" t="n"/>
      <c r="AU175" s="97" t="n">
        <v>-0.08404200000000001</v>
      </c>
      <c r="AV175" s="97" t="n"/>
      <c r="AW175" s="97" t="n"/>
      <c r="AX175" s="97" t="n"/>
      <c r="AY175" s="97" t="n"/>
    </row>
    <row r="176" s="135">
      <c r="A176" t="inlineStr">
        <is>
          <t>1933-07</t>
        </is>
      </c>
      <c r="B176" s="2" t="n">
        <v>12236</v>
      </c>
      <c r="C176" s="96" t="n">
        <v>176</v>
      </c>
      <c r="D176" s="2" t="n"/>
      <c r="E176" s="2">
        <f>B176</f>
        <v/>
      </c>
      <c r="F176" s="3">
        <f>B176</f>
        <v/>
      </c>
      <c r="G176" s="96" t="n">
        <v>174</v>
      </c>
      <c r="H176" s="97" t="n"/>
      <c r="I176" s="97" t="n"/>
      <c r="J176" s="97" t="n"/>
      <c r="K176" s="97" t="n"/>
      <c r="L176" s="97" t="n"/>
      <c r="M176" s="97" t="n"/>
      <c r="N176" s="97" t="n"/>
      <c r="O176" s="97" t="n"/>
      <c r="P176" s="97" t="n"/>
      <c r="Q176" s="97" t="n"/>
      <c r="R176" s="97" t="n"/>
      <c r="S176" s="97" t="n"/>
      <c r="T176" s="97" t="n"/>
      <c r="U176" s="97" t="n"/>
      <c r="V176" s="97" t="n"/>
      <c r="W176" s="97" t="n"/>
      <c r="X176" s="97" t="n"/>
      <c r="Y176" s="97" t="n"/>
      <c r="Z176" s="97" t="n"/>
      <c r="AA176" s="97" t="n"/>
      <c r="AB176" s="97" t="n"/>
      <c r="AC176" s="97" t="n"/>
      <c r="AD176" s="97" t="n"/>
      <c r="AE176" s="97" t="n"/>
      <c r="AF176" s="97" t="n"/>
      <c r="AG176" s="97" t="n"/>
      <c r="AH176" s="97" t="n"/>
      <c r="AI176" s="97" t="n"/>
      <c r="AJ176" s="97" t="n"/>
      <c r="AK176" s="97" t="n"/>
      <c r="AL176" s="97" t="n"/>
      <c r="AM176" s="97" t="n"/>
      <c r="AN176" s="97" t="n"/>
      <c r="AO176" s="97" t="n">
        <v>5.905021</v>
      </c>
      <c r="AP176" s="97" t="n"/>
      <c r="AQ176" s="97" t="n"/>
      <c r="AR176" s="97" t="n"/>
      <c r="AS176" s="97" t="n">
        <v>-0.133363</v>
      </c>
      <c r="AT176" s="97" t="n"/>
      <c r="AU176" s="97" t="n">
        <v>0.09281499999999999</v>
      </c>
      <c r="AV176" s="97" t="n"/>
      <c r="AW176" s="97" t="n"/>
      <c r="AX176" s="97" t="n"/>
      <c r="AY176" s="97" t="n"/>
    </row>
    <row r="177" s="135">
      <c r="A177" t="inlineStr">
        <is>
          <t>1933-08</t>
        </is>
      </c>
      <c r="B177" s="2" t="n">
        <v>12267</v>
      </c>
      <c r="C177" s="96" t="n">
        <v>177</v>
      </c>
      <c r="D177" s="2" t="n"/>
      <c r="E177" s="2">
        <f>B177</f>
        <v/>
      </c>
      <c r="F177" s="3">
        <f>B177</f>
        <v/>
      </c>
      <c r="G177" s="96" t="n">
        <v>175</v>
      </c>
      <c r="H177" s="97" t="n"/>
      <c r="I177" s="97" t="n"/>
      <c r="J177" s="97" t="n"/>
      <c r="K177" s="97" t="n"/>
      <c r="L177" s="97" t="n"/>
      <c r="M177" s="97" t="n"/>
      <c r="N177" s="97" t="n"/>
      <c r="O177" s="97" t="n"/>
      <c r="P177" s="97" t="n"/>
      <c r="Q177" s="97" t="n"/>
      <c r="R177" s="97" t="n"/>
      <c r="S177" s="97" t="n"/>
      <c r="T177" s="97" t="n"/>
      <c r="U177" s="97" t="n"/>
      <c r="V177" s="97" t="n"/>
      <c r="W177" s="97" t="n"/>
      <c r="X177" s="97" t="n"/>
      <c r="Y177" s="97" t="n"/>
      <c r="Z177" s="97" t="n"/>
      <c r="AA177" s="97" t="n"/>
      <c r="AB177" s="97" t="n"/>
      <c r="AC177" s="97" t="n"/>
      <c r="AD177" s="97" t="n"/>
      <c r="AE177" s="97" t="n"/>
      <c r="AF177" s="97" t="n"/>
      <c r="AG177" s="97" t="n"/>
      <c r="AH177" s="97" t="n"/>
      <c r="AI177" s="97" t="n"/>
      <c r="AJ177" s="97" t="n"/>
      <c r="AK177" s="97" t="n"/>
      <c r="AL177" s="97" t="n"/>
      <c r="AM177" s="97" t="n"/>
      <c r="AN177" s="97" t="n"/>
      <c r="AO177" s="97" t="n">
        <v>5.665661</v>
      </c>
      <c r="AP177" s="97" t="n"/>
      <c r="AQ177" s="97" t="n"/>
      <c r="AR177" s="97" t="n"/>
      <c r="AS177" s="97" t="n">
        <v>-0.319655</v>
      </c>
      <c r="AT177" s="97" t="n"/>
      <c r="AU177" s="97" t="n">
        <v>-0.795423</v>
      </c>
      <c r="AV177" s="97" t="n"/>
      <c r="AW177" s="97" t="n"/>
      <c r="AX177" s="97" t="n"/>
      <c r="AY177" s="97" t="n"/>
    </row>
    <row r="178" s="135">
      <c r="A178" t="inlineStr">
        <is>
          <t>1933-09</t>
        </is>
      </c>
      <c r="B178" s="2" t="n">
        <v>12298</v>
      </c>
      <c r="C178" s="96" t="n">
        <v>178</v>
      </c>
      <c r="D178" s="2" t="n"/>
      <c r="E178" s="2">
        <f>B178</f>
        <v/>
      </c>
      <c r="F178" s="3">
        <f>B178</f>
        <v/>
      </c>
      <c r="G178" s="96" t="n">
        <v>176</v>
      </c>
      <c r="H178" s="97" t="n"/>
      <c r="I178" s="97" t="n"/>
      <c r="J178" s="97" t="n"/>
      <c r="K178" s="97" t="n"/>
      <c r="L178" s="97" t="n"/>
      <c r="M178" s="97" t="n"/>
      <c r="N178" s="97" t="n"/>
      <c r="O178" s="97" t="n"/>
      <c r="P178" s="97" t="n"/>
      <c r="Q178" s="97" t="n"/>
      <c r="R178" s="97" t="n"/>
      <c r="S178" s="97" t="n"/>
      <c r="T178" s="97" t="n"/>
      <c r="U178" s="97" t="n"/>
      <c r="V178" s="97" t="n"/>
      <c r="W178" s="97" t="n"/>
      <c r="X178" s="97" t="n"/>
      <c r="Y178" s="97" t="n"/>
      <c r="Z178" s="97" t="n"/>
      <c r="AA178" s="97" t="n"/>
      <c r="AB178" s="97" t="n"/>
      <c r="AC178" s="97" t="n"/>
      <c r="AD178" s="97" t="n"/>
      <c r="AE178" s="97" t="n"/>
      <c r="AF178" s="97" t="n"/>
      <c r="AG178" s="97" t="n"/>
      <c r="AH178" s="97" t="n"/>
      <c r="AI178" s="97" t="n"/>
      <c r="AJ178" s="97" t="n"/>
      <c r="AK178" s="97" t="n"/>
      <c r="AL178" s="97" t="n"/>
      <c r="AM178" s="97" t="n"/>
      <c r="AN178" s="97" t="n"/>
      <c r="AO178" s="97" t="n">
        <v>5.346484</v>
      </c>
      <c r="AP178" s="97" t="n"/>
      <c r="AQ178" s="97" t="n"/>
      <c r="AR178" s="97" t="n"/>
      <c r="AS178" s="97" t="n">
        <v>-0.523819</v>
      </c>
      <c r="AT178" s="97" t="n"/>
      <c r="AU178" s="97" t="n">
        <v>-0.225649</v>
      </c>
      <c r="AV178" s="97" t="n"/>
      <c r="AW178" s="97" t="n"/>
      <c r="AX178" s="97" t="n"/>
      <c r="AY178" s="97" t="n"/>
    </row>
    <row r="179" s="135">
      <c r="A179" t="inlineStr">
        <is>
          <t>1933-10</t>
        </is>
      </c>
      <c r="B179" s="2" t="n">
        <v>12328</v>
      </c>
      <c r="C179" s="96" t="n">
        <v>179</v>
      </c>
      <c r="D179" s="2" t="n"/>
      <c r="E179" s="2">
        <f>B179</f>
        <v/>
      </c>
      <c r="F179" s="3">
        <f>B179</f>
        <v/>
      </c>
      <c r="G179" s="96" t="n">
        <v>177</v>
      </c>
      <c r="H179" s="97" t="n"/>
      <c r="I179" s="97" t="n"/>
      <c r="J179" s="97" t="n"/>
      <c r="K179" s="97" t="n"/>
      <c r="L179" s="97" t="n"/>
      <c r="M179" s="97" t="n"/>
      <c r="N179" s="97" t="n"/>
      <c r="O179" s="97" t="n"/>
      <c r="P179" s="97" t="n"/>
      <c r="Q179" s="97" t="n"/>
      <c r="R179" s="97" t="n"/>
      <c r="S179" s="97" t="n"/>
      <c r="T179" s="97" t="n"/>
      <c r="U179" s="97" t="n"/>
      <c r="V179" s="97" t="n"/>
      <c r="W179" s="97" t="n"/>
      <c r="X179" s="97" t="n"/>
      <c r="Y179" s="97" t="n"/>
      <c r="Z179" s="97" t="n"/>
      <c r="AA179" s="97" t="n"/>
      <c r="AB179" s="97" t="n"/>
      <c r="AC179" s="97" t="n"/>
      <c r="AD179" s="97" t="n"/>
      <c r="AE179" s="97" t="n"/>
      <c r="AF179" s="97" t="n"/>
      <c r="AG179" s="97" t="n"/>
      <c r="AH179" s="97" t="n"/>
      <c r="AI179" s="97" t="n"/>
      <c r="AJ179" s="97" t="n"/>
      <c r="AK179" s="97" t="n"/>
      <c r="AL179" s="97" t="n"/>
      <c r="AM179" s="97" t="n"/>
      <c r="AN179" s="97" t="n"/>
      <c r="AO179" s="97" t="n">
        <v>5.080423</v>
      </c>
      <c r="AP179" s="97" t="n"/>
      <c r="AQ179" s="97" t="n"/>
      <c r="AR179" s="97" t="n"/>
      <c r="AS179" s="97" t="n">
        <v>0.041996</v>
      </c>
      <c r="AT179" s="97" t="n"/>
      <c r="AU179" s="97" t="n">
        <v>-0.038786</v>
      </c>
      <c r="AV179" s="97" t="n"/>
      <c r="AW179" s="97" t="n"/>
      <c r="AX179" s="97" t="n"/>
      <c r="AY179" s="97" t="n"/>
    </row>
    <row r="180" s="135">
      <c r="A180" t="inlineStr">
        <is>
          <t>1933-11</t>
        </is>
      </c>
      <c r="B180" s="2" t="n">
        <v>12359</v>
      </c>
      <c r="C180" s="96" t="n">
        <v>180</v>
      </c>
      <c r="D180" s="2" t="n"/>
      <c r="E180" s="2">
        <f>B180</f>
        <v/>
      </c>
      <c r="F180" s="3">
        <f>B180</f>
        <v/>
      </c>
      <c r="G180" s="96" t="n">
        <v>178</v>
      </c>
      <c r="H180" s="97" t="n"/>
      <c r="I180" s="97" t="n"/>
      <c r="J180" s="97" t="n"/>
      <c r="K180" s="97" t="n"/>
      <c r="L180" s="97" t="n"/>
      <c r="M180" s="97" t="n"/>
      <c r="N180" s="97" t="n"/>
      <c r="O180" s="97" t="n"/>
      <c r="P180" s="97" t="n"/>
      <c r="Q180" s="97" t="n"/>
      <c r="R180" s="97" t="n"/>
      <c r="S180" s="97" t="n"/>
      <c r="T180" s="97" t="n"/>
      <c r="U180" s="97" t="n"/>
      <c r="V180" s="97" t="n"/>
      <c r="W180" s="97" t="n"/>
      <c r="X180" s="97" t="n"/>
      <c r="Y180" s="97" t="n"/>
      <c r="Z180" s="97" t="n"/>
      <c r="AA180" s="97" t="n"/>
      <c r="AB180" s="97" t="n"/>
      <c r="AC180" s="97" t="n"/>
      <c r="AD180" s="97" t="n"/>
      <c r="AE180" s="97" t="n"/>
      <c r="AF180" s="97" t="n"/>
      <c r="AG180" s="97" t="n"/>
      <c r="AH180" s="97" t="n"/>
      <c r="AI180" s="97" t="n"/>
      <c r="AJ180" s="97" t="n"/>
      <c r="AK180" s="97" t="n"/>
      <c r="AL180" s="97" t="n"/>
      <c r="AM180" s="97" t="n"/>
      <c r="AN180" s="97" t="n"/>
      <c r="AO180" s="97" t="n">
        <v>4.787852</v>
      </c>
      <c r="AP180" s="97" t="n"/>
      <c r="AQ180" s="97" t="n"/>
      <c r="AR180" s="97" t="n"/>
      <c r="AS180" s="97" t="n">
        <v>0.102257</v>
      </c>
      <c r="AT180" s="97" t="n"/>
      <c r="AU180" s="97" t="n">
        <v>-0.172065</v>
      </c>
      <c r="AV180" s="97" t="n"/>
      <c r="AW180" s="97" t="n"/>
      <c r="AX180" s="97" t="n"/>
      <c r="AY180" s="97" t="n"/>
    </row>
    <row r="181" s="135">
      <c r="A181" t="inlineStr">
        <is>
          <t>1933-12</t>
        </is>
      </c>
      <c r="B181" s="2" t="n">
        <v>12389</v>
      </c>
      <c r="C181" s="96" t="n">
        <v>181</v>
      </c>
      <c r="D181" s="2" t="n"/>
      <c r="E181" s="2">
        <f>B181</f>
        <v/>
      </c>
      <c r="F181" s="3">
        <f>B181</f>
        <v/>
      </c>
      <c r="G181" s="96" t="n">
        <v>179</v>
      </c>
      <c r="H181" s="97" t="n"/>
      <c r="I181" s="97" t="n"/>
      <c r="J181" s="97" t="n"/>
      <c r="K181" s="97" t="n"/>
      <c r="L181" s="97" t="n"/>
      <c r="M181" s="97" t="n"/>
      <c r="N181" s="97" t="n"/>
      <c r="O181" s="97" t="n"/>
      <c r="P181" s="97" t="n"/>
      <c r="Q181" s="97" t="n"/>
      <c r="R181" s="97" t="n"/>
      <c r="S181" s="97" t="n"/>
      <c r="T181" s="97" t="n"/>
      <c r="U181" s="97" t="n"/>
      <c r="V181" s="97" t="n"/>
      <c r="W181" s="97" t="n"/>
      <c r="X181" s="97" t="n"/>
      <c r="Y181" s="97" t="n"/>
      <c r="Z181" s="97" t="n"/>
      <c r="AA181" s="97" t="n"/>
      <c r="AB181" s="97" t="n"/>
      <c r="AC181" s="97" t="n"/>
      <c r="AD181" s="97" t="n"/>
      <c r="AE181" s="97" t="n"/>
      <c r="AF181" s="97" t="n"/>
      <c r="AG181" s="97" t="n"/>
      <c r="AH181" s="97" t="n"/>
      <c r="AI181" s="97" t="n"/>
      <c r="AJ181" s="97" t="n"/>
      <c r="AK181" s="97" t="n"/>
      <c r="AL181" s="97" t="n"/>
      <c r="AM181" s="97" t="n"/>
      <c r="AN181" s="97" t="n"/>
      <c r="AO181" s="97" t="n">
        <v>4.814458</v>
      </c>
      <c r="AP181" s="97" t="n"/>
      <c r="AQ181" s="97" t="n"/>
      <c r="AR181" s="97" t="n"/>
      <c r="AS181" s="97" t="n">
        <v>0.6088710000000001</v>
      </c>
      <c r="AT181" s="97" t="n"/>
      <c r="AU181" s="97" t="n">
        <v>-0.700748</v>
      </c>
      <c r="AV181" s="97" t="n"/>
      <c r="AW181" s="97" t="n"/>
      <c r="AX181" s="97" t="n"/>
      <c r="AY181" s="97" t="n"/>
    </row>
    <row r="182" s="135">
      <c r="A182" t="inlineStr">
        <is>
          <t>1934-01</t>
        </is>
      </c>
      <c r="B182" s="2" t="n">
        <v>12420</v>
      </c>
      <c r="C182" s="96" t="n">
        <v>182</v>
      </c>
      <c r="D182" s="2" t="n"/>
      <c r="E182" s="2">
        <f>B182</f>
        <v/>
      </c>
      <c r="F182" s="3">
        <f>B182</f>
        <v/>
      </c>
      <c r="G182" s="96" t="n">
        <v>180</v>
      </c>
      <c r="H182" s="97" t="n"/>
      <c r="I182" s="97" t="n"/>
      <c r="J182" s="97" t="n"/>
      <c r="K182" s="97" t="n"/>
      <c r="L182" s="97" t="n"/>
      <c r="M182" s="97" t="n"/>
      <c r="N182" s="97" t="n"/>
      <c r="O182" s="97" t="n"/>
      <c r="P182" s="97" t="n"/>
      <c r="Q182" s="97" t="n"/>
      <c r="R182" s="97" t="n"/>
      <c r="S182" s="97" t="n"/>
      <c r="T182" s="97" t="n"/>
      <c r="U182" s="97" t="n"/>
      <c r="V182" s="97" t="n"/>
      <c r="W182" s="97" t="n"/>
      <c r="X182" s="97" t="n"/>
      <c r="Y182" s="97" t="n"/>
      <c r="Z182" s="97" t="n"/>
      <c r="AA182" s="97" t="n"/>
      <c r="AB182" s="97" t="n"/>
      <c r="AC182" s="97" t="n"/>
      <c r="AD182" s="97" t="n"/>
      <c r="AE182" s="97" t="n"/>
      <c r="AF182" s="97" t="n"/>
      <c r="AG182" s="97" t="n"/>
      <c r="AH182" s="97" t="n"/>
      <c r="AI182" s="97" t="n"/>
      <c r="AJ182" s="97" t="n"/>
      <c r="AK182" s="97" t="n"/>
      <c r="AL182" s="97" t="n"/>
      <c r="AM182" s="97" t="n"/>
      <c r="AN182" s="97" t="n"/>
      <c r="AO182" s="97" t="n">
        <v>4.973999</v>
      </c>
      <c r="AP182" s="97" t="n"/>
      <c r="AQ182" s="97" t="n"/>
      <c r="AR182" s="97" t="n"/>
      <c r="AS182" s="97" t="n">
        <v>-0.248539</v>
      </c>
      <c r="AT182" s="97" t="n"/>
      <c r="AU182" s="97" t="n">
        <v>-0.6133729999999999</v>
      </c>
      <c r="AV182" s="97" t="n"/>
      <c r="AW182" s="97" t="n"/>
      <c r="AX182" s="97" t="n"/>
      <c r="AY182" s="97" t="n"/>
    </row>
    <row r="183" s="135">
      <c r="A183" t="inlineStr">
        <is>
          <t>1934-02</t>
        </is>
      </c>
      <c r="B183" s="2" t="n">
        <v>12451</v>
      </c>
      <c r="C183" s="96" t="n">
        <v>183</v>
      </c>
      <c r="D183" s="2" t="n"/>
      <c r="E183" s="2">
        <f>B183</f>
        <v/>
      </c>
      <c r="F183" s="3">
        <f>B183</f>
        <v/>
      </c>
      <c r="G183" s="96" t="n">
        <v>181</v>
      </c>
      <c r="H183" s="97" t="n"/>
      <c r="I183" s="97" t="n"/>
      <c r="J183" s="97" t="n"/>
      <c r="K183" s="97" t="n"/>
      <c r="L183" s="97" t="n"/>
      <c r="M183" s="97" t="n"/>
      <c r="N183" s="97" t="n"/>
      <c r="O183" s="97" t="n"/>
      <c r="P183" s="97" t="n"/>
      <c r="Q183" s="97" t="n"/>
      <c r="R183" s="97" t="n"/>
      <c r="S183" s="97" t="n"/>
      <c r="T183" s="97" t="n"/>
      <c r="U183" s="97" t="n"/>
      <c r="V183" s="97" t="n"/>
      <c r="W183" s="97" t="n"/>
      <c r="X183" s="97" t="n"/>
      <c r="Y183" s="97" t="n"/>
      <c r="Z183" s="97" t="n"/>
      <c r="AA183" s="97" t="n"/>
      <c r="AB183" s="97" t="n"/>
      <c r="AC183" s="97" t="n"/>
      <c r="AD183" s="97" t="n"/>
      <c r="AE183" s="97" t="n"/>
      <c r="AF183" s="97" t="n"/>
      <c r="AG183" s="97" t="n"/>
      <c r="AH183" s="97" t="n"/>
      <c r="AI183" s="97" t="n"/>
      <c r="AJ183" s="97" t="n"/>
      <c r="AK183" s="97" t="n"/>
      <c r="AL183" s="97" t="n"/>
      <c r="AM183" s="97" t="n"/>
      <c r="AN183" s="97" t="n"/>
      <c r="AO183" s="97" t="n">
        <v>5.213454</v>
      </c>
      <c r="AP183" s="97" t="n"/>
      <c r="AQ183" s="97" t="n"/>
      <c r="AR183" s="97" t="n"/>
      <c r="AS183" s="97" t="n">
        <v>-0.753634</v>
      </c>
      <c r="AT183" s="97" t="n"/>
      <c r="AU183" s="97" t="n">
        <v>-1.157736</v>
      </c>
      <c r="AV183" s="97" t="n"/>
      <c r="AW183" s="97" t="n"/>
      <c r="AX183" s="97" t="n"/>
      <c r="AY183" s="97" t="n"/>
    </row>
    <row r="184" s="135">
      <c r="A184" t="inlineStr">
        <is>
          <t>1934-03</t>
        </is>
      </c>
      <c r="B184" s="2" t="n">
        <v>12479</v>
      </c>
      <c r="C184" s="96" t="n">
        <v>184</v>
      </c>
      <c r="D184" s="2" t="n"/>
      <c r="E184" s="2">
        <f>B184</f>
        <v/>
      </c>
      <c r="F184" s="3">
        <f>B184</f>
        <v/>
      </c>
      <c r="G184" s="96" t="n">
        <v>182</v>
      </c>
      <c r="H184" s="97" t="n"/>
      <c r="I184" s="97" t="n"/>
      <c r="J184" s="97" t="n"/>
      <c r="K184" s="97" t="n"/>
      <c r="L184" s="97" t="n"/>
      <c r="M184" s="97" t="n"/>
      <c r="N184" s="97" t="n"/>
      <c r="O184" s="97" t="n"/>
      <c r="P184" s="97" t="n"/>
      <c r="Q184" s="97" t="n"/>
      <c r="R184" s="97" t="n"/>
      <c r="S184" s="97" t="n"/>
      <c r="T184" s="97" t="n"/>
      <c r="U184" s="97" t="n"/>
      <c r="V184" s="97" t="n"/>
      <c r="W184" s="97" t="n"/>
      <c r="X184" s="97" t="n"/>
      <c r="Y184" s="97" t="n"/>
      <c r="Z184" s="97" t="n"/>
      <c r="AA184" s="97" t="n"/>
      <c r="AB184" s="97" t="n"/>
      <c r="AC184" s="97" t="n"/>
      <c r="AD184" s="97" t="n"/>
      <c r="AE184" s="97" t="n"/>
      <c r="AF184" s="97" t="n"/>
      <c r="AG184" s="97" t="n"/>
      <c r="AH184" s="97" t="n"/>
      <c r="AI184" s="97" t="n"/>
      <c r="AJ184" s="97" t="n"/>
      <c r="AK184" s="97" t="n"/>
      <c r="AL184" s="97" t="n"/>
      <c r="AM184" s="97" t="n"/>
      <c r="AN184" s="97" t="n"/>
      <c r="AO184" s="97" t="n">
        <v>5.452813</v>
      </c>
      <c r="AP184" s="97" t="n"/>
      <c r="AQ184" s="97" t="n"/>
      <c r="AR184" s="97" t="n"/>
      <c r="AS184" s="97" t="n">
        <v>-0.7105359999999999</v>
      </c>
      <c r="AT184" s="97" t="n"/>
      <c r="AU184" s="97" t="n">
        <v>-0.849714</v>
      </c>
      <c r="AV184" s="97" t="n"/>
      <c r="AW184" s="97" t="n"/>
      <c r="AX184" s="97" t="n"/>
      <c r="AY184" s="97" t="n"/>
    </row>
    <row r="185" s="135">
      <c r="A185" t="inlineStr">
        <is>
          <t>1934-04</t>
        </is>
      </c>
      <c r="B185" s="2" t="n">
        <v>12510</v>
      </c>
      <c r="C185" s="96" t="n">
        <v>185</v>
      </c>
      <c r="D185" s="2" t="n"/>
      <c r="E185" s="2">
        <f>B185</f>
        <v/>
      </c>
      <c r="F185" s="3">
        <f>B185</f>
        <v/>
      </c>
      <c r="G185" s="96" t="n">
        <v>183</v>
      </c>
      <c r="H185" s="97" t="n"/>
      <c r="I185" s="97" t="n"/>
      <c r="J185" s="97" t="n"/>
      <c r="K185" s="97" t="n"/>
      <c r="L185" s="97" t="n"/>
      <c r="M185" s="97" t="n"/>
      <c r="N185" s="97" t="n"/>
      <c r="O185" s="97" t="n"/>
      <c r="P185" s="97" t="n"/>
      <c r="Q185" s="97" t="n"/>
      <c r="R185" s="97" t="n"/>
      <c r="S185" s="97" t="n"/>
      <c r="T185" s="97" t="n"/>
      <c r="U185" s="97" t="n"/>
      <c r="V185" s="97" t="n"/>
      <c r="W185" s="97" t="n"/>
      <c r="X185" s="97" t="n"/>
      <c r="Y185" s="97" t="n"/>
      <c r="Z185" s="97" t="n"/>
      <c r="AA185" s="97" t="n"/>
      <c r="AB185" s="97" t="n"/>
      <c r="AC185" s="97" t="n"/>
      <c r="AD185" s="97" t="n"/>
      <c r="AE185" s="97" t="n"/>
      <c r="AF185" s="97" t="n"/>
      <c r="AG185" s="97" t="n"/>
      <c r="AH185" s="97" t="n"/>
      <c r="AI185" s="97" t="n"/>
      <c r="AJ185" s="97" t="n"/>
      <c r="AK185" s="97" t="n"/>
      <c r="AL185" s="97" t="n"/>
      <c r="AM185" s="97" t="n"/>
      <c r="AN185" s="97" t="n"/>
      <c r="AO185" s="97" t="n">
        <v>5.452813</v>
      </c>
      <c r="AP185" s="97" t="n"/>
      <c r="AQ185" s="97" t="n"/>
      <c r="AR185" s="97" t="n"/>
      <c r="AS185" s="97" t="n">
        <v>0.043779</v>
      </c>
      <c r="AT185" s="97" t="n"/>
      <c r="AU185" s="97" t="n">
        <v>0.885902</v>
      </c>
      <c r="AV185" s="97" t="n"/>
      <c r="AW185" s="97" t="n"/>
      <c r="AX185" s="97" t="n"/>
      <c r="AY185" s="97" t="n"/>
    </row>
    <row r="186" s="135">
      <c r="A186" t="inlineStr">
        <is>
          <t>1934-05</t>
        </is>
      </c>
      <c r="B186" s="2" t="n">
        <v>12540</v>
      </c>
      <c r="C186" s="96" t="n">
        <v>186</v>
      </c>
      <c r="D186" s="2" t="n"/>
      <c r="E186" s="2">
        <f>B186</f>
        <v/>
      </c>
      <c r="F186" s="3">
        <f>B186</f>
        <v/>
      </c>
      <c r="G186" s="96" t="n">
        <v>184</v>
      </c>
      <c r="H186" s="97" t="n"/>
      <c r="I186" s="97" t="n"/>
      <c r="J186" s="97" t="n"/>
      <c r="K186" s="97" t="n"/>
      <c r="L186" s="97" t="n"/>
      <c r="M186" s="97" t="n"/>
      <c r="N186" s="97" t="n"/>
      <c r="O186" s="97" t="n"/>
      <c r="P186" s="97" t="n"/>
      <c r="Q186" s="97" t="n"/>
      <c r="R186" s="97" t="n"/>
      <c r="S186" s="97" t="n"/>
      <c r="T186" s="97" t="n"/>
      <c r="U186" s="97" t="n"/>
      <c r="V186" s="97" t="n"/>
      <c r="W186" s="97" t="n"/>
      <c r="X186" s="97" t="n"/>
      <c r="Y186" s="97" t="n"/>
      <c r="Z186" s="97" t="n"/>
      <c r="AA186" s="97" t="n"/>
      <c r="AB186" s="97" t="n"/>
      <c r="AC186" s="97" t="n"/>
      <c r="AD186" s="97" t="n"/>
      <c r="AE186" s="97" t="n"/>
      <c r="AF186" s="97" t="n"/>
      <c r="AG186" s="97" t="n"/>
      <c r="AH186" s="97" t="n"/>
      <c r="AI186" s="97" t="n"/>
      <c r="AJ186" s="97" t="n"/>
      <c r="AK186" s="97" t="n"/>
      <c r="AL186" s="97" t="n"/>
      <c r="AM186" s="97" t="n"/>
      <c r="AN186" s="97" t="n"/>
      <c r="AO186" s="97" t="n">
        <v>5.559237</v>
      </c>
      <c r="AP186" s="97" t="n"/>
      <c r="AQ186" s="97" t="n"/>
      <c r="AR186" s="97" t="n"/>
      <c r="AS186" s="97" t="n">
        <v>0.773674</v>
      </c>
      <c r="AT186" s="97" t="n"/>
      <c r="AU186" s="97" t="n">
        <v>1.096857</v>
      </c>
      <c r="AV186" s="97" t="n"/>
      <c r="AW186" s="97" t="n"/>
      <c r="AX186" s="97" t="n"/>
      <c r="AY186" s="97" t="n"/>
      <c r="AZ186" t="n">
        <v>2.852959</v>
      </c>
    </row>
    <row r="187" s="135">
      <c r="A187" t="inlineStr">
        <is>
          <t>1934-06</t>
        </is>
      </c>
      <c r="B187" s="2" t="n">
        <v>12571</v>
      </c>
      <c r="C187" s="96" t="n">
        <v>187</v>
      </c>
      <c r="D187" s="2" t="n"/>
      <c r="E187" s="2">
        <f>B187</f>
        <v/>
      </c>
      <c r="F187" s="3">
        <f>B187</f>
        <v/>
      </c>
      <c r="G187" s="96" t="n">
        <v>185</v>
      </c>
      <c r="H187" s="97" t="n"/>
      <c r="I187" s="97" t="n"/>
      <c r="J187" s="97" t="n"/>
      <c r="K187" s="97" t="n"/>
      <c r="L187" s="97" t="n"/>
      <c r="M187" s="97" t="n"/>
      <c r="N187" s="97" t="n"/>
      <c r="O187" s="97" t="n"/>
      <c r="P187" s="97" t="n"/>
      <c r="Q187" s="97" t="n"/>
      <c r="R187" s="97" t="n"/>
      <c r="S187" s="97" t="n"/>
      <c r="T187" s="97" t="n"/>
      <c r="U187" s="97" t="n"/>
      <c r="V187" s="97" t="n"/>
      <c r="W187" s="97" t="n"/>
      <c r="X187" s="97" t="n"/>
      <c r="Y187" s="97" t="n"/>
      <c r="Z187" s="97" t="n"/>
      <c r="AA187" s="97" t="n"/>
      <c r="AB187" s="97" t="n"/>
      <c r="AC187" s="97" t="n"/>
      <c r="AD187" s="97" t="n"/>
      <c r="AE187" s="97" t="n"/>
      <c r="AF187" s="97" t="n"/>
      <c r="AG187" s="97" t="n"/>
      <c r="AH187" s="97" t="n"/>
      <c r="AI187" s="97" t="n"/>
      <c r="AJ187" s="97" t="n"/>
      <c r="AK187" s="97" t="n"/>
      <c r="AL187" s="97" t="n"/>
      <c r="AM187" s="97" t="n"/>
      <c r="AN187" s="97" t="n"/>
      <c r="AO187" s="97" t="n">
        <v>5.452813</v>
      </c>
      <c r="AP187" s="97" t="n"/>
      <c r="AQ187" s="97" t="n"/>
      <c r="AR187" s="97" t="n"/>
      <c r="AS187" s="97" t="n">
        <v>0.220969</v>
      </c>
      <c r="AT187" s="97" t="n"/>
      <c r="AU187" s="97" t="n">
        <v>1.439518</v>
      </c>
      <c r="AV187" s="97" t="n"/>
      <c r="AW187" s="97" t="n"/>
      <c r="AX187" s="97" t="n"/>
      <c r="AY187" s="97" t="n"/>
      <c r="AZ187" t="n">
        <v>2.010236</v>
      </c>
    </row>
    <row r="188" s="135">
      <c r="A188" t="inlineStr">
        <is>
          <t>1934-07</t>
        </is>
      </c>
      <c r="B188" s="2" t="n">
        <v>12601</v>
      </c>
      <c r="C188" s="96" t="n">
        <v>188</v>
      </c>
      <c r="D188" s="2" t="n"/>
      <c r="E188" s="2">
        <f>B188</f>
        <v/>
      </c>
      <c r="F188" s="3">
        <f>B188</f>
        <v/>
      </c>
      <c r="G188" s="96" t="n">
        <v>186</v>
      </c>
      <c r="H188" s="97" t="n"/>
      <c r="I188" s="97" t="n"/>
      <c r="J188" s="97" t="n"/>
      <c r="K188" s="97" t="n"/>
      <c r="L188" s="97" t="n"/>
      <c r="M188" s="97" t="n"/>
      <c r="N188" s="97" t="n"/>
      <c r="O188" s="97" t="n"/>
      <c r="P188" s="97" t="n"/>
      <c r="Q188" s="97" t="n"/>
      <c r="R188" s="97" t="n"/>
      <c r="S188" s="97" t="n"/>
      <c r="T188" s="97" t="n"/>
      <c r="U188" s="97" t="n"/>
      <c r="V188" s="97" t="n"/>
      <c r="W188" s="97" t="n"/>
      <c r="X188" s="97" t="n"/>
      <c r="Y188" s="97" t="n"/>
      <c r="Z188" s="97" t="n"/>
      <c r="AA188" s="97" t="n"/>
      <c r="AB188" s="97" t="n"/>
      <c r="AC188" s="97" t="n"/>
      <c r="AD188" s="97" t="n"/>
      <c r="AE188" s="97" t="n"/>
      <c r="AF188" s="97" t="n"/>
      <c r="AG188" s="97" t="n"/>
      <c r="AH188" s="97" t="n"/>
      <c r="AI188" s="97" t="n"/>
      <c r="AJ188" s="97" t="n"/>
      <c r="AK188" s="97" t="n"/>
      <c r="AL188" s="97" t="n"/>
      <c r="AM188" s="97" t="n"/>
      <c r="AN188" s="97" t="n"/>
      <c r="AO188" s="97" t="n">
        <v>5.080423</v>
      </c>
      <c r="AP188" s="97" t="n"/>
      <c r="AQ188" s="97" t="n"/>
      <c r="AR188" s="97" t="n"/>
      <c r="AS188" s="97" t="n">
        <v>0.480108</v>
      </c>
      <c r="AT188" s="97" t="n"/>
      <c r="AU188" s="97" t="n">
        <v>0.740852</v>
      </c>
      <c r="AV188" s="97" t="n"/>
      <c r="AW188" s="97" t="n"/>
      <c r="AX188" s="97" t="n"/>
      <c r="AY188" s="97" t="n"/>
      <c r="AZ188" t="n">
        <v>0.805455</v>
      </c>
    </row>
    <row r="189" s="135">
      <c r="A189" t="inlineStr">
        <is>
          <t>1934-08</t>
        </is>
      </c>
      <c r="B189" s="2" t="n">
        <v>12632</v>
      </c>
      <c r="C189" s="96" t="n">
        <v>189</v>
      </c>
      <c r="D189" s="2" t="n"/>
      <c r="E189" s="2">
        <f>B189</f>
        <v/>
      </c>
      <c r="F189" s="3">
        <f>B189</f>
        <v/>
      </c>
      <c r="G189" s="96" t="n">
        <v>187</v>
      </c>
      <c r="H189" s="97" t="n"/>
      <c r="I189" s="97" t="n"/>
      <c r="J189" s="97" t="n"/>
      <c r="K189" s="97" t="n"/>
      <c r="L189" s="97" t="n"/>
      <c r="M189" s="97" t="n"/>
      <c r="N189" s="97" t="n"/>
      <c r="O189" s="97" t="n"/>
      <c r="P189" s="97" t="n"/>
      <c r="Q189" s="97" t="n"/>
      <c r="R189" s="97" t="n"/>
      <c r="S189" s="97" t="n"/>
      <c r="T189" s="97" t="n"/>
      <c r="U189" s="97" t="n"/>
      <c r="V189" s="97" t="n"/>
      <c r="W189" s="97" t="n"/>
      <c r="X189" s="97" t="n"/>
      <c r="Y189" s="97" t="n"/>
      <c r="Z189" s="97" t="n"/>
      <c r="AA189" s="97" t="n"/>
      <c r="AB189" s="97" t="n"/>
      <c r="AC189" s="97" t="n"/>
      <c r="AD189" s="97" t="n"/>
      <c r="AE189" s="97" t="n"/>
      <c r="AF189" s="97" t="n"/>
      <c r="AG189" s="97" t="n"/>
      <c r="AH189" s="97" t="n"/>
      <c r="AI189" s="97" t="n"/>
      <c r="AJ189" s="97" t="n"/>
      <c r="AK189" s="97" t="n"/>
      <c r="AL189" s="97" t="n"/>
      <c r="AM189" s="97" t="n"/>
      <c r="AN189" s="97" t="n"/>
      <c r="AO189" s="97" t="n">
        <v>5.027211</v>
      </c>
      <c r="AP189" s="97" t="n"/>
      <c r="AQ189" s="97" t="n"/>
      <c r="AR189" s="97" t="n"/>
      <c r="AS189" s="97" t="n">
        <v>0.466317</v>
      </c>
      <c r="AT189" s="97" t="n"/>
      <c r="AU189" s="97" t="n">
        <v>-0.142492</v>
      </c>
      <c r="AV189" s="97" t="n"/>
      <c r="AW189" s="97" t="n"/>
      <c r="AX189" s="97" t="n"/>
      <c r="AY189" s="97" t="n"/>
      <c r="AZ189" t="n">
        <v>1.421339</v>
      </c>
    </row>
    <row r="190" s="135">
      <c r="A190" t="inlineStr">
        <is>
          <t>1934-09</t>
        </is>
      </c>
      <c r="B190" s="2" t="n">
        <v>12663</v>
      </c>
      <c r="C190" s="96" t="n">
        <v>190</v>
      </c>
      <c r="D190" s="2" t="n"/>
      <c r="E190" s="2">
        <f>B190</f>
        <v/>
      </c>
      <c r="F190" s="3">
        <f>B190</f>
        <v/>
      </c>
      <c r="G190" s="96" t="n">
        <v>188</v>
      </c>
      <c r="H190" s="97" t="n"/>
      <c r="I190" s="97" t="n"/>
      <c r="J190" s="97" t="n"/>
      <c r="K190" s="97" t="n"/>
      <c r="L190" s="97" t="n"/>
      <c r="M190" s="97" t="n"/>
      <c r="N190" s="97" t="n"/>
      <c r="O190" s="97" t="n"/>
      <c r="P190" s="97" t="n"/>
      <c r="Q190" s="97" t="n"/>
      <c r="R190" s="97" t="n"/>
      <c r="S190" s="97" t="n"/>
      <c r="T190" s="97" t="n"/>
      <c r="U190" s="97" t="n"/>
      <c r="V190" s="97" t="n"/>
      <c r="W190" s="97" t="n"/>
      <c r="X190" s="97" t="n"/>
      <c r="Y190" s="97" t="n"/>
      <c r="Z190" s="97" t="n"/>
      <c r="AA190" s="97" t="n"/>
      <c r="AB190" s="97" t="n"/>
      <c r="AC190" s="97" t="n"/>
      <c r="AD190" s="97" t="n"/>
      <c r="AE190" s="97" t="n"/>
      <c r="AF190" s="97" t="n"/>
      <c r="AG190" s="97" t="n"/>
      <c r="AH190" s="97" t="n"/>
      <c r="AI190" s="97" t="n"/>
      <c r="AJ190" s="97" t="n"/>
      <c r="AK190" s="97" t="n"/>
      <c r="AL190" s="97" t="n"/>
      <c r="AM190" s="97" t="n"/>
      <c r="AN190" s="97" t="n"/>
      <c r="AO190" s="97" t="n">
        <v>4.73464</v>
      </c>
      <c r="AP190" s="97" t="n"/>
      <c r="AQ190" s="97" t="n"/>
      <c r="AR190" s="97" t="n"/>
      <c r="AS190" s="97" t="n">
        <v>-0.319434</v>
      </c>
      <c r="AT190" s="97" t="n"/>
      <c r="AU190" s="97" t="n">
        <v>1.084857</v>
      </c>
      <c r="AV190" s="97" t="n"/>
      <c r="AW190" s="97" t="n"/>
      <c r="AX190" s="97" t="n"/>
      <c r="AY190" s="97" t="n"/>
      <c r="AZ190" t="n">
        <v>2.06826</v>
      </c>
    </row>
    <row r="191" s="135">
      <c r="A191" t="inlineStr">
        <is>
          <t>1934-10</t>
        </is>
      </c>
      <c r="B191" s="2" t="n">
        <v>12693</v>
      </c>
      <c r="C191" s="96" t="n">
        <v>191</v>
      </c>
      <c r="D191" s="2" t="n"/>
      <c r="E191" s="2">
        <f>B191</f>
        <v/>
      </c>
      <c r="F191" s="3">
        <f>B191</f>
        <v/>
      </c>
      <c r="G191" s="96" t="n">
        <v>189</v>
      </c>
      <c r="H191" s="97" t="n"/>
      <c r="I191" s="97" t="n"/>
      <c r="J191" s="97" t="n"/>
      <c r="K191" s="97" t="n"/>
      <c r="L191" s="97" t="n"/>
      <c r="M191" s="97" t="n"/>
      <c r="N191" s="97" t="n"/>
      <c r="O191" s="97" t="n"/>
      <c r="P191" s="97" t="n"/>
      <c r="Q191" s="97" t="n"/>
      <c r="R191" s="97" t="n"/>
      <c r="S191" s="97" t="n"/>
      <c r="T191" s="97" t="n"/>
      <c r="U191" s="97" t="n"/>
      <c r="V191" s="97" t="n"/>
      <c r="W191" s="97" t="n"/>
      <c r="X191" s="97" t="n"/>
      <c r="Y191" s="97" t="n"/>
      <c r="Z191" s="97" t="n"/>
      <c r="AA191" s="97" t="n"/>
      <c r="AB191" s="97" t="n"/>
      <c r="AC191" s="97" t="n"/>
      <c r="AD191" s="97" t="n"/>
      <c r="AE191" s="97" t="n"/>
      <c r="AF191" s="97" t="n"/>
      <c r="AG191" s="97" t="n"/>
      <c r="AH191" s="97" t="n"/>
      <c r="AI191" s="97" t="n"/>
      <c r="AJ191" s="97" t="n"/>
      <c r="AK191" s="97" t="n"/>
      <c r="AL191" s="97" t="n"/>
      <c r="AM191" s="97" t="n"/>
      <c r="AN191" s="97" t="n"/>
      <c r="AO191" s="97" t="n">
        <v>4.947488</v>
      </c>
      <c r="AP191" s="97" t="n"/>
      <c r="AQ191" s="97" t="n"/>
      <c r="AR191" s="97" t="n"/>
      <c r="AS191" s="97" t="n">
        <v>0.690416</v>
      </c>
      <c r="AT191" s="97" t="n"/>
      <c r="AU191" s="97" t="n">
        <v>1.124755</v>
      </c>
      <c r="AV191" s="97" t="n"/>
      <c r="AW191" s="97" t="n"/>
      <c r="AX191" s="97" t="n"/>
      <c r="AY191" s="97" t="n"/>
      <c r="AZ191" t="n">
        <v>0.252391</v>
      </c>
    </row>
    <row r="192" s="135">
      <c r="A192" t="inlineStr">
        <is>
          <t>1934-11</t>
        </is>
      </c>
      <c r="B192" s="2" t="n">
        <v>12724</v>
      </c>
      <c r="C192" s="96" t="n">
        <v>192</v>
      </c>
      <c r="D192" s="2" t="n"/>
      <c r="E192" s="2">
        <f>B192</f>
        <v/>
      </c>
      <c r="F192" s="3">
        <f>B192</f>
        <v/>
      </c>
      <c r="G192" s="96" t="n">
        <v>190</v>
      </c>
      <c r="H192" s="97" t="n"/>
      <c r="I192" s="97" t="n"/>
      <c r="J192" s="97" t="n"/>
      <c r="K192" s="97" t="n"/>
      <c r="L192" s="97" t="n"/>
      <c r="M192" s="97" t="n"/>
      <c r="N192" s="97" t="n"/>
      <c r="O192" s="97" t="n"/>
      <c r="P192" s="97" t="n"/>
      <c r="Q192" s="97" t="n"/>
      <c r="R192" s="97" t="n"/>
      <c r="S192" s="97" t="n"/>
      <c r="T192" s="97" t="n"/>
      <c r="U192" s="97" t="n"/>
      <c r="V192" s="97" t="n"/>
      <c r="W192" s="97" t="n"/>
      <c r="X192" s="97" t="n"/>
      <c r="Y192" s="97" t="n"/>
      <c r="Z192" s="97" t="n"/>
      <c r="AA192" s="97" t="n"/>
      <c r="AB192" s="97" t="n"/>
      <c r="AC192" s="97" t="n"/>
      <c r="AD192" s="97" t="n"/>
      <c r="AE192" s="97" t="n"/>
      <c r="AF192" s="97" t="n"/>
      <c r="AG192" s="97" t="n"/>
      <c r="AH192" s="97" t="n"/>
      <c r="AI192" s="97" t="n"/>
      <c r="AJ192" s="97" t="n"/>
      <c r="AK192" s="97" t="n"/>
      <c r="AL192" s="97" t="n"/>
      <c r="AM192" s="97" t="n"/>
      <c r="AN192" s="97" t="n"/>
      <c r="AO192" s="97" t="n">
        <v>5.000605</v>
      </c>
      <c r="AP192" s="97" t="n"/>
      <c r="AQ192" s="97" t="n"/>
      <c r="AR192" s="97" t="n"/>
      <c r="AS192" s="97" t="n">
        <v>0.337664</v>
      </c>
      <c r="AT192" s="97" t="n"/>
      <c r="AU192" s="97" t="n">
        <v>1.669118</v>
      </c>
      <c r="AV192" s="97" t="n"/>
      <c r="AW192" s="97" t="n"/>
      <c r="AX192" s="97" t="n"/>
      <c r="AY192" s="97" t="n"/>
      <c r="AZ192" t="n">
        <v>1.240935</v>
      </c>
    </row>
    <row r="193" s="135">
      <c r="A193" t="inlineStr">
        <is>
          <t>1934-12</t>
        </is>
      </c>
      <c r="B193" s="2" t="n">
        <v>12754</v>
      </c>
      <c r="C193" s="96" t="n">
        <v>193</v>
      </c>
      <c r="D193" s="2" t="n"/>
      <c r="E193" s="2">
        <f>B193</f>
        <v/>
      </c>
      <c r="F193" s="3">
        <f>B193</f>
        <v/>
      </c>
      <c r="G193" s="96" t="n">
        <v>191</v>
      </c>
      <c r="H193" s="97" t="n"/>
      <c r="I193" s="97" t="n"/>
      <c r="J193" s="97" t="n"/>
      <c r="K193" s="97" t="n"/>
      <c r="L193" s="97" t="n"/>
      <c r="M193" s="97" t="n"/>
      <c r="N193" s="97" t="n"/>
      <c r="O193" s="97" t="n"/>
      <c r="P193" s="97" t="n"/>
      <c r="Q193" s="97" t="n"/>
      <c r="R193" s="97" t="n"/>
      <c r="S193" s="97" t="n"/>
      <c r="T193" s="97" t="n"/>
      <c r="U193" s="97" t="n"/>
      <c r="V193" s="97" t="n"/>
      <c r="W193" s="97" t="n"/>
      <c r="X193" s="97" t="n"/>
      <c r="Y193" s="97" t="n"/>
      <c r="Z193" s="97" t="n"/>
      <c r="AA193" s="97" t="n"/>
      <c r="AB193" s="97" t="n"/>
      <c r="AC193" s="97" t="n"/>
      <c r="AD193" s="97" t="n"/>
      <c r="AE193" s="97" t="n"/>
      <c r="AF193" s="97" t="n"/>
      <c r="AG193" s="97" t="n"/>
      <c r="AH193" s="97" t="n"/>
      <c r="AI193" s="97" t="n"/>
      <c r="AJ193" s="97" t="n"/>
      <c r="AK193" s="97" t="n"/>
      <c r="AL193" s="97" t="n"/>
      <c r="AM193" s="97" t="n"/>
      <c r="AN193" s="97" t="n"/>
      <c r="AO193" s="97" t="n">
        <v>5.319878</v>
      </c>
      <c r="AP193" s="97" t="n"/>
      <c r="AQ193" s="97" t="n"/>
      <c r="AR193" s="97" t="n"/>
      <c r="AS193" s="97" t="n">
        <v>-0.552884</v>
      </c>
      <c r="AT193" s="97" t="n"/>
      <c r="AU193" s="97" t="n">
        <v>0.361223</v>
      </c>
      <c r="AV193" s="97" t="n"/>
      <c r="AW193" s="97" t="n"/>
      <c r="AX193" s="97" t="n"/>
      <c r="AY193" s="97" t="n"/>
      <c r="AZ193" t="n">
        <v>-1.543122</v>
      </c>
    </row>
    <row r="194" s="135">
      <c r="A194" t="inlineStr">
        <is>
          <t>1935-01</t>
        </is>
      </c>
      <c r="B194" s="2" t="n">
        <v>12785</v>
      </c>
      <c r="C194" s="96" t="n">
        <v>194</v>
      </c>
      <c r="D194" s="2" t="n"/>
      <c r="E194" s="2">
        <f>B194</f>
        <v/>
      </c>
      <c r="F194" s="3">
        <f>B194</f>
        <v/>
      </c>
      <c r="G194" s="96" t="n">
        <v>192</v>
      </c>
      <c r="H194" s="97" t="n"/>
      <c r="I194" s="97" t="n"/>
      <c r="J194" s="97" t="n"/>
      <c r="K194" s="97" t="n"/>
      <c r="L194" s="97" t="n"/>
      <c r="M194" s="97" t="n"/>
      <c r="N194" s="97" t="n"/>
      <c r="O194" s="97" t="n"/>
      <c r="P194" s="97" t="n"/>
      <c r="Q194" s="97" t="n"/>
      <c r="R194" s="97" t="n"/>
      <c r="S194" s="97" t="n"/>
      <c r="T194" s="97" t="n"/>
      <c r="U194" s="97" t="n"/>
      <c r="V194" s="97" t="n"/>
      <c r="W194" s="97" t="n"/>
      <c r="X194" s="97" t="n"/>
      <c r="Y194" s="97" t="n"/>
      <c r="Z194" s="97" t="n"/>
      <c r="AA194" s="97" t="n"/>
      <c r="AB194" s="97" t="n"/>
      <c r="AC194" s="97" t="n"/>
      <c r="AD194" s="97" t="n"/>
      <c r="AE194" s="97" t="n"/>
      <c r="AF194" s="97" t="n"/>
      <c r="AG194" s="97" t="n"/>
      <c r="AH194" s="97" t="n"/>
      <c r="AI194" s="97" t="n"/>
      <c r="AJ194" s="97" t="n"/>
      <c r="AK194" s="97" t="n"/>
      <c r="AL194" s="97" t="n"/>
      <c r="AM194" s="97" t="n"/>
      <c r="AN194" s="97" t="n"/>
      <c r="AO194" s="97" t="n">
        <v>5.745384</v>
      </c>
      <c r="AP194" s="97" t="n">
        <v>0.5994119999999999</v>
      </c>
      <c r="AQ194" s="97" t="n"/>
      <c r="AR194" s="97" t="n"/>
      <c r="AS194" s="97" t="n">
        <v>0.262247</v>
      </c>
      <c r="AT194" s="97" t="n"/>
      <c r="AU194" s="97" t="n">
        <v>0.444021</v>
      </c>
      <c r="AV194" s="97" t="n"/>
      <c r="AW194" s="97" t="n"/>
      <c r="AX194" s="97" t="n"/>
      <c r="AY194" s="97" t="n"/>
      <c r="AZ194" t="n">
        <v>-3.790304</v>
      </c>
    </row>
    <row r="195" s="135">
      <c r="A195" t="inlineStr">
        <is>
          <t>1935-02</t>
        </is>
      </c>
      <c r="B195" s="2" t="n">
        <v>12816</v>
      </c>
      <c r="C195" s="96" t="n">
        <v>195</v>
      </c>
      <c r="D195" s="2" t="n"/>
      <c r="E195" s="2">
        <f>B195</f>
        <v/>
      </c>
      <c r="F195" s="3">
        <f>B195</f>
        <v/>
      </c>
      <c r="G195" s="96" t="n">
        <v>193</v>
      </c>
      <c r="H195" s="97" t="n"/>
      <c r="I195" s="97" t="n"/>
      <c r="J195" s="97" t="n"/>
      <c r="K195" s="97" t="n"/>
      <c r="L195" s="97" t="n"/>
      <c r="M195" s="97" t="n"/>
      <c r="N195" s="97" t="n"/>
      <c r="O195" s="97" t="n"/>
      <c r="P195" s="97" t="n"/>
      <c r="Q195" s="97" t="n"/>
      <c r="R195" s="97" t="n"/>
      <c r="S195" s="97" t="n"/>
      <c r="T195" s="97" t="n"/>
      <c r="U195" s="97" t="n"/>
      <c r="V195" s="97" t="n"/>
      <c r="W195" s="97" t="n"/>
      <c r="X195" s="97" t="n"/>
      <c r="Y195" s="97" t="n"/>
      <c r="Z195" s="97" t="n"/>
      <c r="AA195" s="97" t="n"/>
      <c r="AB195" s="97" t="n"/>
      <c r="AC195" s="97" t="n"/>
      <c r="AD195" s="97" t="n"/>
      <c r="AE195" s="97" t="n"/>
      <c r="AF195" s="97" t="n"/>
      <c r="AG195" s="97" t="n"/>
      <c r="AH195" s="97" t="n"/>
      <c r="AI195" s="97" t="n"/>
      <c r="AJ195" s="97" t="n"/>
      <c r="AK195" s="97" t="n"/>
      <c r="AL195" s="97" t="n"/>
      <c r="AM195" s="97" t="n"/>
      <c r="AN195" s="97" t="n"/>
      <c r="AO195" s="97" t="n">
        <v>5.851808</v>
      </c>
      <c r="AP195" s="97" t="n">
        <v>0.29018</v>
      </c>
      <c r="AQ195" s="97" t="n"/>
      <c r="AR195" s="97" t="n"/>
      <c r="AS195" s="97" t="n">
        <v>0.702697</v>
      </c>
      <c r="AT195" s="97" t="n"/>
      <c r="AU195" s="97" t="n">
        <v>0.431641</v>
      </c>
      <c r="AV195" s="97" t="n"/>
      <c r="AW195" s="97" t="n"/>
      <c r="AX195" s="97" t="n"/>
      <c r="AY195" s="97" t="n"/>
      <c r="AZ195" t="n">
        <v>-0.3863</v>
      </c>
    </row>
    <row r="196" s="135">
      <c r="A196" t="inlineStr">
        <is>
          <t>1935-03</t>
        </is>
      </c>
      <c r="B196" s="2" t="n">
        <v>12844</v>
      </c>
      <c r="C196" s="96" t="n">
        <v>196</v>
      </c>
      <c r="D196" s="2" t="n"/>
      <c r="E196" s="2">
        <f>B196</f>
        <v/>
      </c>
      <c r="F196" s="3">
        <f>B196</f>
        <v/>
      </c>
      <c r="G196" s="96" t="n">
        <v>194</v>
      </c>
      <c r="H196" s="97" t="n"/>
      <c r="I196" s="97" t="n"/>
      <c r="J196" s="97" t="n"/>
      <c r="K196" s="97" t="n"/>
      <c r="L196" s="97" t="n"/>
      <c r="M196" s="97" t="n"/>
      <c r="N196" s="97" t="n"/>
      <c r="O196" s="97" t="n"/>
      <c r="P196" s="97" t="n"/>
      <c r="Q196" s="97" t="n"/>
      <c r="R196" s="97" t="n"/>
      <c r="S196" s="97" t="n"/>
      <c r="T196" s="97" t="n"/>
      <c r="U196" s="97" t="n"/>
      <c r="V196" s="97" t="n"/>
      <c r="W196" s="97" t="n"/>
      <c r="X196" s="97" t="n"/>
      <c r="Y196" s="97" t="n"/>
      <c r="Z196" s="97" t="n"/>
      <c r="AA196" s="97" t="n"/>
      <c r="AB196" s="97" t="n"/>
      <c r="AC196" s="97" t="n"/>
      <c r="AD196" s="97" t="n"/>
      <c r="AE196" s="97" t="n"/>
      <c r="AF196" s="97" t="n"/>
      <c r="AG196" s="97" t="n"/>
      <c r="AH196" s="97" t="n"/>
      <c r="AI196" s="97" t="n"/>
      <c r="AJ196" s="97" t="n"/>
      <c r="AK196" s="97" t="n"/>
      <c r="AL196" s="97" t="n"/>
      <c r="AM196" s="97" t="n"/>
      <c r="AN196" s="97" t="n"/>
      <c r="AO196" s="97" t="n">
        <v>5.825202</v>
      </c>
      <c r="AP196" s="97" t="n">
        <v>0.287762</v>
      </c>
      <c r="AQ196" s="97" t="n"/>
      <c r="AR196" s="97" t="n"/>
      <c r="AS196" s="97" t="n">
        <v>0.107137</v>
      </c>
      <c r="AT196" s="97" t="n"/>
      <c r="AU196" s="97" t="n">
        <v>0.394653</v>
      </c>
      <c r="AV196" s="97" t="n"/>
      <c r="AW196" s="97" t="n"/>
      <c r="AX196" s="97" t="n"/>
      <c r="AY196" s="97" t="n"/>
      <c r="AZ196" t="n">
        <v>0.766785</v>
      </c>
    </row>
    <row r="197" s="135">
      <c r="A197" t="inlineStr">
        <is>
          <t>1935-04</t>
        </is>
      </c>
      <c r="B197" s="2" t="n">
        <v>12875</v>
      </c>
      <c r="C197" s="96" t="n">
        <v>197</v>
      </c>
      <c r="D197" s="2" t="n"/>
      <c r="E197" s="2">
        <f>B197</f>
        <v/>
      </c>
      <c r="F197" s="3">
        <f>B197</f>
        <v/>
      </c>
      <c r="G197" s="96" t="n">
        <v>195</v>
      </c>
      <c r="H197" s="97" t="n"/>
      <c r="I197" s="97" t="n"/>
      <c r="J197" s="97" t="n"/>
      <c r="K197" s="97" t="n"/>
      <c r="L197" s="97" t="n"/>
      <c r="M197" s="97" t="n"/>
      <c r="N197" s="97" t="n"/>
      <c r="O197" s="97" t="n"/>
      <c r="P197" s="97" t="n"/>
      <c r="Q197" s="97" t="n"/>
      <c r="R197" s="97" t="n"/>
      <c r="S197" s="97" t="n"/>
      <c r="T197" s="97" t="n"/>
      <c r="U197" s="97" t="n"/>
      <c r="V197" s="97" t="n"/>
      <c r="W197" s="97" t="n"/>
      <c r="X197" s="97" t="n"/>
      <c r="Y197" s="97" t="n"/>
      <c r="Z197" s="97" t="n"/>
      <c r="AA197" s="97" t="n"/>
      <c r="AB197" s="97" t="n"/>
      <c r="AC197" s="97" t="n"/>
      <c r="AD197" s="97" t="n"/>
      <c r="AE197" s="97" t="n"/>
      <c r="AF197" s="97" t="n"/>
      <c r="AG197" s="97" t="n"/>
      <c r="AH197" s="97" t="n"/>
      <c r="AI197" s="97" t="n"/>
      <c r="AJ197" s="97" t="n"/>
      <c r="AK197" s="97" t="n"/>
      <c r="AL197" s="97" t="n"/>
      <c r="AM197" s="97" t="n"/>
      <c r="AN197" s="97" t="n"/>
      <c r="AO197" s="97" t="n">
        <v>5.718778</v>
      </c>
      <c r="AP197" s="97" t="n">
        <v>0.128258</v>
      </c>
      <c r="AQ197" s="97" t="n"/>
      <c r="AR197" s="97" t="n"/>
      <c r="AS197" s="97" t="n">
        <v>0.253144</v>
      </c>
      <c r="AT197" s="97" t="n"/>
      <c r="AU197" s="97" t="n">
        <v>1.403239</v>
      </c>
      <c r="AV197" s="97" t="n"/>
      <c r="AW197" s="97" t="n"/>
      <c r="AX197" s="97" t="n"/>
      <c r="AY197" s="97" t="n"/>
      <c r="AZ197" t="n">
        <v>2.74966</v>
      </c>
    </row>
    <row r="198" s="135">
      <c r="A198" t="inlineStr">
        <is>
          <t>1935-05</t>
        </is>
      </c>
      <c r="B198" s="2" t="n">
        <v>12905</v>
      </c>
      <c r="C198" s="96" t="n">
        <v>198</v>
      </c>
      <c r="D198" s="2" t="n"/>
      <c r="E198" s="2">
        <f>B198</f>
        <v/>
      </c>
      <c r="F198" s="3">
        <f>B198</f>
        <v/>
      </c>
      <c r="G198" s="96" t="n">
        <v>196</v>
      </c>
      <c r="H198" s="97" t="n"/>
      <c r="I198" s="97" t="n"/>
      <c r="J198" s="97" t="n"/>
      <c r="K198" s="97" t="n"/>
      <c r="L198" s="97" t="n"/>
      <c r="M198" s="97" t="n"/>
      <c r="N198" s="97" t="n"/>
      <c r="O198" s="97" t="n"/>
      <c r="P198" s="97" t="n"/>
      <c r="Q198" s="97" t="n"/>
      <c r="R198" s="97" t="n"/>
      <c r="S198" s="97" t="n"/>
      <c r="T198" s="97" t="n"/>
      <c r="U198" s="97" t="n"/>
      <c r="V198" s="97" t="n"/>
      <c r="W198" s="97" t="n"/>
      <c r="X198" s="97" t="n"/>
      <c r="Y198" s="97" t="n"/>
      <c r="Z198" s="97" t="n"/>
      <c r="AA198" s="97" t="n"/>
      <c r="AB198" s="97" t="n"/>
      <c r="AC198" s="97" t="n"/>
      <c r="AD198" s="97" t="n"/>
      <c r="AE198" s="97" t="n"/>
      <c r="AF198" s="97" t="n"/>
      <c r="AG198" s="97" t="n"/>
      <c r="AH198" s="97" t="n"/>
      <c r="AI198" s="97" t="n"/>
      <c r="AJ198" s="97" t="n"/>
      <c r="AK198" s="97" t="n"/>
      <c r="AL198" s="97" t="n"/>
      <c r="AM198" s="97" t="n"/>
      <c r="AN198" s="97" t="n"/>
      <c r="AO198" s="97" t="n">
        <v>5.718778</v>
      </c>
      <c r="AP198" s="97" t="n">
        <v>0.717378</v>
      </c>
      <c r="AQ198" s="97" t="n"/>
      <c r="AR198" s="97" t="n"/>
      <c r="AS198" s="97" t="n">
        <v>-0.269413</v>
      </c>
      <c r="AT198" s="97" t="n"/>
      <c r="AU198" s="97" t="n">
        <v>1.873041</v>
      </c>
      <c r="AV198" s="97" t="n"/>
      <c r="AW198" s="97" t="n"/>
      <c r="AX198" s="97" t="n"/>
      <c r="AY198" s="97" t="n">
        <v>-0.10174</v>
      </c>
      <c r="AZ198" t="n">
        <v>2.228766</v>
      </c>
    </row>
    <row r="199" s="135">
      <c r="A199" t="inlineStr">
        <is>
          <t>1935-06</t>
        </is>
      </c>
      <c r="B199" s="2" t="n">
        <v>12936</v>
      </c>
      <c r="C199" s="96" t="n">
        <v>199</v>
      </c>
      <c r="D199" s="2" t="n"/>
      <c r="E199" s="2">
        <f>B199</f>
        <v/>
      </c>
      <c r="F199" s="3">
        <f>B199</f>
        <v/>
      </c>
      <c r="G199" s="96" t="n">
        <v>197</v>
      </c>
      <c r="H199" s="97" t="n"/>
      <c r="I199" s="97" t="n"/>
      <c r="J199" s="97" t="n"/>
      <c r="K199" s="97" t="n"/>
      <c r="L199" s="97" t="n"/>
      <c r="M199" s="97" t="n"/>
      <c r="N199" s="97" t="n"/>
      <c r="O199" s="97" t="n"/>
      <c r="P199" s="97" t="n"/>
      <c r="Q199" s="97" t="n"/>
      <c r="R199" s="97" t="n"/>
      <c r="S199" s="97" t="n"/>
      <c r="T199" s="97" t="n"/>
      <c r="U199" s="97" t="n"/>
      <c r="V199" s="97" t="n"/>
      <c r="W199" s="97" t="n"/>
      <c r="X199" s="97" t="n"/>
      <c r="Y199" s="97" t="n"/>
      <c r="Z199" s="97" t="n"/>
      <c r="AA199" s="97" t="n"/>
      <c r="AB199" s="97" t="n"/>
      <c r="AC199" s="97" t="n"/>
      <c r="AD199" s="97" t="n"/>
      <c r="AE199" s="97" t="n"/>
      <c r="AF199" s="97" t="n"/>
      <c r="AG199" s="97" t="n"/>
      <c r="AH199" s="97" t="n"/>
      <c r="AI199" s="97" t="n"/>
      <c r="AJ199" s="97" t="n"/>
      <c r="AK199" s="97" t="n"/>
      <c r="AL199" s="97" t="n"/>
      <c r="AM199" s="97" t="n"/>
      <c r="AN199" s="97" t="n"/>
      <c r="AO199" s="97" t="n">
        <v>5.798596</v>
      </c>
      <c r="AP199" s="97" t="n">
        <v>0.648681</v>
      </c>
      <c r="AQ199" s="97" t="n"/>
      <c r="AR199" s="97" t="n"/>
      <c r="AS199" s="97" t="n">
        <v>-0.292629</v>
      </c>
      <c r="AT199" s="97" t="n">
        <v>0.488981</v>
      </c>
      <c r="AU199" s="97" t="n">
        <v>1.13476</v>
      </c>
      <c r="AV199" s="97" t="n"/>
      <c r="AW199" s="97" t="n"/>
      <c r="AX199" s="97" t="n"/>
      <c r="AY199" s="97" t="n">
        <v>3.898924</v>
      </c>
      <c r="AZ199" t="n">
        <v>2.296678</v>
      </c>
    </row>
    <row r="200" s="135">
      <c r="A200" t="inlineStr">
        <is>
          <t>1935-07</t>
        </is>
      </c>
      <c r="B200" s="2" t="n">
        <v>12966</v>
      </c>
      <c r="C200" s="96" t="n">
        <v>200</v>
      </c>
      <c r="D200" s="2" t="n"/>
      <c r="E200" s="2">
        <f>B200</f>
        <v/>
      </c>
      <c r="F200" s="3">
        <f>B200</f>
        <v/>
      </c>
      <c r="G200" s="96" t="n">
        <v>198</v>
      </c>
      <c r="H200" s="97" t="n"/>
      <c r="I200" s="97" t="n"/>
      <c r="J200" s="97" t="n"/>
      <c r="K200" s="97" t="n"/>
      <c r="L200" s="97" t="n"/>
      <c r="M200" s="97" t="n"/>
      <c r="N200" s="97" t="n"/>
      <c r="O200" s="97" t="n"/>
      <c r="P200" s="97" t="n"/>
      <c r="Q200" s="97" t="n"/>
      <c r="R200" s="97" t="n"/>
      <c r="S200" s="97" t="n"/>
      <c r="T200" s="97" t="n"/>
      <c r="U200" s="97" t="n"/>
      <c r="V200" s="97" t="n"/>
      <c r="W200" s="97" t="n"/>
      <c r="X200" s="97" t="n"/>
      <c r="Y200" s="97" t="n"/>
      <c r="Z200" s="97" t="n"/>
      <c r="AA200" s="97" t="n"/>
      <c r="AB200" s="97" t="n"/>
      <c r="AC200" s="97" t="n"/>
      <c r="AD200" s="97" t="n"/>
      <c r="AE200" s="97" t="n"/>
      <c r="AF200" s="97" t="n"/>
      <c r="AG200" s="97" t="n"/>
      <c r="AH200" s="97" t="n"/>
      <c r="AI200" s="97" t="n"/>
      <c r="AJ200" s="97" t="n"/>
      <c r="AK200" s="97" t="n"/>
      <c r="AL200" s="97" t="n"/>
      <c r="AM200" s="97" t="n"/>
      <c r="AN200" s="97" t="n"/>
      <c r="AO200" s="97" t="n">
        <v>5.798596</v>
      </c>
      <c r="AP200" s="97" t="n">
        <v>0.422721</v>
      </c>
      <c r="AQ200" s="97" t="n"/>
      <c r="AR200" s="97" t="n"/>
      <c r="AS200" s="97" t="n">
        <v>0.533012</v>
      </c>
      <c r="AT200" s="97" t="n">
        <v>1.585574</v>
      </c>
      <c r="AU200" s="97" t="n">
        <v>0.948474</v>
      </c>
      <c r="AV200" s="97" t="n"/>
      <c r="AW200" s="97" t="n"/>
      <c r="AX200" s="97" t="n"/>
      <c r="AY200" s="97" t="n">
        <v>-1.015052</v>
      </c>
      <c r="AZ200" t="n">
        <v>1.822266</v>
      </c>
    </row>
    <row r="201" s="135">
      <c r="A201" t="inlineStr">
        <is>
          <t>1935-08</t>
        </is>
      </c>
      <c r="B201" s="2" t="n">
        <v>12997</v>
      </c>
      <c r="C201" s="96" t="n">
        <v>201</v>
      </c>
      <c r="D201" s="2" t="n"/>
      <c r="E201" s="2">
        <f>B201</f>
        <v/>
      </c>
      <c r="F201" s="3">
        <f>B201</f>
        <v/>
      </c>
      <c r="G201" s="96" t="n">
        <v>199</v>
      </c>
      <c r="H201" s="97" t="n"/>
      <c r="I201" s="97" t="n"/>
      <c r="J201" s="97" t="n"/>
      <c r="K201" s="97" t="n"/>
      <c r="L201" s="97" t="n"/>
      <c r="M201" s="97" t="n"/>
      <c r="N201" s="97" t="n"/>
      <c r="O201" s="97" t="n"/>
      <c r="P201" s="97" t="n"/>
      <c r="Q201" s="97" t="n"/>
      <c r="R201" s="97" t="n"/>
      <c r="S201" s="97" t="n"/>
      <c r="T201" s="97" t="n"/>
      <c r="U201" s="97" t="n"/>
      <c r="V201" s="97" t="n"/>
      <c r="W201" s="97" t="n"/>
      <c r="X201" s="97" t="n"/>
      <c r="Y201" s="97" t="n"/>
      <c r="Z201" s="97" t="n"/>
      <c r="AA201" s="97" t="n"/>
      <c r="AB201" s="97" t="n"/>
      <c r="AC201" s="97" t="n"/>
      <c r="AD201" s="97" t="n"/>
      <c r="AE201" s="97" t="n"/>
      <c r="AF201" s="97" t="n"/>
      <c r="AG201" s="97" t="n"/>
      <c r="AH201" s="97" t="n"/>
      <c r="AI201" s="97" t="n"/>
      <c r="AJ201" s="97" t="n"/>
      <c r="AK201" s="97" t="n"/>
      <c r="AL201" s="97" t="n"/>
      <c r="AM201" s="97" t="n"/>
      <c r="AN201" s="97" t="n"/>
      <c r="AO201" s="97" t="n">
        <v>6.011445</v>
      </c>
      <c r="AP201" s="97" t="n">
        <v>0.216047</v>
      </c>
      <c r="AQ201" s="97" t="n"/>
      <c r="AR201" s="97" t="n"/>
      <c r="AS201" s="97" t="n">
        <v>0.761947</v>
      </c>
      <c r="AT201" s="97" t="n">
        <v>0.752362</v>
      </c>
      <c r="AU201" s="97" t="n">
        <v>0.287285</v>
      </c>
      <c r="AV201" s="97" t="n"/>
      <c r="AW201" s="97" t="n"/>
      <c r="AX201" s="97" t="n"/>
      <c r="AY201" s="97" t="n">
        <v>0.8943759999999999</v>
      </c>
      <c r="AZ201" t="n">
        <v>2.100205</v>
      </c>
    </row>
    <row r="202" s="135">
      <c r="A202" t="inlineStr">
        <is>
          <t>1935-09</t>
        </is>
      </c>
      <c r="B202" s="2" t="n">
        <v>13028</v>
      </c>
      <c r="C202" s="96" t="n">
        <v>202</v>
      </c>
      <c r="D202" s="2" t="n"/>
      <c r="E202" s="2">
        <f>B202</f>
        <v/>
      </c>
      <c r="F202" s="3">
        <f>B202</f>
        <v/>
      </c>
      <c r="G202" s="96" t="n">
        <v>200</v>
      </c>
      <c r="H202" s="97" t="n"/>
      <c r="I202" s="97" t="n"/>
      <c r="J202" s="97" t="n"/>
      <c r="K202" s="97" t="n"/>
      <c r="L202" s="97" t="n"/>
      <c r="M202" s="97" t="n"/>
      <c r="N202" s="97" t="n"/>
      <c r="O202" s="97" t="n"/>
      <c r="P202" s="97" t="n"/>
      <c r="Q202" s="97" t="n"/>
      <c r="R202" s="97" t="n"/>
      <c r="S202" s="97" t="n"/>
      <c r="T202" s="97" t="n"/>
      <c r="U202" s="97" t="n"/>
      <c r="V202" s="97" t="n"/>
      <c r="W202" s="97" t="n"/>
      <c r="X202" s="97" t="n"/>
      <c r="Y202" s="97" t="n"/>
      <c r="Z202" s="97" t="n"/>
      <c r="AA202" s="97" t="n"/>
      <c r="AB202" s="97" t="n"/>
      <c r="AC202" s="97" t="n"/>
      <c r="AD202" s="97" t="n"/>
      <c r="AE202" s="97" t="n"/>
      <c r="AF202" s="97" t="n"/>
      <c r="AG202" s="97" t="n"/>
      <c r="AH202" s="97" t="n"/>
      <c r="AI202" s="97" t="n"/>
      <c r="AJ202" s="97" t="n"/>
      <c r="AK202" s="97" t="n"/>
      <c r="AL202" s="97" t="n"/>
      <c r="AM202" s="97" t="n"/>
      <c r="AN202" s="97" t="n"/>
      <c r="AO202" s="97" t="n">
        <v>6.170986</v>
      </c>
      <c r="AP202" s="97" t="n">
        <v>1.290115</v>
      </c>
      <c r="AQ202" s="97" t="n"/>
      <c r="AR202" s="97" t="n"/>
      <c r="AS202" s="97" t="n">
        <v>0.7105399999999999</v>
      </c>
      <c r="AT202" s="97" t="n">
        <v>0.409848</v>
      </c>
      <c r="AU202" s="97" t="n">
        <v>0.611664</v>
      </c>
      <c r="AV202" s="97" t="n"/>
      <c r="AW202" s="97" t="n"/>
      <c r="AX202" s="97" t="n"/>
      <c r="AY202" s="97" t="n">
        <v>0.935087</v>
      </c>
      <c r="AZ202" t="n">
        <v>1.487514</v>
      </c>
    </row>
    <row r="203" s="135">
      <c r="A203" t="inlineStr">
        <is>
          <t>1935-10</t>
        </is>
      </c>
      <c r="B203" s="2" t="n">
        <v>13058</v>
      </c>
      <c r="C203" s="96" t="n">
        <v>203</v>
      </c>
      <c r="D203" s="2" t="n"/>
      <c r="E203" s="2">
        <f>B203</f>
        <v/>
      </c>
      <c r="F203" s="3">
        <f>B203</f>
        <v/>
      </c>
      <c r="G203" s="96" t="n">
        <v>201</v>
      </c>
      <c r="H203" s="97" t="n"/>
      <c r="I203" s="97" t="n"/>
      <c r="J203" s="97" t="n"/>
      <c r="K203" s="97" t="n"/>
      <c r="L203" s="97" t="n"/>
      <c r="M203" s="97" t="n"/>
      <c r="N203" s="97" t="n"/>
      <c r="O203" s="97" t="n"/>
      <c r="P203" s="97" t="n"/>
      <c r="Q203" s="97" t="n"/>
      <c r="R203" s="97" t="n"/>
      <c r="S203" s="97" t="n"/>
      <c r="T203" s="97" t="n"/>
      <c r="U203" s="97" t="n"/>
      <c r="V203" s="97" t="n"/>
      <c r="W203" s="97" t="n"/>
      <c r="X203" s="97" t="n"/>
      <c r="Y203" s="97" t="n"/>
      <c r="Z203" s="97" t="n"/>
      <c r="AA203" s="97" t="n"/>
      <c r="AB203" s="97" t="n"/>
      <c r="AC203" s="97" t="n"/>
      <c r="AD203" s="97" t="n"/>
      <c r="AE203" s="97" t="n"/>
      <c r="AF203" s="97" t="n"/>
      <c r="AG203" s="97" t="n"/>
      <c r="AH203" s="97" t="n"/>
      <c r="AI203" s="97" t="n"/>
      <c r="AJ203" s="97" t="n"/>
      <c r="AK203" s="97" t="n"/>
      <c r="AL203" s="97" t="n"/>
      <c r="AM203" s="97" t="n"/>
      <c r="AN203" s="97" t="n"/>
      <c r="AO203" s="97" t="n">
        <v>6.357228</v>
      </c>
      <c r="AP203" s="97" t="n">
        <v>0.766738</v>
      </c>
      <c r="AQ203" s="97" t="n"/>
      <c r="AR203" s="97" t="n"/>
      <c r="AS203" s="97" t="n">
        <v>1.187225</v>
      </c>
      <c r="AT203" s="97" t="n">
        <v>1.192832</v>
      </c>
      <c r="AU203" s="97" t="n">
        <v>0.208898</v>
      </c>
      <c r="AV203" s="97" t="n"/>
      <c r="AW203" s="97" t="n"/>
      <c r="AX203" s="97" t="n"/>
      <c r="AY203" s="97" t="n">
        <v>1.107052</v>
      </c>
      <c r="AZ203" t="n">
        <v>2.517217</v>
      </c>
    </row>
    <row r="204" s="135">
      <c r="A204" t="inlineStr">
        <is>
          <t>1935-11</t>
        </is>
      </c>
      <c r="B204" s="2" t="n">
        <v>13089</v>
      </c>
      <c r="C204" s="96" t="n">
        <v>204</v>
      </c>
      <c r="D204" s="2" t="n"/>
      <c r="E204" s="2">
        <f>B204</f>
        <v/>
      </c>
      <c r="F204" s="3">
        <f>B204</f>
        <v/>
      </c>
      <c r="G204" s="96" t="n">
        <v>202</v>
      </c>
      <c r="H204" s="97" t="n"/>
      <c r="I204" s="97" t="n"/>
      <c r="J204" s="97" t="n"/>
      <c r="K204" s="97" t="n"/>
      <c r="L204" s="97" t="n"/>
      <c r="M204" s="97" t="n"/>
      <c r="N204" s="97" t="n"/>
      <c r="O204" s="97" t="n"/>
      <c r="P204" s="97" t="n"/>
      <c r="Q204" s="97" t="n"/>
      <c r="R204" s="97" t="n"/>
      <c r="S204" s="97" t="n"/>
      <c r="T204" s="97" t="n"/>
      <c r="U204" s="97" t="n"/>
      <c r="V204" s="97" t="n"/>
      <c r="W204" s="97" t="n"/>
      <c r="X204" s="97" t="n"/>
      <c r="Y204" s="97" t="n"/>
      <c r="Z204" s="97" t="n"/>
      <c r="AA204" s="97" t="n"/>
      <c r="AB204" s="97" t="n"/>
      <c r="AC204" s="97" t="n"/>
      <c r="AD204" s="97" t="n"/>
      <c r="AE204" s="97" t="n"/>
      <c r="AF204" s="97" t="n"/>
      <c r="AG204" s="97" t="n"/>
      <c r="AH204" s="97" t="n"/>
      <c r="AI204" s="97" t="n"/>
      <c r="AJ204" s="97" t="n"/>
      <c r="AK204" s="97" t="n"/>
      <c r="AL204" s="97" t="n"/>
      <c r="AM204" s="97" t="n"/>
      <c r="AN204" s="97" t="n"/>
      <c r="AO204" s="97" t="n">
        <v>6.490163</v>
      </c>
      <c r="AP204" s="97" t="n">
        <v>1.100453</v>
      </c>
      <c r="AQ204" s="97" t="n"/>
      <c r="AR204" s="97" t="n"/>
      <c r="AS204" s="97" t="n">
        <v>0.918106</v>
      </c>
      <c r="AT204" s="97" t="n">
        <v>1.600856</v>
      </c>
      <c r="AU204" s="97" t="n">
        <v>0.150986</v>
      </c>
      <c r="AV204" s="97" t="n"/>
      <c r="AW204" s="97" t="n"/>
      <c r="AX204" s="97" t="n"/>
      <c r="AY204" s="97" t="n">
        <v>0.77367</v>
      </c>
      <c r="AZ204" t="n">
        <v>1.351458</v>
      </c>
    </row>
    <row r="205" s="135">
      <c r="A205" t="inlineStr">
        <is>
          <t>1935-12</t>
        </is>
      </c>
      <c r="B205" s="2" t="n">
        <v>13119</v>
      </c>
      <c r="C205" s="96" t="n">
        <v>205</v>
      </c>
      <c r="D205" s="2" t="n"/>
      <c r="E205" s="2">
        <f>B205</f>
        <v/>
      </c>
      <c r="F205" s="3">
        <f>B205</f>
        <v/>
      </c>
      <c r="G205" s="96" t="n">
        <v>203</v>
      </c>
      <c r="H205" s="97" t="n"/>
      <c r="I205" s="97" t="n"/>
      <c r="J205" s="97" t="n"/>
      <c r="K205" s="97" t="n"/>
      <c r="L205" s="97" t="n"/>
      <c r="M205" s="97" t="n"/>
      <c r="N205" s="97" t="n"/>
      <c r="O205" s="97" t="n"/>
      <c r="P205" s="97" t="n"/>
      <c r="Q205" s="97" t="n"/>
      <c r="R205" s="97" t="n"/>
      <c r="S205" s="97" t="n"/>
      <c r="T205" s="97" t="n"/>
      <c r="U205" s="97" t="n"/>
      <c r="V205" s="97" t="n"/>
      <c r="W205" s="97" t="n"/>
      <c r="X205" s="97" t="n"/>
      <c r="Y205" s="97" t="n"/>
      <c r="Z205" s="97" t="n"/>
      <c r="AA205" s="97" t="n"/>
      <c r="AB205" s="97" t="n"/>
      <c r="AC205" s="97" t="n"/>
      <c r="AD205" s="97" t="n"/>
      <c r="AE205" s="97" t="n"/>
      <c r="AF205" s="97" t="n"/>
      <c r="AG205" s="97" t="n"/>
      <c r="AH205" s="97" t="n"/>
      <c r="AI205" s="97" t="n"/>
      <c r="AJ205" s="97" t="n"/>
      <c r="AK205" s="97" t="n"/>
      <c r="AL205" s="97" t="n"/>
      <c r="AM205" s="97" t="n"/>
      <c r="AN205" s="97" t="n"/>
      <c r="AO205" s="97" t="n">
        <v>6.569981</v>
      </c>
      <c r="AP205" s="97" t="n">
        <v>0.612756</v>
      </c>
      <c r="AQ205" s="97" t="n"/>
      <c r="AR205" s="97" t="n"/>
      <c r="AS205" s="97" t="n">
        <v>0.699433</v>
      </c>
      <c r="AT205" s="97" t="n">
        <v>1.630075</v>
      </c>
      <c r="AU205" s="97" t="n">
        <v>0.126386</v>
      </c>
      <c r="AV205" s="97" t="n"/>
      <c r="AW205" s="97" t="n"/>
      <c r="AX205" s="97" t="n"/>
      <c r="AY205" s="97" t="n">
        <v>-1.88679</v>
      </c>
      <c r="AZ205" t="n">
        <v>0.517422</v>
      </c>
    </row>
    <row r="206" s="135">
      <c r="A206" t="inlineStr">
        <is>
          <t>1936-01</t>
        </is>
      </c>
      <c r="B206" s="2" t="n">
        <v>13150</v>
      </c>
      <c r="C206" s="96" t="n">
        <v>206</v>
      </c>
      <c r="D206" s="2" t="n"/>
      <c r="E206" s="2">
        <f>B206</f>
        <v/>
      </c>
      <c r="F206" s="3">
        <f>B206</f>
        <v/>
      </c>
      <c r="G206" s="96" t="n">
        <v>204</v>
      </c>
      <c r="H206" s="97" t="n"/>
      <c r="I206" s="97" t="n"/>
      <c r="J206" s="97" t="n"/>
      <c r="K206" s="97" t="n"/>
      <c r="L206" s="97" t="n"/>
      <c r="M206" s="97" t="n"/>
      <c r="N206" s="97" t="n"/>
      <c r="O206" s="97" t="n"/>
      <c r="P206" s="97" t="n"/>
      <c r="Q206" s="97" t="n"/>
      <c r="R206" s="97" t="n"/>
      <c r="S206" s="97" t="n"/>
      <c r="T206" s="97" t="n"/>
      <c r="U206" s="97" t="n"/>
      <c r="V206" s="97" t="n"/>
      <c r="W206" s="97" t="n"/>
      <c r="X206" s="97" t="n"/>
      <c r="Y206" s="97" t="n"/>
      <c r="Z206" s="97" t="n"/>
      <c r="AA206" s="97" t="n"/>
      <c r="AB206" s="97" t="n"/>
      <c r="AC206" s="97" t="n"/>
      <c r="AD206" s="97" t="n"/>
      <c r="AE206" s="97" t="n"/>
      <c r="AF206" s="97" t="n"/>
      <c r="AG206" s="97" t="n"/>
      <c r="AH206" s="97" t="n"/>
      <c r="AI206" s="97" t="n"/>
      <c r="AJ206" s="97" t="n"/>
      <c r="AK206" s="97" t="n"/>
      <c r="AL206" s="97" t="n"/>
      <c r="AM206" s="97" t="n"/>
      <c r="AN206" s="97" t="n"/>
      <c r="AO206" s="97" t="n">
        <v>6.463557</v>
      </c>
      <c r="AP206" s="97" t="n">
        <v>0.41789</v>
      </c>
      <c r="AQ206" s="97" t="n"/>
      <c r="AR206" s="97" t="n"/>
      <c r="AS206" s="97" t="n">
        <v>1.181725</v>
      </c>
      <c r="AT206" s="97" t="n">
        <v>1.310736</v>
      </c>
      <c r="AU206" s="97" t="n">
        <v>0.141419</v>
      </c>
      <c r="AV206" s="97" t="n"/>
      <c r="AW206" s="97" t="n"/>
      <c r="AX206" s="97" t="n">
        <v>-0.095249</v>
      </c>
      <c r="AY206" s="97" t="n">
        <v>1.525789</v>
      </c>
      <c r="AZ206" t="n">
        <v>1.959505</v>
      </c>
    </row>
    <row r="207" s="135">
      <c r="A207" t="inlineStr">
        <is>
          <t>1936-02</t>
        </is>
      </c>
      <c r="B207" s="2" t="n">
        <v>13181</v>
      </c>
      <c r="C207" s="96" t="n">
        <v>207</v>
      </c>
      <c r="D207" s="2" t="n"/>
      <c r="E207" s="2">
        <f>B207</f>
        <v/>
      </c>
      <c r="F207" s="3">
        <f>B207</f>
        <v/>
      </c>
      <c r="G207" s="96" t="n">
        <v>205</v>
      </c>
      <c r="H207" s="97" t="n"/>
      <c r="I207" s="97" t="n"/>
      <c r="J207" s="97" t="n"/>
      <c r="K207" s="97" t="n"/>
      <c r="L207" s="97" t="n"/>
      <c r="M207" s="97" t="n"/>
      <c r="N207" s="97" t="n"/>
      <c r="O207" s="97" t="n"/>
      <c r="P207" s="97" t="n"/>
      <c r="Q207" s="97" t="n"/>
      <c r="R207" s="97" t="n"/>
      <c r="S207" s="97" t="n"/>
      <c r="T207" s="97" t="n"/>
      <c r="U207" s="97" t="n"/>
      <c r="V207" s="97" t="n"/>
      <c r="W207" s="97" t="n"/>
      <c r="X207" s="97" t="n"/>
      <c r="Y207" s="97" t="n"/>
      <c r="Z207" s="97" t="n"/>
      <c r="AA207" s="97" t="n"/>
      <c r="AB207" s="97" t="n"/>
      <c r="AC207" s="97" t="n"/>
      <c r="AD207" s="97" t="n"/>
      <c r="AE207" s="97" t="n"/>
      <c r="AF207" s="97" t="n"/>
      <c r="AG207" s="97" t="n"/>
      <c r="AH207" s="97" t="n"/>
      <c r="AI207" s="97" t="n"/>
      <c r="AJ207" s="97" t="n"/>
      <c r="AK207" s="97" t="n"/>
      <c r="AL207" s="97" t="n"/>
      <c r="AM207" s="97" t="n"/>
      <c r="AN207" s="97" t="n"/>
      <c r="AO207" s="97" t="n">
        <v>6.304016</v>
      </c>
      <c r="AP207" s="97" t="n">
        <v>0.562276</v>
      </c>
      <c r="AQ207" s="97" t="n"/>
      <c r="AR207" s="97" t="n"/>
      <c r="AS207" s="97" t="n">
        <v>-0.100578</v>
      </c>
      <c r="AT207" s="97" t="n">
        <v>1.814746</v>
      </c>
      <c r="AU207" s="97" t="n">
        <v>-0.219162</v>
      </c>
      <c r="AV207" s="97" t="n"/>
      <c r="AW207" s="97" t="n"/>
      <c r="AX207" s="97" t="n">
        <v>0.495544</v>
      </c>
      <c r="AY207" s="97" t="n">
        <v>0.097457</v>
      </c>
      <c r="AZ207" t="n">
        <v>-0.304614</v>
      </c>
    </row>
    <row r="208" s="135">
      <c r="A208" t="inlineStr">
        <is>
          <t>1936-03</t>
        </is>
      </c>
      <c r="B208" s="2" t="n">
        <v>13210</v>
      </c>
      <c r="C208" s="96" t="n">
        <v>208</v>
      </c>
      <c r="D208" s="2" t="n"/>
      <c r="E208" s="2">
        <f>B208</f>
        <v/>
      </c>
      <c r="F208" s="3">
        <f>B208</f>
        <v/>
      </c>
      <c r="G208" s="96" t="n">
        <v>206</v>
      </c>
      <c r="H208" s="97" t="n"/>
      <c r="I208" s="97" t="n"/>
      <c r="J208" s="97" t="n"/>
      <c r="K208" s="97" t="n"/>
      <c r="L208" s="97" t="n"/>
      <c r="M208" s="97" t="n"/>
      <c r="N208" s="97" t="n"/>
      <c r="O208" s="97" t="n"/>
      <c r="P208" s="97" t="n"/>
      <c r="Q208" s="97" t="n"/>
      <c r="R208" s="97" t="n"/>
      <c r="S208" s="97" t="n"/>
      <c r="T208" s="97" t="n"/>
      <c r="U208" s="97" t="n"/>
      <c r="V208" s="97" t="n"/>
      <c r="W208" s="97" t="n"/>
      <c r="X208" s="97" t="n"/>
      <c r="Y208" s="97" t="n"/>
      <c r="Z208" s="97" t="n"/>
      <c r="AA208" s="97" t="n"/>
      <c r="AB208" s="97" t="n"/>
      <c r="AC208" s="97" t="n"/>
      <c r="AD208" s="97" t="n"/>
      <c r="AE208" s="97" t="n"/>
      <c r="AF208" s="97" t="n"/>
      <c r="AG208" s="97" t="n"/>
      <c r="AH208" s="97" t="n"/>
      <c r="AI208" s="97" t="n"/>
      <c r="AJ208" s="97" t="n"/>
      <c r="AK208" s="97" t="n"/>
      <c r="AL208" s="97" t="n"/>
      <c r="AM208" s="97" t="n"/>
      <c r="AN208" s="97" t="n"/>
      <c r="AO208" s="97" t="n">
        <v>6.383834</v>
      </c>
      <c r="AP208" s="97" t="n">
        <v>0.276106</v>
      </c>
      <c r="AQ208" s="97" t="n"/>
      <c r="AR208" s="97" t="n"/>
      <c r="AS208" s="97" t="n">
        <v>-0.338556</v>
      </c>
      <c r="AT208" s="97" t="n">
        <v>1.31071</v>
      </c>
      <c r="AU208" s="97" t="n">
        <v>0.096626</v>
      </c>
      <c r="AV208" s="97" t="n"/>
      <c r="AW208" s="97" t="n"/>
      <c r="AX208" s="97" t="n">
        <v>-2.592175</v>
      </c>
      <c r="AY208" s="97" t="n">
        <v>-1.175934</v>
      </c>
      <c r="AZ208" t="n">
        <v>-2.549266</v>
      </c>
    </row>
    <row r="209" s="135">
      <c r="A209" t="inlineStr">
        <is>
          <t>1936-04</t>
        </is>
      </c>
      <c r="B209" s="2" t="n">
        <v>13241</v>
      </c>
      <c r="C209" s="96" t="n">
        <v>209</v>
      </c>
      <c r="D209" s="2" t="n"/>
      <c r="E209" s="2">
        <f>B209</f>
        <v/>
      </c>
      <c r="F209" s="3">
        <f>B209</f>
        <v/>
      </c>
      <c r="G209" s="96" t="n">
        <v>207</v>
      </c>
      <c r="H209" s="97" t="n"/>
      <c r="I209" s="97" t="n"/>
      <c r="J209" s="97" t="n"/>
      <c r="K209" s="97" t="n"/>
      <c r="L209" s="97" t="n"/>
      <c r="M209" s="97" t="n"/>
      <c r="N209" s="97" t="n"/>
      <c r="O209" s="97" t="n"/>
      <c r="P209" s="97" t="n"/>
      <c r="Q209" s="97" t="n"/>
      <c r="R209" s="97" t="n"/>
      <c r="S209" s="97" t="n"/>
      <c r="T209" s="97" t="n"/>
      <c r="U209" s="97" t="n"/>
      <c r="V209" s="97" t="n"/>
      <c r="W209" s="97" t="n"/>
      <c r="X209" s="97" t="n"/>
      <c r="Y209" s="97" t="n"/>
      <c r="Z209" s="97" t="n"/>
      <c r="AA209" s="97" t="n"/>
      <c r="AB209" s="97" t="n"/>
      <c r="AC209" s="97" t="n"/>
      <c r="AD209" s="97" t="n"/>
      <c r="AE209" s="97" t="n"/>
      <c r="AF209" s="97" t="n"/>
      <c r="AG209" s="97" t="n"/>
      <c r="AH209" s="97" t="n"/>
      <c r="AI209" s="97" t="n"/>
      <c r="AJ209" s="97" t="n"/>
      <c r="AK209" s="97" t="n"/>
      <c r="AL209" s="97" t="n"/>
      <c r="AM209" s="97" t="n"/>
      <c r="AN209" s="97" t="n"/>
      <c r="AO209" s="97" t="n">
        <v>6.78283</v>
      </c>
      <c r="AP209" s="97" t="n">
        <v>0.857965</v>
      </c>
      <c r="AQ209" s="97" t="n"/>
      <c r="AR209" s="97" t="n"/>
      <c r="AS209" s="97" t="n">
        <v>0.063097</v>
      </c>
      <c r="AT209" s="97" t="n">
        <v>1.624153</v>
      </c>
      <c r="AU209" s="97" t="n">
        <v>0.919591</v>
      </c>
      <c r="AV209" s="97" t="n"/>
      <c r="AW209" s="97" t="n"/>
      <c r="AX209" s="97" t="n">
        <v>-2.53035</v>
      </c>
      <c r="AY209" s="97" t="n">
        <v>0.211806</v>
      </c>
      <c r="AZ209" t="n">
        <v>-1.245853</v>
      </c>
    </row>
    <row r="210" s="135">
      <c r="A210" t="inlineStr">
        <is>
          <t>1936-05</t>
        </is>
      </c>
      <c r="B210" s="2" t="n">
        <v>13271</v>
      </c>
      <c r="C210" s="96" t="n">
        <v>210</v>
      </c>
      <c r="D210" s="2" t="n"/>
      <c r="E210" s="2">
        <f>B210</f>
        <v/>
      </c>
      <c r="F210" s="3">
        <f>B210</f>
        <v/>
      </c>
      <c r="G210" s="96" t="n">
        <v>208</v>
      </c>
      <c r="H210" s="97" t="n"/>
      <c r="I210" s="97" t="n"/>
      <c r="J210" s="97" t="n"/>
      <c r="K210" s="97" t="n"/>
      <c r="L210" s="97" t="n"/>
      <c r="M210" s="97" t="n"/>
      <c r="N210" s="97" t="n"/>
      <c r="O210" s="97" t="n"/>
      <c r="P210" s="97" t="n"/>
      <c r="Q210" s="97" t="n"/>
      <c r="R210" s="97" t="n"/>
      <c r="S210" s="97" t="n"/>
      <c r="T210" s="97" t="n"/>
      <c r="U210" s="97" t="n"/>
      <c r="V210" s="97" t="n"/>
      <c r="W210" s="97" t="n"/>
      <c r="X210" s="97" t="n"/>
      <c r="Y210" s="97" t="n"/>
      <c r="Z210" s="97" t="n"/>
      <c r="AA210" s="97" t="n"/>
      <c r="AB210" s="97" t="n"/>
      <c r="AC210" s="97" t="n"/>
      <c r="AD210" s="97" t="n"/>
      <c r="AE210" s="97" t="n"/>
      <c r="AF210" s="97" t="n"/>
      <c r="AG210" s="97" t="n"/>
      <c r="AH210" s="97" t="n"/>
      <c r="AI210" s="97" t="n"/>
      <c r="AJ210" s="97" t="n"/>
      <c r="AK210" s="97" t="n"/>
      <c r="AL210" s="97" t="n"/>
      <c r="AM210" s="97" t="n"/>
      <c r="AN210" s="97" t="n"/>
      <c r="AO210" s="97" t="n">
        <v>6.915765</v>
      </c>
      <c r="AP210" s="97" t="n">
        <v>0.676215</v>
      </c>
      <c r="AQ210" s="97" t="n"/>
      <c r="AR210" s="97" t="n"/>
      <c r="AS210" s="97" t="n">
        <v>0.910534</v>
      </c>
      <c r="AT210" s="97" t="n">
        <v>2.582232</v>
      </c>
      <c r="AU210" s="97" t="n">
        <v>0.795848</v>
      </c>
      <c r="AV210" s="97" t="n"/>
      <c r="AW210" s="97" t="n"/>
      <c r="AX210" s="97" t="n">
        <v>0.827989</v>
      </c>
      <c r="AY210" s="97" t="n">
        <v>0.472061</v>
      </c>
      <c r="AZ210" t="n">
        <v>-1.129907</v>
      </c>
    </row>
    <row r="211" s="135">
      <c r="A211" t="inlineStr">
        <is>
          <t>1936-06</t>
        </is>
      </c>
      <c r="B211" s="2" t="n">
        <v>13302</v>
      </c>
      <c r="C211" s="96" t="n">
        <v>211</v>
      </c>
      <c r="D211" s="2" t="n"/>
      <c r="E211" s="2">
        <f>B211</f>
        <v/>
      </c>
      <c r="F211" s="3">
        <f>B211</f>
        <v/>
      </c>
      <c r="G211" s="96" t="n">
        <v>209</v>
      </c>
      <c r="H211" s="97" t="n"/>
      <c r="I211" s="97" t="n"/>
      <c r="J211" s="97" t="n"/>
      <c r="K211" s="97" t="n"/>
      <c r="L211" s="97" t="n"/>
      <c r="M211" s="97" t="n"/>
      <c r="N211" s="97" t="n"/>
      <c r="O211" s="97" t="n"/>
      <c r="P211" s="97" t="n"/>
      <c r="Q211" s="97" t="n"/>
      <c r="R211" s="97" t="n"/>
      <c r="S211" s="97" t="n"/>
      <c r="T211" s="97" t="n"/>
      <c r="U211" s="97" t="n"/>
      <c r="V211" s="97" t="n"/>
      <c r="W211" s="97" t="n"/>
      <c r="X211" s="97" t="n"/>
      <c r="Y211" s="97" t="n"/>
      <c r="Z211" s="97" t="n"/>
      <c r="AA211" s="97" t="n"/>
      <c r="AB211" s="97" t="n"/>
      <c r="AC211" s="97" t="n"/>
      <c r="AD211" s="97" t="n"/>
      <c r="AE211" s="97" t="n"/>
      <c r="AF211" s="97" t="n"/>
      <c r="AG211" s="97" t="n"/>
      <c r="AH211" s="97" t="n"/>
      <c r="AI211" s="97" t="n"/>
      <c r="AJ211" s="97" t="n"/>
      <c r="AK211" s="97" t="n"/>
      <c r="AL211" s="97" t="n"/>
      <c r="AM211" s="97" t="n"/>
      <c r="AN211" s="97" t="n"/>
      <c r="AO211" s="97" t="n">
        <v>7.048795</v>
      </c>
      <c r="AP211" s="97" t="n">
        <v>1.097075</v>
      </c>
      <c r="AQ211" s="97" t="n"/>
      <c r="AR211" s="97" t="n"/>
      <c r="AS211" s="97" t="n">
        <v>0.6226660000000001</v>
      </c>
      <c r="AT211" s="97" t="n">
        <v>1.245329</v>
      </c>
      <c r="AU211" s="97" t="n">
        <v>1.092119</v>
      </c>
      <c r="AV211" s="97" t="n"/>
      <c r="AW211" s="97" t="n"/>
      <c r="AX211" s="97" t="n">
        <v>0.381461</v>
      </c>
      <c r="AY211" s="97" t="n">
        <v>-0.014398</v>
      </c>
      <c r="AZ211" t="n">
        <v>-0.28815</v>
      </c>
    </row>
    <row r="212" s="135">
      <c r="A212" t="inlineStr">
        <is>
          <t>1936-07</t>
        </is>
      </c>
      <c r="B212" s="2" t="n">
        <v>13332</v>
      </c>
      <c r="C212" s="96" t="n">
        <v>212</v>
      </c>
      <c r="D212" s="2" t="n"/>
      <c r="E212" s="2">
        <f>B212</f>
        <v/>
      </c>
      <c r="F212" s="3">
        <f>B212</f>
        <v/>
      </c>
      <c r="G212" s="96" t="n">
        <v>210</v>
      </c>
      <c r="H212" s="97" t="n"/>
      <c r="I212" s="97" t="n"/>
      <c r="J212" s="97" t="n"/>
      <c r="K212" s="97" t="n"/>
      <c r="L212" s="97" t="n"/>
      <c r="M212" s="97" t="n"/>
      <c r="N212" s="97" t="n"/>
      <c r="O212" s="97" t="n"/>
      <c r="P212" s="97" t="n"/>
      <c r="Q212" s="97" t="n"/>
      <c r="R212" s="97" t="n"/>
      <c r="S212" s="97" t="n"/>
      <c r="T212" s="97" t="n"/>
      <c r="U212" s="97" t="n"/>
      <c r="V212" s="97" t="n"/>
      <c r="W212" s="97" t="n"/>
      <c r="X212" s="97" t="n"/>
      <c r="Y212" s="97" t="n"/>
      <c r="Z212" s="97" t="n"/>
      <c r="AA212" s="97" t="n"/>
      <c r="AB212" s="97" t="n"/>
      <c r="AC212" s="97" t="n"/>
      <c r="AD212" s="97" t="n"/>
      <c r="AE212" s="97" t="n"/>
      <c r="AF212" s="97" t="n"/>
      <c r="AG212" s="97" t="n"/>
      <c r="AH212" s="97" t="n"/>
      <c r="AI212" s="97" t="n"/>
      <c r="AJ212" s="97" t="n"/>
      <c r="AK212" s="97" t="n"/>
      <c r="AL212" s="97" t="n"/>
      <c r="AM212" s="97" t="n"/>
      <c r="AN212" s="97" t="n"/>
      <c r="AO212" s="97" t="n">
        <v>7.18173</v>
      </c>
      <c r="AP212" s="97" t="n">
        <v>1.28413</v>
      </c>
      <c r="AQ212" s="97" t="n"/>
      <c r="AR212" s="97" t="n"/>
      <c r="AS212" s="97" t="n">
        <v>2.363472</v>
      </c>
      <c r="AT212" s="97" t="n">
        <v>1.65076</v>
      </c>
      <c r="AU212" s="97" t="n">
        <v>1.099653</v>
      </c>
      <c r="AV212" s="97" t="n"/>
      <c r="AW212" s="97" t="n"/>
      <c r="AX212" s="97" t="n">
        <v>0.280583</v>
      </c>
      <c r="AY212" s="97" t="n">
        <v>1.482157</v>
      </c>
      <c r="AZ212" t="n">
        <v>1.672821</v>
      </c>
    </row>
    <row r="213" s="135">
      <c r="A213" t="inlineStr">
        <is>
          <t>1936-08</t>
        </is>
      </c>
      <c r="B213" s="2" t="n">
        <v>13363</v>
      </c>
      <c r="C213" s="96" t="n">
        <v>213</v>
      </c>
      <c r="D213" s="2" t="n"/>
      <c r="E213" s="2">
        <f>B213</f>
        <v/>
      </c>
      <c r="F213" s="3">
        <f>B213</f>
        <v/>
      </c>
      <c r="G213" s="96" t="n">
        <v>211</v>
      </c>
      <c r="H213" s="97" t="n"/>
      <c r="I213" s="97" t="n"/>
      <c r="J213" s="97" t="n"/>
      <c r="K213" s="97" t="n"/>
      <c r="L213" s="97" t="n"/>
      <c r="M213" s="97" t="n"/>
      <c r="N213" s="97" t="n"/>
      <c r="O213" s="97" t="n"/>
      <c r="P213" s="97" t="n"/>
      <c r="Q213" s="97" t="n"/>
      <c r="R213" s="97" t="n"/>
      <c r="S213" s="97" t="n"/>
      <c r="T213" s="97" t="n"/>
      <c r="U213" s="97" t="n"/>
      <c r="V213" s="97" t="n"/>
      <c r="W213" s="97" t="n"/>
      <c r="X213" s="97" t="n"/>
      <c r="Y213" s="97" t="n"/>
      <c r="Z213" s="97" t="n"/>
      <c r="AA213" s="97" t="n"/>
      <c r="AB213" s="97" t="n"/>
      <c r="AC213" s="97" t="n"/>
      <c r="AD213" s="97" t="n"/>
      <c r="AE213" s="97" t="n"/>
      <c r="AF213" s="97" t="n"/>
      <c r="AG213" s="97" t="n"/>
      <c r="AH213" s="97" t="n"/>
      <c r="AI213" s="97" t="n"/>
      <c r="AJ213" s="97" t="n"/>
      <c r="AK213" s="97" t="n"/>
      <c r="AL213" s="97" t="n"/>
      <c r="AM213" s="97" t="n"/>
      <c r="AN213" s="97" t="n"/>
      <c r="AO213" s="97" t="n">
        <v>7.288154</v>
      </c>
      <c r="AP213" s="97" t="n">
        <v>1.106521</v>
      </c>
      <c r="AQ213" s="97" t="n"/>
      <c r="AR213" s="97" t="n"/>
      <c r="AS213" s="97" t="n">
        <v>0.775636</v>
      </c>
      <c r="AT213" s="97" t="n">
        <v>2.099527</v>
      </c>
      <c r="AU213" s="97" t="n">
        <v>1.124835</v>
      </c>
      <c r="AV213" s="97" t="n"/>
      <c r="AW213" s="97" t="n"/>
      <c r="AX213" s="97" t="n">
        <v>0.955728</v>
      </c>
      <c r="AY213" s="97" t="n">
        <v>1.754179</v>
      </c>
      <c r="AZ213" t="n">
        <v>-0.340002</v>
      </c>
    </row>
    <row r="214" s="135">
      <c r="A214" t="inlineStr">
        <is>
          <t>1936-09</t>
        </is>
      </c>
      <c r="B214" s="2" t="n">
        <v>13394</v>
      </c>
      <c r="C214" s="96" t="n">
        <v>214</v>
      </c>
      <c r="D214" s="2" t="n"/>
      <c r="E214" s="2">
        <f>B214</f>
        <v/>
      </c>
      <c r="F214" s="3">
        <f>B214</f>
        <v/>
      </c>
      <c r="G214" s="96" t="n">
        <v>212</v>
      </c>
      <c r="H214" s="97" t="n"/>
      <c r="I214" s="97" t="n"/>
      <c r="J214" s="97" t="n"/>
      <c r="K214" s="97" t="n"/>
      <c r="L214" s="97" t="n"/>
      <c r="M214" s="97" t="n"/>
      <c r="N214" s="97" t="n"/>
      <c r="O214" s="97" t="n"/>
      <c r="P214" s="97" t="n"/>
      <c r="Q214" s="97" t="n"/>
      <c r="R214" s="97" t="n"/>
      <c r="S214" s="97" t="n"/>
      <c r="T214" s="97" t="n"/>
      <c r="U214" s="97" t="n"/>
      <c r="V214" s="97" t="n"/>
      <c r="W214" s="97" t="n"/>
      <c r="X214" s="97" t="n"/>
      <c r="Y214" s="97" t="n"/>
      <c r="Z214" s="97" t="n"/>
      <c r="AA214" s="97" t="n"/>
      <c r="AB214" s="97" t="n"/>
      <c r="AC214" s="97" t="n"/>
      <c r="AD214" s="97" t="n"/>
      <c r="AE214" s="97" t="n"/>
      <c r="AF214" s="97" t="n"/>
      <c r="AG214" s="97" t="n"/>
      <c r="AH214" s="97" t="n"/>
      <c r="AI214" s="97" t="n"/>
      <c r="AJ214" s="97" t="n"/>
      <c r="AK214" s="97" t="n"/>
      <c r="AL214" s="97" t="n"/>
      <c r="AM214" s="97" t="n"/>
      <c r="AN214" s="97" t="n"/>
      <c r="AO214" s="97" t="n">
        <v>7.421185</v>
      </c>
      <c r="AP214" s="97" t="n">
        <v>0.912002</v>
      </c>
      <c r="AQ214" s="97" t="n"/>
      <c r="AR214" s="97" t="n"/>
      <c r="AS214" s="97" t="n">
        <v>0.417097</v>
      </c>
      <c r="AT214" s="97" t="n">
        <v>0.134907</v>
      </c>
      <c r="AU214" s="97" t="n">
        <v>0.920104</v>
      </c>
      <c r="AV214" s="97" t="n"/>
      <c r="AW214" s="97" t="n"/>
      <c r="AX214" s="97" t="n">
        <v>5.035754</v>
      </c>
      <c r="AY214" s="97" t="n">
        <v>0.696361</v>
      </c>
      <c r="AZ214" t="n">
        <v>-1.608892</v>
      </c>
    </row>
    <row r="215" s="135">
      <c r="A215" t="inlineStr">
        <is>
          <t>1936-10</t>
        </is>
      </c>
      <c r="B215" s="2" t="n">
        <v>13424</v>
      </c>
      <c r="C215" s="96" t="n">
        <v>215</v>
      </c>
      <c r="D215" s="2" t="n"/>
      <c r="E215" s="2">
        <f>B215</f>
        <v/>
      </c>
      <c r="F215" s="3">
        <f>B215</f>
        <v/>
      </c>
      <c r="G215" s="96" t="n">
        <v>213</v>
      </c>
      <c r="H215" s="97" t="n"/>
      <c r="I215" s="97" t="n"/>
      <c r="J215" s="97" t="n"/>
      <c r="K215" s="97" t="n"/>
      <c r="L215" s="97" t="n"/>
      <c r="M215" s="97" t="n"/>
      <c r="N215" s="97" t="n"/>
      <c r="O215" s="97" t="n"/>
      <c r="P215" s="97" t="n"/>
      <c r="Q215" s="97" t="n"/>
      <c r="R215" s="97" t="n"/>
      <c r="S215" s="97" t="n"/>
      <c r="T215" s="97" t="n"/>
      <c r="U215" s="97" t="n"/>
      <c r="V215" s="97" t="n"/>
      <c r="W215" s="97" t="n"/>
      <c r="X215" s="97" t="n"/>
      <c r="Y215" s="97" t="n"/>
      <c r="Z215" s="97" t="n"/>
      <c r="AA215" s="97" t="n"/>
      <c r="AB215" s="97" t="n"/>
      <c r="AC215" s="97" t="n"/>
      <c r="AD215" s="97" t="n"/>
      <c r="AE215" s="97" t="n"/>
      <c r="AF215" s="97" t="n"/>
      <c r="AG215" s="97" t="n"/>
      <c r="AH215" s="97" t="n"/>
      <c r="AI215" s="97" t="n"/>
      <c r="AJ215" s="97" t="n"/>
      <c r="AK215" s="97" t="n"/>
      <c r="AL215" s="97" t="n"/>
      <c r="AM215" s="97" t="n"/>
      <c r="AN215" s="97" t="n"/>
      <c r="AO215" s="97" t="n">
        <v>7.527609</v>
      </c>
      <c r="AP215" s="97" t="n">
        <v>0.527925</v>
      </c>
      <c r="AQ215" s="97" t="n"/>
      <c r="AR215" s="97" t="n"/>
      <c r="AS215" s="97" t="n">
        <v>0.776759</v>
      </c>
      <c r="AT215" s="97" t="n">
        <v>1.327693</v>
      </c>
      <c r="AU215" s="97" t="n">
        <v>0.990386</v>
      </c>
      <c r="AV215" s="97" t="n"/>
      <c r="AW215" s="97" t="n"/>
      <c r="AX215" s="97" t="n">
        <v>2.334709</v>
      </c>
      <c r="AY215" s="97" t="n">
        <v>1.380937</v>
      </c>
      <c r="AZ215" t="n">
        <v>-0.255185</v>
      </c>
    </row>
    <row r="216" s="135">
      <c r="A216" t="inlineStr">
        <is>
          <t>1936-11</t>
        </is>
      </c>
      <c r="B216" s="2" t="n">
        <v>13455</v>
      </c>
      <c r="C216" s="96" t="n">
        <v>216</v>
      </c>
      <c r="D216" s="2" t="n"/>
      <c r="E216" s="2">
        <f>B216</f>
        <v/>
      </c>
      <c r="F216" s="3">
        <f>B216</f>
        <v/>
      </c>
      <c r="G216" s="96" t="n">
        <v>214</v>
      </c>
      <c r="H216" s="97" t="n"/>
      <c r="I216" s="97" t="n"/>
      <c r="J216" s="97" t="n"/>
      <c r="K216" s="97" t="n"/>
      <c r="L216" s="97" t="n"/>
      <c r="M216" s="97" t="n"/>
      <c r="N216" s="97" t="n"/>
      <c r="O216" s="97" t="n"/>
      <c r="P216" s="97" t="n"/>
      <c r="Q216" s="97" t="n"/>
      <c r="R216" s="97" t="n"/>
      <c r="S216" s="97" t="n"/>
      <c r="T216" s="97" t="n"/>
      <c r="U216" s="97" t="n"/>
      <c r="V216" s="97" t="n"/>
      <c r="W216" s="97" t="n"/>
      <c r="X216" s="97" t="n"/>
      <c r="Y216" s="97" t="n"/>
      <c r="Z216" s="97" t="n"/>
      <c r="AA216" s="97" t="n"/>
      <c r="AB216" s="97" t="n"/>
      <c r="AC216" s="97" t="n"/>
      <c r="AD216" s="97" t="n"/>
      <c r="AE216" s="97" t="n"/>
      <c r="AF216" s="97" t="n"/>
      <c r="AG216" s="97" t="n"/>
      <c r="AH216" s="97" t="n"/>
      <c r="AI216" s="97" t="n"/>
      <c r="AJ216" s="97" t="n"/>
      <c r="AK216" s="97" t="n"/>
      <c r="AL216" s="97" t="n"/>
      <c r="AM216" s="97" t="n"/>
      <c r="AN216" s="97" t="n"/>
      <c r="AO216" s="97" t="n">
        <v>7.740362</v>
      </c>
      <c r="AP216" s="97" t="n">
        <v>0.81737</v>
      </c>
      <c r="AQ216" s="97" t="n"/>
      <c r="AR216" s="97" t="n"/>
      <c r="AS216" s="97" t="n">
        <v>0.982137</v>
      </c>
      <c r="AT216" s="97" t="n">
        <v>0.041891</v>
      </c>
      <c r="AU216" s="97" t="n">
        <v>0.850764</v>
      </c>
      <c r="AV216" s="97" t="n"/>
      <c r="AW216" s="97" t="n"/>
      <c r="AX216" s="97" t="n">
        <v>-0.281288</v>
      </c>
      <c r="AY216" s="97" t="n">
        <v>1.295144</v>
      </c>
      <c r="AZ216" t="n">
        <v>0.306858</v>
      </c>
    </row>
    <row r="217" s="135">
      <c r="A217" t="inlineStr">
        <is>
          <t>1936-12</t>
        </is>
      </c>
      <c r="B217" s="2" t="n">
        <v>13485</v>
      </c>
      <c r="C217" s="96" t="n">
        <v>217</v>
      </c>
      <c r="D217" s="2" t="n"/>
      <c r="E217" s="2">
        <f>B217</f>
        <v/>
      </c>
      <c r="F217" s="3">
        <f>B217</f>
        <v/>
      </c>
      <c r="G217" s="96" t="n">
        <v>215</v>
      </c>
      <c r="H217" s="97" t="n"/>
      <c r="I217" s="97" t="n"/>
      <c r="J217" s="97" t="n"/>
      <c r="K217" s="97" t="n"/>
      <c r="L217" s="97" t="n"/>
      <c r="M217" s="97" t="n"/>
      <c r="N217" s="97" t="n"/>
      <c r="O217" s="97" t="n"/>
      <c r="P217" s="97" t="n"/>
      <c r="Q217" s="97" t="n"/>
      <c r="R217" s="97" t="n"/>
      <c r="S217" s="97" t="n"/>
      <c r="T217" s="97" t="n"/>
      <c r="U217" s="97" t="n"/>
      <c r="V217" s="97" t="n"/>
      <c r="W217" s="97" t="n"/>
      <c r="X217" s="97" t="n"/>
      <c r="Y217" s="97" t="n"/>
      <c r="Z217" s="97" t="n"/>
      <c r="AA217" s="97" t="n"/>
      <c r="AB217" s="97" t="n"/>
      <c r="AC217" s="97" t="n"/>
      <c r="AD217" s="97" t="n"/>
      <c r="AE217" s="97" t="n"/>
      <c r="AF217" s="97" t="n"/>
      <c r="AG217" s="97" t="n"/>
      <c r="AH217" s="97" t="n"/>
      <c r="AI217" s="97" t="n"/>
      <c r="AJ217" s="97" t="n"/>
      <c r="AK217" s="97" t="n"/>
      <c r="AL217" s="97" t="n"/>
      <c r="AM217" s="97" t="n"/>
      <c r="AN217" s="97" t="n"/>
      <c r="AO217" s="97" t="n">
        <v>7.979721</v>
      </c>
      <c r="AP217" s="97" t="n">
        <v>0.82185</v>
      </c>
      <c r="AQ217" s="97" t="n"/>
      <c r="AR217" s="97" t="n"/>
      <c r="AS217" s="97" t="n">
        <v>0.038084</v>
      </c>
      <c r="AT217" s="97" t="n">
        <v>0.5406609999999999</v>
      </c>
      <c r="AU217" s="97" t="n">
        <v>0.649408</v>
      </c>
      <c r="AV217" s="97" t="n"/>
      <c r="AW217" s="97" t="n"/>
      <c r="AX217" s="97" t="n">
        <v>-4.49036</v>
      </c>
      <c r="AY217" s="97" t="n">
        <v>-0.293275</v>
      </c>
      <c r="AZ217" t="n">
        <v>0.163646</v>
      </c>
    </row>
    <row r="218" s="135">
      <c r="A218" t="inlineStr">
        <is>
          <t>1937-01</t>
        </is>
      </c>
      <c r="B218" s="2" t="n">
        <v>13516</v>
      </c>
      <c r="C218" s="96" t="n">
        <v>218</v>
      </c>
      <c r="D218" s="2" t="n"/>
      <c r="E218" s="2">
        <f>B218</f>
        <v/>
      </c>
      <c r="F218" s="3">
        <f>B218</f>
        <v/>
      </c>
      <c r="G218" s="96" t="n">
        <v>216</v>
      </c>
      <c r="H218" s="97" t="n"/>
      <c r="I218" s="97" t="n"/>
      <c r="J218" s="97" t="n"/>
      <c r="K218" s="97" t="n"/>
      <c r="L218" s="97" t="n"/>
      <c r="M218" s="97" t="n"/>
      <c r="N218" s="97" t="n"/>
      <c r="O218" s="97" t="n"/>
      <c r="P218" s="97" t="n"/>
      <c r="Q218" s="97" t="n"/>
      <c r="R218" s="97" t="n"/>
      <c r="S218" s="97" t="n"/>
      <c r="T218" s="97" t="n"/>
      <c r="U218" s="97" t="n"/>
      <c r="V218" s="97" t="n"/>
      <c r="W218" s="97" t="n"/>
      <c r="X218" s="97" t="n"/>
      <c r="Y218" s="97" t="n"/>
      <c r="Z218" s="97" t="n"/>
      <c r="AA218" s="97" t="n"/>
      <c r="AB218" s="97" t="n"/>
      <c r="AC218" s="97" t="n"/>
      <c r="AD218" s="97" t="n"/>
      <c r="AE218" s="97" t="n"/>
      <c r="AF218" s="97" t="n"/>
      <c r="AG218" s="97" t="n"/>
      <c r="AH218" s="97" t="n"/>
      <c r="AI218" s="97" t="n"/>
      <c r="AJ218" s="97" t="n"/>
      <c r="AK218" s="97" t="n"/>
      <c r="AL218" s="97" t="n"/>
      <c r="AM218" s="97" t="n"/>
      <c r="AN218" s="97" t="n"/>
      <c r="AO218" s="97" t="n">
        <v>7.953115</v>
      </c>
      <c r="AP218" s="97" t="n">
        <v>0.161665</v>
      </c>
      <c r="AQ218" s="97" t="n"/>
      <c r="AR218" s="97" t="n"/>
      <c r="AS218" s="97" t="n">
        <v>0.243741</v>
      </c>
      <c r="AT218" s="97" t="n">
        <v>2.081372</v>
      </c>
      <c r="AU218" s="97" t="n">
        <v>0.49991</v>
      </c>
      <c r="AV218" s="97" t="n"/>
      <c r="AW218" s="97" t="n"/>
      <c r="AX218" s="97" t="n">
        <v>-5.155386</v>
      </c>
      <c r="AY218" s="97" t="n">
        <v>-0.0548</v>
      </c>
      <c r="AZ218" t="n">
        <v>-0.8298179999999999</v>
      </c>
    </row>
    <row r="219" s="135">
      <c r="A219" t="inlineStr">
        <is>
          <t>1937-02</t>
        </is>
      </c>
      <c r="B219" s="2" t="n">
        <v>13547</v>
      </c>
      <c r="C219" s="96" t="n">
        <v>219</v>
      </c>
      <c r="D219" s="2" t="n"/>
      <c r="E219" s="2">
        <f>B219</f>
        <v/>
      </c>
      <c r="F219" s="3">
        <f>B219</f>
        <v/>
      </c>
      <c r="G219" s="96" t="n">
        <v>217</v>
      </c>
      <c r="H219" s="97" t="n"/>
      <c r="I219" s="97" t="n"/>
      <c r="J219" s="97" t="n"/>
      <c r="K219" s="97" t="n"/>
      <c r="L219" s="97" t="n"/>
      <c r="M219" s="97" t="n"/>
      <c r="N219" s="97" t="n"/>
      <c r="O219" s="97" t="n"/>
      <c r="P219" s="97" t="n"/>
      <c r="Q219" s="97" t="n"/>
      <c r="R219" s="97" t="n"/>
      <c r="S219" s="97" t="n"/>
      <c r="T219" s="97" t="n"/>
      <c r="U219" s="97" t="n"/>
      <c r="V219" s="97" t="n"/>
      <c r="W219" s="97" t="n"/>
      <c r="X219" s="97" t="n"/>
      <c r="Y219" s="97" t="n"/>
      <c r="Z219" s="97" t="n"/>
      <c r="AA219" s="97" t="n"/>
      <c r="AB219" s="97" t="n"/>
      <c r="AC219" s="97" t="n"/>
      <c r="AD219" s="97" t="n"/>
      <c r="AE219" s="97" t="n"/>
      <c r="AF219" s="97" t="n"/>
      <c r="AG219" s="97" t="n"/>
      <c r="AH219" s="97" t="n"/>
      <c r="AI219" s="97" t="n"/>
      <c r="AJ219" s="97" t="n"/>
      <c r="AK219" s="97" t="n"/>
      <c r="AL219" s="97" t="n"/>
      <c r="AM219" s="97" t="n"/>
      <c r="AN219" s="97" t="n"/>
      <c r="AO219" s="97" t="n">
        <v>8.05954</v>
      </c>
      <c r="AP219" s="97" t="n">
        <v>0.06963900000000001</v>
      </c>
      <c r="AQ219" s="97" t="n"/>
      <c r="AR219" s="97" t="n"/>
      <c r="AS219" s="97" t="n">
        <v>-0.307322</v>
      </c>
      <c r="AT219" s="97" t="n">
        <v>1.236859</v>
      </c>
      <c r="AU219" s="97" t="n">
        <v>0.265579</v>
      </c>
      <c r="AV219" s="97" t="n"/>
      <c r="AW219" s="97" t="n"/>
      <c r="AX219" s="97" t="n">
        <v>2.289808</v>
      </c>
      <c r="AY219" s="97" t="n">
        <v>-0.410626</v>
      </c>
      <c r="AZ219" t="n">
        <v>-4.645879</v>
      </c>
    </row>
    <row r="220" s="135">
      <c r="A220" t="inlineStr">
        <is>
          <t>1937-03</t>
        </is>
      </c>
      <c r="B220" s="2" t="n">
        <v>13575</v>
      </c>
      <c r="C220" s="96" t="n">
        <v>220</v>
      </c>
      <c r="D220" s="2" t="n"/>
      <c r="E220" s="2">
        <f>B220</f>
        <v/>
      </c>
      <c r="F220" s="3">
        <f>B220</f>
        <v/>
      </c>
      <c r="G220" s="96" t="n">
        <v>218</v>
      </c>
      <c r="H220" s="97" t="n"/>
      <c r="I220" s="97" t="n"/>
      <c r="J220" s="97" t="n"/>
      <c r="K220" s="97" t="n"/>
      <c r="L220" s="97" t="n"/>
      <c r="M220" s="97" t="n"/>
      <c r="N220" s="97" t="n"/>
      <c r="O220" s="97" t="n"/>
      <c r="P220" s="97" t="n"/>
      <c r="Q220" s="97" t="n"/>
      <c r="R220" s="97" t="n"/>
      <c r="S220" s="97" t="n"/>
      <c r="T220" s="97" t="n"/>
      <c r="U220" s="97" t="n"/>
      <c r="V220" s="97" t="n"/>
      <c r="W220" s="97" t="n"/>
      <c r="X220" s="97" t="n"/>
      <c r="Y220" s="97" t="n"/>
      <c r="Z220" s="97" t="n"/>
      <c r="AA220" s="97" t="n"/>
      <c r="AB220" s="97" t="n"/>
      <c r="AC220" s="97" t="n"/>
      <c r="AD220" s="97" t="n"/>
      <c r="AE220" s="97" t="n"/>
      <c r="AF220" s="97" t="n"/>
      <c r="AG220" s="97" t="n"/>
      <c r="AH220" s="97" t="n"/>
      <c r="AI220" s="97" t="n"/>
      <c r="AJ220" s="97" t="n"/>
      <c r="AK220" s="97" t="n"/>
      <c r="AL220" s="97" t="n"/>
      <c r="AM220" s="97" t="n"/>
      <c r="AN220" s="97" t="n"/>
      <c r="AO220" s="97" t="n">
        <v>8.245782</v>
      </c>
      <c r="AP220" s="97" t="n">
        <v>0.21527</v>
      </c>
      <c r="AQ220" s="97" t="n"/>
      <c r="AR220" s="97" t="n"/>
      <c r="AS220" s="97" t="n">
        <v>-0.047284</v>
      </c>
      <c r="AT220" s="97" t="n">
        <v>2.295883</v>
      </c>
      <c r="AU220" s="97" t="n">
        <v>0.768899</v>
      </c>
      <c r="AV220" s="97" t="n"/>
      <c r="AW220" s="97" t="n"/>
      <c r="AX220" s="97" t="n">
        <v>-3.650652</v>
      </c>
      <c r="AY220" s="97" t="n">
        <v>-0.382526</v>
      </c>
      <c r="AZ220" t="n">
        <v>-5.694873</v>
      </c>
    </row>
    <row r="221" s="135">
      <c r="A221" t="inlineStr">
        <is>
          <t>1937-04</t>
        </is>
      </c>
      <c r="B221" s="2" t="n">
        <v>13606</v>
      </c>
      <c r="C221" s="96" t="n">
        <v>221</v>
      </c>
      <c r="D221" s="2" t="n"/>
      <c r="E221" s="2">
        <f>B221</f>
        <v/>
      </c>
      <c r="F221" s="3">
        <f>B221</f>
        <v/>
      </c>
      <c r="G221" s="96" t="n">
        <v>219</v>
      </c>
      <c r="H221" s="97" t="n"/>
      <c r="I221" s="97" t="n"/>
      <c r="J221" s="97" t="n"/>
      <c r="K221" s="97" t="n"/>
      <c r="L221" s="97" t="n"/>
      <c r="M221" s="97" t="n"/>
      <c r="N221" s="97" t="n"/>
      <c r="O221" s="97" t="n"/>
      <c r="P221" s="97" t="n"/>
      <c r="Q221" s="97" t="n"/>
      <c r="R221" s="97" t="n"/>
      <c r="S221" s="97" t="n"/>
      <c r="T221" s="97" t="n"/>
      <c r="U221" s="97" t="n"/>
      <c r="V221" s="97" t="n"/>
      <c r="W221" s="97" t="n"/>
      <c r="X221" s="97" t="n"/>
      <c r="Y221" s="97" t="n"/>
      <c r="Z221" s="97" t="n"/>
      <c r="AA221" s="97" t="n"/>
      <c r="AB221" s="97" t="n"/>
      <c r="AC221" s="97" t="n"/>
      <c r="AD221" s="97" t="n"/>
      <c r="AE221" s="97" t="n"/>
      <c r="AF221" s="97" t="n"/>
      <c r="AG221" s="97" t="n"/>
      <c r="AH221" s="97" t="n"/>
      <c r="AI221" s="97" t="n"/>
      <c r="AJ221" s="97" t="n"/>
      <c r="AK221" s="97" t="n"/>
      <c r="AL221" s="97" t="n"/>
      <c r="AM221" s="97" t="n"/>
      <c r="AN221" s="97" t="n"/>
      <c r="AO221" s="97" t="n">
        <v>8.245782</v>
      </c>
      <c r="AP221" s="97" t="n">
        <v>0.128193</v>
      </c>
      <c r="AQ221" s="97" t="n"/>
      <c r="AR221" s="97" t="n"/>
      <c r="AS221" s="97" t="n">
        <v>0.269064</v>
      </c>
      <c r="AT221" s="97" t="n">
        <v>0.807097</v>
      </c>
      <c r="AU221" s="97" t="n">
        <v>1.297595</v>
      </c>
      <c r="AV221" s="97" t="n"/>
      <c r="AW221" s="97" t="n"/>
      <c r="AX221" s="97" t="n">
        <v>5.620015</v>
      </c>
      <c r="AY221" s="97" t="n">
        <v>1.898301</v>
      </c>
      <c r="AZ221" t="n">
        <v>-4.931019</v>
      </c>
    </row>
    <row r="222" s="135">
      <c r="A222" t="inlineStr">
        <is>
          <t>1937-05</t>
        </is>
      </c>
      <c r="B222" s="2" t="n">
        <v>13636</v>
      </c>
      <c r="C222" s="96" t="n">
        <v>222</v>
      </c>
      <c r="D222" s="2" t="n"/>
      <c r="E222" s="2">
        <f>B222</f>
        <v/>
      </c>
      <c r="F222" s="3">
        <f>B222</f>
        <v/>
      </c>
      <c r="G222" s="96" t="n">
        <v>220</v>
      </c>
      <c r="H222" s="97" t="n"/>
      <c r="I222" s="97" t="n"/>
      <c r="J222" s="97" t="n"/>
      <c r="K222" s="97" t="n"/>
      <c r="L222" s="97" t="n"/>
      <c r="M222" s="97" t="n"/>
      <c r="N222" s="97" t="n"/>
      <c r="O222" s="97" t="n"/>
      <c r="P222" s="97" t="n"/>
      <c r="Q222" s="97" t="n"/>
      <c r="R222" s="97" t="n"/>
      <c r="S222" s="97" t="n"/>
      <c r="T222" s="97" t="n"/>
      <c r="U222" s="97" t="n"/>
      <c r="V222" s="97" t="n"/>
      <c r="W222" s="97" t="n"/>
      <c r="X222" s="97" t="n"/>
      <c r="Y222" s="97" t="n"/>
      <c r="Z222" s="97" t="n"/>
      <c r="AA222" s="97" t="n"/>
      <c r="AB222" s="97" t="n"/>
      <c r="AC222" s="97" t="n"/>
      <c r="AD222" s="97" t="n"/>
      <c r="AE222" s="97" t="n"/>
      <c r="AF222" s="97" t="n"/>
      <c r="AG222" s="97" t="n"/>
      <c r="AH222" s="97" t="n"/>
      <c r="AI222" s="97" t="n"/>
      <c r="AJ222" s="97" t="n"/>
      <c r="AK222" s="97" t="n"/>
      <c r="AL222" s="97" t="n"/>
      <c r="AM222" s="97" t="n"/>
      <c r="AN222" s="97" t="n"/>
      <c r="AO222" s="97" t="n">
        <v>8.272387999999999</v>
      </c>
      <c r="AP222" s="97" t="n">
        <v>0.497408</v>
      </c>
      <c r="AQ222" s="97" t="n"/>
      <c r="AR222" s="97" t="n"/>
      <c r="AS222" s="97" t="n">
        <v>0.085785</v>
      </c>
      <c r="AT222" s="97" t="n">
        <v>0.623762</v>
      </c>
      <c r="AU222" s="97" t="n">
        <v>1.210956</v>
      </c>
      <c r="AV222" s="97" t="n"/>
      <c r="AW222" s="97" t="n"/>
      <c r="AX222" s="97" t="n">
        <v>3.903793</v>
      </c>
      <c r="AY222" s="97" t="n">
        <v>1.177176</v>
      </c>
      <c r="AZ222" t="n">
        <v>0.423986</v>
      </c>
    </row>
    <row r="223" s="135">
      <c r="A223" t="inlineStr">
        <is>
          <t>1937-06</t>
        </is>
      </c>
      <c r="B223" s="2" t="n">
        <v>13667</v>
      </c>
      <c r="C223" s="96" t="n">
        <v>223</v>
      </c>
      <c r="D223" s="2" t="n"/>
      <c r="E223" s="2">
        <f>B223</f>
        <v/>
      </c>
      <c r="F223" s="3">
        <f>B223</f>
        <v/>
      </c>
      <c r="G223" s="96" t="n">
        <v>221</v>
      </c>
      <c r="H223" s="97" t="n"/>
      <c r="I223" s="97" t="n"/>
      <c r="J223" s="97" t="n"/>
      <c r="K223" s="97" t="n"/>
      <c r="L223" s="97" t="n"/>
      <c r="M223" s="97" t="n"/>
      <c r="N223" s="97" t="n"/>
      <c r="O223" s="97" t="n"/>
      <c r="P223" s="97" t="n"/>
      <c r="Q223" s="97" t="n"/>
      <c r="R223" s="97" t="n"/>
      <c r="S223" s="97" t="n"/>
      <c r="T223" s="97" t="n"/>
      <c r="U223" s="97" t="n"/>
      <c r="V223" s="97" t="n"/>
      <c r="W223" s="97" t="n"/>
      <c r="X223" s="97" t="n"/>
      <c r="Y223" s="97" t="n"/>
      <c r="Z223" s="97" t="n"/>
      <c r="AA223" s="97" t="n"/>
      <c r="AB223" s="97" t="n"/>
      <c r="AC223" s="97" t="n"/>
      <c r="AD223" s="97" t="n"/>
      <c r="AE223" s="97" t="n"/>
      <c r="AF223" s="97" t="n"/>
      <c r="AG223" s="97" t="n"/>
      <c r="AH223" s="97" t="n"/>
      <c r="AI223" s="97" t="n"/>
      <c r="AJ223" s="97" t="n"/>
      <c r="AK223" s="97" t="n"/>
      <c r="AL223" s="97" t="n"/>
      <c r="AM223" s="97" t="n"/>
      <c r="AN223" s="97" t="n"/>
      <c r="AO223" s="97" t="n">
        <v>8.165964000000001</v>
      </c>
      <c r="AP223" s="97" t="n">
        <v>0.396237</v>
      </c>
      <c r="AQ223" s="97" t="n"/>
      <c r="AR223" s="97" t="n"/>
      <c r="AS223" s="97" t="n">
        <v>0.158717</v>
      </c>
      <c r="AT223" s="97" t="n">
        <v>0.593563</v>
      </c>
      <c r="AU223" s="97" t="n">
        <v>0.820279</v>
      </c>
      <c r="AV223" s="97" t="n"/>
      <c r="AW223" s="97" t="n"/>
      <c r="AX223" s="97" t="n">
        <v>1.353065</v>
      </c>
      <c r="AY223" s="97" t="n">
        <v>0.948905</v>
      </c>
      <c r="AZ223" t="n">
        <v>0.07449699999999999</v>
      </c>
    </row>
    <row r="224" s="135">
      <c r="A224" t="inlineStr">
        <is>
          <t>1937-07</t>
        </is>
      </c>
      <c r="B224" s="2" t="n">
        <v>13697</v>
      </c>
      <c r="C224" s="96" t="n">
        <v>224</v>
      </c>
      <c r="D224" s="2" t="n"/>
      <c r="E224" s="2">
        <f>B224</f>
        <v/>
      </c>
      <c r="F224" s="3">
        <f>B224</f>
        <v/>
      </c>
      <c r="G224" s="96" t="n">
        <v>222</v>
      </c>
      <c r="H224" s="97" t="n"/>
      <c r="I224" s="97" t="n"/>
      <c r="J224" s="97" t="n"/>
      <c r="K224" s="97" t="n"/>
      <c r="L224" s="97" t="n"/>
      <c r="M224" s="97" t="n"/>
      <c r="N224" s="97" t="n"/>
      <c r="O224" s="97" t="n"/>
      <c r="P224" s="97" t="n"/>
      <c r="Q224" s="97" t="n"/>
      <c r="R224" s="97" t="n"/>
      <c r="S224" s="97" t="n"/>
      <c r="T224" s="97" t="n"/>
      <c r="U224" s="97" t="n"/>
      <c r="V224" s="97" t="n"/>
      <c r="W224" s="97" t="n"/>
      <c r="X224" s="97" t="n"/>
      <c r="Y224" s="97" t="n"/>
      <c r="Z224" s="97" t="n"/>
      <c r="AA224" s="97" t="n"/>
      <c r="AB224" s="97" t="n"/>
      <c r="AC224" s="97" t="n"/>
      <c r="AD224" s="97" t="n"/>
      <c r="AE224" s="97" t="n"/>
      <c r="AF224" s="97" t="n"/>
      <c r="AG224" s="97" t="n"/>
      <c r="AH224" s="97" t="n"/>
      <c r="AI224" s="97" t="n"/>
      <c r="AJ224" s="97" t="n"/>
      <c r="AK224" s="97" t="n"/>
      <c r="AL224" s="97" t="n"/>
      <c r="AM224" s="97" t="n"/>
      <c r="AN224" s="97" t="n"/>
      <c r="AO224" s="97" t="n">
        <v>8.219175999999999</v>
      </c>
      <c r="AP224" s="97" t="n">
        <v>0.159858</v>
      </c>
      <c r="AQ224" s="97" t="n"/>
      <c r="AR224" s="97" t="n"/>
      <c r="AS224" s="97" t="n">
        <v>-0.384877</v>
      </c>
      <c r="AT224" s="97" t="n">
        <v>0.078241</v>
      </c>
      <c r="AU224" s="97" t="n">
        <v>0.668049</v>
      </c>
      <c r="AV224" s="97" t="n"/>
      <c r="AW224" s="97" t="n"/>
      <c r="AX224" s="97" t="n">
        <v>0.603124</v>
      </c>
      <c r="AY224" s="97" t="n">
        <v>1.124827</v>
      </c>
      <c r="AZ224" t="n">
        <v>1.019057</v>
      </c>
    </row>
    <row r="225" s="135">
      <c r="A225" t="inlineStr">
        <is>
          <t>1937-08</t>
        </is>
      </c>
      <c r="B225" s="2" t="n">
        <v>13728</v>
      </c>
      <c r="C225" s="96" t="n">
        <v>225</v>
      </c>
      <c r="D225" s="2" t="n"/>
      <c r="E225" s="2">
        <f>B225</f>
        <v/>
      </c>
      <c r="F225" s="3">
        <f>B225</f>
        <v/>
      </c>
      <c r="G225" s="96" t="n">
        <v>223</v>
      </c>
      <c r="H225" s="97" t="n"/>
      <c r="I225" s="97" t="n"/>
      <c r="J225" s="97" t="n"/>
      <c r="K225" s="97" t="n"/>
      <c r="L225" s="97" t="n"/>
      <c r="M225" s="97" t="n"/>
      <c r="N225" s="97" t="n"/>
      <c r="O225" s="97" t="n"/>
      <c r="P225" s="97" t="n"/>
      <c r="Q225" s="97" t="n"/>
      <c r="R225" s="97" t="n"/>
      <c r="S225" s="97" t="n"/>
      <c r="T225" s="97" t="n"/>
      <c r="U225" s="97" t="n"/>
      <c r="V225" s="97" t="n"/>
      <c r="W225" s="97" t="n"/>
      <c r="X225" s="97" t="n"/>
      <c r="Y225" s="97" t="n"/>
      <c r="Z225" s="97" t="n"/>
      <c r="AA225" s="97" t="n"/>
      <c r="AB225" s="97" t="n"/>
      <c r="AC225" s="97" t="n"/>
      <c r="AD225" s="97" t="n"/>
      <c r="AE225" s="97" t="n"/>
      <c r="AF225" s="97" t="n"/>
      <c r="AG225" s="97" t="n"/>
      <c r="AH225" s="97" t="n"/>
      <c r="AI225" s="97" t="n"/>
      <c r="AJ225" s="97" t="n"/>
      <c r="AK225" s="97" t="n"/>
      <c r="AL225" s="97" t="n"/>
      <c r="AM225" s="97" t="n"/>
      <c r="AN225" s="97" t="n"/>
      <c r="AO225" s="97" t="n">
        <v>8.165964000000001</v>
      </c>
      <c r="AP225" s="97" t="n">
        <v>-0.248737</v>
      </c>
      <c r="AQ225" s="97" t="n"/>
      <c r="AR225" s="97" t="n"/>
      <c r="AS225" s="97" t="n">
        <v>-0.691513</v>
      </c>
      <c r="AT225" s="97" t="n">
        <v>2.251095</v>
      </c>
      <c r="AU225" s="97" t="n">
        <v>0.92537</v>
      </c>
      <c r="AV225" s="97" t="n"/>
      <c r="AW225" s="97" t="n"/>
      <c r="AX225" s="97" t="n">
        <v>1.448892</v>
      </c>
      <c r="AY225" s="97" t="n">
        <v>-0.663319</v>
      </c>
      <c r="AZ225" t="n">
        <v>3.695017</v>
      </c>
    </row>
    <row r="226" s="135">
      <c r="A226" t="inlineStr">
        <is>
          <t>1937-09</t>
        </is>
      </c>
      <c r="B226" s="2" t="n">
        <v>13759</v>
      </c>
      <c r="C226" s="96" t="n">
        <v>226</v>
      </c>
      <c r="D226" s="2" t="n"/>
      <c r="E226" s="2">
        <f>B226</f>
        <v/>
      </c>
      <c r="F226" s="3">
        <f>B226</f>
        <v/>
      </c>
      <c r="G226" s="96" t="n">
        <v>224</v>
      </c>
      <c r="H226" s="97" t="n"/>
      <c r="I226" s="97" t="n"/>
      <c r="J226" s="97" t="n"/>
      <c r="K226" s="97" t="n"/>
      <c r="L226" s="97" t="n"/>
      <c r="M226" s="97" t="n"/>
      <c r="N226" s="97" t="n"/>
      <c r="O226" s="97" t="n"/>
      <c r="P226" s="97" t="n"/>
      <c r="Q226" s="97" t="n"/>
      <c r="R226" s="97" t="n"/>
      <c r="S226" s="97" t="n"/>
      <c r="T226" s="97" t="n"/>
      <c r="U226" s="97" t="n"/>
      <c r="V226" s="97" t="n"/>
      <c r="W226" s="97" t="n"/>
      <c r="X226" s="97" t="n"/>
      <c r="Y226" s="97" t="n"/>
      <c r="Z226" s="97" t="n"/>
      <c r="AA226" s="97" t="n"/>
      <c r="AB226" s="97" t="n"/>
      <c r="AC226" s="97" t="n"/>
      <c r="AD226" s="97" t="n"/>
      <c r="AE226" s="97" t="n"/>
      <c r="AF226" s="97" t="n"/>
      <c r="AG226" s="97" t="n"/>
      <c r="AH226" s="97" t="n"/>
      <c r="AI226" s="97" t="n"/>
      <c r="AJ226" s="97" t="n"/>
      <c r="AK226" s="97" t="n"/>
      <c r="AL226" s="97" t="n"/>
      <c r="AM226" s="97" t="n"/>
      <c r="AN226" s="97" t="n"/>
      <c r="AO226" s="97" t="n">
        <v>7.899999</v>
      </c>
      <c r="AP226" s="97" t="n">
        <v>0.051971</v>
      </c>
      <c r="AQ226" s="97" t="n"/>
      <c r="AR226" s="97" t="n"/>
      <c r="AS226" s="97" t="n">
        <v>0.211446</v>
      </c>
      <c r="AT226" s="97" t="n">
        <v>2.533199</v>
      </c>
      <c r="AU226" s="97" t="n">
        <v>0.488346</v>
      </c>
      <c r="AV226" s="97" t="n">
        <v>1.115437</v>
      </c>
      <c r="AW226" s="97" t="n"/>
      <c r="AX226" s="97" t="n">
        <v>0.362453</v>
      </c>
      <c r="AY226" s="97" t="n">
        <v>-0.630783</v>
      </c>
      <c r="AZ226" t="n">
        <v>3.164325</v>
      </c>
    </row>
    <row r="227" s="135">
      <c r="A227" t="inlineStr">
        <is>
          <t>1937-10</t>
        </is>
      </c>
      <c r="B227" s="2" t="n">
        <v>13789</v>
      </c>
      <c r="C227" s="96" t="n">
        <v>227</v>
      </c>
      <c r="D227" s="2" t="n"/>
      <c r="E227" s="2">
        <f>B227</f>
        <v/>
      </c>
      <c r="F227" s="3">
        <f>B227</f>
        <v/>
      </c>
      <c r="G227" s="96" t="n">
        <v>225</v>
      </c>
      <c r="H227" s="97" t="n"/>
      <c r="I227" s="97" t="n"/>
      <c r="J227" s="97" t="n"/>
      <c r="K227" s="97" t="n"/>
      <c r="L227" s="97" t="n"/>
      <c r="M227" s="97" t="n"/>
      <c r="N227" s="97" t="n"/>
      <c r="O227" s="97" t="n"/>
      <c r="P227" s="97" t="n"/>
      <c r="Q227" s="97" t="n"/>
      <c r="R227" s="97" t="n"/>
      <c r="S227" s="97" t="n"/>
      <c r="T227" s="97" t="n"/>
      <c r="U227" s="97" t="n"/>
      <c r="V227" s="97" t="n"/>
      <c r="W227" s="97" t="n"/>
      <c r="X227" s="97" t="n"/>
      <c r="Y227" s="97" t="n"/>
      <c r="Z227" s="97" t="n"/>
      <c r="AA227" s="97" t="n"/>
      <c r="AB227" s="97" t="n"/>
      <c r="AC227" s="97" t="n"/>
      <c r="AD227" s="97" t="n"/>
      <c r="AE227" s="97" t="n"/>
      <c r="AF227" s="97" t="n"/>
      <c r="AG227" s="97" t="n"/>
      <c r="AH227" s="97" t="n"/>
      <c r="AI227" s="97" t="n"/>
      <c r="AJ227" s="97" t="n"/>
      <c r="AK227" s="97" t="n"/>
      <c r="AL227" s="97" t="n"/>
      <c r="AM227" s="97" t="n"/>
      <c r="AN227" s="97" t="n"/>
      <c r="AO227" s="97" t="n">
        <v>7.31476</v>
      </c>
      <c r="AP227" s="97" t="n">
        <v>0.498316</v>
      </c>
      <c r="AQ227" s="97" t="n"/>
      <c r="AR227" s="97" t="n"/>
      <c r="AS227" s="97" t="n">
        <v>0.976761</v>
      </c>
      <c r="AT227" s="97" t="n">
        <v>2.632113</v>
      </c>
      <c r="AU227" s="97" t="n">
        <v>0.542675</v>
      </c>
      <c r="AV227" s="97" t="n">
        <v>1.688167</v>
      </c>
      <c r="AW227" s="97" t="n"/>
      <c r="AX227" s="97" t="n">
        <v>2.89206</v>
      </c>
      <c r="AY227" s="97" t="n">
        <v>0.762872</v>
      </c>
      <c r="AZ227" t="n">
        <v>2.443638</v>
      </c>
    </row>
    <row r="228" s="135">
      <c r="A228" t="inlineStr">
        <is>
          <t>1937-11</t>
        </is>
      </c>
      <c r="B228" s="2" t="n">
        <v>13820</v>
      </c>
      <c r="C228" s="96" t="n">
        <v>228</v>
      </c>
      <c r="D228" s="2" t="n"/>
      <c r="E228" s="2">
        <f>B228</f>
        <v/>
      </c>
      <c r="F228" s="3">
        <f>B228</f>
        <v/>
      </c>
      <c r="G228" s="96" t="n">
        <v>226</v>
      </c>
      <c r="H228" s="97" t="n"/>
      <c r="I228" s="97" t="n"/>
      <c r="J228" s="97" t="n"/>
      <c r="K228" s="97" t="n"/>
      <c r="L228" s="97" t="n"/>
      <c r="M228" s="97" t="n"/>
      <c r="N228" s="97" t="n"/>
      <c r="O228" s="97" t="n"/>
      <c r="P228" s="97" t="n"/>
      <c r="Q228" s="97" t="n"/>
      <c r="R228" s="97" t="n"/>
      <c r="S228" s="97" t="n"/>
      <c r="T228" s="97" t="n"/>
      <c r="U228" s="97" t="n"/>
      <c r="V228" s="97" t="n"/>
      <c r="W228" s="97" t="n"/>
      <c r="X228" s="97" t="n"/>
      <c r="Y228" s="97" t="n"/>
      <c r="Z228" s="97" t="n"/>
      <c r="AA228" s="97" t="n"/>
      <c r="AB228" s="97" t="n"/>
      <c r="AC228" s="97" t="n"/>
      <c r="AD228" s="97" t="n"/>
      <c r="AE228" s="97" t="n"/>
      <c r="AF228" s="97" t="n"/>
      <c r="AG228" s="97" t="n"/>
      <c r="AH228" s="97" t="n"/>
      <c r="AI228" s="97" t="n"/>
      <c r="AJ228" s="97" t="n"/>
      <c r="AK228" s="97" t="n"/>
      <c r="AL228" s="97" t="n"/>
      <c r="AM228" s="97" t="n"/>
      <c r="AN228" s="97" t="n"/>
      <c r="AO228" s="97" t="n">
        <v>6.596587</v>
      </c>
      <c r="AP228" s="97" t="n">
        <v>0.76701</v>
      </c>
      <c r="AQ228" s="97" t="n"/>
      <c r="AR228" s="97" t="n"/>
      <c r="AS228" s="97" t="n">
        <v>1.222633</v>
      </c>
      <c r="AT228" s="97" t="n">
        <v>3.283207</v>
      </c>
      <c r="AU228" s="97" t="n">
        <v>0.57686</v>
      </c>
      <c r="AV228" s="97" t="n">
        <v>1.823819</v>
      </c>
      <c r="AW228" s="97" t="n"/>
      <c r="AX228" s="97" t="n">
        <v>2.018129</v>
      </c>
      <c r="AY228" s="97" t="n">
        <v>1.174735</v>
      </c>
      <c r="AZ228" t="n">
        <v>1.876499</v>
      </c>
    </row>
    <row r="229" s="135">
      <c r="A229" t="inlineStr">
        <is>
          <t>1937-12</t>
        </is>
      </c>
      <c r="B229" s="2" t="n">
        <v>13850</v>
      </c>
      <c r="C229" s="96" t="n">
        <v>229</v>
      </c>
      <c r="D229" s="2" t="n"/>
      <c r="E229" s="2">
        <f>B229</f>
        <v/>
      </c>
      <c r="F229" s="3">
        <f>B229</f>
        <v/>
      </c>
      <c r="G229" s="96" t="n">
        <v>227</v>
      </c>
      <c r="H229" s="97" t="n"/>
      <c r="I229" s="97" t="n"/>
      <c r="J229" s="97" t="n"/>
      <c r="K229" s="97" t="n"/>
      <c r="L229" s="97" t="n"/>
      <c r="M229" s="97" t="n"/>
      <c r="N229" s="97" t="n"/>
      <c r="O229" s="97" t="n"/>
      <c r="P229" s="97" t="n"/>
      <c r="Q229" s="97" t="n"/>
      <c r="R229" s="97" t="n"/>
      <c r="S229" s="97" t="n"/>
      <c r="T229" s="97" t="n"/>
      <c r="U229" s="97" t="n"/>
      <c r="V229" s="97" t="n"/>
      <c r="W229" s="97" t="n"/>
      <c r="X229" s="97" t="n"/>
      <c r="Y229" s="97" t="n"/>
      <c r="Z229" s="97" t="n"/>
      <c r="AA229" s="97" t="n"/>
      <c r="AB229" s="97" t="n"/>
      <c r="AC229" s="97" t="n"/>
      <c r="AD229" s="97" t="n"/>
      <c r="AE229" s="97" t="n"/>
      <c r="AF229" s="97" t="n"/>
      <c r="AG229" s="97" t="n"/>
      <c r="AH229" s="97" t="n"/>
      <c r="AI229" s="97" t="n"/>
      <c r="AJ229" s="97" t="n"/>
      <c r="AK229" s="97" t="n"/>
      <c r="AL229" s="97" t="n"/>
      <c r="AM229" s="97" t="n"/>
      <c r="AN229" s="97" t="n"/>
      <c r="AO229" s="97" t="n">
        <v>6.011445</v>
      </c>
      <c r="AP229" s="97" t="n">
        <v>0.579611</v>
      </c>
      <c r="AQ229" s="97" t="n"/>
      <c r="AR229" s="97" t="n"/>
      <c r="AS229" s="97" t="n">
        <v>0.671645</v>
      </c>
      <c r="AT229" s="97" t="n">
        <v>0.364491</v>
      </c>
      <c r="AU229" s="97" t="n">
        <v>1.513863</v>
      </c>
      <c r="AV229" s="97" t="n">
        <v>1.878667</v>
      </c>
      <c r="AW229" s="97" t="n"/>
      <c r="AX229" s="97" t="n">
        <v>4.008951</v>
      </c>
      <c r="AY229" s="97" t="n">
        <v>2.116082</v>
      </c>
      <c r="AZ229" t="n">
        <v>3.254059</v>
      </c>
    </row>
    <row r="230" s="135">
      <c r="A230" t="inlineStr">
        <is>
          <t>1938-01</t>
        </is>
      </c>
      <c r="B230" s="2" t="n">
        <v>13881</v>
      </c>
      <c r="C230" s="96" t="n">
        <v>230</v>
      </c>
      <c r="D230" s="2" t="n"/>
      <c r="E230" s="2">
        <f>B230</f>
        <v/>
      </c>
      <c r="F230" s="3">
        <f>B230</f>
        <v/>
      </c>
      <c r="G230" s="96" t="n">
        <v>228</v>
      </c>
      <c r="H230" s="97" t="n"/>
      <c r="I230" s="97" t="n"/>
      <c r="J230" s="97" t="n"/>
      <c r="K230" s="97" t="n"/>
      <c r="L230" s="97" t="n"/>
      <c r="M230" s="97" t="n"/>
      <c r="N230" s="97" t="n"/>
      <c r="O230" s="97" t="n"/>
      <c r="P230" s="97" t="n"/>
      <c r="Q230" s="97" t="n"/>
      <c r="R230" s="97" t="n"/>
      <c r="S230" s="97" t="n"/>
      <c r="T230" s="97" t="n"/>
      <c r="U230" s="97" t="n"/>
      <c r="V230" s="97" t="n"/>
      <c r="W230" s="97" t="n"/>
      <c r="X230" s="97" t="n"/>
      <c r="Y230" s="97" t="n"/>
      <c r="Z230" s="97" t="n"/>
      <c r="AA230" s="97" t="n"/>
      <c r="AB230" s="97" t="n"/>
      <c r="AC230" s="97" t="n"/>
      <c r="AD230" s="97" t="n"/>
      <c r="AE230" s="97" t="n"/>
      <c r="AF230" s="97" t="n"/>
      <c r="AG230" s="97" t="n"/>
      <c r="AH230" s="97" t="n"/>
      <c r="AI230" s="97" t="n"/>
      <c r="AJ230" s="97" t="n"/>
      <c r="AK230" s="97" t="n"/>
      <c r="AL230" s="97" t="n"/>
      <c r="AM230" s="97" t="n"/>
      <c r="AN230" s="97" t="n"/>
      <c r="AO230" s="97" t="n">
        <v>5.878414</v>
      </c>
      <c r="AP230" s="97" t="n">
        <v>0.534147</v>
      </c>
      <c r="AQ230" s="97" t="n"/>
      <c r="AR230" s="97" t="n"/>
      <c r="AS230" s="97" t="n">
        <v>0.406113</v>
      </c>
      <c r="AT230" s="97" t="n">
        <v>2.224965</v>
      </c>
      <c r="AU230" s="97" t="n">
        <v>1.397434</v>
      </c>
      <c r="AV230" s="97" t="n">
        <v>1.927184</v>
      </c>
      <c r="AW230" s="97" t="n"/>
      <c r="AX230" s="97" t="n">
        <v>2.115163</v>
      </c>
      <c r="AY230" s="97" t="n">
        <v>2.062422</v>
      </c>
      <c r="AZ230" t="n">
        <v>-1.106863</v>
      </c>
    </row>
    <row r="231" s="135">
      <c r="A231" t="inlineStr">
        <is>
          <t>1938-02</t>
        </is>
      </c>
      <c r="B231" s="2" t="n">
        <v>13912</v>
      </c>
      <c r="C231" s="96" t="n">
        <v>231</v>
      </c>
      <c r="D231" s="2" t="n"/>
      <c r="E231" s="2">
        <f>B231</f>
        <v/>
      </c>
      <c r="F231" s="3">
        <f>B231</f>
        <v/>
      </c>
      <c r="G231" s="96" t="n">
        <v>229</v>
      </c>
      <c r="H231" s="97" t="n"/>
      <c r="I231" s="97" t="n"/>
      <c r="J231" s="97" t="n"/>
      <c r="K231" s="97" t="n"/>
      <c r="L231" s="97" t="n"/>
      <c r="M231" s="97" t="n"/>
      <c r="N231" s="97" t="n"/>
      <c r="O231" s="97" t="n"/>
      <c r="P231" s="97" t="n"/>
      <c r="Q231" s="97" t="n"/>
      <c r="R231" s="97" t="n"/>
      <c r="S231" s="97" t="n"/>
      <c r="T231" s="97" t="n"/>
      <c r="U231" s="97" t="n"/>
      <c r="V231" s="97" t="n"/>
      <c r="W231" s="97" t="n"/>
      <c r="X231" s="97" t="n"/>
      <c r="Y231" s="97" t="n"/>
      <c r="Z231" s="97" t="n"/>
      <c r="AA231" s="97" t="n"/>
      <c r="AB231" s="97" t="n"/>
      <c r="AC231" s="97" t="n"/>
      <c r="AD231" s="97" t="n"/>
      <c r="AE231" s="97" t="n"/>
      <c r="AF231" s="97" t="n"/>
      <c r="AG231" s="97" t="n"/>
      <c r="AH231" s="97" t="n"/>
      <c r="AI231" s="97" t="n"/>
      <c r="AJ231" s="97" t="n"/>
      <c r="AK231" s="97" t="n"/>
      <c r="AL231" s="97" t="n"/>
      <c r="AM231" s="97" t="n"/>
      <c r="AN231" s="97" t="n"/>
      <c r="AO231" s="97" t="n">
        <v>5.825202</v>
      </c>
      <c r="AP231" s="97" t="n">
        <v>0.295346</v>
      </c>
      <c r="AQ231" s="97" t="n"/>
      <c r="AR231" s="97" t="n"/>
      <c r="AS231" s="97" t="n">
        <v>0.260477</v>
      </c>
      <c r="AT231" s="97" t="n">
        <v>2.365662</v>
      </c>
      <c r="AU231" s="97" t="n">
        <v>1.635115</v>
      </c>
      <c r="AV231" s="97" t="n">
        <v>1.514535</v>
      </c>
      <c r="AW231" s="97" t="n"/>
      <c r="AX231" s="97" t="n">
        <v>0.352847</v>
      </c>
      <c r="AY231" s="97" t="n">
        <v>1.132182</v>
      </c>
      <c r="AZ231" t="n">
        <v>5.030222</v>
      </c>
    </row>
    <row r="232" s="135">
      <c r="A232" t="inlineStr">
        <is>
          <t>1938-03</t>
        </is>
      </c>
      <c r="B232" s="2" t="n">
        <v>13940</v>
      </c>
      <c r="C232" s="96" t="n">
        <v>232</v>
      </c>
      <c r="D232" s="2" t="n"/>
      <c r="E232" s="2">
        <f>B232</f>
        <v/>
      </c>
      <c r="F232" s="3">
        <f>B232</f>
        <v/>
      </c>
      <c r="G232" s="96" t="n">
        <v>230</v>
      </c>
      <c r="H232" s="97" t="n"/>
      <c r="I232" s="97" t="n"/>
      <c r="J232" s="97" t="n"/>
      <c r="K232" s="97" t="n"/>
      <c r="L232" s="97" t="n"/>
      <c r="M232" s="97" t="n"/>
      <c r="N232" s="97" t="n"/>
      <c r="O232" s="97" t="n"/>
      <c r="P232" s="97" t="n"/>
      <c r="Q232" s="97" t="n"/>
      <c r="R232" s="97" t="n"/>
      <c r="S232" s="97" t="n"/>
      <c r="T232" s="97" t="n"/>
      <c r="U232" s="97" t="n"/>
      <c r="V232" s="97" t="n"/>
      <c r="W232" s="97" t="n"/>
      <c r="X232" s="97" t="n"/>
      <c r="Y232" s="97" t="n"/>
      <c r="Z232" s="97" t="n"/>
      <c r="AA232" s="97" t="n"/>
      <c r="AB232" s="97" t="n"/>
      <c r="AC232" s="97" t="n"/>
      <c r="AD232" s="97" t="n"/>
      <c r="AE232" s="97" t="n"/>
      <c r="AF232" s="97" t="n"/>
      <c r="AG232" s="97" t="n"/>
      <c r="AH232" s="97" t="n"/>
      <c r="AI232" s="97" t="n"/>
      <c r="AJ232" s="97" t="n"/>
      <c r="AK232" s="97" t="n"/>
      <c r="AL232" s="97" t="n"/>
      <c r="AM232" s="97" t="n"/>
      <c r="AN232" s="97" t="n"/>
      <c r="AO232" s="97" t="n">
        <v>5.825202</v>
      </c>
      <c r="AP232" s="97" t="n">
        <v>0.377902</v>
      </c>
      <c r="AQ232" s="97" t="n"/>
      <c r="AR232" s="97" t="n"/>
      <c r="AS232" s="97" t="n">
        <v>0.147458</v>
      </c>
      <c r="AT232" s="97" t="n">
        <v>2.134975</v>
      </c>
      <c r="AU232" s="97" t="n">
        <v>1.067865</v>
      </c>
      <c r="AV232" s="97" t="n">
        <v>1.118171</v>
      </c>
      <c r="AW232" s="97" t="n"/>
      <c r="AX232" s="97" t="n">
        <v>1.123807</v>
      </c>
      <c r="AY232" s="97" t="n">
        <v>0.88536</v>
      </c>
      <c r="AZ232" t="n">
        <v>1.366054</v>
      </c>
    </row>
    <row r="233" s="135">
      <c r="A233" t="inlineStr">
        <is>
          <t>1938-04</t>
        </is>
      </c>
      <c r="B233" s="2" t="n">
        <v>13971</v>
      </c>
      <c r="C233" s="96" t="n">
        <v>233</v>
      </c>
      <c r="D233" s="2" t="n"/>
      <c r="E233" s="2">
        <f>B233</f>
        <v/>
      </c>
      <c r="F233" s="3">
        <f>B233</f>
        <v/>
      </c>
      <c r="G233" s="96" t="n">
        <v>231</v>
      </c>
      <c r="H233" s="97" t="n"/>
      <c r="I233" s="97" t="n"/>
      <c r="J233" s="97" t="n"/>
      <c r="K233" s="97" t="n"/>
      <c r="L233" s="97" t="n"/>
      <c r="M233" s="97" t="n"/>
      <c r="N233" s="97" t="n"/>
      <c r="O233" s="97" t="n"/>
      <c r="P233" s="97" t="n"/>
      <c r="Q233" s="97" t="n"/>
      <c r="R233" s="97" t="n"/>
      <c r="S233" s="97" t="n"/>
      <c r="T233" s="97" t="n"/>
      <c r="U233" s="97" t="n"/>
      <c r="V233" s="97" t="n"/>
      <c r="W233" s="97" t="n"/>
      <c r="X233" s="97" t="n"/>
      <c r="Y233" s="97" t="n"/>
      <c r="Z233" s="97" t="n"/>
      <c r="AA233" s="97" t="n"/>
      <c r="AB233" s="97" t="n"/>
      <c r="AC233" s="97" t="n"/>
      <c r="AD233" s="97" t="n"/>
      <c r="AE233" s="97" t="n"/>
      <c r="AF233" s="97" t="n"/>
      <c r="AG233" s="97" t="n"/>
      <c r="AH233" s="97" t="n"/>
      <c r="AI233" s="97" t="n"/>
      <c r="AJ233" s="97" t="n"/>
      <c r="AK233" s="97" t="n"/>
      <c r="AL233" s="97" t="n"/>
      <c r="AM233" s="97" t="n"/>
      <c r="AN233" s="97" t="n"/>
      <c r="AO233" s="97" t="n">
        <v>5.718778</v>
      </c>
      <c r="AP233" s="97" t="n">
        <v>0.166713</v>
      </c>
      <c r="AQ233" s="97" t="n"/>
      <c r="AR233" s="97" t="n"/>
      <c r="AS233" s="97" t="n">
        <v>1.208984</v>
      </c>
      <c r="AT233" s="97" t="n">
        <v>1.881039</v>
      </c>
      <c r="AU233" s="97" t="n">
        <v>1.016627</v>
      </c>
      <c r="AV233" s="97" t="n">
        <v>1.748082</v>
      </c>
      <c r="AW233" s="97" t="n"/>
      <c r="AX233" s="97" t="n">
        <v>5.499646</v>
      </c>
      <c r="AY233" s="97" t="n">
        <v>0.349215</v>
      </c>
      <c r="AZ233" t="n">
        <v>2.971087</v>
      </c>
    </row>
    <row r="234" s="135">
      <c r="A234" t="inlineStr">
        <is>
          <t>1938-05</t>
        </is>
      </c>
      <c r="B234" s="2" t="n">
        <v>14001</v>
      </c>
      <c r="C234" s="96" t="n">
        <v>234</v>
      </c>
      <c r="D234" s="2" t="n"/>
      <c r="E234" s="2">
        <f>B234</f>
        <v/>
      </c>
      <c r="F234" s="3">
        <f>B234</f>
        <v/>
      </c>
      <c r="G234" s="96" t="n">
        <v>232</v>
      </c>
      <c r="H234" s="97" t="n"/>
      <c r="I234" s="97" t="n"/>
      <c r="J234" s="97" t="n"/>
      <c r="K234" s="97" t="n"/>
      <c r="L234" s="97" t="n"/>
      <c r="M234" s="97" t="n"/>
      <c r="N234" s="97" t="n"/>
      <c r="O234" s="97" t="n"/>
      <c r="P234" s="97" t="n"/>
      <c r="Q234" s="97" t="n"/>
      <c r="R234" s="97" t="n"/>
      <c r="S234" s="97" t="n"/>
      <c r="T234" s="97" t="n"/>
      <c r="U234" s="97" t="n"/>
      <c r="V234" s="97" t="n"/>
      <c r="W234" s="97" t="n"/>
      <c r="X234" s="97" t="n"/>
      <c r="Y234" s="97" t="n"/>
      <c r="Z234" s="97" t="n"/>
      <c r="AA234" s="97" t="n"/>
      <c r="AB234" s="97" t="n"/>
      <c r="AC234" s="97" t="n"/>
      <c r="AD234" s="97" t="n"/>
      <c r="AE234" s="97" t="n"/>
      <c r="AF234" s="97" t="n"/>
      <c r="AG234" s="97" t="n"/>
      <c r="AH234" s="97" t="n"/>
      <c r="AI234" s="97" t="n"/>
      <c r="AJ234" s="97" t="n"/>
      <c r="AK234" s="97" t="n"/>
      <c r="AL234" s="97" t="n"/>
      <c r="AM234" s="97" t="n"/>
      <c r="AN234" s="97" t="n"/>
      <c r="AO234" s="97" t="n">
        <v>5.585843</v>
      </c>
      <c r="AP234" s="97" t="n">
        <v>0.687856</v>
      </c>
      <c r="AQ234" s="97" t="n"/>
      <c r="AR234" s="97" t="n"/>
      <c r="AS234" s="97" t="n">
        <v>1.136635</v>
      </c>
      <c r="AT234" s="97" t="n">
        <v>2.966533</v>
      </c>
      <c r="AU234" s="97" t="n">
        <v>1.794583</v>
      </c>
      <c r="AV234" s="97" t="n">
        <v>1.522295</v>
      </c>
      <c r="AW234" s="97" t="n"/>
      <c r="AX234" s="97" t="n">
        <v>0.419311</v>
      </c>
      <c r="AY234" s="97" t="n">
        <v>1.996449</v>
      </c>
      <c r="AZ234" t="n">
        <v>2.087314</v>
      </c>
    </row>
    <row r="235" s="135">
      <c r="A235" t="inlineStr">
        <is>
          <t>1938-06</t>
        </is>
      </c>
      <c r="B235" s="2" t="n">
        <v>14032</v>
      </c>
      <c r="C235" s="96" t="n">
        <v>235</v>
      </c>
      <c r="D235" s="2" t="n"/>
      <c r="E235" s="2">
        <f>B235</f>
        <v/>
      </c>
      <c r="F235" s="3">
        <f>B235</f>
        <v/>
      </c>
      <c r="G235" s="96" t="n">
        <v>233</v>
      </c>
      <c r="H235" s="97" t="n"/>
      <c r="I235" s="97" t="n"/>
      <c r="J235" s="97" t="n"/>
      <c r="K235" s="97" t="n"/>
      <c r="L235" s="97" t="n"/>
      <c r="M235" s="97" t="n"/>
      <c r="N235" s="97" t="n"/>
      <c r="O235" s="97" t="n"/>
      <c r="P235" s="97" t="n"/>
      <c r="Q235" s="97" t="n"/>
      <c r="R235" s="97" t="n"/>
      <c r="S235" s="97" t="n"/>
      <c r="T235" s="97" t="n"/>
      <c r="U235" s="97" t="n"/>
      <c r="V235" s="97" t="n"/>
      <c r="W235" s="97" t="n"/>
      <c r="X235" s="97" t="n"/>
      <c r="Y235" s="97" t="n"/>
      <c r="Z235" s="97" t="n"/>
      <c r="AA235" s="97" t="n"/>
      <c r="AB235" s="97" t="n"/>
      <c r="AC235" s="97" t="n"/>
      <c r="AD235" s="97" t="n"/>
      <c r="AE235" s="97" t="n"/>
      <c r="AF235" s="97" t="n"/>
      <c r="AG235" s="97" t="n"/>
      <c r="AH235" s="97" t="n"/>
      <c r="AI235" s="97" t="n"/>
      <c r="AJ235" s="97" t="n"/>
      <c r="AK235" s="97" t="n"/>
      <c r="AL235" s="97" t="n"/>
      <c r="AM235" s="97" t="n"/>
      <c r="AN235" s="97" t="n"/>
      <c r="AO235" s="97" t="n">
        <v>5.639055</v>
      </c>
      <c r="AP235" s="97" t="n">
        <v>0.7380100000000001</v>
      </c>
      <c r="AQ235" s="97" t="n"/>
      <c r="AR235" s="97" t="n"/>
      <c r="AS235" s="97" t="n">
        <v>0.99371</v>
      </c>
      <c r="AT235" s="97" t="n">
        <v>1.399216</v>
      </c>
      <c r="AU235" s="97" t="n">
        <v>1.363622</v>
      </c>
      <c r="AV235" s="97" t="n">
        <v>1.762205</v>
      </c>
      <c r="AW235" s="97" t="n"/>
      <c r="AX235" s="97" t="n">
        <v>1.025129</v>
      </c>
      <c r="AY235" s="97" t="n">
        <v>-1.130675</v>
      </c>
      <c r="AZ235" t="n">
        <v>0.754387</v>
      </c>
    </row>
    <row r="236" s="135">
      <c r="A236" t="inlineStr">
        <is>
          <t>1938-07</t>
        </is>
      </c>
      <c r="B236" s="2" t="n">
        <v>14062</v>
      </c>
      <c r="C236" s="96" t="n">
        <v>236</v>
      </c>
      <c r="D236" s="2" t="n"/>
      <c r="E236" s="2">
        <f>B236</f>
        <v/>
      </c>
      <c r="F236" s="3">
        <f>B236</f>
        <v/>
      </c>
      <c r="G236" s="96" t="n">
        <v>234</v>
      </c>
      <c r="H236" s="97" t="n"/>
      <c r="I236" s="97" t="n"/>
      <c r="J236" s="97" t="n"/>
      <c r="K236" s="97" t="n"/>
      <c r="L236" s="97" t="n"/>
      <c r="M236" s="97" t="n"/>
      <c r="N236" s="97" t="n"/>
      <c r="O236" s="97" t="n"/>
      <c r="P236" s="97" t="n"/>
      <c r="Q236" s="97" t="n"/>
      <c r="R236" s="97" t="n"/>
      <c r="S236" s="97" t="n"/>
      <c r="T236" s="97" t="n"/>
      <c r="U236" s="97" t="n"/>
      <c r="V236" s="97" t="n"/>
      <c r="W236" s="97" t="n"/>
      <c r="X236" s="97" t="n"/>
      <c r="Y236" s="97" t="n"/>
      <c r="Z236" s="97" t="n"/>
      <c r="AA236" s="97" t="n"/>
      <c r="AB236" s="97" t="n"/>
      <c r="AC236" s="97" t="n"/>
      <c r="AD236" s="97" t="n"/>
      <c r="AE236" s="97" t="n"/>
      <c r="AF236" s="97" t="n"/>
      <c r="AG236" s="97" t="n"/>
      <c r="AH236" s="97" t="n"/>
      <c r="AI236" s="97" t="n"/>
      <c r="AJ236" s="97" t="n"/>
      <c r="AK236" s="97" t="n"/>
      <c r="AL236" s="97" t="n"/>
      <c r="AM236" s="97" t="n"/>
      <c r="AN236" s="97" t="n"/>
      <c r="AO236" s="97" t="n">
        <v>5.958233</v>
      </c>
      <c r="AP236" s="97" t="n">
        <v>0.607231</v>
      </c>
      <c r="AQ236" s="97" t="n"/>
      <c r="AR236" s="97" t="n"/>
      <c r="AS236" s="97" t="n">
        <v>0.8966420000000001</v>
      </c>
      <c r="AT236" s="97" t="n">
        <v>2.537604</v>
      </c>
      <c r="AU236" s="97" t="n">
        <v>0.669611</v>
      </c>
      <c r="AV236" s="97" t="n">
        <v>2.06284</v>
      </c>
      <c r="AW236" s="97" t="n"/>
      <c r="AX236" s="97" t="n">
        <v>3.358647</v>
      </c>
      <c r="AY236" s="97" t="n">
        <v>1.487764</v>
      </c>
      <c r="AZ236" t="n">
        <v>1.8372</v>
      </c>
    </row>
    <row r="237" s="135">
      <c r="A237" t="inlineStr">
        <is>
          <t>1938-08</t>
        </is>
      </c>
      <c r="B237" s="2" t="n">
        <v>14093</v>
      </c>
      <c r="C237" s="96" t="n">
        <v>237</v>
      </c>
      <c r="D237" s="2" t="n"/>
      <c r="E237" s="2">
        <f>B237</f>
        <v/>
      </c>
      <c r="F237" s="3">
        <f>B237</f>
        <v/>
      </c>
      <c r="G237" s="96" t="n">
        <v>235</v>
      </c>
      <c r="H237" s="97" t="n"/>
      <c r="I237" s="97" t="n"/>
      <c r="J237" s="97" t="n"/>
      <c r="K237" s="97" t="n"/>
      <c r="L237" s="97" t="n"/>
      <c r="M237" s="97" t="n"/>
      <c r="N237" s="97" t="n"/>
      <c r="O237" s="97" t="n"/>
      <c r="P237" s="97" t="n"/>
      <c r="Q237" s="97" t="n"/>
      <c r="R237" s="97" t="n"/>
      <c r="S237" s="97" t="n"/>
      <c r="T237" s="97" t="n"/>
      <c r="U237" s="97" t="n"/>
      <c r="V237" s="97" t="n"/>
      <c r="W237" s="97" t="n"/>
      <c r="X237" s="97" t="n"/>
      <c r="Y237" s="97" t="n"/>
      <c r="Z237" s="97" t="n"/>
      <c r="AA237" s="97" t="n"/>
      <c r="AB237" s="97" t="n"/>
      <c r="AC237" s="97" t="n"/>
      <c r="AD237" s="97" t="n"/>
      <c r="AE237" s="97" t="n"/>
      <c r="AF237" s="97" t="n"/>
      <c r="AG237" s="97" t="n"/>
      <c r="AH237" s="97" t="n"/>
      <c r="AI237" s="97" t="n"/>
      <c r="AJ237" s="97" t="n"/>
      <c r="AK237" s="97" t="n"/>
      <c r="AL237" s="97" t="n"/>
      <c r="AM237" s="97" t="n"/>
      <c r="AN237" s="97" t="n"/>
      <c r="AO237" s="97" t="n">
        <v>6.27741</v>
      </c>
      <c r="AP237" s="97" t="n">
        <v>0.89257</v>
      </c>
      <c r="AQ237" s="97" t="n"/>
      <c r="AR237" s="97" t="n"/>
      <c r="AS237" s="97" t="n">
        <v>1.114749</v>
      </c>
      <c r="AT237" s="97" t="n">
        <v>2.510422</v>
      </c>
      <c r="AU237" s="97" t="n">
        <v>1.756821</v>
      </c>
      <c r="AV237" s="97" t="n">
        <v>1.930605</v>
      </c>
      <c r="AW237" s="97" t="n"/>
      <c r="AX237" s="97" t="n">
        <v>2.064101</v>
      </c>
      <c r="AY237" s="97" t="n">
        <v>1.362482</v>
      </c>
      <c r="AZ237" t="n">
        <v>2.749143</v>
      </c>
    </row>
    <row r="238" s="135">
      <c r="A238" t="inlineStr">
        <is>
          <t>1938-09</t>
        </is>
      </c>
      <c r="B238" s="2" t="n">
        <v>14124</v>
      </c>
      <c r="C238" s="96" t="n">
        <v>238</v>
      </c>
      <c r="D238" s="2" t="n"/>
      <c r="E238" s="2">
        <f>B238</f>
        <v/>
      </c>
      <c r="F238" s="3">
        <f>B238</f>
        <v/>
      </c>
      <c r="G238" s="96" t="n">
        <v>236</v>
      </c>
      <c r="H238" s="97" t="n"/>
      <c r="I238" s="97" t="n"/>
      <c r="J238" s="97" t="n"/>
      <c r="K238" s="97" t="n"/>
      <c r="L238" s="97" t="n"/>
      <c r="M238" s="97" t="n"/>
      <c r="N238" s="97" t="n"/>
      <c r="O238" s="97" t="n"/>
      <c r="P238" s="97" t="n"/>
      <c r="Q238" s="97" t="n"/>
      <c r="R238" s="97" t="n"/>
      <c r="S238" s="97" t="n"/>
      <c r="T238" s="97" t="n"/>
      <c r="U238" s="97" t="n"/>
      <c r="V238" s="97" t="n"/>
      <c r="W238" s="97" t="n"/>
      <c r="X238" s="97" t="n"/>
      <c r="Y238" s="97" t="n"/>
      <c r="Z238" s="97" t="n"/>
      <c r="AA238" s="97" t="n"/>
      <c r="AB238" s="97" t="n"/>
      <c r="AC238" s="97" t="n"/>
      <c r="AD238" s="97" t="n"/>
      <c r="AE238" s="97" t="n"/>
      <c r="AF238" s="97" t="n"/>
      <c r="AG238" s="97" t="n"/>
      <c r="AH238" s="97" t="n"/>
      <c r="AI238" s="97" t="n"/>
      <c r="AJ238" s="97" t="n"/>
      <c r="AK238" s="97" t="n"/>
      <c r="AL238" s="97" t="n"/>
      <c r="AM238" s="97" t="n"/>
      <c r="AN238" s="97" t="n"/>
      <c r="AO238" s="97" t="n">
        <v>6.463557</v>
      </c>
      <c r="AP238" s="97" t="n">
        <v>1.069016</v>
      </c>
      <c r="AQ238" s="97" t="n"/>
      <c r="AR238" s="97" t="n"/>
      <c r="AS238" s="97" t="n">
        <v>0.8551569999999999</v>
      </c>
      <c r="AT238" s="97" t="n">
        <v>1.323343</v>
      </c>
      <c r="AU238" s="97" t="n">
        <v>1.420302</v>
      </c>
      <c r="AV238" s="97" t="n">
        <v>1.925104</v>
      </c>
      <c r="AW238" s="97" t="n"/>
      <c r="AX238" s="97" t="n">
        <v>2.773807</v>
      </c>
      <c r="AY238" s="97" t="n">
        <v>0.5248429999999999</v>
      </c>
      <c r="AZ238" t="n">
        <v>1.148671</v>
      </c>
    </row>
    <row r="239" s="135">
      <c r="A239" t="inlineStr">
        <is>
          <t>1938-10</t>
        </is>
      </c>
      <c r="B239" s="2" t="n">
        <v>14154</v>
      </c>
      <c r="C239" s="96" t="n">
        <v>239</v>
      </c>
      <c r="D239" s="2" t="n"/>
      <c r="E239" s="2">
        <f>B239</f>
        <v/>
      </c>
      <c r="F239" s="3">
        <f>B239</f>
        <v/>
      </c>
      <c r="G239" s="96" t="n">
        <v>237</v>
      </c>
      <c r="H239" s="97" t="n"/>
      <c r="I239" s="97" t="n"/>
      <c r="J239" s="97" t="n"/>
      <c r="K239" s="97" t="n"/>
      <c r="L239" s="97" t="n"/>
      <c r="M239" s="97" t="n"/>
      <c r="N239" s="97" t="n"/>
      <c r="O239" s="97" t="n"/>
      <c r="P239" s="97" t="n"/>
      <c r="Q239" s="97" t="n"/>
      <c r="R239" s="97" t="n"/>
      <c r="S239" s="97" t="n"/>
      <c r="T239" s="97" t="n"/>
      <c r="U239" s="97" t="n"/>
      <c r="V239" s="97" t="n"/>
      <c r="W239" s="97" t="n"/>
      <c r="X239" s="97" t="n"/>
      <c r="Y239" s="97" t="n"/>
      <c r="Z239" s="97" t="n"/>
      <c r="AA239" s="97" t="n"/>
      <c r="AB239" s="97" t="n"/>
      <c r="AC239" s="97" t="n"/>
      <c r="AD239" s="97" t="n"/>
      <c r="AE239" s="97" t="n"/>
      <c r="AF239" s="97" t="n"/>
      <c r="AG239" s="97" t="n"/>
      <c r="AH239" s="97" t="n"/>
      <c r="AI239" s="97" t="n"/>
      <c r="AJ239" s="97" t="n"/>
      <c r="AK239" s="97" t="n"/>
      <c r="AL239" s="97" t="n"/>
      <c r="AM239" s="97" t="n"/>
      <c r="AN239" s="97" t="n"/>
      <c r="AO239" s="97" t="n">
        <v>6.623193</v>
      </c>
      <c r="AP239" s="97" t="n">
        <v>0.652421</v>
      </c>
      <c r="AQ239" s="97" t="n"/>
      <c r="AR239" s="97" t="n"/>
      <c r="AS239" s="97" t="n">
        <v>0.825464</v>
      </c>
      <c r="AT239" s="97" t="n">
        <v>3.193479</v>
      </c>
      <c r="AU239" s="97" t="n">
        <v>1.381133</v>
      </c>
      <c r="AV239" s="97" t="n">
        <v>2.296129</v>
      </c>
      <c r="AW239" s="97" t="n"/>
      <c r="AX239" s="97" t="n">
        <v>-1.730059</v>
      </c>
      <c r="AY239" s="97" t="n">
        <v>1.575954</v>
      </c>
      <c r="AZ239" t="n">
        <v>2.811594</v>
      </c>
    </row>
    <row r="240" s="135">
      <c r="A240" t="inlineStr">
        <is>
          <t>1938-11</t>
        </is>
      </c>
      <c r="B240" s="2" t="n">
        <v>14185</v>
      </c>
      <c r="C240" s="96" t="n">
        <v>240</v>
      </c>
      <c r="D240" s="2" t="n"/>
      <c r="E240" s="2">
        <f>B240</f>
        <v/>
      </c>
      <c r="F240" s="3">
        <f>B240</f>
        <v/>
      </c>
      <c r="G240" s="96" t="n">
        <v>238</v>
      </c>
      <c r="H240" s="97" t="n"/>
      <c r="I240" s="97" t="n"/>
      <c r="J240" s="97" t="n"/>
      <c r="K240" s="97" t="n"/>
      <c r="L240" s="97" t="n"/>
      <c r="M240" s="97" t="n"/>
      <c r="N240" s="97" t="n"/>
      <c r="O240" s="97" t="n"/>
      <c r="P240" s="97" t="n"/>
      <c r="Q240" s="97" t="n"/>
      <c r="R240" s="97" t="n"/>
      <c r="S240" s="97" t="n"/>
      <c r="T240" s="97" t="n"/>
      <c r="U240" s="97" t="n"/>
      <c r="V240" s="97" t="n"/>
      <c r="W240" s="97" t="n"/>
      <c r="X240" s="97" t="n"/>
      <c r="Y240" s="97" t="n"/>
      <c r="Z240" s="97" t="n"/>
      <c r="AA240" s="97" t="n"/>
      <c r="AB240" s="97" t="n"/>
      <c r="AC240" s="97" t="n"/>
      <c r="AD240" s="97" t="n"/>
      <c r="AE240" s="97" t="n"/>
      <c r="AF240" s="97" t="n"/>
      <c r="AG240" s="97" t="n"/>
      <c r="AH240" s="97" t="n"/>
      <c r="AI240" s="97" t="n"/>
      <c r="AJ240" s="97" t="n"/>
      <c r="AK240" s="97" t="n"/>
      <c r="AL240" s="97" t="n"/>
      <c r="AM240" s="97" t="n"/>
      <c r="AN240" s="97" t="n"/>
      <c r="AO240" s="97" t="n">
        <v>6.889159</v>
      </c>
      <c r="AP240" s="97" t="n">
        <v>1.116927</v>
      </c>
      <c r="AQ240" s="97" t="n"/>
      <c r="AR240" s="97" t="n"/>
      <c r="AS240" s="97" t="n">
        <v>1.572683</v>
      </c>
      <c r="AT240" s="97" t="n">
        <v>2.360675</v>
      </c>
      <c r="AU240" s="97" t="n">
        <v>1.382769</v>
      </c>
      <c r="AV240" s="97" t="n">
        <v>1.899241</v>
      </c>
      <c r="AW240" s="97" t="n"/>
      <c r="AX240" s="97" t="n">
        <v>2.986986</v>
      </c>
      <c r="AY240" s="97" t="n">
        <v>1.28028</v>
      </c>
      <c r="AZ240" t="n">
        <v>2.075388</v>
      </c>
    </row>
    <row r="241" s="135">
      <c r="A241" t="inlineStr">
        <is>
          <t>1938-12</t>
        </is>
      </c>
      <c r="B241" s="2" t="n">
        <v>14215</v>
      </c>
      <c r="C241" s="96" t="n">
        <v>241</v>
      </c>
      <c r="D241" s="2" t="n"/>
      <c r="E241" s="2">
        <f>B241</f>
        <v/>
      </c>
      <c r="F241" s="3">
        <f>B241</f>
        <v/>
      </c>
      <c r="G241" s="96" t="n">
        <v>239</v>
      </c>
      <c r="H241" s="97" t="n"/>
      <c r="I241" s="97" t="n"/>
      <c r="J241" s="97" t="n"/>
      <c r="K241" s="97" t="n"/>
      <c r="L241" s="97" t="n"/>
      <c r="M241" s="97" t="n"/>
      <c r="N241" s="97" t="n"/>
      <c r="O241" s="97" t="n"/>
      <c r="P241" s="97" t="n"/>
      <c r="Q241" s="97" t="n"/>
      <c r="R241" s="97" t="n"/>
      <c r="S241" s="97" t="n"/>
      <c r="T241" s="97" t="n"/>
      <c r="U241" s="97" t="n"/>
      <c r="V241" s="97" t="n"/>
      <c r="W241" s="97" t="n"/>
      <c r="X241" s="97" t="n"/>
      <c r="Y241" s="97" t="n"/>
      <c r="Z241" s="97" t="n"/>
      <c r="AA241" s="97" t="n"/>
      <c r="AB241" s="97" t="n"/>
      <c r="AC241" s="97" t="n"/>
      <c r="AD241" s="97" t="n"/>
      <c r="AE241" s="97" t="n"/>
      <c r="AF241" s="97" t="n"/>
      <c r="AG241" s="97" t="n"/>
      <c r="AH241" s="97" t="n"/>
      <c r="AI241" s="97" t="n"/>
      <c r="AJ241" s="97" t="n"/>
      <c r="AK241" s="97" t="n"/>
      <c r="AL241" s="97" t="n"/>
      <c r="AM241" s="97" t="n"/>
      <c r="AN241" s="97" t="n"/>
      <c r="AO241" s="97" t="n">
        <v>6.968977</v>
      </c>
      <c r="AP241" s="97" t="n">
        <v>0.751712</v>
      </c>
      <c r="AQ241" s="97" t="n"/>
      <c r="AR241" s="97" t="n"/>
      <c r="AS241" s="97" t="n">
        <v>0.85977</v>
      </c>
      <c r="AT241" s="97" t="n">
        <v>2.224703</v>
      </c>
      <c r="AU241" s="97" t="n">
        <v>1.623794</v>
      </c>
      <c r="AV241" s="97" t="n">
        <v>1.813651</v>
      </c>
      <c r="AW241" s="97" t="n"/>
      <c r="AX241" s="97" t="n">
        <v>3.540213</v>
      </c>
      <c r="AY241" s="97" t="n">
        <v>1.654601</v>
      </c>
      <c r="AZ241" t="n">
        <v>2.48139</v>
      </c>
    </row>
    <row r="242" s="135">
      <c r="A242" t="inlineStr">
        <is>
          <t>1939-01</t>
        </is>
      </c>
      <c r="B242" s="2" t="n">
        <v>14246</v>
      </c>
      <c r="C242" s="96" t="n">
        <v>242</v>
      </c>
      <c r="D242" s="2" t="n"/>
      <c r="E242" s="2">
        <f>B242</f>
        <v/>
      </c>
      <c r="F242" s="3">
        <f>B242</f>
        <v/>
      </c>
      <c r="G242" s="96" t="n">
        <v>240</v>
      </c>
      <c r="H242" s="97" t="n"/>
      <c r="I242" s="97" t="n"/>
      <c r="J242" s="97" t="n"/>
      <c r="K242" s="97" t="n"/>
      <c r="L242" s="97" t="n"/>
      <c r="M242" s="97" t="n"/>
      <c r="N242" s="97" t="n"/>
      <c r="O242" s="97" t="n"/>
      <c r="P242" s="97" t="n"/>
      <c r="Q242" s="97" t="n"/>
      <c r="R242" s="97" t="n"/>
      <c r="S242" s="97" t="n"/>
      <c r="T242" s="97" t="n"/>
      <c r="U242" s="97" t="n"/>
      <c r="V242" s="97" t="n"/>
      <c r="W242" s="97" t="n"/>
      <c r="X242" s="97" t="n"/>
      <c r="Y242" s="97" t="n"/>
      <c r="Z242" s="97" t="n"/>
      <c r="AA242" s="97" t="n"/>
      <c r="AB242" s="97" t="n"/>
      <c r="AC242" s="97" t="n"/>
      <c r="AD242" s="97" t="n"/>
      <c r="AE242" s="97" t="n"/>
      <c r="AF242" s="97" t="n"/>
      <c r="AG242" s="97" t="n"/>
      <c r="AH242" s="97" t="n"/>
      <c r="AI242" s="97" t="n"/>
      <c r="AJ242" s="97" t="n"/>
      <c r="AK242" s="97" t="n"/>
      <c r="AL242" s="97" t="n"/>
      <c r="AM242" s="97" t="n"/>
      <c r="AN242" s="97" t="n"/>
      <c r="AO242" s="97" t="n">
        <v>6.968977</v>
      </c>
      <c r="AP242" s="97" t="n">
        <v>0.645993</v>
      </c>
      <c r="AQ242" s="97" t="n"/>
      <c r="AR242" s="97" t="n"/>
      <c r="AS242" s="97" t="n">
        <v>1.09564</v>
      </c>
      <c r="AT242" s="97" t="n">
        <v>2.142407</v>
      </c>
      <c r="AU242" s="97" t="n">
        <v>0.819509</v>
      </c>
      <c r="AV242" s="97" t="n">
        <v>2.523798</v>
      </c>
      <c r="AW242" s="97" t="n"/>
      <c r="AX242" s="97" t="n">
        <v>-1.500318</v>
      </c>
      <c r="AY242" s="97" t="n">
        <v>1.861019</v>
      </c>
      <c r="AZ242" t="n">
        <v>2.14123</v>
      </c>
    </row>
    <row r="243" s="135">
      <c r="A243" t="inlineStr">
        <is>
          <t>1939-02</t>
        </is>
      </c>
      <c r="B243" s="2" t="n">
        <v>14277</v>
      </c>
      <c r="C243" s="96" t="n">
        <v>243</v>
      </c>
      <c r="D243" s="2" t="n"/>
      <c r="E243" s="2">
        <f>B243</f>
        <v/>
      </c>
      <c r="F243" s="3">
        <f>B243</f>
        <v/>
      </c>
      <c r="G243" s="96" t="n">
        <v>241</v>
      </c>
      <c r="H243" s="97" t="n"/>
      <c r="I243" s="97" t="n"/>
      <c r="J243" s="97" t="n"/>
      <c r="K243" s="97" t="n"/>
      <c r="L243" s="97" t="n"/>
      <c r="M243" s="97" t="n"/>
      <c r="N243" s="97" t="n"/>
      <c r="O243" s="97" t="n"/>
      <c r="P243" s="97" t="n"/>
      <c r="Q243" s="97" t="n"/>
      <c r="R243" s="97" t="n"/>
      <c r="S243" s="97" t="n"/>
      <c r="T243" s="97" t="n"/>
      <c r="U243" s="97" t="n"/>
      <c r="V243" s="97" t="n"/>
      <c r="W243" s="97" t="n"/>
      <c r="X243" s="97" t="n"/>
      <c r="Y243" s="97" t="n"/>
      <c r="Z243" s="97" t="n"/>
      <c r="AA243" s="97" t="n"/>
      <c r="AB243" s="97" t="n"/>
      <c r="AC243" s="97" t="n"/>
      <c r="AD243" s="97" t="n"/>
      <c r="AE243" s="97" t="n"/>
      <c r="AF243" s="97" t="n"/>
      <c r="AG243" s="97" t="n"/>
      <c r="AH243" s="97" t="n"/>
      <c r="AI243" s="97" t="n"/>
      <c r="AJ243" s="97" t="n"/>
      <c r="AK243" s="97" t="n"/>
      <c r="AL243" s="97" t="n"/>
      <c r="AM243" s="97" t="n"/>
      <c r="AN243" s="97" t="n"/>
      <c r="AO243" s="97" t="n">
        <v>7.022189</v>
      </c>
      <c r="AP243" s="97" t="n">
        <v>0.478552</v>
      </c>
      <c r="AQ243" s="97" t="n"/>
      <c r="AR243" s="97" t="n"/>
      <c r="AS243" s="97" t="n">
        <v>0.810382</v>
      </c>
      <c r="AT243" s="97" t="n">
        <v>1.58819</v>
      </c>
      <c r="AU243" s="97" t="n">
        <v>1.17193</v>
      </c>
      <c r="AV243" s="97" t="n">
        <v>2.20511</v>
      </c>
      <c r="AW243" s="97" t="n"/>
      <c r="AX243" s="97" t="n">
        <v>-1.423104</v>
      </c>
      <c r="AY243" s="97" t="n">
        <v>1.01421</v>
      </c>
      <c r="AZ243" t="n">
        <v>1.274967</v>
      </c>
    </row>
    <row r="244" s="135">
      <c r="A244" t="inlineStr">
        <is>
          <t>1939-03</t>
        </is>
      </c>
      <c r="B244" s="2" t="n">
        <v>14305</v>
      </c>
      <c r="C244" s="96" t="n">
        <v>244</v>
      </c>
      <c r="D244" s="2" t="n"/>
      <c r="E244" s="2">
        <f>B244</f>
        <v/>
      </c>
      <c r="F244" s="3">
        <f>B244</f>
        <v/>
      </c>
      <c r="G244" s="96" t="n">
        <v>242</v>
      </c>
      <c r="H244" s="97" t="n"/>
      <c r="I244" s="97" t="n"/>
      <c r="J244" s="97" t="n"/>
      <c r="K244" s="97" t="n"/>
      <c r="L244" s="97" t="n"/>
      <c r="M244" s="97" t="n"/>
      <c r="N244" s="97" t="n"/>
      <c r="O244" s="97" t="n"/>
      <c r="P244" s="97" t="n"/>
      <c r="Q244" s="97" t="n"/>
      <c r="R244" s="97" t="n"/>
      <c r="S244" s="97" t="n"/>
      <c r="T244" s="97" t="n"/>
      <c r="U244" s="97" t="n"/>
      <c r="V244" s="97" t="n"/>
      <c r="W244" s="97" t="n"/>
      <c r="X244" s="97" t="n"/>
      <c r="Y244" s="97" t="n"/>
      <c r="Z244" s="97" t="n"/>
      <c r="AA244" s="97" t="n"/>
      <c r="AB244" s="97" t="n"/>
      <c r="AC244" s="97" t="n"/>
      <c r="AD244" s="97" t="n"/>
      <c r="AE244" s="97" t="n"/>
      <c r="AF244" s="97" t="n"/>
      <c r="AG244" s="97" t="n"/>
      <c r="AH244" s="97" t="n"/>
      <c r="AI244" s="97" t="n"/>
      <c r="AJ244" s="97" t="n"/>
      <c r="AK244" s="97" t="n"/>
      <c r="AL244" s="97" t="n"/>
      <c r="AM244" s="97" t="n"/>
      <c r="AN244" s="97" t="n"/>
      <c r="AO244" s="97" t="n">
        <v>7.048795</v>
      </c>
      <c r="AP244" s="97" t="n">
        <v>0.521298</v>
      </c>
      <c r="AQ244" s="97" t="n"/>
      <c r="AR244" s="97" t="n"/>
      <c r="AS244" s="97" t="n">
        <v>0.630726</v>
      </c>
      <c r="AT244" s="97" t="n">
        <v>5.002149</v>
      </c>
      <c r="AU244" s="97" t="n">
        <v>1.416847</v>
      </c>
      <c r="AV244" s="97" t="n">
        <v>3.193832</v>
      </c>
      <c r="AW244" s="97" t="n"/>
      <c r="AX244" s="97" t="n">
        <v>5.081427</v>
      </c>
      <c r="AY244" s="97" t="n">
        <v>1.499308</v>
      </c>
      <c r="AZ244" t="n">
        <v>3.002868</v>
      </c>
    </row>
    <row r="245" s="135">
      <c r="A245" t="inlineStr">
        <is>
          <t>1939-04</t>
        </is>
      </c>
      <c r="B245" s="2" t="n">
        <v>14336</v>
      </c>
      <c r="C245" s="96" t="n">
        <v>245</v>
      </c>
      <c r="D245" s="2" t="n"/>
      <c r="E245" s="2">
        <f>B245</f>
        <v/>
      </c>
      <c r="F245" s="3">
        <f>B245</f>
        <v/>
      </c>
      <c r="G245" s="96" t="n">
        <v>243</v>
      </c>
      <c r="H245" s="97" t="n"/>
      <c r="I245" s="97" t="n"/>
      <c r="J245" s="97" t="n"/>
      <c r="K245" s="97" t="n"/>
      <c r="L245" s="97" t="n"/>
      <c r="M245" s="97" t="n"/>
      <c r="N245" s="97" t="n"/>
      <c r="O245" s="97" t="n"/>
      <c r="P245" s="97" t="n"/>
      <c r="Q245" s="97" t="n"/>
      <c r="R245" s="97" t="n"/>
      <c r="S245" s="97" t="n"/>
      <c r="T245" s="97" t="n"/>
      <c r="U245" s="97" t="n"/>
      <c r="V245" s="97" t="n"/>
      <c r="W245" s="97" t="n"/>
      <c r="X245" s="97" t="n"/>
      <c r="Y245" s="97" t="n"/>
      <c r="Z245" s="97" t="n"/>
      <c r="AA245" s="97" t="n"/>
      <c r="AB245" s="97" t="n"/>
      <c r="AC245" s="97" t="n"/>
      <c r="AD245" s="97" t="n"/>
      <c r="AE245" s="97" t="n"/>
      <c r="AF245" s="97" t="n"/>
      <c r="AG245" s="97" t="n"/>
      <c r="AH245" s="97" t="n"/>
      <c r="AI245" s="97" t="n"/>
      <c r="AJ245" s="97" t="n"/>
      <c r="AK245" s="97" t="n"/>
      <c r="AL245" s="97" t="n"/>
      <c r="AM245" s="97" t="n"/>
      <c r="AN245" s="97" t="n"/>
      <c r="AO245" s="97" t="n">
        <v>7.022189</v>
      </c>
      <c r="AP245" s="97" t="n">
        <v>0.55314</v>
      </c>
      <c r="AQ245" s="97" t="n"/>
      <c r="AR245" s="97" t="n"/>
      <c r="AS245" s="97" t="n">
        <v>0.89206</v>
      </c>
      <c r="AT245" s="97" t="n">
        <v>0.016278</v>
      </c>
      <c r="AU245" s="97" t="n">
        <v>0.420212</v>
      </c>
      <c r="AV245" s="97" t="n">
        <v>2.653172</v>
      </c>
      <c r="AW245" s="97" t="n"/>
      <c r="AX245" s="97" t="n">
        <v>4.027451</v>
      </c>
      <c r="AY245" s="97" t="n">
        <v>1.703815</v>
      </c>
      <c r="AZ245" t="n">
        <v>0.966923</v>
      </c>
    </row>
    <row r="246" s="135">
      <c r="A246" t="inlineStr">
        <is>
          <t>1939-05</t>
        </is>
      </c>
      <c r="B246" s="2" t="n">
        <v>14366</v>
      </c>
      <c r="C246" s="96" t="n">
        <v>246</v>
      </c>
      <c r="D246" s="2" t="n"/>
      <c r="E246" s="2">
        <f>B246</f>
        <v/>
      </c>
      <c r="F246" s="3">
        <f>B246</f>
        <v/>
      </c>
      <c r="G246" s="96" t="n">
        <v>244</v>
      </c>
      <c r="H246" s="97" t="n"/>
      <c r="I246" s="97" t="n"/>
      <c r="J246" s="97" t="n"/>
      <c r="K246" s="97" t="n"/>
      <c r="L246" s="97" t="n"/>
      <c r="M246" s="97" t="n"/>
      <c r="N246" s="97" t="n"/>
      <c r="O246" s="97" t="n"/>
      <c r="P246" s="97" t="n"/>
      <c r="Q246" s="97" t="n"/>
      <c r="R246" s="97" t="n"/>
      <c r="S246" s="97" t="n"/>
      <c r="T246" s="97" t="n"/>
      <c r="U246" s="97" t="n"/>
      <c r="V246" s="97" t="n"/>
      <c r="W246" s="97" t="n"/>
      <c r="X246" s="97" t="n"/>
      <c r="Y246" s="97" t="n"/>
      <c r="Z246" s="97" t="n"/>
      <c r="AA246" s="97" t="n"/>
      <c r="AB246" s="97" t="n"/>
      <c r="AC246" s="97" t="n"/>
      <c r="AD246" s="97" t="n"/>
      <c r="AE246" s="97" t="n"/>
      <c r="AF246" s="97" t="n"/>
      <c r="AG246" s="97" t="n"/>
      <c r="AH246" s="97" t="n"/>
      <c r="AI246" s="97" t="n"/>
      <c r="AJ246" s="97" t="n"/>
      <c r="AK246" s="97" t="n"/>
      <c r="AL246" s="97" t="n"/>
      <c r="AM246" s="97" t="n"/>
      <c r="AN246" s="97" t="n"/>
      <c r="AO246" s="97" t="n">
        <v>6.995583</v>
      </c>
      <c r="AP246" s="97" t="n">
        <v>-0.362279</v>
      </c>
      <c r="AQ246" s="97" t="n"/>
      <c r="AR246" s="97" t="n"/>
      <c r="AS246" s="97" t="n">
        <v>0.64211</v>
      </c>
      <c r="AT246" s="97" t="n">
        <v>0.615193</v>
      </c>
      <c r="AU246" s="97" t="n">
        <v>1.220868</v>
      </c>
      <c r="AV246" s="97" t="n">
        <v>0.621602</v>
      </c>
      <c r="AW246" s="97" t="n"/>
      <c r="AX246" s="97" t="n">
        <v>-5.055762</v>
      </c>
      <c r="AY246" s="97" t="n">
        <v>1.957596</v>
      </c>
      <c r="AZ246" t="n">
        <v>0.693862</v>
      </c>
    </row>
    <row r="247" s="135">
      <c r="A247" t="inlineStr">
        <is>
          <t>1939-06</t>
        </is>
      </c>
      <c r="B247" s="2" t="n">
        <v>14397</v>
      </c>
      <c r="C247" s="96" t="n">
        <v>247</v>
      </c>
      <c r="D247" s="2" t="n"/>
      <c r="E247" s="2">
        <f>B247</f>
        <v/>
      </c>
      <c r="F247" s="3">
        <f>B247</f>
        <v/>
      </c>
      <c r="G247" s="96" t="n">
        <v>245</v>
      </c>
      <c r="H247" s="97" t="n"/>
      <c r="I247" s="97" t="n"/>
      <c r="J247" s="97" t="n"/>
      <c r="K247" s="97" t="n"/>
      <c r="L247" s="97" t="n"/>
      <c r="M247" s="97" t="n"/>
      <c r="N247" s="97" t="n"/>
      <c r="O247" s="97" t="n"/>
      <c r="P247" s="97" t="n"/>
      <c r="Q247" s="97" t="n"/>
      <c r="R247" s="97" t="n"/>
      <c r="S247" s="97" t="n"/>
      <c r="T247" s="97" t="n"/>
      <c r="U247" s="97" t="n"/>
      <c r="V247" s="97" t="n"/>
      <c r="W247" s="97" t="n"/>
      <c r="X247" s="97" t="n"/>
      <c r="Y247" s="97" t="n"/>
      <c r="Z247" s="97" t="n"/>
      <c r="AA247" s="97" t="n"/>
      <c r="AB247" s="97" t="n"/>
      <c r="AC247" s="97" t="n"/>
      <c r="AD247" s="97" t="n"/>
      <c r="AE247" s="97" t="n"/>
      <c r="AF247" s="97" t="n"/>
      <c r="AG247" s="97" t="n"/>
      <c r="AH247" s="97" t="n"/>
      <c r="AI247" s="97" t="n"/>
      <c r="AJ247" s="97" t="n"/>
      <c r="AK247" s="97" t="n"/>
      <c r="AL247" s="97" t="n"/>
      <c r="AM247" s="97" t="n"/>
      <c r="AN247" s="97" t="n"/>
      <c r="AO247" s="97" t="n">
        <v>7.15522</v>
      </c>
      <c r="AP247" s="97" t="n">
        <v>-0.572204</v>
      </c>
      <c r="AQ247" s="97" t="n"/>
      <c r="AR247" s="97" t="n"/>
      <c r="AS247" s="97" t="n">
        <v>0.115191</v>
      </c>
      <c r="AT247" s="97" t="n">
        <v>0.539676</v>
      </c>
      <c r="AU247" s="97" t="n">
        <v>0.238976</v>
      </c>
      <c r="AV247" s="97" t="n">
        <v>-1.490669</v>
      </c>
      <c r="AW247" s="97" t="n"/>
      <c r="AX247" s="97" t="n">
        <v>-3.092393</v>
      </c>
      <c r="AY247" s="97" t="n">
        <v>1.333198</v>
      </c>
      <c r="AZ247" t="n">
        <v>0.704539</v>
      </c>
    </row>
    <row r="248" s="135">
      <c r="A248" t="inlineStr">
        <is>
          <t>1939-07</t>
        </is>
      </c>
      <c r="B248" s="2" t="n">
        <v>14427</v>
      </c>
      <c r="C248" s="96" t="n">
        <v>248</v>
      </c>
      <c r="D248" s="2" t="n"/>
      <c r="E248" s="2">
        <f>B248</f>
        <v/>
      </c>
      <c r="F248" s="3">
        <f>B248</f>
        <v/>
      </c>
      <c r="G248" s="96" t="n">
        <v>246</v>
      </c>
      <c r="H248" s="97" t="n"/>
      <c r="I248" s="97" t="n"/>
      <c r="J248" s="97" t="n"/>
      <c r="K248" s="97" t="n"/>
      <c r="L248" s="97" t="n"/>
      <c r="M248" s="97" t="n"/>
      <c r="N248" s="97" t="n"/>
      <c r="O248" s="97" t="n"/>
      <c r="P248" s="97" t="n"/>
      <c r="Q248" s="97" t="n"/>
      <c r="R248" s="97" t="n"/>
      <c r="S248" s="97" t="n"/>
      <c r="T248" s="97" t="n"/>
      <c r="U248" s="97" t="n"/>
      <c r="V248" s="97" t="n"/>
      <c r="W248" s="97" t="n"/>
      <c r="X248" s="97" t="n"/>
      <c r="Y248" s="97" t="n"/>
      <c r="Z248" s="97" t="n"/>
      <c r="AA248" s="97" t="n"/>
      <c r="AB248" s="97" t="n"/>
      <c r="AC248" s="97" t="n"/>
      <c r="AD248" s="97" t="n"/>
      <c r="AE248" s="97" t="n"/>
      <c r="AF248" s="97" t="n"/>
      <c r="AG248" s="97" t="n"/>
      <c r="AH248" s="97" t="n"/>
      <c r="AI248" s="97" t="n"/>
      <c r="AJ248" s="97" t="n"/>
      <c r="AK248" s="97" t="n"/>
      <c r="AL248" s="97" t="n"/>
      <c r="AM248" s="97" t="n"/>
      <c r="AN248" s="97" t="n"/>
      <c r="AO248" s="97" t="n">
        <v>7.367972</v>
      </c>
      <c r="AP248" s="97" t="n">
        <v>-1.704736</v>
      </c>
      <c r="AQ248" s="97" t="n"/>
      <c r="AR248" s="97" t="n"/>
      <c r="AS248" s="97" t="n">
        <v>-1.913999</v>
      </c>
      <c r="AT248" s="97" t="n">
        <v>0.859214</v>
      </c>
      <c r="AU248" s="97" t="n">
        <v>-0.569327</v>
      </c>
      <c r="AV248" s="97" t="n">
        <v>-3.252211</v>
      </c>
      <c r="AW248" s="97" t="n"/>
      <c r="AX248" s="97" t="n">
        <v>-0.9161550000000001</v>
      </c>
      <c r="AY248" s="97" t="n">
        <v>-3.881607</v>
      </c>
      <c r="AZ248" t="n">
        <v>-4.794325</v>
      </c>
    </row>
    <row r="249" s="135">
      <c r="A249" t="inlineStr">
        <is>
          <t>1939-08</t>
        </is>
      </c>
      <c r="B249" s="2" t="n">
        <v>14458</v>
      </c>
      <c r="C249" s="96" t="n">
        <v>249</v>
      </c>
      <c r="D249" s="2" t="n"/>
      <c r="E249" s="2">
        <f>B249</f>
        <v/>
      </c>
      <c r="F249" s="3">
        <f>B249</f>
        <v/>
      </c>
      <c r="G249" s="96" t="n">
        <v>247</v>
      </c>
      <c r="H249" s="97" t="n"/>
      <c r="I249" s="97" t="n"/>
      <c r="J249" s="97" t="n"/>
      <c r="K249" s="97" t="n"/>
      <c r="L249" s="97" t="n"/>
      <c r="M249" s="97" t="n"/>
      <c r="N249" s="97" t="n"/>
      <c r="O249" s="97" t="n"/>
      <c r="P249" s="97" t="n"/>
      <c r="Q249" s="97" t="n"/>
      <c r="R249" s="97" t="n"/>
      <c r="S249" s="97" t="n"/>
      <c r="T249" s="97" t="n"/>
      <c r="U249" s="97" t="n"/>
      <c r="V249" s="97" t="n"/>
      <c r="W249" s="97" t="n"/>
      <c r="X249" s="97" t="n"/>
      <c r="Y249" s="97" t="n"/>
      <c r="Z249" s="97" t="n"/>
      <c r="AA249" s="97" t="n"/>
      <c r="AB249" s="97" t="n"/>
      <c r="AC249" s="97" t="n"/>
      <c r="AD249" s="97" t="n"/>
      <c r="AE249" s="97" t="n"/>
      <c r="AF249" s="97" t="n"/>
      <c r="AG249" s="97" t="n"/>
      <c r="AH249" s="97" t="n"/>
      <c r="AI249" s="97" t="n"/>
      <c r="AJ249" s="97" t="n"/>
      <c r="AK249" s="97" t="n"/>
      <c r="AL249" s="97" t="n"/>
      <c r="AM249" s="97" t="n"/>
      <c r="AN249" s="97" t="n"/>
      <c r="AO249" s="97" t="n">
        <v>7.474397</v>
      </c>
      <c r="AP249" s="97" t="n">
        <v>-2.978876</v>
      </c>
      <c r="AQ249" s="97" t="n"/>
      <c r="AR249" s="97" t="n"/>
      <c r="AS249" s="97" t="n">
        <v>-1.556526</v>
      </c>
      <c r="AT249" s="97" t="n">
        <v>-1.723446</v>
      </c>
      <c r="AU249" s="97" t="n">
        <v>-1.555488</v>
      </c>
      <c r="AV249" s="97" t="n">
        <v>-3.526982</v>
      </c>
      <c r="AW249" s="97" t="n"/>
      <c r="AX249" s="97" t="n">
        <v>-4.049454</v>
      </c>
      <c r="AY249" s="97" t="n">
        <v>-1.340499</v>
      </c>
      <c r="AZ249" t="n">
        <v>-3.540374</v>
      </c>
    </row>
    <row r="250" s="135">
      <c r="A250" t="inlineStr">
        <is>
          <t>1939-09</t>
        </is>
      </c>
      <c r="B250" s="2" t="n">
        <v>14489</v>
      </c>
      <c r="C250" s="96" t="n">
        <v>250</v>
      </c>
      <c r="D250" s="2" t="n"/>
      <c r="E250" s="2">
        <f>B250</f>
        <v/>
      </c>
      <c r="F250" s="3">
        <f>B250</f>
        <v/>
      </c>
      <c r="G250" s="96" t="n">
        <v>248</v>
      </c>
      <c r="H250" s="97" t="n"/>
      <c r="I250" s="97" t="n"/>
      <c r="J250" s="97" t="n"/>
      <c r="K250" s="97" t="n"/>
      <c r="L250" s="97" t="n"/>
      <c r="M250" s="97" t="n"/>
      <c r="N250" s="97" t="n"/>
      <c r="O250" s="97" t="n"/>
      <c r="P250" s="97" t="n"/>
      <c r="Q250" s="97" t="n"/>
      <c r="R250" s="97" t="n"/>
      <c r="S250" s="97" t="n"/>
      <c r="T250" s="97" t="n"/>
      <c r="U250" s="97" t="n"/>
      <c r="V250" s="97" t="n"/>
      <c r="W250" s="97" t="n"/>
      <c r="X250" s="97" t="n"/>
      <c r="Y250" s="97" t="n"/>
      <c r="Z250" s="97" t="n"/>
      <c r="AA250" s="97" t="n"/>
      <c r="AB250" s="97" t="n"/>
      <c r="AC250" s="97" t="n"/>
      <c r="AD250" s="97" t="n"/>
      <c r="AE250" s="97" t="n"/>
      <c r="AF250" s="97" t="n"/>
      <c r="AG250" s="97" t="n"/>
      <c r="AH250" s="97" t="n"/>
      <c r="AI250" s="97" t="n"/>
      <c r="AJ250" s="97" t="n"/>
      <c r="AK250" s="97" t="n"/>
      <c r="AL250" s="97" t="n"/>
      <c r="AM250" s="97" t="n"/>
      <c r="AN250" s="97" t="n"/>
      <c r="AO250" s="97" t="n">
        <v>7.926605</v>
      </c>
      <c r="AP250" s="97" t="n">
        <v>-0.242649</v>
      </c>
      <c r="AQ250" s="97" t="n"/>
      <c r="AR250" s="97" t="n"/>
      <c r="AS250" s="97" t="n">
        <v>-0.010895</v>
      </c>
      <c r="AT250" s="97" t="n">
        <v>5.370874</v>
      </c>
      <c r="AU250" s="97" t="n">
        <v>-0.343175</v>
      </c>
      <c r="AV250" s="97" t="n">
        <v>-1.458861</v>
      </c>
      <c r="AW250" s="97" t="n"/>
      <c r="AX250" s="97" t="n">
        <v>1.961845</v>
      </c>
      <c r="AY250" s="97" t="n">
        <v>1.760859</v>
      </c>
      <c r="AZ250" t="n">
        <v>-2.205431</v>
      </c>
    </row>
    <row r="251" s="135">
      <c r="A251" t="inlineStr">
        <is>
          <t>1939-10</t>
        </is>
      </c>
      <c r="B251" s="2" t="n">
        <v>14519</v>
      </c>
      <c r="C251" s="96" t="n">
        <v>251</v>
      </c>
      <c r="D251" s="2" t="n"/>
      <c r="E251" s="2">
        <f>B251</f>
        <v/>
      </c>
      <c r="F251" s="3">
        <f>B251</f>
        <v/>
      </c>
      <c r="G251" s="96" t="n">
        <v>249</v>
      </c>
      <c r="H251" s="97" t="n"/>
      <c r="I251" s="97" t="n"/>
      <c r="J251" s="97" t="n"/>
      <c r="K251" s="97" t="n"/>
      <c r="L251" s="97" t="n"/>
      <c r="M251" s="97" t="n"/>
      <c r="N251" s="97" t="n"/>
      <c r="O251" s="97" t="n"/>
      <c r="P251" s="97" t="n"/>
      <c r="Q251" s="97" t="n"/>
      <c r="R251" s="97" t="n"/>
      <c r="S251" s="97" t="n"/>
      <c r="T251" s="97" t="n"/>
      <c r="U251" s="97" t="n"/>
      <c r="V251" s="97" t="n"/>
      <c r="W251" s="97" t="n"/>
      <c r="X251" s="97" t="n"/>
      <c r="Y251" s="97" t="n"/>
      <c r="Z251" s="97" t="n"/>
      <c r="AA251" s="97" t="n"/>
      <c r="AB251" s="97" t="n"/>
      <c r="AC251" s="97" t="n"/>
      <c r="AD251" s="97" t="n"/>
      <c r="AE251" s="97" t="n"/>
      <c r="AF251" s="97" t="n"/>
      <c r="AG251" s="97" t="n"/>
      <c r="AH251" s="97" t="n"/>
      <c r="AI251" s="97" t="n"/>
      <c r="AJ251" s="97" t="n"/>
      <c r="AK251" s="97" t="n"/>
      <c r="AL251" s="97" t="n"/>
      <c r="AM251" s="97" t="n"/>
      <c r="AN251" s="97" t="n"/>
      <c r="AO251" s="97" t="n">
        <v>8.325504</v>
      </c>
      <c r="AP251" s="97" t="n">
        <v>0.327865</v>
      </c>
      <c r="AQ251" s="97" t="n"/>
      <c r="AR251" s="97" t="n"/>
      <c r="AS251" s="97" t="n">
        <v>0.9947319999999999</v>
      </c>
      <c r="AT251" s="97" t="n">
        <v>2.558919</v>
      </c>
      <c r="AU251" s="97" t="n">
        <v>0.231904</v>
      </c>
      <c r="AV251" s="97" t="n">
        <v>0.410425</v>
      </c>
      <c r="AW251" s="97" t="n"/>
      <c r="AX251" s="97" t="n">
        <v>1.5701</v>
      </c>
      <c r="AY251" s="97" t="n">
        <v>2.40666</v>
      </c>
      <c r="AZ251" t="n">
        <v>3.844624</v>
      </c>
    </row>
    <row r="252" s="135">
      <c r="A252" t="inlineStr">
        <is>
          <t>1939-11</t>
        </is>
      </c>
      <c r="B252" s="2" t="n">
        <v>14550</v>
      </c>
      <c r="C252" s="96" t="n">
        <v>252</v>
      </c>
      <c r="D252" s="2" t="n"/>
      <c r="E252" s="2">
        <f>B252</f>
        <v/>
      </c>
      <c r="F252" s="3">
        <f>B252</f>
        <v/>
      </c>
      <c r="G252" s="96" t="n">
        <v>250</v>
      </c>
      <c r="H252" s="97" t="n"/>
      <c r="I252" s="97" t="n"/>
      <c r="J252" s="97" t="n"/>
      <c r="K252" s="97" t="n"/>
      <c r="L252" s="97" t="n"/>
      <c r="M252" s="97" t="n"/>
      <c r="N252" s="97" t="n"/>
      <c r="O252" s="97" t="n"/>
      <c r="P252" s="97" t="n"/>
      <c r="Q252" s="97" t="n"/>
      <c r="R252" s="97" t="n"/>
      <c r="S252" s="97" t="n"/>
      <c r="T252" s="97" t="n"/>
      <c r="U252" s="97" t="n"/>
      <c r="V252" s="97" t="n"/>
      <c r="W252" s="97" t="n"/>
      <c r="X252" s="97" t="n"/>
      <c r="Y252" s="97" t="n"/>
      <c r="Z252" s="97" t="n"/>
      <c r="AA252" s="97" t="n"/>
      <c r="AB252" s="97" t="n"/>
      <c r="AC252" s="97" t="n"/>
      <c r="AD252" s="97" t="n"/>
      <c r="AE252" s="97" t="n"/>
      <c r="AF252" s="97" t="n"/>
      <c r="AG252" s="97" t="n"/>
      <c r="AH252" s="97" t="n"/>
      <c r="AI252" s="97" t="n"/>
      <c r="AJ252" s="97" t="n"/>
      <c r="AK252" s="97" t="n"/>
      <c r="AL252" s="97" t="n"/>
      <c r="AM252" s="97" t="n"/>
      <c r="AN252" s="97" t="n"/>
      <c r="AO252" s="97" t="n">
        <v>8.538353000000001</v>
      </c>
      <c r="AP252" s="97" t="n">
        <v>0.540979</v>
      </c>
      <c r="AQ252" s="97" t="n"/>
      <c r="AR252" s="97" t="n"/>
      <c r="AS252" s="97" t="n">
        <v>0.248704</v>
      </c>
      <c r="AT252" s="97" t="n">
        <v>2.173056</v>
      </c>
      <c r="AU252" s="97" t="n">
        <v>0.6667689999999999</v>
      </c>
      <c r="AV252" s="97" t="n">
        <v>1.081708</v>
      </c>
      <c r="AW252" s="97" t="n"/>
      <c r="AX252" s="97" t="n">
        <v>2.143184</v>
      </c>
      <c r="AY252" s="97" t="n">
        <v>2.450185</v>
      </c>
      <c r="AZ252" t="n">
        <v>1.807144</v>
      </c>
    </row>
    <row r="253" s="135">
      <c r="A253" t="inlineStr">
        <is>
          <t>1939-12</t>
        </is>
      </c>
      <c r="B253" s="2" t="n">
        <v>14580</v>
      </c>
      <c r="C253" s="96" t="n">
        <v>253</v>
      </c>
      <c r="D253" s="2" t="n"/>
      <c r="E253" s="2">
        <f>B253</f>
        <v/>
      </c>
      <c r="F253" s="3">
        <f>B253</f>
        <v/>
      </c>
      <c r="G253" s="96" t="n">
        <v>251</v>
      </c>
      <c r="H253" s="97" t="n"/>
      <c r="I253" s="97" t="n"/>
      <c r="J253" s="97" t="n"/>
      <c r="K253" s="97" t="n"/>
      <c r="L253" s="97" t="n"/>
      <c r="M253" s="97" t="n"/>
      <c r="N253" s="97" t="n"/>
      <c r="O253" s="97" t="n"/>
      <c r="P253" s="97" t="n"/>
      <c r="Q253" s="97" t="n"/>
      <c r="R253" s="97" t="n"/>
      <c r="S253" s="97" t="n"/>
      <c r="T253" s="97" t="n"/>
      <c r="U253" s="97" t="n"/>
      <c r="V253" s="97" t="n"/>
      <c r="W253" s="97" t="n"/>
      <c r="X253" s="97" t="n"/>
      <c r="Y253" s="97" t="n"/>
      <c r="Z253" s="97" t="n"/>
      <c r="AA253" s="97" t="n"/>
      <c r="AB253" s="97" t="n"/>
      <c r="AC253" s="97" t="n"/>
      <c r="AD253" s="97" t="n"/>
      <c r="AE253" s="97" t="n"/>
      <c r="AF253" s="97" t="n"/>
      <c r="AG253" s="97" t="n"/>
      <c r="AH253" s="97" t="n"/>
      <c r="AI253" s="97" t="n"/>
      <c r="AJ253" s="97" t="n"/>
      <c r="AK253" s="97" t="n"/>
      <c r="AL253" s="97" t="n"/>
      <c r="AM253" s="97" t="n"/>
      <c r="AN253" s="97" t="n"/>
      <c r="AO253" s="97" t="n">
        <v>8.538353000000001</v>
      </c>
      <c r="AP253" s="97" t="n">
        <v>0.414672</v>
      </c>
      <c r="AQ253" s="97" t="n"/>
      <c r="AR253" s="97" t="n"/>
      <c r="AS253" s="97" t="n">
        <v>1.024431</v>
      </c>
      <c r="AT253" s="97" t="n">
        <v>2.616574</v>
      </c>
      <c r="AU253" s="97" t="n">
        <v>1.138547</v>
      </c>
      <c r="AV253" s="97" t="n">
        <v>2.138462</v>
      </c>
      <c r="AW253" s="97" t="n"/>
      <c r="AX253" s="97" t="n">
        <v>1.706515</v>
      </c>
      <c r="AY253" s="97" t="n">
        <v>2.072468</v>
      </c>
      <c r="AZ253" t="n">
        <v>3.17133</v>
      </c>
    </row>
    <row r="254" s="135">
      <c r="A254" t="inlineStr">
        <is>
          <t>1940-01</t>
        </is>
      </c>
      <c r="B254" s="2" t="n">
        <v>14611</v>
      </c>
      <c r="C254" s="96" t="n">
        <v>254</v>
      </c>
      <c r="D254" s="2" t="n"/>
      <c r="E254" s="2">
        <f>B254</f>
        <v/>
      </c>
      <c r="F254" s="3">
        <f>B254</f>
        <v/>
      </c>
      <c r="G254" s="96" t="n">
        <v>252</v>
      </c>
      <c r="H254" s="97" t="n"/>
      <c r="I254" s="97" t="n"/>
      <c r="J254" s="97" t="n"/>
      <c r="K254" s="97" t="n"/>
      <c r="L254" s="97" t="n"/>
      <c r="M254" s="97" t="n"/>
      <c r="N254" s="97" t="n"/>
      <c r="O254" s="97" t="n"/>
      <c r="P254" s="97" t="n"/>
      <c r="Q254" s="97" t="n"/>
      <c r="R254" s="97" t="n"/>
      <c r="S254" s="97" t="n"/>
      <c r="T254" s="97" t="n"/>
      <c r="U254" s="97" t="n"/>
      <c r="V254" s="97" t="n"/>
      <c r="W254" s="97" t="n"/>
      <c r="X254" s="97" t="n"/>
      <c r="Y254" s="97" t="n"/>
      <c r="Z254" s="97" t="n"/>
      <c r="AA254" s="97" t="n"/>
      <c r="AB254" s="97" t="n"/>
      <c r="AC254" s="97" t="n"/>
      <c r="AD254" s="97" t="n"/>
      <c r="AE254" s="97" t="n"/>
      <c r="AF254" s="97" t="n"/>
      <c r="AG254" s="97" t="n"/>
      <c r="AH254" s="97" t="n"/>
      <c r="AI254" s="97" t="n"/>
      <c r="AJ254" s="97" t="n"/>
      <c r="AK254" s="97" t="n"/>
      <c r="AL254" s="97" t="n"/>
      <c r="AM254" s="97" t="n"/>
      <c r="AN254" s="97" t="n"/>
      <c r="AO254" s="97" t="n">
        <v>8.431929</v>
      </c>
      <c r="AP254" s="97" t="n">
        <v>0.914216</v>
      </c>
      <c r="AQ254" s="97" t="n"/>
      <c r="AR254" s="97" t="n"/>
      <c r="AS254" s="97" t="n">
        <v>0.981325</v>
      </c>
      <c r="AT254" s="97" t="n">
        <v>2.526739</v>
      </c>
      <c r="AU254" s="97" t="n">
        <v>0.682244</v>
      </c>
      <c r="AV254" s="97" t="n">
        <v>0.950099</v>
      </c>
      <c r="AW254" s="97" t="n"/>
      <c r="AX254" s="97" t="n">
        <v>2.583102</v>
      </c>
      <c r="AY254" s="97" t="n">
        <v>1.303546</v>
      </c>
      <c r="AZ254" t="n">
        <v>4.486623</v>
      </c>
    </row>
    <row r="255" s="135">
      <c r="A255" t="inlineStr">
        <is>
          <t>1940-02</t>
        </is>
      </c>
      <c r="B255" s="2" t="n">
        <v>14642</v>
      </c>
      <c r="C255" s="96" t="n">
        <v>255</v>
      </c>
      <c r="D255" s="2" t="n"/>
      <c r="E255" s="2">
        <f>B255</f>
        <v/>
      </c>
      <c r="F255" s="3">
        <f>B255</f>
        <v/>
      </c>
      <c r="G255" s="96" t="n">
        <v>253</v>
      </c>
      <c r="H255" s="97" t="n"/>
      <c r="I255" s="97" t="n"/>
      <c r="J255" s="97" t="n"/>
      <c r="K255" s="97" t="n"/>
      <c r="L255" s="97" t="n"/>
      <c r="M255" s="97" t="n"/>
      <c r="N255" s="97" t="n"/>
      <c r="O255" s="97" t="n"/>
      <c r="P255" s="97" t="n"/>
      <c r="Q255" s="97" t="n"/>
      <c r="R255" s="97" t="n"/>
      <c r="S255" s="97" t="n"/>
      <c r="T255" s="97" t="n"/>
      <c r="U255" s="97" t="n"/>
      <c r="V255" s="97" t="n"/>
      <c r="W255" s="97" t="n"/>
      <c r="X255" s="97" t="n"/>
      <c r="Y255" s="97" t="n"/>
      <c r="Z255" s="97" t="n"/>
      <c r="AA255" s="97" t="n"/>
      <c r="AB255" s="97" t="n"/>
      <c r="AC255" s="97" t="n"/>
      <c r="AD255" s="97" t="n"/>
      <c r="AE255" s="97" t="n"/>
      <c r="AF255" s="97" t="n"/>
      <c r="AG255" s="97" t="n"/>
      <c r="AH255" s="97" t="n"/>
      <c r="AI255" s="97" t="n"/>
      <c r="AJ255" s="97" t="n"/>
      <c r="AK255" s="97" t="n"/>
      <c r="AL255" s="97" t="n"/>
      <c r="AM255" s="97" t="n"/>
      <c r="AN255" s="97" t="n"/>
      <c r="AO255" s="97" t="n">
        <v>8.165964000000001</v>
      </c>
      <c r="AP255" s="97" t="n">
        <v>0.466643</v>
      </c>
      <c r="AQ255" s="97" t="n"/>
      <c r="AR255" s="97" t="n"/>
      <c r="AS255" s="97" t="n">
        <v>0.442511</v>
      </c>
      <c r="AT255" s="97" t="n">
        <v>2.365134</v>
      </c>
      <c r="AU255" s="97" t="n">
        <v>1.111748</v>
      </c>
      <c r="AV255" s="97" t="n">
        <v>0.523513</v>
      </c>
      <c r="AW255" s="97" t="n"/>
      <c r="AX255" s="97" t="n">
        <v>2.314438</v>
      </c>
      <c r="AY255" s="97" t="n">
        <v>1.086582</v>
      </c>
      <c r="AZ255" t="n">
        <v>0.411067</v>
      </c>
    </row>
    <row r="256" s="135">
      <c r="A256" t="inlineStr">
        <is>
          <t>1940-03</t>
        </is>
      </c>
      <c r="B256" s="2" t="n">
        <v>14671</v>
      </c>
      <c r="C256" s="96" t="n">
        <v>256</v>
      </c>
      <c r="D256" s="2" t="n"/>
      <c r="E256" s="2">
        <f>B256</f>
        <v/>
      </c>
      <c r="F256" s="3">
        <f>B256</f>
        <v/>
      </c>
      <c r="G256" s="96" t="n">
        <v>254</v>
      </c>
      <c r="H256" s="97" t="n"/>
      <c r="I256" s="97" t="n"/>
      <c r="J256" s="97" t="n"/>
      <c r="K256" s="97" t="n"/>
      <c r="L256" s="97" t="n"/>
      <c r="M256" s="97" t="n"/>
      <c r="N256" s="97" t="n"/>
      <c r="O256" s="97" t="n"/>
      <c r="P256" s="97" t="n"/>
      <c r="Q256" s="97" t="n"/>
      <c r="R256" s="97" t="n"/>
      <c r="S256" s="97" t="n"/>
      <c r="T256" s="97" t="n"/>
      <c r="U256" s="97" t="n"/>
      <c r="V256" s="97" t="n"/>
      <c r="W256" s="97" t="n"/>
      <c r="X256" s="97" t="n"/>
      <c r="Y256" s="97" t="n"/>
      <c r="Z256" s="97" t="n"/>
      <c r="AA256" s="97" t="n"/>
      <c r="AB256" s="97" t="n"/>
      <c r="AC256" s="97" t="n"/>
      <c r="AD256" s="97" t="n"/>
      <c r="AE256" s="97" t="n"/>
      <c r="AF256" s="97" t="n"/>
      <c r="AG256" s="97" t="n"/>
      <c r="AH256" s="97" t="n"/>
      <c r="AI256" s="97" t="n"/>
      <c r="AJ256" s="97" t="n"/>
      <c r="AK256" s="97" t="n"/>
      <c r="AL256" s="97" t="n"/>
      <c r="AM256" s="97" t="n"/>
      <c r="AN256" s="97" t="n"/>
      <c r="AO256" s="97" t="n">
        <v>7.979721</v>
      </c>
      <c r="AP256" s="97" t="n">
        <v>0.6221370000000001</v>
      </c>
      <c r="AQ256" s="97" t="n"/>
      <c r="AR256" s="97" t="n"/>
      <c r="AS256" s="97" t="n">
        <v>0.700684</v>
      </c>
      <c r="AT256" s="97" t="n">
        <v>2.685385</v>
      </c>
      <c r="AU256" s="97" t="n">
        <v>1.069624</v>
      </c>
      <c r="AV256" s="97" t="n">
        <v>1.25698</v>
      </c>
      <c r="AW256" s="97" t="n"/>
      <c r="AX256" s="97" t="n">
        <v>3.556788</v>
      </c>
      <c r="AY256" s="97" t="n">
        <v>1.169951</v>
      </c>
      <c r="AZ256" t="n">
        <v>1.402793</v>
      </c>
    </row>
    <row r="257" s="135">
      <c r="A257" t="inlineStr">
        <is>
          <t>1940-04</t>
        </is>
      </c>
      <c r="B257" s="2" t="n">
        <v>14702</v>
      </c>
      <c r="C257" s="96" t="n">
        <v>257</v>
      </c>
      <c r="D257" s="2" t="n"/>
      <c r="E257" s="2">
        <f>B257</f>
        <v/>
      </c>
      <c r="F257" s="3">
        <f>B257</f>
        <v/>
      </c>
      <c r="G257" s="96" t="n">
        <v>255</v>
      </c>
      <c r="H257" s="97" t="n"/>
      <c r="I257" s="97" t="n"/>
      <c r="J257" s="97" t="n"/>
      <c r="K257" s="97" t="n"/>
      <c r="L257" s="97" t="n"/>
      <c r="M257" s="97" t="n"/>
      <c r="N257" s="97" t="n"/>
      <c r="O257" s="97" t="n"/>
      <c r="P257" s="97" t="n"/>
      <c r="Q257" s="97" t="n"/>
      <c r="R257" s="97" t="n"/>
      <c r="S257" s="97" t="n"/>
      <c r="T257" s="97" t="n"/>
      <c r="U257" s="97" t="n"/>
      <c r="V257" s="97" t="n"/>
      <c r="W257" s="97" t="n"/>
      <c r="X257" s="97" t="n"/>
      <c r="Y257" s="97" t="n"/>
      <c r="Z257" s="97" t="n"/>
      <c r="AA257" s="97" t="n"/>
      <c r="AB257" s="97" t="n"/>
      <c r="AC257" s="97" t="n"/>
      <c r="AD257" s="97" t="n"/>
      <c r="AE257" s="97" t="n"/>
      <c r="AF257" s="97" t="n"/>
      <c r="AG257" s="97" t="n"/>
      <c r="AH257" s="97" t="n"/>
      <c r="AI257" s="97" t="n"/>
      <c r="AJ257" s="97" t="n"/>
      <c r="AK257" s="97" t="n"/>
      <c r="AL257" s="97" t="n"/>
      <c r="AM257" s="97" t="n"/>
      <c r="AN257" s="97" t="n"/>
      <c r="AO257" s="97" t="n">
        <v>8.139358</v>
      </c>
      <c r="AP257" s="97" t="n">
        <v>0.8081199999999999</v>
      </c>
      <c r="AQ257" s="97" t="n"/>
      <c r="AR257" s="97" t="n"/>
      <c r="AS257" s="97" t="n">
        <v>0.480227</v>
      </c>
      <c r="AT257" s="97" t="n">
        <v>2.21981</v>
      </c>
      <c r="AU257" s="97" t="n">
        <v>0.9508259999999999</v>
      </c>
      <c r="AV257" s="97" t="n">
        <v>0.953668</v>
      </c>
      <c r="AW257" s="97" t="n">
        <v>2.6</v>
      </c>
      <c r="AX257" s="97" t="n">
        <v>2.577497</v>
      </c>
      <c r="AY257" s="97" t="n">
        <v>1.328412</v>
      </c>
      <c r="AZ257" t="n">
        <v>2.399388</v>
      </c>
    </row>
    <row r="258" s="135">
      <c r="A258" t="inlineStr">
        <is>
          <t>1940-05</t>
        </is>
      </c>
      <c r="B258" s="2" t="n">
        <v>14732</v>
      </c>
      <c r="C258" s="96" t="n">
        <v>258</v>
      </c>
      <c r="D258" s="2" t="n"/>
      <c r="E258" s="2">
        <f>B258</f>
        <v/>
      </c>
      <c r="F258" s="3">
        <f>B258</f>
        <v/>
      </c>
      <c r="G258" s="96" t="n">
        <v>256</v>
      </c>
      <c r="H258" s="97" t="n"/>
      <c r="I258" s="97" t="n"/>
      <c r="J258" s="97" t="n"/>
      <c r="K258" s="97" t="n"/>
      <c r="L258" s="97" t="n"/>
      <c r="M258" s="97" t="n"/>
      <c r="N258" s="97" t="n"/>
      <c r="O258" s="97" t="n"/>
      <c r="P258" s="97" t="n"/>
      <c r="Q258" s="97" t="n"/>
      <c r="R258" s="97" t="n"/>
      <c r="S258" s="97" t="n"/>
      <c r="T258" s="97" t="n"/>
      <c r="U258" s="97" t="n"/>
      <c r="V258" s="97" t="n"/>
      <c r="W258" s="97" t="n"/>
      <c r="X258" s="97" t="n"/>
      <c r="Y258" s="97" t="n"/>
      <c r="Z258" s="97" t="n"/>
      <c r="AA258" s="97" t="n"/>
      <c r="AB258" s="97" t="n"/>
      <c r="AC258" s="97" t="n"/>
      <c r="AD258" s="97" t="n"/>
      <c r="AE258" s="97" t="n"/>
      <c r="AF258" s="97" t="n"/>
      <c r="AG258" s="97" t="n"/>
      <c r="AH258" s="97" t="n"/>
      <c r="AI258" s="97" t="n"/>
      <c r="AJ258" s="97" t="n"/>
      <c r="AK258" s="97" t="n"/>
      <c r="AL258" s="97" t="n"/>
      <c r="AM258" s="97" t="n"/>
      <c r="AN258" s="97" t="n"/>
      <c r="AO258" s="97" t="n">
        <v>8.378716000000001</v>
      </c>
      <c r="AP258" s="97" t="n">
        <v>0.022554</v>
      </c>
      <c r="AQ258" s="97" t="n"/>
      <c r="AR258" s="97" t="n"/>
      <c r="AS258" s="97" t="n">
        <v>0.487728</v>
      </c>
      <c r="AT258" s="97" t="n">
        <v>1.746085</v>
      </c>
      <c r="AU258" s="97" t="n">
        <v>0.574942</v>
      </c>
      <c r="AV258" s="97" t="n">
        <v>1.188686</v>
      </c>
      <c r="AW258" s="97" t="n">
        <v>2.3</v>
      </c>
      <c r="AX258" s="97" t="n">
        <v>2.181548</v>
      </c>
      <c r="AY258" s="97" t="n">
        <v>1.063795</v>
      </c>
      <c r="AZ258" t="n">
        <v>0.972643</v>
      </c>
    </row>
    <row r="259" s="135">
      <c r="A259" t="inlineStr">
        <is>
          <t>1940-06</t>
        </is>
      </c>
      <c r="B259" s="2" t="n">
        <v>14763</v>
      </c>
      <c r="C259" s="96" t="n">
        <v>259</v>
      </c>
      <c r="D259" s="2" t="n"/>
      <c r="E259" s="2">
        <f>B259</f>
        <v/>
      </c>
      <c r="F259" s="3">
        <f>B259</f>
        <v/>
      </c>
      <c r="G259" s="96" t="n">
        <v>257</v>
      </c>
      <c r="H259" s="97" t="n"/>
      <c r="I259" s="97" t="n"/>
      <c r="J259" s="97" t="n"/>
      <c r="K259" s="97" t="n"/>
      <c r="L259" s="97" t="n"/>
      <c r="M259" s="97" t="n"/>
      <c r="N259" s="97" t="n"/>
      <c r="O259" s="97" t="n"/>
      <c r="P259" s="97" t="n"/>
      <c r="Q259" s="97" t="n"/>
      <c r="R259" s="97" t="n"/>
      <c r="S259" s="97" t="n"/>
      <c r="T259" s="97" t="n"/>
      <c r="U259" s="97" t="n"/>
      <c r="V259" s="97" t="n"/>
      <c r="W259" s="97" t="n"/>
      <c r="X259" s="97" t="n"/>
      <c r="Y259" s="97" t="n"/>
      <c r="Z259" s="97" t="n"/>
      <c r="AA259" s="97" t="n"/>
      <c r="AB259" s="97" t="n"/>
      <c r="AC259" s="97" t="n"/>
      <c r="AD259" s="97" t="n"/>
      <c r="AE259" s="97" t="n"/>
      <c r="AF259" s="97" t="n"/>
      <c r="AG259" s="97" t="n"/>
      <c r="AH259" s="97" t="n"/>
      <c r="AI259" s="97" t="n"/>
      <c r="AJ259" s="97" t="n"/>
      <c r="AK259" s="97" t="n"/>
      <c r="AL259" s="97" t="n"/>
      <c r="AM259" s="97" t="n"/>
      <c r="AN259" s="97" t="n"/>
      <c r="AO259" s="97" t="n">
        <v>8.644778000000001</v>
      </c>
      <c r="AP259" s="97" t="n">
        <v>-0.00435</v>
      </c>
      <c r="AQ259" s="97" t="n"/>
      <c r="AR259" s="97" t="n"/>
      <c r="AS259" s="97" t="n">
        <v>-0.320376</v>
      </c>
      <c r="AT259" s="97" t="n">
        <v>-1.463069</v>
      </c>
      <c r="AU259" s="97" t="n">
        <v>0.298202</v>
      </c>
      <c r="AV259" s="97" t="n">
        <v>1.137752</v>
      </c>
      <c r="AW259" s="97" t="n">
        <v>1.8</v>
      </c>
      <c r="AX259" s="97" t="n">
        <v>2.651322</v>
      </c>
      <c r="AY259" s="97" t="n">
        <v>0.037405</v>
      </c>
      <c r="AZ259" t="n">
        <v>0.789035</v>
      </c>
    </row>
    <row r="260" s="135">
      <c r="A260" t="inlineStr">
        <is>
          <t>1940-07</t>
        </is>
      </c>
      <c r="B260" s="2" t="n">
        <v>14793</v>
      </c>
      <c r="C260" s="96" t="n">
        <v>260</v>
      </c>
      <c r="D260" s="2" t="n"/>
      <c r="E260" s="2">
        <f>B260</f>
        <v/>
      </c>
      <c r="F260" s="3">
        <f>B260</f>
        <v/>
      </c>
      <c r="G260" s="96" t="n">
        <v>258</v>
      </c>
      <c r="H260" s="97" t="n"/>
      <c r="I260" s="97" t="n"/>
      <c r="J260" s="97" t="n"/>
      <c r="K260" s="97" t="n"/>
      <c r="L260" s="97" t="n"/>
      <c r="M260" s="97" t="n"/>
      <c r="N260" s="97" t="n"/>
      <c r="O260" s="97" t="n"/>
      <c r="P260" s="97" t="n"/>
      <c r="Q260" s="97" t="n"/>
      <c r="R260" s="97" t="n"/>
      <c r="S260" s="97" t="n"/>
      <c r="T260" s="97" t="n"/>
      <c r="U260" s="97" t="n"/>
      <c r="V260" s="97" t="n"/>
      <c r="W260" s="97" t="n"/>
      <c r="X260" s="97" t="n"/>
      <c r="Y260" s="97" t="n"/>
      <c r="Z260" s="97" t="n"/>
      <c r="AA260" s="97" t="n"/>
      <c r="AB260" s="97" t="n"/>
      <c r="AC260" s="97" t="n"/>
      <c r="AD260" s="97" t="n"/>
      <c r="AE260" s="97" t="n"/>
      <c r="AF260" s="97" t="n"/>
      <c r="AG260" s="97" t="n"/>
      <c r="AH260" s="97" t="n"/>
      <c r="AI260" s="97" t="n"/>
      <c r="AJ260" s="97" t="n"/>
      <c r="AK260" s="97" t="n"/>
      <c r="AL260" s="97" t="n"/>
      <c r="AM260" s="97" t="n"/>
      <c r="AN260" s="97" t="n"/>
      <c r="AO260" s="97" t="n">
        <v>8.751106</v>
      </c>
      <c r="AP260" s="97" t="n">
        <v>-0.287329</v>
      </c>
      <c r="AQ260" s="97" t="n"/>
      <c r="AR260" s="97" t="n"/>
      <c r="AS260" s="97" t="n">
        <v>0.610472</v>
      </c>
      <c r="AT260" s="97" t="n">
        <v>1.965761</v>
      </c>
      <c r="AU260" s="97" t="n">
        <v>0.7621019999999999</v>
      </c>
      <c r="AV260" s="97" t="n">
        <v>1.312534</v>
      </c>
      <c r="AW260" s="97" t="n">
        <v>1.5</v>
      </c>
      <c r="AX260" s="97" t="n">
        <v>1.09369</v>
      </c>
      <c r="AY260" s="97" t="n">
        <v>0.57439</v>
      </c>
      <c r="AZ260" t="n">
        <v>0.070025</v>
      </c>
    </row>
    <row r="261" s="135">
      <c r="A261" t="inlineStr">
        <is>
          <t>1940-08</t>
        </is>
      </c>
      <c r="B261" s="2" t="n">
        <v>14824</v>
      </c>
      <c r="C261" s="96" t="n">
        <v>261</v>
      </c>
      <c r="D261" s="2" t="n"/>
      <c r="E261" s="2">
        <f>B261</f>
        <v/>
      </c>
      <c r="F261" s="3">
        <f>B261</f>
        <v/>
      </c>
      <c r="G261" s="96" t="n">
        <v>259</v>
      </c>
      <c r="H261" s="97" t="n"/>
      <c r="I261" s="97" t="n"/>
      <c r="J261" s="97" t="n"/>
      <c r="K261" s="97" t="n"/>
      <c r="L261" s="97" t="n"/>
      <c r="M261" s="97" t="n"/>
      <c r="N261" s="97" t="n"/>
      <c r="O261" s="97" t="n"/>
      <c r="P261" s="97" t="n"/>
      <c r="Q261" s="97" t="n"/>
      <c r="R261" s="97" t="n"/>
      <c r="S261" s="97" t="n"/>
      <c r="T261" s="97" t="n"/>
      <c r="U261" s="97" t="n"/>
      <c r="V261" s="97" t="n"/>
      <c r="W261" s="97" t="n"/>
      <c r="X261" s="97" t="n"/>
      <c r="Y261" s="97" t="n"/>
      <c r="Z261" s="97" t="n"/>
      <c r="AA261" s="97" t="n"/>
      <c r="AB261" s="97" t="n"/>
      <c r="AC261" s="97" t="n"/>
      <c r="AD261" s="97" t="n"/>
      <c r="AE261" s="97" t="n"/>
      <c r="AF261" s="97" t="n"/>
      <c r="AG261" s="97" t="n"/>
      <c r="AH261" s="97" t="n"/>
      <c r="AI261" s="97" t="n"/>
      <c r="AJ261" s="97" t="n"/>
      <c r="AK261" s="97" t="n"/>
      <c r="AL261" s="97" t="n"/>
      <c r="AM261" s="97" t="n"/>
      <c r="AN261" s="97" t="n"/>
      <c r="AO261" s="97" t="n">
        <v>8.804318</v>
      </c>
      <c r="AP261" s="97" t="n">
        <v>-0.159648</v>
      </c>
      <c r="AQ261" s="97" t="n"/>
      <c r="AR261" s="97" t="n"/>
      <c r="AS261" s="97" t="n">
        <v>0.09039700000000001</v>
      </c>
      <c r="AT261" s="97" t="n">
        <v>1.754009</v>
      </c>
      <c r="AU261" s="97" t="n">
        <v>0.399771</v>
      </c>
      <c r="AV261" s="97" t="n">
        <v>0.845982</v>
      </c>
      <c r="AW261" s="97" t="n">
        <v>2</v>
      </c>
      <c r="AX261" s="97" t="n">
        <v>-0.388222</v>
      </c>
      <c r="AY261" s="97" t="n">
        <v>-0.424938</v>
      </c>
      <c r="AZ261" t="n">
        <v>-1.06384</v>
      </c>
    </row>
    <row r="262" s="135">
      <c r="A262" t="inlineStr">
        <is>
          <t>1940-09</t>
        </is>
      </c>
      <c r="B262" s="2" t="n">
        <v>14855</v>
      </c>
      <c r="C262" s="96" t="n">
        <v>262</v>
      </c>
      <c r="D262" s="2" t="n"/>
      <c r="E262" s="2">
        <f>B262</f>
        <v/>
      </c>
      <c r="F262" s="3">
        <f>B262</f>
        <v/>
      </c>
      <c r="G262" s="96" t="n">
        <v>260</v>
      </c>
      <c r="H262" s="97" t="n"/>
      <c r="I262" s="97" t="n"/>
      <c r="J262" s="97" t="n"/>
      <c r="K262" s="97" t="n"/>
      <c r="L262" s="97" t="n"/>
      <c r="M262" s="97" t="n"/>
      <c r="N262" s="97" t="n"/>
      <c r="O262" s="97" t="n"/>
      <c r="P262" s="97" t="n"/>
      <c r="Q262" s="97" t="n"/>
      <c r="R262" s="97" t="n"/>
      <c r="S262" s="97" t="n"/>
      <c r="T262" s="97" t="n"/>
      <c r="U262" s="97" t="n"/>
      <c r="V262" s="97" t="n"/>
      <c r="W262" s="97" t="n"/>
      <c r="X262" s="97" t="n"/>
      <c r="Y262" s="97" t="n"/>
      <c r="Z262" s="97" t="n"/>
      <c r="AA262" s="97" t="n"/>
      <c r="AB262" s="97" t="n"/>
      <c r="AC262" s="97" t="n"/>
      <c r="AD262" s="97" t="n"/>
      <c r="AE262" s="97" t="n"/>
      <c r="AF262" s="97" t="n"/>
      <c r="AG262" s="97" t="n"/>
      <c r="AH262" s="97" t="n"/>
      <c r="AI262" s="97" t="n"/>
      <c r="AJ262" s="97" t="n"/>
      <c r="AK262" s="97" t="n"/>
      <c r="AL262" s="97" t="n"/>
      <c r="AM262" s="97" t="n"/>
      <c r="AN262" s="97" t="n"/>
      <c r="AO262" s="97" t="n">
        <v>8.990561</v>
      </c>
      <c r="AP262" s="97" t="n">
        <v>-0.333419</v>
      </c>
      <c r="AQ262" s="97" t="n"/>
      <c r="AR262" s="97" t="n"/>
      <c r="AS262" s="97" t="n">
        <v>0.247966</v>
      </c>
      <c r="AT262" s="97" t="n">
        <v>1.459641</v>
      </c>
      <c r="AU262" s="97" t="n">
        <v>0.897717</v>
      </c>
      <c r="AV262" s="97" t="n">
        <v>1.014654</v>
      </c>
      <c r="AW262" s="97" t="n">
        <v>2.1</v>
      </c>
      <c r="AX262" s="97" t="n">
        <v>1.683077</v>
      </c>
      <c r="AY262" s="97" t="n">
        <v>0.843268</v>
      </c>
      <c r="AZ262" t="n">
        <v>-3.446436</v>
      </c>
    </row>
    <row r="263" s="135">
      <c r="A263" t="inlineStr">
        <is>
          <t>1940-10</t>
        </is>
      </c>
      <c r="B263" s="2" t="n">
        <v>14885</v>
      </c>
      <c r="C263" s="96" t="n">
        <v>263</v>
      </c>
      <c r="D263" s="2" t="n"/>
      <c r="E263" s="2">
        <f>B263</f>
        <v/>
      </c>
      <c r="F263" s="3">
        <f>B263</f>
        <v/>
      </c>
      <c r="G263" s="96" t="n">
        <v>261</v>
      </c>
      <c r="H263" s="97" t="n"/>
      <c r="I263" s="97" t="n"/>
      <c r="J263" s="97" t="n"/>
      <c r="K263" s="97" t="n"/>
      <c r="L263" s="97" t="n"/>
      <c r="M263" s="97" t="n"/>
      <c r="N263" s="97" t="n"/>
      <c r="O263" s="97" t="n"/>
      <c r="P263" s="97" t="n"/>
      <c r="Q263" s="97" t="n"/>
      <c r="R263" s="97" t="n"/>
      <c r="S263" s="97" t="n"/>
      <c r="T263" s="97" t="n"/>
      <c r="U263" s="97" t="n"/>
      <c r="V263" s="97" t="n"/>
      <c r="W263" s="97" t="n"/>
      <c r="X263" s="97" t="n"/>
      <c r="Y263" s="97" t="n"/>
      <c r="Z263" s="97" t="n"/>
      <c r="AA263" s="97" t="n"/>
      <c r="AB263" s="97" t="n"/>
      <c r="AC263" s="97" t="n"/>
      <c r="AD263" s="97" t="n"/>
      <c r="AE263" s="97" t="n"/>
      <c r="AF263" s="97" t="n"/>
      <c r="AG263" s="97" t="n"/>
      <c r="AH263" s="97" t="n"/>
      <c r="AI263" s="97" t="n"/>
      <c r="AJ263" s="97" t="n"/>
      <c r="AK263" s="97" t="n"/>
      <c r="AL263" s="97" t="n"/>
      <c r="AM263" s="97" t="n"/>
      <c r="AN263" s="97" t="n"/>
      <c r="AO263" s="97" t="n">
        <v>9.123495999999999</v>
      </c>
      <c r="AP263" s="97" t="n">
        <v>-0.138372</v>
      </c>
      <c r="AQ263" s="97" t="n"/>
      <c r="AR263" s="97" t="n"/>
      <c r="AS263" s="97" t="n">
        <v>0.515752</v>
      </c>
      <c r="AT263" s="97" t="n">
        <v>1.228166</v>
      </c>
      <c r="AU263" s="97" t="n">
        <v>0.299332</v>
      </c>
      <c r="AV263" s="97" t="n">
        <v>0.5544750000000001</v>
      </c>
      <c r="AW263" s="97" t="n">
        <v>1.8</v>
      </c>
      <c r="AX263" s="97" t="n">
        <v>1.58142</v>
      </c>
      <c r="AY263" s="97" t="n">
        <v>1.979215</v>
      </c>
      <c r="AZ263" t="n">
        <v>3.126092</v>
      </c>
    </row>
    <row r="264" s="135">
      <c r="A264" t="inlineStr">
        <is>
          <t>1940-11</t>
        </is>
      </c>
      <c r="B264" s="2" t="n">
        <v>14916</v>
      </c>
      <c r="C264" s="96" t="n">
        <v>264</v>
      </c>
      <c r="D264" s="2" t="n"/>
      <c r="E264" s="2">
        <f>B264</f>
        <v/>
      </c>
      <c r="F264" s="3">
        <f>B264</f>
        <v/>
      </c>
      <c r="G264" s="96" t="n">
        <v>262</v>
      </c>
      <c r="H264" s="97" t="n"/>
      <c r="I264" s="97" t="n"/>
      <c r="J264" s="97" t="n"/>
      <c r="K264" s="97" t="n"/>
      <c r="L264" s="97" t="n"/>
      <c r="M264" s="97" t="n"/>
      <c r="N264" s="97" t="n"/>
      <c r="O264" s="97" t="n"/>
      <c r="P264" s="97" t="n"/>
      <c r="Q264" s="97" t="n"/>
      <c r="R264" s="97" t="n"/>
      <c r="S264" s="97" t="n"/>
      <c r="T264" s="97" t="n"/>
      <c r="U264" s="97" t="n"/>
      <c r="V264" s="97" t="n"/>
      <c r="W264" s="97" t="n"/>
      <c r="X264" s="97" t="n"/>
      <c r="Y264" s="97" t="n"/>
      <c r="Z264" s="97" t="n"/>
      <c r="AA264" s="97" t="n"/>
      <c r="AB264" s="97" t="n"/>
      <c r="AC264" s="97" t="n"/>
      <c r="AD264" s="97" t="n"/>
      <c r="AE264" s="97" t="n"/>
      <c r="AF264" s="97" t="n"/>
      <c r="AG264" s="97" t="n"/>
      <c r="AH264" s="97" t="n"/>
      <c r="AI264" s="97" t="n"/>
      <c r="AJ264" s="97" t="n"/>
      <c r="AK264" s="97" t="n"/>
      <c r="AL264" s="97" t="n"/>
      <c r="AM264" s="97" t="n"/>
      <c r="AN264" s="97" t="n"/>
      <c r="AO264" s="97" t="n">
        <v>9.336345</v>
      </c>
      <c r="AP264" s="97" t="n">
        <v>-0.430115</v>
      </c>
      <c r="AQ264" s="97" t="n"/>
      <c r="AR264" s="97" t="n"/>
      <c r="AS264" s="97" t="n">
        <v>0.201542</v>
      </c>
      <c r="AT264" s="97" t="n">
        <v>1.289361</v>
      </c>
      <c r="AU264" s="97" t="n">
        <v>0.435785</v>
      </c>
      <c r="AV264" s="97" t="n">
        <v>0.14448</v>
      </c>
      <c r="AW264" s="97" t="n">
        <v>2</v>
      </c>
      <c r="AX264" s="97" t="n">
        <v>1.334811</v>
      </c>
      <c r="AY264" s="97" t="n">
        <v>-0.236913</v>
      </c>
      <c r="AZ264" t="n">
        <v>1.730653</v>
      </c>
    </row>
    <row r="265" s="135">
      <c r="A265" t="inlineStr">
        <is>
          <t>1940-12</t>
        </is>
      </c>
      <c r="B265" s="2" t="n">
        <v>14946</v>
      </c>
      <c r="C265" s="96" t="n">
        <v>265</v>
      </c>
      <c r="D265" s="2" t="n"/>
      <c r="E265" s="2">
        <f>B265</f>
        <v/>
      </c>
      <c r="F265" s="3">
        <f>B265</f>
        <v/>
      </c>
      <c r="G265" s="96" t="n">
        <v>263</v>
      </c>
      <c r="H265" s="97" t="n"/>
      <c r="I265" s="97" t="n"/>
      <c r="J265" s="97" t="n"/>
      <c r="K265" s="97" t="n"/>
      <c r="L265" s="97" t="n"/>
      <c r="M265" s="97" t="n"/>
      <c r="N265" s="97" t="n"/>
      <c r="O265" s="97" t="n"/>
      <c r="P265" s="97" t="n"/>
      <c r="Q265" s="97" t="n"/>
      <c r="R265" s="97" t="n"/>
      <c r="S265" s="97" t="n"/>
      <c r="T265" s="97" t="n"/>
      <c r="U265" s="97" t="n"/>
      <c r="V265" s="97" t="n"/>
      <c r="W265" s="97" t="n"/>
      <c r="X265" s="97" t="n"/>
      <c r="Y265" s="97" t="n"/>
      <c r="Z265" s="97" t="n"/>
      <c r="AA265" s="97" t="n"/>
      <c r="AB265" s="97" t="n"/>
      <c r="AC265" s="97" t="n"/>
      <c r="AD265" s="97" t="n"/>
      <c r="AE265" s="97" t="n"/>
      <c r="AF265" s="97" t="n"/>
      <c r="AG265" s="97" t="n"/>
      <c r="AH265" s="97" t="n"/>
      <c r="AI265" s="97" t="n"/>
      <c r="AJ265" s="97" t="n"/>
      <c r="AK265" s="97" t="n"/>
      <c r="AL265" s="97" t="n"/>
      <c r="AM265" s="97" t="n"/>
      <c r="AN265" s="97" t="n"/>
      <c r="AO265" s="97" t="n">
        <v>9.655521999999999</v>
      </c>
      <c r="AP265" s="97" t="n">
        <v>-0.343575</v>
      </c>
      <c r="AQ265" s="97" t="n"/>
      <c r="AR265" s="97" t="n"/>
      <c r="AS265" s="97" t="n">
        <v>0.413321</v>
      </c>
      <c r="AT265" s="97" t="n">
        <v>1.595587</v>
      </c>
      <c r="AU265" s="97" t="n">
        <v>0.413646</v>
      </c>
      <c r="AV265" s="97" t="n">
        <v>0.741944</v>
      </c>
      <c r="AW265" s="97" t="n">
        <v>1.9</v>
      </c>
      <c r="AX265" s="97" t="n">
        <v>3.620847</v>
      </c>
      <c r="AY265" s="97" t="n">
        <v>0.136486</v>
      </c>
      <c r="AZ265" t="n">
        <v>-0.06456099999999999</v>
      </c>
    </row>
    <row r="266" s="135">
      <c r="A266" t="inlineStr">
        <is>
          <t>1941-01</t>
        </is>
      </c>
      <c r="B266" s="2" t="n">
        <v>14977</v>
      </c>
      <c r="C266" s="96" t="n">
        <v>266</v>
      </c>
      <c r="D266" s="2" t="n"/>
      <c r="E266" s="2">
        <f>B266</f>
        <v/>
      </c>
      <c r="F266" s="3">
        <f>B266</f>
        <v/>
      </c>
      <c r="G266" s="96" t="n">
        <v>264</v>
      </c>
      <c r="H266" s="97" t="n"/>
      <c r="I266" s="97" t="n"/>
      <c r="J266" s="97" t="n"/>
      <c r="K266" s="97" t="n"/>
      <c r="L266" s="97" t="n"/>
      <c r="M266" s="97" t="n"/>
      <c r="N266" s="97" t="n"/>
      <c r="O266" s="97" t="n"/>
      <c r="P266" s="97" t="n"/>
      <c r="Q266" s="97" t="n"/>
      <c r="R266" s="97" t="n"/>
      <c r="S266" s="97" t="n"/>
      <c r="T266" s="97" t="n"/>
      <c r="U266" s="97" t="n"/>
      <c r="V266" s="97" t="n"/>
      <c r="W266" s="97" t="n"/>
      <c r="X266" s="97" t="n"/>
      <c r="Y266" s="97" t="n"/>
      <c r="Z266" s="97" t="n"/>
      <c r="AA266" s="97" t="n"/>
      <c r="AB266" s="97" t="n"/>
      <c r="AC266" s="97" t="n"/>
      <c r="AD266" s="97" t="n"/>
      <c r="AE266" s="97" t="n"/>
      <c r="AF266" s="97" t="n"/>
      <c r="AG266" s="97" t="n"/>
      <c r="AH266" s="97" t="n"/>
      <c r="AI266" s="97" t="n"/>
      <c r="AJ266" s="97" t="n"/>
      <c r="AK266" s="97" t="n"/>
      <c r="AL266" s="97" t="n"/>
      <c r="AM266" s="97" t="n"/>
      <c r="AN266" s="97" t="n"/>
      <c r="AO266" s="97" t="n">
        <v>9.894881</v>
      </c>
      <c r="AP266" s="97" t="n">
        <v>0.503966</v>
      </c>
      <c r="AQ266" s="97" t="n"/>
      <c r="AR266" s="97" t="n"/>
      <c r="AS266" s="97" t="n">
        <v>0.786377</v>
      </c>
      <c r="AT266" s="97" t="n">
        <v>1.478413</v>
      </c>
      <c r="AU266" s="97" t="n">
        <v>1.060008</v>
      </c>
      <c r="AV266" s="97" t="n">
        <v>0.255291</v>
      </c>
      <c r="AW266" s="97" t="n">
        <v>1.8</v>
      </c>
      <c r="AX266" s="97" t="n">
        <v>2.617872</v>
      </c>
      <c r="AY266" s="97" t="n">
        <v>2.175245</v>
      </c>
      <c r="AZ266" t="n">
        <v>0.591272</v>
      </c>
    </row>
    <row r="267" s="135">
      <c r="A267" t="inlineStr">
        <is>
          <t>1941-02</t>
        </is>
      </c>
      <c r="B267" s="2" t="n">
        <v>15008</v>
      </c>
      <c r="C267" s="96" t="n">
        <v>267</v>
      </c>
      <c r="D267" s="2" t="n"/>
      <c r="E267" s="2">
        <f>B267</f>
        <v/>
      </c>
      <c r="F267" s="3">
        <f>B267</f>
        <v/>
      </c>
      <c r="G267" s="96" t="n">
        <v>265</v>
      </c>
      <c r="H267" s="97" t="n"/>
      <c r="I267" s="97" t="n"/>
      <c r="J267" s="97" t="n"/>
      <c r="K267" s="97" t="n"/>
      <c r="L267" s="97" t="n"/>
      <c r="M267" s="97" t="n"/>
      <c r="N267" s="97" t="n"/>
      <c r="O267" s="97" t="n"/>
      <c r="P267" s="97" t="n"/>
      <c r="Q267" s="97" t="n"/>
      <c r="R267" s="97" t="n"/>
      <c r="S267" s="97" t="n"/>
      <c r="T267" s="97" t="n"/>
      <c r="U267" s="97" t="n"/>
      <c r="V267" s="97" t="n"/>
      <c r="W267" s="97" t="n"/>
      <c r="X267" s="97" t="n"/>
      <c r="Y267" s="97" t="n"/>
      <c r="Z267" s="97" t="n"/>
      <c r="AA267" s="97" t="n"/>
      <c r="AB267" s="97" t="n"/>
      <c r="AC267" s="97" t="n"/>
      <c r="AD267" s="97" t="n"/>
      <c r="AE267" s="97" t="n"/>
      <c r="AF267" s="97" t="n"/>
      <c r="AG267" s="97" t="n"/>
      <c r="AH267" s="97" t="n"/>
      <c r="AI267" s="97" t="n"/>
      <c r="AJ267" s="97" t="n"/>
      <c r="AK267" s="97" t="n"/>
      <c r="AL267" s="97" t="n"/>
      <c r="AM267" s="97" t="n"/>
      <c r="AN267" s="97" t="n"/>
      <c r="AO267" s="97" t="n">
        <v>10.18745</v>
      </c>
      <c r="AP267" s="97" t="n">
        <v>0.354703</v>
      </c>
      <c r="AQ267" s="97" t="n"/>
      <c r="AR267" s="97" t="n"/>
      <c r="AS267" s="97" t="n">
        <v>0.6990459999999999</v>
      </c>
      <c r="AT267" s="97" t="n">
        <v>1.642365</v>
      </c>
      <c r="AU267" s="97" t="n">
        <v>0.459097</v>
      </c>
      <c r="AV267" s="97" t="n">
        <v>0.687474</v>
      </c>
      <c r="AW267" s="97" t="n">
        <v>2.1</v>
      </c>
      <c r="AX267" s="97" t="n">
        <v>1.346778</v>
      </c>
      <c r="AY267" s="97" t="n">
        <v>0.396211</v>
      </c>
      <c r="AZ267" t="n">
        <v>0.606621</v>
      </c>
    </row>
    <row r="268" s="135">
      <c r="A268" t="inlineStr">
        <is>
          <t>1941-03</t>
        </is>
      </c>
      <c r="B268" s="2" t="n">
        <v>15036</v>
      </c>
      <c r="C268" s="96" t="n">
        <v>268</v>
      </c>
      <c r="D268" s="2" t="n"/>
      <c r="E268" s="2">
        <f>B268</f>
        <v/>
      </c>
      <c r="F268" s="3">
        <f>B268</f>
        <v/>
      </c>
      <c r="G268" s="96" t="n">
        <v>266</v>
      </c>
      <c r="H268" s="97" t="n"/>
      <c r="I268" s="97" t="n"/>
      <c r="J268" s="97" t="n"/>
      <c r="K268" s="97" t="n"/>
      <c r="L268" s="97" t="n"/>
      <c r="M268" s="97" t="n"/>
      <c r="N268" s="97" t="n"/>
      <c r="O268" s="97" t="n"/>
      <c r="P268" s="97" t="n"/>
      <c r="Q268" s="97" t="n"/>
      <c r="R268" s="97" t="n"/>
      <c r="S268" s="97" t="n"/>
      <c r="T268" s="97" t="n"/>
      <c r="U268" s="97" t="n"/>
      <c r="V268" s="97" t="n"/>
      <c r="W268" s="97" t="n"/>
      <c r="X268" s="97" t="n"/>
      <c r="Y268" s="97" t="n"/>
      <c r="Z268" s="97" t="n"/>
      <c r="AA268" s="97" t="n"/>
      <c r="AB268" s="97" t="n"/>
      <c r="AC268" s="97" t="n"/>
      <c r="AD268" s="97" t="n"/>
      <c r="AE268" s="97" t="n"/>
      <c r="AF268" s="97" t="n"/>
      <c r="AG268" s="97" t="n"/>
      <c r="AH268" s="97" t="n"/>
      <c r="AI268" s="97" t="n"/>
      <c r="AJ268" s="97" t="n"/>
      <c r="AK268" s="97" t="n"/>
      <c r="AL268" s="97" t="n"/>
      <c r="AM268" s="97" t="n"/>
      <c r="AN268" s="97" t="n"/>
      <c r="AO268" s="97" t="n">
        <v>10.50663</v>
      </c>
      <c r="AP268" s="97" t="n">
        <v>0.229694</v>
      </c>
      <c r="AQ268" s="97" t="n"/>
      <c r="AR268" s="97" t="n"/>
      <c r="AS268" s="97" t="n">
        <v>0.174053</v>
      </c>
      <c r="AT268" s="97" t="n">
        <v>2.163399</v>
      </c>
      <c r="AU268" s="97" t="n">
        <v>1.287982</v>
      </c>
      <c r="AV268" s="97" t="n">
        <v>0.473903</v>
      </c>
      <c r="AW268" s="97" t="n">
        <v>1.6</v>
      </c>
      <c r="AX268" s="97" t="n">
        <v>0.732303</v>
      </c>
      <c r="AY268" s="97" t="n">
        <v>-0.106866</v>
      </c>
      <c r="AZ268" t="n">
        <v>-0.947051</v>
      </c>
    </row>
    <row r="269" s="135">
      <c r="A269" t="inlineStr">
        <is>
          <t>1941-04</t>
        </is>
      </c>
      <c r="B269" s="2" t="n">
        <v>15067</v>
      </c>
      <c r="C269" s="96" t="n">
        <v>269</v>
      </c>
      <c r="D269" s="2" t="n"/>
      <c r="E269" s="2">
        <f>B269</f>
        <v/>
      </c>
      <c r="F269" s="3">
        <f>B269</f>
        <v/>
      </c>
      <c r="G269" s="96" t="n">
        <v>267</v>
      </c>
      <c r="H269" s="97" t="n"/>
      <c r="I269" s="97" t="n"/>
      <c r="J269" s="97" t="n"/>
      <c r="K269" s="97" t="n"/>
      <c r="L269" s="97" t="n"/>
      <c r="M269" s="97" t="n"/>
      <c r="N269" s="97" t="n"/>
      <c r="O269" s="97" t="n"/>
      <c r="P269" s="97" t="n"/>
      <c r="Q269" s="97" t="n"/>
      <c r="R269" s="97" t="n"/>
      <c r="S269" s="97" t="n"/>
      <c r="T269" s="97" t="n"/>
      <c r="U269" s="97" t="n"/>
      <c r="V269" s="97" t="n"/>
      <c r="W269" s="97" t="n"/>
      <c r="X269" s="97" t="n"/>
      <c r="Y269" s="97" t="n"/>
      <c r="Z269" s="97" t="n"/>
      <c r="AA269" s="97" t="n"/>
      <c r="AB269" s="97" t="n"/>
      <c r="AC269" s="97" t="n"/>
      <c r="AD269" s="97" t="n"/>
      <c r="AE269" s="97" t="n"/>
      <c r="AF269" s="97" t="n"/>
      <c r="AG269" s="97" t="n"/>
      <c r="AH269" s="97" t="n"/>
      <c r="AI269" s="97" t="n"/>
      <c r="AJ269" s="97" t="n"/>
      <c r="AK269" s="97" t="n"/>
      <c r="AL269" s="97" t="n"/>
      <c r="AM269" s="97" t="n"/>
      <c r="AN269" s="97" t="n"/>
      <c r="AO269" s="97" t="n">
        <v>10.53324</v>
      </c>
      <c r="AP269" s="97" t="n">
        <v>0.473316</v>
      </c>
      <c r="AQ269" s="97" t="n"/>
      <c r="AR269" s="97" t="n"/>
      <c r="AS269" s="97" t="n">
        <v>0.739521</v>
      </c>
      <c r="AT269" s="97" t="n">
        <v>1.172162</v>
      </c>
      <c r="AU269" s="97" t="n">
        <v>-0.390104</v>
      </c>
      <c r="AV269" s="97" t="n">
        <v>0.386097</v>
      </c>
      <c r="AW269" s="97" t="n">
        <v>1.8</v>
      </c>
      <c r="AX269" s="97" t="n">
        <v>2.66442</v>
      </c>
      <c r="AY269" s="97" t="n">
        <v>0.71517</v>
      </c>
      <c r="AZ269" t="n">
        <v>-1.509716</v>
      </c>
    </row>
    <row r="270" s="135">
      <c r="A270" t="inlineStr">
        <is>
          <t>1941-05</t>
        </is>
      </c>
      <c r="B270" s="2" t="n">
        <v>15097</v>
      </c>
      <c r="C270" s="96" t="n">
        <v>270</v>
      </c>
      <c r="D270" s="2" t="n"/>
      <c r="E270" s="2">
        <f>B270</f>
        <v/>
      </c>
      <c r="F270" s="3">
        <f>B270</f>
        <v/>
      </c>
      <c r="G270" s="96" t="n">
        <v>268</v>
      </c>
      <c r="H270" s="97" t="n"/>
      <c r="I270" s="97" t="n"/>
      <c r="J270" s="97" t="n"/>
      <c r="K270" s="97" t="n"/>
      <c r="L270" s="97" t="n"/>
      <c r="M270" s="97" t="n"/>
      <c r="N270" s="97" t="n"/>
      <c r="O270" s="97" t="n"/>
      <c r="P270" s="97" t="n"/>
      <c r="Q270" s="97" t="n"/>
      <c r="R270" s="97" t="n"/>
      <c r="S270" s="97" t="n"/>
      <c r="T270" s="97" t="n"/>
      <c r="U270" s="97" t="n"/>
      <c r="V270" s="97" t="n"/>
      <c r="W270" s="97" t="n"/>
      <c r="X270" s="97" t="n"/>
      <c r="Y270" s="97" t="n"/>
      <c r="Z270" s="97" t="n"/>
      <c r="AA270" s="97" t="n"/>
      <c r="AB270" s="97" t="n"/>
      <c r="AC270" s="97" t="n"/>
      <c r="AD270" s="97" t="n"/>
      <c r="AE270" s="97" t="n"/>
      <c r="AF270" s="97" t="n"/>
      <c r="AG270" s="97" t="n"/>
      <c r="AH270" s="97" t="n"/>
      <c r="AI270" s="97" t="n"/>
      <c r="AJ270" s="97" t="n"/>
      <c r="AK270" s="97" t="n"/>
      <c r="AL270" s="97" t="n"/>
      <c r="AM270" s="97" t="n"/>
      <c r="AN270" s="97" t="n"/>
      <c r="AO270" s="97" t="n">
        <v>11.01205</v>
      </c>
      <c r="AP270" s="97" t="n">
        <v>0.196961</v>
      </c>
      <c r="AQ270" s="97" t="n"/>
      <c r="AR270" s="97" t="n"/>
      <c r="AS270" s="97" t="n">
        <v>0.600895</v>
      </c>
      <c r="AT270" s="97" t="n">
        <v>2.25766</v>
      </c>
      <c r="AU270" s="97" t="n">
        <v>0.244204</v>
      </c>
      <c r="AV270" s="97" t="n">
        <v>0.265331</v>
      </c>
      <c r="AW270" s="97" t="n">
        <v>1.8</v>
      </c>
      <c r="AX270" s="97" t="n">
        <v>-1.549806</v>
      </c>
      <c r="AY270" s="97" t="n">
        <v>-1.38468</v>
      </c>
      <c r="AZ270" t="n">
        <v>-0.639415</v>
      </c>
    </row>
    <row r="271" s="135">
      <c r="A271" t="inlineStr">
        <is>
          <t>1941-06</t>
        </is>
      </c>
      <c r="B271" s="2" t="n">
        <v>15128</v>
      </c>
      <c r="C271" s="96" t="n">
        <v>271</v>
      </c>
      <c r="D271" s="2" t="n"/>
      <c r="E271" s="2">
        <f>B271</f>
        <v/>
      </c>
      <c r="F271" s="3">
        <f>B271</f>
        <v/>
      </c>
      <c r="G271" s="96" t="n">
        <v>269</v>
      </c>
      <c r="H271" s="97" t="n"/>
      <c r="I271" s="97" t="n"/>
      <c r="J271" s="97" t="n"/>
      <c r="K271" s="97" t="n"/>
      <c r="L271" s="97" t="n"/>
      <c r="M271" s="97" t="n"/>
      <c r="N271" s="97" t="n"/>
      <c r="O271" s="97" t="n"/>
      <c r="P271" s="97" t="n"/>
      <c r="Q271" s="97" t="n"/>
      <c r="R271" s="97" t="n"/>
      <c r="S271" s="97" t="n"/>
      <c r="T271" s="97" t="n"/>
      <c r="U271" s="97" t="n"/>
      <c r="V271" s="97" t="n"/>
      <c r="W271" s="97" t="n"/>
      <c r="X271" s="97" t="n"/>
      <c r="Y271" s="97" t="n"/>
      <c r="Z271" s="97" t="n"/>
      <c r="AA271" s="97" t="n"/>
      <c r="AB271" s="97" t="n"/>
      <c r="AC271" s="97" t="n"/>
      <c r="AD271" s="97" t="n"/>
      <c r="AE271" s="97" t="n"/>
      <c r="AF271" s="97" t="n"/>
      <c r="AG271" s="97" t="n"/>
      <c r="AH271" s="97" t="n"/>
      <c r="AI271" s="97" t="n"/>
      <c r="AJ271" s="97" t="n"/>
      <c r="AK271" s="97" t="n"/>
      <c r="AL271" s="97" t="n"/>
      <c r="AM271" s="97" t="n"/>
      <c r="AN271" s="97" t="n"/>
      <c r="AO271" s="97" t="n">
        <v>11.09187</v>
      </c>
      <c r="AP271" s="97" t="n">
        <v>0.40272</v>
      </c>
      <c r="AQ271" s="97" t="n"/>
      <c r="AR271" s="97" t="n"/>
      <c r="AS271" s="97" t="n">
        <v>0.783212</v>
      </c>
      <c r="AT271" s="97" t="n">
        <v>1.850944</v>
      </c>
      <c r="AU271" s="97" t="n">
        <v>0.637474</v>
      </c>
      <c r="AV271" s="97" t="n">
        <v>-0.551895</v>
      </c>
      <c r="AW271" s="97" t="n">
        <v>1.8</v>
      </c>
      <c r="AX271" s="97" t="n">
        <v>2.356837</v>
      </c>
      <c r="AY271" s="97" t="n">
        <v>0.184398</v>
      </c>
      <c r="AZ271" t="n">
        <v>-0.789077</v>
      </c>
    </row>
    <row r="272" s="135">
      <c r="A272" t="inlineStr">
        <is>
          <t>1941-07</t>
        </is>
      </c>
      <c r="B272" s="2" t="n">
        <v>15158</v>
      </c>
      <c r="C272" s="96" t="n">
        <v>272</v>
      </c>
      <c r="D272" s="2" t="n"/>
      <c r="E272" s="2">
        <f>B272</f>
        <v/>
      </c>
      <c r="F272" s="3">
        <f>B272</f>
        <v/>
      </c>
      <c r="G272" s="96" t="n">
        <v>270</v>
      </c>
      <c r="H272" s="97" t="n"/>
      <c r="I272" s="97" t="n"/>
      <c r="J272" s="97" t="n"/>
      <c r="K272" s="97" t="n"/>
      <c r="L272" s="97" t="n"/>
      <c r="M272" s="97" t="n"/>
      <c r="N272" s="97" t="n"/>
      <c r="O272" s="97" t="n"/>
      <c r="P272" s="97" t="n"/>
      <c r="Q272" s="97" t="n"/>
      <c r="R272" s="97" t="n"/>
      <c r="S272" s="97" t="n"/>
      <c r="T272" s="97" t="n"/>
      <c r="U272" s="97" t="n"/>
      <c r="V272" s="97" t="n"/>
      <c r="W272" s="97" t="n"/>
      <c r="X272" s="97" t="n"/>
      <c r="Y272" s="97" t="n"/>
      <c r="Z272" s="97" t="n"/>
      <c r="AA272" s="97" t="n"/>
      <c r="AB272" s="97" t="n"/>
      <c r="AC272" s="97" t="n"/>
      <c r="AD272" s="97" t="n"/>
      <c r="AE272" s="97" t="n"/>
      <c r="AF272" s="97" t="n"/>
      <c r="AG272" s="97" t="n"/>
      <c r="AH272" s="97" t="n"/>
      <c r="AI272" s="97" t="n"/>
      <c r="AJ272" s="97" t="n"/>
      <c r="AK272" s="97" t="n"/>
      <c r="AL272" s="97" t="n"/>
      <c r="AM272" s="97" t="n"/>
      <c r="AN272" s="97" t="n"/>
      <c r="AO272" s="97" t="n">
        <v>11.2249</v>
      </c>
      <c r="AP272" s="97" t="n">
        <v>0.478565</v>
      </c>
      <c r="AQ272" s="97" t="n"/>
      <c r="AR272" s="97" t="n"/>
      <c r="AS272" s="97" t="n">
        <v>0.814073</v>
      </c>
      <c r="AT272" s="97" t="n">
        <v>1.511692</v>
      </c>
      <c r="AU272" s="97" t="n">
        <v>1.086025</v>
      </c>
      <c r="AV272" s="97" t="n">
        <v>-0.346739</v>
      </c>
      <c r="AW272" s="97" t="n">
        <v>1.7</v>
      </c>
      <c r="AX272" s="97" t="n">
        <v>1.494893</v>
      </c>
      <c r="AY272" s="97" t="n">
        <v>0.373635</v>
      </c>
      <c r="AZ272" t="n">
        <v>0.470132</v>
      </c>
    </row>
    <row r="273" s="135">
      <c r="A273" t="inlineStr">
        <is>
          <t>1941-08</t>
        </is>
      </c>
      <c r="B273" s="2" t="n">
        <v>15189</v>
      </c>
      <c r="C273" s="96" t="n">
        <v>273</v>
      </c>
      <c r="D273" s="2" t="n"/>
      <c r="E273" s="2">
        <f>B273</f>
        <v/>
      </c>
      <c r="F273" s="3">
        <f>B273</f>
        <v/>
      </c>
      <c r="G273" s="96" t="n">
        <v>271</v>
      </c>
      <c r="H273" s="97" t="n"/>
      <c r="I273" s="97" t="n"/>
      <c r="J273" s="97" t="n"/>
      <c r="K273" s="97" t="n"/>
      <c r="L273" s="97" t="n"/>
      <c r="M273" s="97" t="n"/>
      <c r="N273" s="97" t="n"/>
      <c r="O273" s="97" t="n"/>
      <c r="P273" s="97" t="n"/>
      <c r="Q273" s="97" t="n"/>
      <c r="R273" s="97" t="n"/>
      <c r="S273" s="97" t="n"/>
      <c r="T273" s="97" t="n"/>
      <c r="U273" s="97" t="n"/>
      <c r="V273" s="97" t="n"/>
      <c r="W273" s="97" t="n"/>
      <c r="X273" s="97" t="n"/>
      <c r="Y273" s="97" t="n"/>
      <c r="Z273" s="97" t="n"/>
      <c r="AA273" s="97" t="n"/>
      <c r="AB273" s="97" t="n"/>
      <c r="AC273" s="97" t="n"/>
      <c r="AD273" s="97" t="n"/>
      <c r="AE273" s="97" t="n"/>
      <c r="AF273" s="97" t="n"/>
      <c r="AG273" s="97" t="n"/>
      <c r="AH273" s="97" t="n"/>
      <c r="AI273" s="97" t="n"/>
      <c r="AJ273" s="97" t="n"/>
      <c r="AK273" s="97" t="n"/>
      <c r="AL273" s="97" t="n"/>
      <c r="AM273" s="97" t="n"/>
      <c r="AN273" s="97" t="n"/>
      <c r="AO273" s="97" t="n">
        <v>11.35783</v>
      </c>
      <c r="AP273" s="97" t="n">
        <v>0.727258</v>
      </c>
      <c r="AQ273" s="97" t="n"/>
      <c r="AR273" s="97" t="n"/>
      <c r="AS273" s="97" t="n">
        <v>-0.317738</v>
      </c>
      <c r="AT273" s="97" t="n">
        <v>1.772913</v>
      </c>
      <c r="AU273" s="97" t="n">
        <v>0.430871</v>
      </c>
      <c r="AV273" s="97" t="n">
        <v>-1.189103</v>
      </c>
      <c r="AW273" s="97" t="n">
        <v>1.7</v>
      </c>
      <c r="AX273" s="97" t="n">
        <v>1.968017</v>
      </c>
      <c r="AY273" s="97" t="n">
        <v>-0.906873</v>
      </c>
      <c r="AZ273" t="n">
        <v>1.47343</v>
      </c>
    </row>
    <row r="274" s="135">
      <c r="A274" t="inlineStr">
        <is>
          <t>1941-09</t>
        </is>
      </c>
      <c r="B274" s="2" t="n">
        <v>15220</v>
      </c>
      <c r="C274" s="96" t="n">
        <v>274</v>
      </c>
      <c r="D274" s="2" t="n"/>
      <c r="E274" s="2">
        <f>B274</f>
        <v/>
      </c>
      <c r="F274" s="3">
        <f>B274</f>
        <v/>
      </c>
      <c r="G274" s="96" t="n">
        <v>272</v>
      </c>
      <c r="H274" s="97" t="n"/>
      <c r="I274" s="97" t="n"/>
      <c r="J274" s="97" t="n"/>
      <c r="K274" s="97" t="n"/>
      <c r="L274" s="97" t="n"/>
      <c r="M274" s="97" t="n"/>
      <c r="N274" s="97" t="n"/>
      <c r="O274" s="97" t="n"/>
      <c r="P274" s="97" t="n"/>
      <c r="Q274" s="97" t="n"/>
      <c r="R274" s="97" t="n"/>
      <c r="S274" s="97" t="n"/>
      <c r="T274" s="97" t="n"/>
      <c r="U274" s="97" t="n"/>
      <c r="V274" s="97" t="n"/>
      <c r="W274" s="97" t="n"/>
      <c r="X274" s="97" t="n"/>
      <c r="Y274" s="97" t="n"/>
      <c r="Z274" s="97" t="n"/>
      <c r="AA274" s="97" t="n"/>
      <c r="AB274" s="97" t="n"/>
      <c r="AC274" s="97" t="n"/>
      <c r="AD274" s="97" t="n"/>
      <c r="AE274" s="97" t="n"/>
      <c r="AF274" s="97" t="n"/>
      <c r="AG274" s="97" t="n"/>
      <c r="AH274" s="97" t="n"/>
      <c r="AI274" s="97" t="n"/>
      <c r="AJ274" s="97" t="n"/>
      <c r="AK274" s="97" t="n"/>
      <c r="AL274" s="97" t="n"/>
      <c r="AM274" s="97" t="n"/>
      <c r="AN274" s="97" t="n"/>
      <c r="AO274" s="97" t="n">
        <v>11.35783</v>
      </c>
      <c r="AP274" s="97" t="n">
        <v>0.418818</v>
      </c>
      <c r="AQ274" s="97" t="n"/>
      <c r="AR274" s="97" t="n"/>
      <c r="AS274" s="97" t="n">
        <v>0.027513</v>
      </c>
      <c r="AT274" s="97" t="n">
        <v>2.284905</v>
      </c>
      <c r="AU274" s="97" t="n">
        <v>-0.522174</v>
      </c>
      <c r="AV274" s="97" t="n">
        <v>-0.9150239999999999</v>
      </c>
      <c r="AW274" s="97" t="n">
        <v>1.8</v>
      </c>
      <c r="AX274" s="97" t="n">
        <v>1.454328</v>
      </c>
      <c r="AY274" s="97" t="n">
        <v>-2.31546</v>
      </c>
      <c r="AZ274" t="n">
        <v>2.365503</v>
      </c>
    </row>
    <row r="275" s="135">
      <c r="A275" t="inlineStr">
        <is>
          <t>1941-10</t>
        </is>
      </c>
      <c r="B275" s="2" t="n">
        <v>15250</v>
      </c>
      <c r="C275" s="96" t="n">
        <v>275</v>
      </c>
      <c r="D275" s="2" t="n"/>
      <c r="E275" s="2">
        <f>B275</f>
        <v/>
      </c>
      <c r="F275" s="3">
        <f>B275</f>
        <v/>
      </c>
      <c r="G275" s="96" t="n">
        <v>273</v>
      </c>
      <c r="H275" s="97" t="n"/>
      <c r="I275" s="97" t="n"/>
      <c r="J275" s="97" t="n"/>
      <c r="K275" s="97" t="n"/>
      <c r="L275" s="97" t="n"/>
      <c r="M275" s="97" t="n"/>
      <c r="N275" s="97" t="n"/>
      <c r="O275" s="97" t="n"/>
      <c r="P275" s="97" t="n"/>
      <c r="Q275" s="97" t="n"/>
      <c r="R275" s="97" t="n"/>
      <c r="S275" s="97" t="n"/>
      <c r="T275" s="97" t="n"/>
      <c r="U275" s="97" t="n"/>
      <c r="V275" s="97" t="n"/>
      <c r="W275" s="97" t="n"/>
      <c r="X275" s="97" t="n"/>
      <c r="Y275" s="97" t="n"/>
      <c r="Z275" s="97" t="n"/>
      <c r="AA275" s="97" t="n"/>
      <c r="AB275" s="97" t="n"/>
      <c r="AC275" s="97" t="n"/>
      <c r="AD275" s="97" t="n"/>
      <c r="AE275" s="97" t="n"/>
      <c r="AF275" s="97" t="n"/>
      <c r="AG275" s="97" t="n"/>
      <c r="AH275" s="97" t="n"/>
      <c r="AI275" s="97" t="n"/>
      <c r="AJ275" s="97" t="n"/>
      <c r="AK275" s="97" t="n"/>
      <c r="AL275" s="97" t="n"/>
      <c r="AM275" s="97" t="n"/>
      <c r="AN275" s="97" t="n"/>
      <c r="AO275" s="97" t="n">
        <v>11.46426</v>
      </c>
      <c r="AP275" s="97" t="n">
        <v>0.374066</v>
      </c>
      <c r="AQ275" s="97" t="n"/>
      <c r="AR275" s="97" t="n"/>
      <c r="AS275" s="97" t="n">
        <v>0.6314070000000001</v>
      </c>
      <c r="AT275" s="97" t="n">
        <v>2.091919</v>
      </c>
      <c r="AU275" s="97" t="n">
        <v>0.055541</v>
      </c>
      <c r="AV275" s="97" t="n">
        <v>-0.06360300000000001</v>
      </c>
      <c r="AW275" s="97" t="n">
        <v>1.7</v>
      </c>
      <c r="AX275" s="97" t="n">
        <v>1.217331</v>
      </c>
      <c r="AY275" s="97" t="n">
        <v>-1.498764</v>
      </c>
      <c r="AZ275" t="n">
        <v>-0.034886</v>
      </c>
    </row>
    <row r="276" s="135">
      <c r="A276" t="inlineStr">
        <is>
          <t>1941-11</t>
        </is>
      </c>
      <c r="B276" s="2" t="n">
        <v>15281</v>
      </c>
      <c r="C276" s="96" t="n">
        <v>276</v>
      </c>
      <c r="D276" s="2" t="n"/>
      <c r="E276" s="2">
        <f>B276</f>
        <v/>
      </c>
      <c r="F276" s="3">
        <f>B276</f>
        <v/>
      </c>
      <c r="G276" s="96" t="n">
        <v>274</v>
      </c>
      <c r="H276" s="97" t="n"/>
      <c r="I276" s="97" t="n"/>
      <c r="J276" s="97" t="n"/>
      <c r="K276" s="97" t="n"/>
      <c r="L276" s="97" t="n"/>
      <c r="M276" s="97" t="n"/>
      <c r="N276" s="97" t="n"/>
      <c r="O276" s="97" t="n"/>
      <c r="P276" s="97" t="n"/>
      <c r="Q276" s="97" t="n"/>
      <c r="R276" s="97" t="n"/>
      <c r="S276" s="97" t="n"/>
      <c r="T276" s="97" t="n"/>
      <c r="U276" s="97" t="n"/>
      <c r="V276" s="97" t="n"/>
      <c r="W276" s="97" t="n"/>
      <c r="X276" s="97" t="n"/>
      <c r="Y276" s="97" t="n"/>
      <c r="Z276" s="97" t="n"/>
      <c r="AA276" s="97" t="n"/>
      <c r="AB276" s="97" t="n"/>
      <c r="AC276" s="97" t="n"/>
      <c r="AD276" s="97" t="n"/>
      <c r="AE276" s="97" t="n"/>
      <c r="AF276" s="97" t="n"/>
      <c r="AG276" s="97" t="n"/>
      <c r="AH276" s="97" t="n"/>
      <c r="AI276" s="97" t="n"/>
      <c r="AJ276" s="97" t="n"/>
      <c r="AK276" s="97" t="n"/>
      <c r="AL276" s="97" t="n"/>
      <c r="AM276" s="97" t="n"/>
      <c r="AN276" s="97" t="n"/>
      <c r="AO276" s="97" t="n">
        <v>11.51747</v>
      </c>
      <c r="AP276" s="97" t="n">
        <v>0.478352</v>
      </c>
      <c r="AQ276" s="97" t="n"/>
      <c r="AR276" s="97" t="n"/>
      <c r="AS276" s="97" t="n">
        <v>0.379026</v>
      </c>
      <c r="AT276" s="97" t="n">
        <v>1.826261</v>
      </c>
      <c r="AU276" s="97" t="n">
        <v>0.080882</v>
      </c>
      <c r="AV276" s="97" t="n">
        <v>-0.387608</v>
      </c>
      <c r="AW276" s="97" t="n">
        <v>1.5</v>
      </c>
      <c r="AX276" s="97" t="n">
        <v>0.890804</v>
      </c>
      <c r="AY276" s="97" t="n">
        <v>-0.925783</v>
      </c>
      <c r="AZ276" t="n">
        <v>-1.203864</v>
      </c>
    </row>
    <row r="277" s="135">
      <c r="A277" t="inlineStr">
        <is>
          <t>1941-12</t>
        </is>
      </c>
      <c r="B277" s="2" t="n">
        <v>15311</v>
      </c>
      <c r="C277" s="96" t="n">
        <v>277</v>
      </c>
      <c r="D277" s="2" t="n"/>
      <c r="E277" s="2">
        <f>B277</f>
        <v/>
      </c>
      <c r="F277" s="3">
        <f>B277</f>
        <v/>
      </c>
      <c r="G277" s="96" t="n">
        <v>275</v>
      </c>
      <c r="H277" s="97" t="n"/>
      <c r="I277" s="97" t="n"/>
      <c r="J277" s="97" t="n"/>
      <c r="K277" s="97" t="n"/>
      <c r="L277" s="97" t="n"/>
      <c r="M277" s="97" t="n"/>
      <c r="N277" s="97" t="n"/>
      <c r="O277" s="97" t="n"/>
      <c r="P277" s="97" t="n"/>
      <c r="Q277" s="97" t="n"/>
      <c r="R277" s="97" t="n"/>
      <c r="S277" s="97" t="n"/>
      <c r="T277" s="97" t="n"/>
      <c r="U277" s="97" t="n"/>
      <c r="V277" s="97" t="n"/>
      <c r="W277" s="97" t="n"/>
      <c r="X277" s="97" t="n"/>
      <c r="Y277" s="97" t="n"/>
      <c r="Z277" s="97" t="n"/>
      <c r="AA277" s="97" t="n"/>
      <c r="AB277" s="97" t="n"/>
      <c r="AC277" s="97" t="n"/>
      <c r="AD277" s="97" t="n"/>
      <c r="AE277" s="97" t="n"/>
      <c r="AF277" s="97" t="n"/>
      <c r="AG277" s="97" t="n"/>
      <c r="AH277" s="97" t="n"/>
      <c r="AI277" s="97" t="n"/>
      <c r="AJ277" s="97" t="n"/>
      <c r="AK277" s="97" t="n"/>
      <c r="AL277" s="97" t="n"/>
      <c r="AM277" s="97" t="n"/>
      <c r="AN277" s="97" t="n"/>
      <c r="AO277" s="97" t="n">
        <v>11.70362</v>
      </c>
      <c r="AP277" s="97" t="n">
        <v>0.692312</v>
      </c>
      <c r="AQ277" s="97" t="n"/>
      <c r="AR277" s="97" t="n"/>
      <c r="AS277" s="97" t="n">
        <v>0.5747409999999999</v>
      </c>
      <c r="AT277" s="97" t="n">
        <v>2.374645</v>
      </c>
      <c r="AU277" s="97" t="n">
        <v>-0.203199</v>
      </c>
      <c r="AV277" s="97" t="n">
        <v>0.052004</v>
      </c>
      <c r="AW277" s="97" t="n">
        <v>1.4</v>
      </c>
      <c r="AX277" s="97" t="n">
        <v>0.680601</v>
      </c>
      <c r="AY277" s="97" t="n">
        <v>-0.886709</v>
      </c>
      <c r="AZ277" t="n">
        <v>-0.745161</v>
      </c>
    </row>
    <row r="278" s="135">
      <c r="A278" t="inlineStr">
        <is>
          <t>1942-01</t>
        </is>
      </c>
      <c r="B278" s="2" t="n">
        <v>15342</v>
      </c>
      <c r="C278" s="96" t="n">
        <v>278</v>
      </c>
      <c r="D278" s="2" t="n"/>
      <c r="E278" s="2">
        <f>B278</f>
        <v/>
      </c>
      <c r="F278" s="3">
        <f>B278</f>
        <v/>
      </c>
      <c r="G278" s="96" t="n">
        <v>276</v>
      </c>
      <c r="H278" s="97" t="n"/>
      <c r="I278" s="97" t="n"/>
      <c r="J278" s="97" t="n"/>
      <c r="K278" s="97" t="n"/>
      <c r="L278" s="97" t="n"/>
      <c r="M278" s="97" t="n"/>
      <c r="N278" s="97" t="n"/>
      <c r="O278" s="97" t="n"/>
      <c r="P278" s="97" t="n"/>
      <c r="Q278" s="97" t="n"/>
      <c r="R278" s="97" t="n"/>
      <c r="S278" s="97" t="n"/>
      <c r="T278" s="97" t="n"/>
      <c r="U278" s="97" t="n"/>
      <c r="V278" s="97" t="n"/>
      <c r="W278" s="97" t="n"/>
      <c r="X278" s="97" t="n"/>
      <c r="Y278" s="97" t="n"/>
      <c r="Z278" s="97" t="n"/>
      <c r="AA278" s="97" t="n"/>
      <c r="AB278" s="97" t="n"/>
      <c r="AC278" s="97" t="n"/>
      <c r="AD278" s="97" t="n"/>
      <c r="AE278" s="97" t="n"/>
      <c r="AF278" s="97" t="n"/>
      <c r="AG278" s="97" t="n"/>
      <c r="AH278" s="97" t="n"/>
      <c r="AI278" s="97" t="n"/>
      <c r="AJ278" s="97" t="n"/>
      <c r="AK278" s="97" t="n"/>
      <c r="AL278" s="97" t="n"/>
      <c r="AM278" s="97" t="n"/>
      <c r="AN278" s="97" t="n"/>
      <c r="AO278" s="97" t="n">
        <v>11.94307</v>
      </c>
      <c r="AP278" s="97" t="n">
        <v>0.280049</v>
      </c>
      <c r="AQ278" s="97" t="n"/>
      <c r="AR278" s="97" t="n"/>
      <c r="AS278" s="97" t="n">
        <v>0.310682</v>
      </c>
      <c r="AT278" s="97" t="n">
        <v>1.575107</v>
      </c>
      <c r="AU278" s="97" t="n">
        <v>0.887309</v>
      </c>
      <c r="AV278" s="97" t="n">
        <v>-0.327256</v>
      </c>
      <c r="AW278" s="97" t="n">
        <v>1.9</v>
      </c>
      <c r="AX278" s="97" t="n">
        <v>1.391938</v>
      </c>
      <c r="AY278" s="97" t="n">
        <v>-0.120794</v>
      </c>
      <c r="AZ278" t="n">
        <v>-1.309288</v>
      </c>
    </row>
    <row r="279" s="135">
      <c r="A279" t="inlineStr">
        <is>
          <t>1942-02</t>
        </is>
      </c>
      <c r="B279" s="2" t="n">
        <v>15373</v>
      </c>
      <c r="C279" s="96" t="n">
        <v>279</v>
      </c>
      <c r="D279" s="2" t="n"/>
      <c r="E279" s="2">
        <f>B279</f>
        <v/>
      </c>
      <c r="F279" s="3">
        <f>B279</f>
        <v/>
      </c>
      <c r="G279" s="96" t="n">
        <v>277</v>
      </c>
      <c r="H279" s="97" t="n"/>
      <c r="I279" s="97" t="n"/>
      <c r="J279" s="97" t="n"/>
      <c r="K279" s="97" t="n"/>
      <c r="L279" s="97" t="n"/>
      <c r="M279" s="97" t="n"/>
      <c r="N279" s="97" t="n"/>
      <c r="O279" s="97" t="n"/>
      <c r="P279" s="97" t="n"/>
      <c r="Q279" s="97" t="n"/>
      <c r="R279" s="97" t="n"/>
      <c r="S279" s="97" t="n"/>
      <c r="T279" s="97" t="n"/>
      <c r="U279" s="97" t="n"/>
      <c r="V279" s="97" t="n"/>
      <c r="W279" s="97" t="n"/>
      <c r="X279" s="97" t="n"/>
      <c r="Y279" s="97" t="n"/>
      <c r="Z279" s="97" t="n"/>
      <c r="AA279" s="97" t="n"/>
      <c r="AB279" s="97" t="n"/>
      <c r="AC279" s="97" t="n"/>
      <c r="AD279" s="97" t="n"/>
      <c r="AE279" s="97" t="n"/>
      <c r="AF279" s="97" t="n"/>
      <c r="AG279" s="97" t="n"/>
      <c r="AH279" s="97" t="n"/>
      <c r="AI279" s="97" t="n"/>
      <c r="AJ279" s="97" t="n"/>
      <c r="AK279" s="97" t="n"/>
      <c r="AL279" s="97" t="n"/>
      <c r="AM279" s="97" t="n"/>
      <c r="AN279" s="97" t="n"/>
      <c r="AO279" s="97" t="n">
        <v>12.15582</v>
      </c>
      <c r="AP279" s="97" t="n">
        <v>0.339397</v>
      </c>
      <c r="AQ279" s="97" t="n"/>
      <c r="AR279" s="97" t="n"/>
      <c r="AS279" s="97" t="n">
        <v>0.398571</v>
      </c>
      <c r="AT279" s="97" t="n">
        <v>1.485708</v>
      </c>
      <c r="AU279" s="97" t="n">
        <v>0.244169</v>
      </c>
      <c r="AV279" s="97" t="n">
        <v>0.06478299999999999</v>
      </c>
      <c r="AW279" s="97" t="n">
        <v>1.7</v>
      </c>
      <c r="AX279" s="97" t="n">
        <v>-2.577387</v>
      </c>
      <c r="AY279" s="97" t="n">
        <v>-0.798439</v>
      </c>
      <c r="AZ279" t="n">
        <v>0.149165</v>
      </c>
    </row>
    <row r="280" s="135">
      <c r="A280" t="inlineStr">
        <is>
          <t>1942-03</t>
        </is>
      </c>
      <c r="B280" s="2" t="n">
        <v>15401</v>
      </c>
      <c r="C280" s="96" t="n">
        <v>280</v>
      </c>
      <c r="D280" s="2" t="n"/>
      <c r="E280" s="2">
        <f>B280</f>
        <v/>
      </c>
      <c r="F280" s="3">
        <f>B280</f>
        <v/>
      </c>
      <c r="G280" s="96" t="n">
        <v>278</v>
      </c>
      <c r="H280" s="97" t="n"/>
      <c r="I280" s="97" t="n"/>
      <c r="J280" s="97" t="n"/>
      <c r="K280" s="97" t="n"/>
      <c r="L280" s="97" t="n"/>
      <c r="M280" s="97" t="n"/>
      <c r="N280" s="97" t="n"/>
      <c r="O280" s="97" t="n"/>
      <c r="P280" s="97" t="n"/>
      <c r="Q280" s="97" t="n"/>
      <c r="R280" s="97" t="n"/>
      <c r="S280" s="97" t="n"/>
      <c r="T280" s="97" t="n"/>
      <c r="U280" s="97" t="n"/>
      <c r="V280" s="97" t="n"/>
      <c r="W280" s="97" t="n"/>
      <c r="X280" s="97" t="n"/>
      <c r="Y280" s="97" t="n"/>
      <c r="Z280" s="97" t="n"/>
      <c r="AA280" s="97" t="n"/>
      <c r="AB280" s="97" t="n"/>
      <c r="AC280" s="97" t="n"/>
      <c r="AD280" s="97" t="n"/>
      <c r="AE280" s="97" t="n"/>
      <c r="AF280" s="97" t="n"/>
      <c r="AG280" s="97" t="n"/>
      <c r="AH280" s="97" t="n"/>
      <c r="AI280" s="97" t="n"/>
      <c r="AJ280" s="97" t="n"/>
      <c r="AK280" s="97" t="n"/>
      <c r="AL280" s="97" t="n"/>
      <c r="AM280" s="97" t="n"/>
      <c r="AN280" s="97" t="n"/>
      <c r="AO280" s="97" t="n">
        <v>12.28885</v>
      </c>
      <c r="AP280" s="97" t="n">
        <v>0.763089</v>
      </c>
      <c r="AQ280" s="97" t="n"/>
      <c r="AR280" s="97" t="n"/>
      <c r="AS280" s="97" t="n">
        <v>-0.138319</v>
      </c>
      <c r="AT280" s="97" t="n">
        <v>1.38328</v>
      </c>
      <c r="AU280" s="97" t="n">
        <v>0.096876</v>
      </c>
      <c r="AV280" s="97" t="n">
        <v>0.816545</v>
      </c>
      <c r="AW280" s="97" t="n">
        <v>1.6</v>
      </c>
      <c r="AX280" s="97" t="n">
        <v>4.601093</v>
      </c>
      <c r="AY280" s="97" t="n">
        <v>-0.269416</v>
      </c>
      <c r="AZ280" t="n">
        <v>0.670739</v>
      </c>
    </row>
    <row r="281" s="135">
      <c r="A281" t="inlineStr">
        <is>
          <t>1942-04</t>
        </is>
      </c>
      <c r="B281" s="2" t="n">
        <v>15432</v>
      </c>
      <c r="C281" s="96" t="n">
        <v>281</v>
      </c>
      <c r="D281" s="2" t="n"/>
      <c r="E281" s="2">
        <f>B281</f>
        <v/>
      </c>
      <c r="F281" s="3">
        <f>B281</f>
        <v/>
      </c>
      <c r="G281" s="96" t="n">
        <v>279</v>
      </c>
      <c r="H281" s="97" t="n"/>
      <c r="I281" s="97" t="n"/>
      <c r="J281" s="97" t="n"/>
      <c r="K281" s="97" t="n"/>
      <c r="L281" s="97" t="n"/>
      <c r="M281" s="97" t="n"/>
      <c r="N281" s="97" t="n"/>
      <c r="O281" s="97" t="n"/>
      <c r="P281" s="97" t="n"/>
      <c r="Q281" s="97" t="n"/>
      <c r="R281" s="97" t="n"/>
      <c r="S281" s="97" t="n"/>
      <c r="T281" s="97" t="n"/>
      <c r="U281" s="97" t="n"/>
      <c r="V281" s="97" t="n"/>
      <c r="W281" s="97" t="n"/>
      <c r="X281" s="97" t="n"/>
      <c r="Y281" s="97" t="n"/>
      <c r="Z281" s="97" t="n"/>
      <c r="AA281" s="97" t="n"/>
      <c r="AB281" s="97" t="n"/>
      <c r="AC281" s="97" t="n"/>
      <c r="AD281" s="97" t="n"/>
      <c r="AE281" s="97" t="n"/>
      <c r="AF281" s="97" t="n"/>
      <c r="AG281" s="97" t="n"/>
      <c r="AH281" s="97" t="n"/>
      <c r="AI281" s="97" t="n"/>
      <c r="AJ281" s="97" t="n"/>
      <c r="AK281" s="97" t="n"/>
      <c r="AL281" s="97" t="n"/>
      <c r="AM281" s="97" t="n"/>
      <c r="AN281" s="97" t="n"/>
      <c r="AO281" s="97" t="n">
        <v>11.94307</v>
      </c>
      <c r="AP281" s="97" t="n">
        <v>0.662427</v>
      </c>
      <c r="AQ281" s="97" t="n"/>
      <c r="AR281" s="97" t="n"/>
      <c r="AS281" s="97" t="n">
        <v>0.389751</v>
      </c>
      <c r="AT281" s="97" t="n">
        <v>1.396067</v>
      </c>
      <c r="AU281" s="97" t="n">
        <v>-0.118535</v>
      </c>
      <c r="AV281" s="97" t="n">
        <v>0.734077</v>
      </c>
      <c r="AW281" s="97" t="n">
        <v>1.5</v>
      </c>
      <c r="AX281" s="97" t="n">
        <v>1.795582</v>
      </c>
      <c r="AY281" s="97" t="n">
        <v>1.046352</v>
      </c>
      <c r="AZ281" t="n">
        <v>0.739453</v>
      </c>
    </row>
    <row r="282" s="135">
      <c r="A282" t="inlineStr">
        <is>
          <t>1942-05</t>
        </is>
      </c>
      <c r="B282" s="2" t="n">
        <v>15462</v>
      </c>
      <c r="C282" s="96" t="n">
        <v>282</v>
      </c>
      <c r="D282" s="2" t="n"/>
      <c r="E282" s="2">
        <f>B282</f>
        <v/>
      </c>
      <c r="F282" s="3">
        <f>B282</f>
        <v/>
      </c>
      <c r="G282" s="96" t="n">
        <v>280</v>
      </c>
      <c r="H282" s="97" t="n"/>
      <c r="I282" s="97" t="n"/>
      <c r="J282" s="97" t="n"/>
      <c r="K282" s="97" t="n"/>
      <c r="L282" s="97" t="n"/>
      <c r="M282" s="97" t="n"/>
      <c r="N282" s="97" t="n"/>
      <c r="O282" s="97" t="n"/>
      <c r="P282" s="97" t="n"/>
      <c r="Q282" s="97" t="n"/>
      <c r="R282" s="97" t="n"/>
      <c r="S282" s="97" t="n"/>
      <c r="T282" s="97" t="n"/>
      <c r="U282" s="97" t="n"/>
      <c r="V282" s="97" t="n"/>
      <c r="W282" s="97" t="n"/>
      <c r="X282" s="97" t="n"/>
      <c r="Y282" s="97" t="n"/>
      <c r="Z282" s="97" t="n"/>
      <c r="AA282" s="97" t="n"/>
      <c r="AB282" s="97" t="n"/>
      <c r="AC282" s="97" t="n"/>
      <c r="AD282" s="97" t="n"/>
      <c r="AE282" s="97" t="n"/>
      <c r="AF282" s="97" t="n"/>
      <c r="AG282" s="97" t="n"/>
      <c r="AH282" s="97" t="n"/>
      <c r="AI282" s="97" t="n"/>
      <c r="AJ282" s="97" t="n"/>
      <c r="AK282" s="97" t="n"/>
      <c r="AL282" s="97" t="n"/>
      <c r="AM282" s="97" t="n"/>
      <c r="AN282" s="97" t="n"/>
      <c r="AO282" s="97" t="n">
        <v>11.96958</v>
      </c>
      <c r="AP282" s="97" t="n">
        <v>0.681405</v>
      </c>
      <c r="AQ282" s="97" t="n"/>
      <c r="AR282" s="97" t="n"/>
      <c r="AS282" s="97" t="n">
        <v>0.7312380000000001</v>
      </c>
      <c r="AT282" s="97" t="n">
        <v>1.48074</v>
      </c>
      <c r="AU282" s="97" t="n">
        <v>0.721479</v>
      </c>
      <c r="AV282" s="97" t="n">
        <v>0.509826</v>
      </c>
      <c r="AW282" s="97" t="n">
        <v>1.8</v>
      </c>
      <c r="AX282" s="97" t="n">
        <v>2.530272</v>
      </c>
      <c r="AY282" s="97" t="n">
        <v>0.411501</v>
      </c>
      <c r="AZ282" t="n">
        <v>1.863032</v>
      </c>
    </row>
    <row r="283" s="135">
      <c r="A283" t="inlineStr">
        <is>
          <t>1942-06</t>
        </is>
      </c>
      <c r="B283" s="2" t="n">
        <v>15493</v>
      </c>
      <c r="C283" s="96" t="n">
        <v>283</v>
      </c>
      <c r="D283" s="2" t="n"/>
      <c r="E283" s="2">
        <f>B283</f>
        <v/>
      </c>
      <c r="F283" s="3">
        <f>B283</f>
        <v/>
      </c>
      <c r="G283" s="96" t="n">
        <v>281</v>
      </c>
      <c r="H283" s="97" t="n"/>
      <c r="I283" s="97" t="n"/>
      <c r="J283" s="97" t="n"/>
      <c r="K283" s="97" t="n"/>
      <c r="L283" s="97" t="n"/>
      <c r="M283" s="97" t="n"/>
      <c r="N283" s="97" t="n"/>
      <c r="O283" s="97" t="n"/>
      <c r="P283" s="97" t="n"/>
      <c r="Q283" s="97" t="n"/>
      <c r="R283" s="97" t="n"/>
      <c r="S283" s="97" t="n"/>
      <c r="T283" s="97" t="n"/>
      <c r="U283" s="97" t="n"/>
      <c r="V283" s="97" t="n"/>
      <c r="W283" s="97" t="n"/>
      <c r="X283" s="97" t="n"/>
      <c r="Y283" s="97" t="n"/>
      <c r="Z283" s="97" t="n"/>
      <c r="AA283" s="97" t="n"/>
      <c r="AB283" s="97" t="n"/>
      <c r="AC283" s="97" t="n"/>
      <c r="AD283" s="97" t="n"/>
      <c r="AE283" s="97" t="n"/>
      <c r="AF283" s="97" t="n"/>
      <c r="AG283" s="97" t="n"/>
      <c r="AH283" s="97" t="n"/>
      <c r="AI283" s="97" t="n"/>
      <c r="AJ283" s="97" t="n"/>
      <c r="AK283" s="97" t="n"/>
      <c r="AL283" s="97" t="n"/>
      <c r="AM283" s="97" t="n"/>
      <c r="AN283" s="97" t="n"/>
      <c r="AO283" s="97" t="n">
        <v>11.99628</v>
      </c>
      <c r="AP283" s="97" t="n">
        <v>0.6575029999999999</v>
      </c>
      <c r="AQ283" s="97" t="n"/>
      <c r="AR283" s="97" t="n"/>
      <c r="AS283" s="97" t="n">
        <v>0.682738</v>
      </c>
      <c r="AT283" s="97" t="n">
        <v>1.947164</v>
      </c>
      <c r="AU283" s="97" t="n">
        <v>0.5630309999999999</v>
      </c>
      <c r="AV283" s="97" t="n">
        <v>0.297706</v>
      </c>
      <c r="AW283" s="97" t="n">
        <v>1.8</v>
      </c>
      <c r="AX283" s="97" t="n">
        <v>1.295786</v>
      </c>
      <c r="AY283" s="97" t="n">
        <v>0.627211</v>
      </c>
      <c r="AZ283" t="n">
        <v>0.504006</v>
      </c>
    </row>
    <row r="284" s="135">
      <c r="A284" t="inlineStr">
        <is>
          <t>1942-07</t>
        </is>
      </c>
      <c r="B284" s="2" t="n">
        <v>15523</v>
      </c>
      <c r="C284" s="96" t="n">
        <v>284</v>
      </c>
      <c r="D284" s="2" t="n"/>
      <c r="E284" s="2">
        <f>B284</f>
        <v/>
      </c>
      <c r="F284" s="3">
        <f>B284</f>
        <v/>
      </c>
      <c r="G284" s="96" t="n">
        <v>282</v>
      </c>
      <c r="H284" s="97" t="n"/>
      <c r="I284" s="97" t="n"/>
      <c r="J284" s="97" t="n"/>
      <c r="K284" s="97" t="n"/>
      <c r="L284" s="97" t="n"/>
      <c r="M284" s="97" t="n"/>
      <c r="N284" s="97" t="n"/>
      <c r="O284" s="97" t="n"/>
      <c r="P284" s="97" t="n"/>
      <c r="Q284" s="97" t="n"/>
      <c r="R284" s="97" t="n"/>
      <c r="S284" s="97" t="n"/>
      <c r="T284" s="97" t="n"/>
      <c r="U284" s="97" t="n"/>
      <c r="V284" s="97" t="n"/>
      <c r="W284" s="97" t="n"/>
      <c r="X284" s="97" t="n"/>
      <c r="Y284" s="97" t="n"/>
      <c r="Z284" s="97" t="n"/>
      <c r="AA284" s="97" t="n"/>
      <c r="AB284" s="97" t="n"/>
      <c r="AC284" s="97" t="n"/>
      <c r="AD284" s="97" t="n"/>
      <c r="AE284" s="97" t="n"/>
      <c r="AF284" s="97" t="n"/>
      <c r="AG284" s="97" t="n"/>
      <c r="AH284" s="97" t="n"/>
      <c r="AI284" s="97" t="n"/>
      <c r="AJ284" s="97" t="n"/>
      <c r="AK284" s="97" t="n"/>
      <c r="AL284" s="97" t="n"/>
      <c r="AM284" s="97" t="n"/>
      <c r="AN284" s="97" t="n"/>
      <c r="AO284" s="97" t="n">
        <v>12.28885</v>
      </c>
      <c r="AP284" s="97" t="n">
        <v>0.66172</v>
      </c>
      <c r="AQ284" s="97" t="n"/>
      <c r="AR284" s="97" t="n"/>
      <c r="AS284" s="97" t="n">
        <v>0.80541</v>
      </c>
      <c r="AT284" s="97" t="n">
        <v>1.921663</v>
      </c>
      <c r="AU284" s="97" t="n">
        <v>0.76217</v>
      </c>
      <c r="AV284" s="97" t="n">
        <v>0.104219</v>
      </c>
      <c r="AW284" s="97" t="n">
        <v>1.5</v>
      </c>
      <c r="AX284" s="97" t="n">
        <v>1.626553</v>
      </c>
      <c r="AY284" s="97" t="n">
        <v>0.048686</v>
      </c>
      <c r="AZ284" t="n">
        <v>0.764313</v>
      </c>
    </row>
    <row r="285" s="135">
      <c r="A285" t="inlineStr">
        <is>
          <t>1942-08</t>
        </is>
      </c>
      <c r="B285" s="2" t="n">
        <v>15554</v>
      </c>
      <c r="C285" s="96" t="n">
        <v>285</v>
      </c>
      <c r="D285" s="2" t="n"/>
      <c r="E285" s="2">
        <f>B285</f>
        <v/>
      </c>
      <c r="F285" s="3">
        <f>B285</f>
        <v/>
      </c>
      <c r="G285" s="96" t="n">
        <v>283</v>
      </c>
      <c r="H285" s="97" t="n"/>
      <c r="I285" s="97" t="n"/>
      <c r="J285" s="97" t="n"/>
      <c r="K285" s="97" t="n"/>
      <c r="L285" s="97" t="n"/>
      <c r="M285" s="97" t="n"/>
      <c r="N285" s="97" t="n"/>
      <c r="O285" s="97" t="n"/>
      <c r="P285" s="97" t="n"/>
      <c r="Q285" s="97" t="n"/>
      <c r="R285" s="97" t="n"/>
      <c r="S285" s="97" t="n"/>
      <c r="T285" s="97" t="n"/>
      <c r="U285" s="97" t="n"/>
      <c r="V285" s="97" t="n"/>
      <c r="W285" s="97" t="n"/>
      <c r="X285" s="97" t="n"/>
      <c r="Y285" s="97" t="n"/>
      <c r="Z285" s="97" t="n"/>
      <c r="AA285" s="97" t="n"/>
      <c r="AB285" s="97" t="n"/>
      <c r="AC285" s="97" t="n"/>
      <c r="AD285" s="97" t="n"/>
      <c r="AE285" s="97" t="n"/>
      <c r="AF285" s="97" t="n"/>
      <c r="AG285" s="97" t="n"/>
      <c r="AH285" s="97" t="n"/>
      <c r="AI285" s="97" t="n"/>
      <c r="AJ285" s="97" t="n"/>
      <c r="AK285" s="97" t="n"/>
      <c r="AL285" s="97" t="n"/>
      <c r="AM285" s="97" t="n"/>
      <c r="AN285" s="97" t="n"/>
      <c r="AO285" s="97" t="n">
        <v>12.66124</v>
      </c>
      <c r="AP285" s="97" t="n">
        <v>0.385892</v>
      </c>
      <c r="AQ285" s="97" t="n"/>
      <c r="AR285" s="97" t="n"/>
      <c r="AS285" s="97" t="n">
        <v>0.985455</v>
      </c>
      <c r="AT285" s="97" t="n">
        <v>1.992268</v>
      </c>
      <c r="AU285" s="97" t="n">
        <v>-0.655325</v>
      </c>
      <c r="AV285" s="97" t="n">
        <v>0.367285</v>
      </c>
      <c r="AW285" s="97" t="n">
        <v>1.5</v>
      </c>
      <c r="AX285" s="97" t="n">
        <v>1.547741</v>
      </c>
      <c r="AY285" s="97" t="n">
        <v>0.134387</v>
      </c>
      <c r="AZ285" t="n">
        <v>0.740269</v>
      </c>
    </row>
    <row r="286" s="135">
      <c r="A286" t="inlineStr">
        <is>
          <t>1942-09</t>
        </is>
      </c>
      <c r="B286" s="2" t="n">
        <v>15585</v>
      </c>
      <c r="C286" s="96" t="n">
        <v>286</v>
      </c>
      <c r="E286" s="2">
        <f>B286</f>
        <v/>
      </c>
      <c r="F286" s="3">
        <f>B286</f>
        <v/>
      </c>
      <c r="G286" s="96" t="n">
        <v>284</v>
      </c>
      <c r="H286" s="97" t="n"/>
      <c r="I286" s="97" t="n"/>
      <c r="J286" s="97" t="n"/>
      <c r="K286" s="97" t="n"/>
      <c r="L286" s="97" t="n"/>
      <c r="M286" s="97" t="n"/>
      <c r="N286" s="97" t="n"/>
      <c r="O286" s="97" t="n"/>
      <c r="P286" s="97" t="n"/>
      <c r="Q286" s="97" t="n"/>
      <c r="R286" s="97" t="n"/>
      <c r="S286" s="97" t="n"/>
      <c r="T286" s="97" t="n"/>
      <c r="U286" s="97" t="n"/>
      <c r="V286" s="97" t="n"/>
      <c r="W286" s="97" t="n"/>
      <c r="X286" s="97" t="n"/>
      <c r="Y286" s="97" t="n"/>
      <c r="Z286" s="97" t="n"/>
      <c r="AA286" s="97" t="n"/>
      <c r="AB286" s="97" t="n"/>
      <c r="AC286" s="97" t="n"/>
      <c r="AD286" s="97" t="n"/>
      <c r="AE286" s="97" t="n"/>
      <c r="AF286" s="97" t="n"/>
      <c r="AG286" s="97" t="n"/>
      <c r="AH286" s="97" t="n"/>
      <c r="AI286" s="97" t="n"/>
      <c r="AJ286" s="97" t="n"/>
      <c r="AK286" s="97" t="n"/>
      <c r="AL286" s="97" t="n"/>
      <c r="AM286" s="97" t="n"/>
      <c r="AN286" s="97" t="n"/>
      <c r="AO286" s="97" t="n">
        <v>12.95382</v>
      </c>
      <c r="AP286" s="97" t="n">
        <v>0.449432</v>
      </c>
      <c r="AQ286" s="97" t="n"/>
      <c r="AR286" s="97" t="n"/>
      <c r="AS286" s="97" t="n">
        <v>0.720298</v>
      </c>
      <c r="AT286" s="97" t="n">
        <v>1.949581</v>
      </c>
      <c r="AU286" s="97" t="n">
        <v>-0.173665</v>
      </c>
      <c r="AV286" s="97" t="n">
        <v>0.924794</v>
      </c>
      <c r="AW286" s="97" t="n">
        <v>1.7</v>
      </c>
      <c r="AX286" s="97" t="n">
        <v>0.934697</v>
      </c>
      <c r="AY286" s="97" t="n">
        <v>0.166024</v>
      </c>
      <c r="AZ286" t="n">
        <v>-4.031456</v>
      </c>
    </row>
    <row r="287" s="135">
      <c r="A287" t="inlineStr">
        <is>
          <t>1942-10</t>
        </is>
      </c>
      <c r="B287" s="2" t="n">
        <v>15615</v>
      </c>
      <c r="C287" s="96" t="n">
        <v>287</v>
      </c>
      <c r="E287" s="2">
        <f>B287</f>
        <v/>
      </c>
      <c r="F287" s="3">
        <f>B287</f>
        <v/>
      </c>
      <c r="G287" s="96" t="n">
        <v>285</v>
      </c>
      <c r="H287" s="97" t="n"/>
      <c r="I287" s="97" t="n"/>
      <c r="J287" s="97" t="n"/>
      <c r="K287" s="97" t="n"/>
      <c r="L287" s="97" t="n"/>
      <c r="M287" s="97" t="n"/>
      <c r="N287" s="97" t="n"/>
      <c r="O287" s="97" t="n"/>
      <c r="P287" s="97" t="n"/>
      <c r="Q287" s="97" t="n"/>
      <c r="R287" s="97" t="n"/>
      <c r="S287" s="97" t="n"/>
      <c r="T287" s="97" t="n"/>
      <c r="U287" s="97" t="n"/>
      <c r="V287" s="97" t="n"/>
      <c r="W287" s="97" t="n"/>
      <c r="X287" s="97" t="n"/>
      <c r="Y287" s="97" t="n"/>
      <c r="Z287" s="97" t="n"/>
      <c r="AA287" s="97" t="n"/>
      <c r="AB287" s="97" t="n"/>
      <c r="AC287" s="97" t="n"/>
      <c r="AD287" s="97" t="n"/>
      <c r="AE287" s="97" t="n"/>
      <c r="AF287" s="97" t="n"/>
      <c r="AG287" s="97" t="n"/>
      <c r="AH287" s="97" t="n"/>
      <c r="AI287" s="97" t="n"/>
      <c r="AJ287" s="97" t="n"/>
      <c r="AK287" s="97" t="n"/>
      <c r="AL287" s="97" t="n"/>
      <c r="AM287" s="97" t="n"/>
      <c r="AN287" s="97" t="n"/>
      <c r="AO287" s="97" t="n">
        <v>13.37942</v>
      </c>
      <c r="AP287" s="97" t="n"/>
      <c r="AQ287" s="97" t="n"/>
      <c r="AR287" s="97" t="n"/>
      <c r="AS287" s="97" t="n"/>
      <c r="AT287" s="97" t="n"/>
      <c r="AU287" s="97" t="n"/>
      <c r="AV287" s="97" t="n"/>
      <c r="AW287" s="97" t="n">
        <v>1.6</v>
      </c>
      <c r="AX287" s="97" t="n"/>
      <c r="AY287" s="97" t="n"/>
    </row>
    <row r="288" s="135">
      <c r="A288" t="inlineStr">
        <is>
          <t>1942-11</t>
        </is>
      </c>
      <c r="B288" s="2" t="n">
        <v>15646</v>
      </c>
      <c r="C288" s="96" t="n">
        <v>288</v>
      </c>
      <c r="E288" s="2">
        <f>B288</f>
        <v/>
      </c>
      <c r="F288" s="3">
        <f>B288</f>
        <v/>
      </c>
      <c r="G288" s="96" t="n">
        <v>286</v>
      </c>
      <c r="H288" s="97" t="n"/>
      <c r="I288" s="97" t="n"/>
      <c r="J288" s="97" t="n"/>
      <c r="K288" s="97" t="n"/>
      <c r="L288" s="97" t="n"/>
      <c r="M288" s="97" t="n"/>
      <c r="N288" s="97" t="n"/>
      <c r="O288" s="97" t="n"/>
      <c r="P288" s="97" t="n"/>
      <c r="Q288" s="97" t="n"/>
      <c r="R288" s="97" t="n"/>
      <c r="S288" s="97" t="n"/>
      <c r="T288" s="97" t="n"/>
      <c r="U288" s="97" t="n"/>
      <c r="V288" s="97" t="n"/>
      <c r="W288" s="97" t="n"/>
      <c r="X288" s="97" t="n"/>
      <c r="Y288" s="97" t="n"/>
      <c r="Z288" s="97" t="n"/>
      <c r="AA288" s="97" t="n"/>
      <c r="AB288" s="97" t="n"/>
      <c r="AC288" s="97" t="n"/>
      <c r="AD288" s="97" t="n"/>
      <c r="AE288" s="97" t="n"/>
      <c r="AF288" s="97" t="n"/>
      <c r="AG288" s="97" t="n"/>
      <c r="AH288" s="97" t="n"/>
      <c r="AI288" s="97" t="n"/>
      <c r="AJ288" s="97" t="n"/>
      <c r="AK288" s="97" t="n"/>
      <c r="AL288" s="97" t="n"/>
      <c r="AM288" s="97" t="n"/>
      <c r="AN288" s="97" t="n"/>
      <c r="AO288" s="97" t="n">
        <v>13.6986</v>
      </c>
      <c r="AP288" s="97" t="n"/>
      <c r="AQ288" s="97" t="n"/>
      <c r="AR288" s="97" t="n"/>
      <c r="AS288" s="97" t="n"/>
      <c r="AT288" s="97" t="n"/>
      <c r="AU288" s="97" t="n"/>
      <c r="AV288" s="97" t="n"/>
      <c r="AW288" s="97" t="n"/>
      <c r="AX288" s="97" t="n"/>
      <c r="AY288" s="97" t="n"/>
    </row>
    <row r="289" s="135">
      <c r="A289" t="inlineStr">
        <is>
          <t>1942-12</t>
        </is>
      </c>
      <c r="B289" s="2" t="n">
        <v>15676</v>
      </c>
      <c r="C289" s="96" t="n">
        <v>289</v>
      </c>
      <c r="E289" s="2">
        <f>B289</f>
        <v/>
      </c>
      <c r="F289" s="3">
        <f>B289</f>
        <v/>
      </c>
      <c r="G289" s="96" t="n">
        <v>287</v>
      </c>
      <c r="H289" s="97" t="n"/>
      <c r="I289" s="97" t="n"/>
      <c r="J289" s="97" t="n"/>
      <c r="K289" s="97" t="n"/>
      <c r="L289" s="97" t="n"/>
      <c r="M289" s="97" t="n"/>
      <c r="N289" s="97" t="n"/>
      <c r="O289" s="97" t="n"/>
      <c r="P289" s="97" t="n"/>
      <c r="Q289" s="97" t="n"/>
      <c r="R289" s="97" t="n"/>
      <c r="S289" s="97" t="n"/>
      <c r="T289" s="97" t="n"/>
      <c r="U289" s="97" t="n"/>
      <c r="V289" s="97" t="n"/>
      <c r="W289" s="97" t="n"/>
      <c r="X289" s="97" t="n"/>
      <c r="Y289" s="97" t="n"/>
      <c r="Z289" s="97" t="n"/>
      <c r="AA289" s="97" t="n"/>
      <c r="AB289" s="97" t="n"/>
      <c r="AC289" s="97" t="n"/>
      <c r="AD289" s="97" t="n"/>
      <c r="AE289" s="97" t="n"/>
      <c r="AF289" s="97" t="n"/>
      <c r="AG289" s="97" t="n"/>
      <c r="AH289" s="97" t="n"/>
      <c r="AI289" s="97" t="n"/>
      <c r="AJ289" s="97" t="n"/>
      <c r="AK289" s="97" t="n"/>
      <c r="AL289" s="97" t="n"/>
      <c r="AM289" s="97" t="n"/>
      <c r="AN289" s="97" t="n"/>
      <c r="AO289" s="97" t="n">
        <v>14.01777</v>
      </c>
      <c r="AP289" s="97" t="n"/>
      <c r="AQ289" s="97" t="n"/>
      <c r="AR289" s="97" t="n"/>
      <c r="AS289" s="97" t="n"/>
      <c r="AT289" s="97" t="n"/>
      <c r="AU289" s="97" t="n"/>
      <c r="AV289" s="97" t="n"/>
      <c r="AW289" s="97" t="n"/>
      <c r="AX289" s="97" t="n"/>
      <c r="AY289" s="97" t="n"/>
    </row>
    <row r="290" s="135">
      <c r="A290" t="inlineStr">
        <is>
          <t>1943-01</t>
        </is>
      </c>
      <c r="B290" s="2" t="n">
        <v>15707</v>
      </c>
      <c r="C290" s="96" t="n">
        <v>290</v>
      </c>
      <c r="E290" s="2">
        <f>B290</f>
        <v/>
      </c>
      <c r="F290" s="3">
        <f>B290</f>
        <v/>
      </c>
      <c r="G290" s="96" t="n">
        <v>288</v>
      </c>
      <c r="H290" s="97" t="n"/>
      <c r="I290" s="97" t="n"/>
      <c r="J290" s="97" t="n"/>
      <c r="K290" s="97" t="n"/>
      <c r="L290" s="97" t="n"/>
      <c r="M290" s="97" t="n"/>
      <c r="N290" s="97" t="n"/>
      <c r="O290" s="97" t="n"/>
      <c r="P290" s="97" t="n"/>
      <c r="Q290" s="97" t="n"/>
      <c r="R290" s="97" t="n"/>
      <c r="S290" s="97" t="n"/>
      <c r="T290" s="97" t="n"/>
      <c r="U290" s="97" t="n"/>
      <c r="V290" s="97" t="n"/>
      <c r="W290" s="97" t="n"/>
      <c r="X290" s="97" t="n"/>
      <c r="Y290" s="97" t="n"/>
      <c r="Z290" s="97" t="n"/>
      <c r="AA290" s="97" t="n"/>
      <c r="AB290" s="97" t="n"/>
      <c r="AC290" s="97" t="n"/>
      <c r="AD290" s="97" t="n"/>
      <c r="AE290" s="97" t="n"/>
      <c r="AF290" s="97" t="n"/>
      <c r="AG290" s="97" t="n"/>
      <c r="AH290" s="97" t="n"/>
      <c r="AI290" s="97" t="n"/>
      <c r="AJ290" s="97" t="n"/>
      <c r="AK290" s="97" t="n"/>
      <c r="AL290" s="97" t="n"/>
      <c r="AM290" s="97" t="n"/>
      <c r="AN290" s="97" t="n"/>
      <c r="AO290" s="97" t="n">
        <v>14.1508</v>
      </c>
      <c r="AP290" s="97" t="n"/>
      <c r="AQ290" s="97" t="n"/>
      <c r="AR290" s="97" t="n"/>
      <c r="AS290" s="97" t="n"/>
      <c r="AT290" s="97" t="n"/>
      <c r="AU290" s="97" t="n"/>
      <c r="AV290" s="97" t="n"/>
      <c r="AW290" s="97" t="n"/>
      <c r="AX290" s="97" t="n"/>
      <c r="AY290" s="97" t="n"/>
    </row>
    <row r="291" s="135">
      <c r="A291" t="inlineStr">
        <is>
          <t>1943-02</t>
        </is>
      </c>
      <c r="B291" s="2" t="n">
        <v>15738</v>
      </c>
      <c r="C291" s="96" t="n">
        <v>291</v>
      </c>
      <c r="E291" s="2">
        <f>B291</f>
        <v/>
      </c>
      <c r="F291" s="3">
        <f>B291</f>
        <v/>
      </c>
      <c r="G291" s="96" t="n">
        <v>289</v>
      </c>
      <c r="H291" s="97" t="n"/>
      <c r="I291" s="97" t="n"/>
      <c r="J291" s="97" t="n"/>
      <c r="K291" s="97" t="n"/>
      <c r="L291" s="97" t="n"/>
      <c r="M291" s="97" t="n"/>
      <c r="N291" s="97" t="n"/>
      <c r="O291" s="97" t="n"/>
      <c r="P291" s="97" t="n"/>
      <c r="Q291" s="97" t="n"/>
      <c r="R291" s="97" t="n"/>
      <c r="S291" s="97" t="n"/>
      <c r="T291" s="97" t="n"/>
      <c r="U291" s="97" t="n"/>
      <c r="V291" s="97" t="n"/>
      <c r="W291" s="97" t="n"/>
      <c r="X291" s="97" t="n"/>
      <c r="Y291" s="97" t="n"/>
      <c r="Z291" s="97" t="n"/>
      <c r="AA291" s="97" t="n"/>
      <c r="AB291" s="97" t="n"/>
      <c r="AC291" s="97" t="n"/>
      <c r="AD291" s="97" t="n"/>
      <c r="AE291" s="97" t="n"/>
      <c r="AF291" s="97" t="n"/>
      <c r="AG291" s="97" t="n"/>
      <c r="AH291" s="97" t="n"/>
      <c r="AI291" s="97" t="n"/>
      <c r="AJ291" s="97" t="n"/>
      <c r="AK291" s="97" t="n"/>
      <c r="AL291" s="97" t="n"/>
      <c r="AM291" s="97" t="n"/>
      <c r="AN291" s="97" t="n"/>
      <c r="AO291" s="97" t="n">
        <v>14.52319</v>
      </c>
      <c r="AP291" s="97" t="n"/>
      <c r="AQ291" s="97" t="n"/>
      <c r="AR291" s="97" t="n"/>
      <c r="AS291" s="97" t="n"/>
      <c r="AT291" s="97" t="n"/>
      <c r="AU291" s="97" t="n"/>
      <c r="AV291" s="97" t="n"/>
      <c r="AW291" s="97" t="n"/>
      <c r="AX291" s="97" t="n"/>
      <c r="AY291" s="97" t="n"/>
    </row>
    <row r="292" s="135">
      <c r="A292" t="inlineStr">
        <is>
          <t>1943-03</t>
        </is>
      </c>
      <c r="B292" s="2" t="n">
        <v>15766</v>
      </c>
      <c r="C292" s="96" t="n">
        <v>292</v>
      </c>
      <c r="E292" s="2">
        <f>B292</f>
        <v/>
      </c>
      <c r="F292" s="3">
        <f>B292</f>
        <v/>
      </c>
      <c r="G292" s="96" t="n">
        <v>290</v>
      </c>
      <c r="H292" s="97" t="n"/>
      <c r="I292" s="97" t="n"/>
      <c r="J292" s="97" t="n"/>
      <c r="K292" s="97" t="n"/>
      <c r="L292" s="97" t="n"/>
      <c r="M292" s="97" t="n"/>
      <c r="N292" s="97" t="n"/>
      <c r="O292" s="97" t="n"/>
      <c r="P292" s="97" t="n"/>
      <c r="Q292" s="97" t="n"/>
      <c r="R292" s="97" t="n"/>
      <c r="S292" s="97" t="n"/>
      <c r="T292" s="97" t="n"/>
      <c r="U292" s="97" t="n"/>
      <c r="V292" s="97" t="n"/>
      <c r="W292" s="97" t="n"/>
      <c r="X292" s="97" t="n"/>
      <c r="Y292" s="97" t="n"/>
      <c r="Z292" s="97" t="n"/>
      <c r="AA292" s="97" t="n"/>
      <c r="AB292" s="97" t="n"/>
      <c r="AC292" s="97" t="n"/>
      <c r="AD292" s="97" t="n"/>
      <c r="AE292" s="97" t="n"/>
      <c r="AF292" s="97" t="n"/>
      <c r="AG292" s="97" t="n"/>
      <c r="AH292" s="97" t="n"/>
      <c r="AI292" s="97" t="n"/>
      <c r="AJ292" s="97" t="n"/>
      <c r="AK292" s="97" t="n"/>
      <c r="AL292" s="97" t="n"/>
      <c r="AM292" s="97" t="n"/>
      <c r="AN292" s="97" t="n"/>
      <c r="AO292" s="97" t="n">
        <v>14.62952</v>
      </c>
      <c r="AP292" s="97" t="n"/>
      <c r="AQ292" s="97" t="n"/>
      <c r="AR292" s="97" t="n"/>
      <c r="AS292" s="97" t="n"/>
      <c r="AT292" s="97" t="n"/>
      <c r="AU292" s="97" t="n"/>
      <c r="AV292" s="97" t="n"/>
      <c r="AW292" s="97" t="n"/>
      <c r="AX292" s="97" t="n"/>
      <c r="AY292" s="97" t="n"/>
    </row>
    <row r="293" s="135">
      <c r="A293" t="inlineStr">
        <is>
          <t>1943-04</t>
        </is>
      </c>
      <c r="B293" s="2" t="n">
        <v>15797</v>
      </c>
      <c r="C293" s="96" t="n">
        <v>293</v>
      </c>
      <c r="E293" s="2">
        <f>B293</f>
        <v/>
      </c>
      <c r="F293" s="3">
        <f>B293</f>
        <v/>
      </c>
      <c r="G293" s="96" t="n">
        <v>291</v>
      </c>
      <c r="H293" s="97" t="n"/>
      <c r="I293" s="97" t="n"/>
      <c r="J293" s="97" t="n"/>
      <c r="K293" s="97" t="n"/>
      <c r="L293" s="97" t="n"/>
      <c r="M293" s="97" t="n"/>
      <c r="N293" s="97" t="n"/>
      <c r="O293" s="97" t="n"/>
      <c r="P293" s="97" t="n"/>
      <c r="Q293" s="97" t="n"/>
      <c r="R293" s="97" t="n"/>
      <c r="S293" s="97" t="n"/>
      <c r="T293" s="97" t="n"/>
      <c r="U293" s="97" t="n"/>
      <c r="V293" s="97" t="n"/>
      <c r="W293" s="97" t="n"/>
      <c r="X293" s="97" t="n"/>
      <c r="Y293" s="97" t="n"/>
      <c r="Z293" s="97" t="n"/>
      <c r="AA293" s="97" t="n"/>
      <c r="AB293" s="97" t="n"/>
      <c r="AC293" s="97" t="n"/>
      <c r="AD293" s="97" t="n"/>
      <c r="AE293" s="97" t="n"/>
      <c r="AF293" s="97" t="n"/>
      <c r="AG293" s="97" t="n"/>
      <c r="AH293" s="97" t="n"/>
      <c r="AI293" s="97" t="n"/>
      <c r="AJ293" s="97" t="n"/>
      <c r="AK293" s="97" t="n"/>
      <c r="AL293" s="97" t="n"/>
      <c r="AM293" s="97" t="n"/>
      <c r="AN293" s="97" t="n"/>
      <c r="AO293" s="97" t="n">
        <v>14.81576</v>
      </c>
      <c r="AP293" s="97" t="n"/>
      <c r="AQ293" s="97" t="n"/>
      <c r="AR293" s="97" t="n"/>
      <c r="AS293" s="97" t="n"/>
      <c r="AT293" s="97" t="n"/>
      <c r="AU293" s="97" t="n"/>
      <c r="AV293" s="97" t="n"/>
      <c r="AW293" s="97" t="n"/>
      <c r="AX293" s="97" t="n"/>
      <c r="AY293" s="97" t="n"/>
    </row>
    <row r="294" s="135">
      <c r="A294" t="inlineStr">
        <is>
          <t>1943-05</t>
        </is>
      </c>
      <c r="B294" s="2" t="n">
        <v>15827</v>
      </c>
      <c r="C294" s="96" t="n">
        <v>294</v>
      </c>
      <c r="E294" s="2">
        <f>B294</f>
        <v/>
      </c>
      <c r="F294" s="3">
        <f>B294</f>
        <v/>
      </c>
      <c r="G294" s="96" t="n">
        <v>292</v>
      </c>
      <c r="H294" s="97" t="n"/>
      <c r="I294" s="97" t="n"/>
      <c r="J294" s="97" t="n"/>
      <c r="K294" s="97" t="n"/>
      <c r="L294" s="97" t="n"/>
      <c r="M294" s="97" t="n"/>
      <c r="N294" s="97" t="n"/>
      <c r="O294" s="97" t="n"/>
      <c r="P294" s="97" t="n"/>
      <c r="Q294" s="97" t="n"/>
      <c r="R294" s="97" t="n"/>
      <c r="S294" s="97" t="n"/>
      <c r="T294" s="97" t="n"/>
      <c r="U294" s="97" t="n"/>
      <c r="V294" s="97" t="n"/>
      <c r="W294" s="97" t="n"/>
      <c r="X294" s="97" t="n"/>
      <c r="Y294" s="97" t="n"/>
      <c r="Z294" s="97" t="n"/>
      <c r="AA294" s="97" t="n"/>
      <c r="AB294" s="97" t="n"/>
      <c r="AC294" s="97" t="n"/>
      <c r="AD294" s="97" t="n"/>
      <c r="AE294" s="97" t="n"/>
      <c r="AF294" s="97" t="n"/>
      <c r="AG294" s="97" t="n"/>
      <c r="AH294" s="97" t="n"/>
      <c r="AI294" s="97" t="n"/>
      <c r="AJ294" s="97" t="n"/>
      <c r="AK294" s="97" t="n"/>
      <c r="AL294" s="97" t="n"/>
      <c r="AM294" s="97" t="n"/>
      <c r="AN294" s="97" t="n"/>
      <c r="AO294" s="97" t="n">
        <v>14.92209</v>
      </c>
      <c r="AP294" s="97" t="n"/>
      <c r="AQ294" s="97" t="n"/>
      <c r="AR294" s="97" t="n"/>
      <c r="AS294" s="97" t="n"/>
      <c r="AT294" s="97" t="n"/>
      <c r="AU294" s="97" t="n"/>
      <c r="AV294" s="97" t="n"/>
      <c r="AW294" s="97" t="n"/>
      <c r="AX294" s="97" t="n"/>
      <c r="AY294" s="97" t="n"/>
    </row>
    <row r="295" s="135">
      <c r="A295" t="inlineStr">
        <is>
          <t>1943-06</t>
        </is>
      </c>
      <c r="B295" s="2" t="n">
        <v>15858</v>
      </c>
      <c r="C295" s="96" t="n">
        <v>295</v>
      </c>
      <c r="E295" s="2">
        <f>B295</f>
        <v/>
      </c>
      <c r="F295" s="3">
        <f>B295</f>
        <v/>
      </c>
      <c r="G295" s="96" t="n">
        <v>293</v>
      </c>
      <c r="H295" s="97" t="n"/>
      <c r="I295" s="97" t="n"/>
      <c r="J295" s="97" t="n"/>
      <c r="K295" s="97" t="n"/>
      <c r="L295" s="97" t="n"/>
      <c r="M295" s="97" t="n"/>
      <c r="N295" s="97" t="n"/>
      <c r="O295" s="97" t="n"/>
      <c r="P295" s="97" t="n"/>
      <c r="Q295" s="97" t="n"/>
      <c r="R295" s="97" t="n"/>
      <c r="S295" s="97" t="n"/>
      <c r="T295" s="97" t="n"/>
      <c r="U295" s="97" t="n"/>
      <c r="V295" s="97" t="n"/>
      <c r="W295" s="97" t="n"/>
      <c r="X295" s="97" t="n"/>
      <c r="Y295" s="97" t="n"/>
      <c r="Z295" s="97" t="n"/>
      <c r="AA295" s="97" t="n"/>
      <c r="AB295" s="97" t="n"/>
      <c r="AC295" s="97" t="n"/>
      <c r="AD295" s="97" t="n"/>
      <c r="AE295" s="97" t="n"/>
      <c r="AF295" s="97" t="n"/>
      <c r="AG295" s="97" t="n"/>
      <c r="AH295" s="97" t="n"/>
      <c r="AI295" s="97" t="n"/>
      <c r="AJ295" s="97" t="n"/>
      <c r="AK295" s="97" t="n"/>
      <c r="AL295" s="97" t="n"/>
      <c r="AM295" s="97" t="n"/>
      <c r="AN295" s="97" t="n"/>
      <c r="AO295" s="97" t="n">
        <v>14.84237</v>
      </c>
      <c r="AP295" s="97" t="n"/>
      <c r="AQ295" s="97" t="n"/>
      <c r="AR295" s="97" t="n"/>
      <c r="AS295" s="97" t="n"/>
      <c r="AT295" s="97" t="n"/>
      <c r="AU295" s="97" t="n"/>
      <c r="AV295" s="97" t="n"/>
      <c r="AW295" s="97" t="n"/>
      <c r="AX295" s="97" t="n"/>
      <c r="AY295" s="97" t="n"/>
    </row>
    <row r="296" s="135">
      <c r="A296" t="inlineStr">
        <is>
          <t>1943-07</t>
        </is>
      </c>
      <c r="B296" s="2" t="n">
        <v>15888</v>
      </c>
      <c r="C296" s="96" t="n">
        <v>296</v>
      </c>
      <c r="E296" s="2">
        <f>B296</f>
        <v/>
      </c>
      <c r="F296" s="3">
        <f>B296</f>
        <v/>
      </c>
      <c r="G296" s="96" t="n">
        <v>294</v>
      </c>
      <c r="H296" s="97" t="n"/>
      <c r="I296" s="97" t="n"/>
      <c r="J296" s="97" t="n"/>
      <c r="K296" s="97" t="n"/>
      <c r="L296" s="97" t="n"/>
      <c r="M296" s="97" t="n"/>
      <c r="N296" s="97" t="n"/>
      <c r="O296" s="97" t="n"/>
      <c r="P296" s="97" t="n"/>
      <c r="Q296" s="97" t="n"/>
      <c r="R296" s="97" t="n"/>
      <c r="S296" s="97" t="n"/>
      <c r="T296" s="97" t="n"/>
      <c r="U296" s="97" t="n"/>
      <c r="V296" s="97" t="n"/>
      <c r="W296" s="97" t="n"/>
      <c r="X296" s="97" t="n"/>
      <c r="Y296" s="97" t="n"/>
      <c r="Z296" s="97" t="n"/>
      <c r="AA296" s="97" t="n"/>
      <c r="AB296" s="97" t="n"/>
      <c r="AC296" s="97" t="n"/>
      <c r="AD296" s="97" t="n"/>
      <c r="AE296" s="97" t="n"/>
      <c r="AF296" s="97" t="n"/>
      <c r="AG296" s="97" t="n"/>
      <c r="AH296" s="97" t="n"/>
      <c r="AI296" s="97" t="n"/>
      <c r="AJ296" s="97" t="n"/>
      <c r="AK296" s="97" t="n"/>
      <c r="AL296" s="97" t="n"/>
      <c r="AM296" s="97" t="n"/>
      <c r="AN296" s="97" t="n"/>
      <c r="AO296" s="97" t="n">
        <v>15.29448</v>
      </c>
      <c r="AP296" s="97" t="n"/>
      <c r="AQ296" s="97" t="n"/>
      <c r="AR296" s="97" t="n"/>
      <c r="AS296" s="97" t="n"/>
      <c r="AT296" s="97" t="n"/>
      <c r="AU296" s="97" t="n"/>
      <c r="AV296" s="97" t="n"/>
      <c r="AW296" s="97" t="n"/>
      <c r="AX296" s="97" t="n"/>
      <c r="AY296" s="97" t="n"/>
    </row>
    <row r="297" s="135">
      <c r="A297" t="inlineStr">
        <is>
          <t>1943-08</t>
        </is>
      </c>
      <c r="B297" s="2" t="n">
        <v>15919</v>
      </c>
      <c r="C297" s="96" t="n">
        <v>297</v>
      </c>
      <c r="E297" s="2">
        <f>B297</f>
        <v/>
      </c>
      <c r="F297" s="3">
        <f>B297</f>
        <v/>
      </c>
      <c r="G297" s="96" t="n">
        <v>295</v>
      </c>
      <c r="H297" s="97" t="n"/>
      <c r="I297" s="97" t="n"/>
      <c r="J297" s="97" t="n"/>
      <c r="K297" s="97" t="n"/>
      <c r="L297" s="97" t="n"/>
      <c r="M297" s="97" t="n"/>
      <c r="N297" s="97" t="n"/>
      <c r="O297" s="97" t="n"/>
      <c r="P297" s="97" t="n"/>
      <c r="Q297" s="97" t="n"/>
      <c r="R297" s="97" t="n"/>
      <c r="S297" s="97" t="n"/>
      <c r="T297" s="97" t="n"/>
      <c r="U297" s="97" t="n"/>
      <c r="V297" s="97" t="n"/>
      <c r="W297" s="97" t="n"/>
      <c r="X297" s="97" t="n"/>
      <c r="Y297" s="97" t="n"/>
      <c r="Z297" s="97" t="n"/>
      <c r="AA297" s="97" t="n"/>
      <c r="AB297" s="97" t="n"/>
      <c r="AC297" s="97" t="n"/>
      <c r="AD297" s="97" t="n"/>
      <c r="AE297" s="97" t="n"/>
      <c r="AF297" s="97" t="n"/>
      <c r="AG297" s="97" t="n"/>
      <c r="AH297" s="97" t="n"/>
      <c r="AI297" s="97" t="n"/>
      <c r="AJ297" s="97" t="n"/>
      <c r="AK297" s="97" t="n"/>
      <c r="AL297" s="97" t="n"/>
      <c r="AM297" s="97" t="n"/>
      <c r="AN297" s="97" t="n"/>
      <c r="AO297" s="97" t="n">
        <v>15.61376</v>
      </c>
      <c r="AP297" s="97" t="n"/>
      <c r="AQ297" s="97" t="n"/>
      <c r="AR297" s="97" t="n"/>
      <c r="AS297" s="97" t="n"/>
      <c r="AT297" s="97" t="n"/>
      <c r="AU297" s="97" t="n"/>
      <c r="AV297" s="97" t="n"/>
      <c r="AW297" s="97" t="n"/>
      <c r="AX297" s="97" t="n"/>
      <c r="AY297" s="97" t="n"/>
    </row>
    <row r="298" s="135">
      <c r="A298" t="inlineStr">
        <is>
          <t>1943-09</t>
        </is>
      </c>
      <c r="B298" s="2" t="n">
        <v>15950</v>
      </c>
      <c r="C298" s="96" t="n">
        <v>298</v>
      </c>
      <c r="E298" s="2">
        <f>B298</f>
        <v/>
      </c>
      <c r="F298" s="3">
        <f>B298</f>
        <v/>
      </c>
      <c r="G298" s="96" t="n">
        <v>296</v>
      </c>
      <c r="H298" s="97" t="n"/>
      <c r="I298" s="97" t="n"/>
      <c r="J298" s="97" t="n"/>
      <c r="K298" s="97" t="n"/>
      <c r="L298" s="97" t="n"/>
      <c r="M298" s="97" t="n"/>
      <c r="N298" s="97" t="n"/>
      <c r="O298" s="97" t="n"/>
      <c r="P298" s="97" t="n"/>
      <c r="Q298" s="97" t="n"/>
      <c r="R298" s="97" t="n"/>
      <c r="S298" s="97" t="n"/>
      <c r="T298" s="97" t="n"/>
      <c r="U298" s="97" t="n"/>
      <c r="V298" s="97" t="n"/>
      <c r="W298" s="97" t="n"/>
      <c r="X298" s="97" t="n"/>
      <c r="Y298" s="97" t="n"/>
      <c r="Z298" s="97" t="n"/>
      <c r="AA298" s="97" t="n"/>
      <c r="AB298" s="97" t="n"/>
      <c r="AC298" s="97" t="n"/>
      <c r="AD298" s="97" t="n"/>
      <c r="AE298" s="97" t="n"/>
      <c r="AF298" s="97" t="n"/>
      <c r="AG298" s="97" t="n"/>
      <c r="AH298" s="97" t="n"/>
      <c r="AI298" s="97" t="n"/>
      <c r="AJ298" s="97" t="n"/>
      <c r="AK298" s="97" t="n"/>
      <c r="AL298" s="97" t="n"/>
      <c r="AM298" s="97" t="n"/>
      <c r="AN298" s="97" t="n"/>
      <c r="AO298" s="97" t="n">
        <v>16.01275</v>
      </c>
      <c r="AP298" s="97" t="n"/>
      <c r="AQ298" s="97" t="n"/>
      <c r="AR298" s="97" t="n"/>
      <c r="AS298" s="97" t="n"/>
      <c r="AT298" s="97" t="n"/>
      <c r="AU298" s="97" t="n"/>
      <c r="AV298" s="97" t="n"/>
      <c r="AW298" s="97" t="n"/>
      <c r="AX298" s="97" t="n"/>
      <c r="AY298" s="97" t="n"/>
    </row>
    <row r="299" s="135">
      <c r="A299" t="inlineStr">
        <is>
          <t>1943-10</t>
        </is>
      </c>
      <c r="B299" s="2" t="n">
        <v>15980</v>
      </c>
      <c r="C299" s="96" t="n">
        <v>299</v>
      </c>
      <c r="E299" s="2">
        <f>B299</f>
        <v/>
      </c>
      <c r="F299" s="3">
        <f>B299</f>
        <v/>
      </c>
      <c r="G299" s="96" t="n">
        <v>297</v>
      </c>
      <c r="H299" s="97" t="n"/>
      <c r="I299" s="97" t="n"/>
      <c r="J299" s="97" t="n"/>
      <c r="K299" s="97" t="n"/>
      <c r="L299" s="97" t="n"/>
      <c r="M299" s="97" t="n"/>
      <c r="N299" s="97" t="n"/>
      <c r="O299" s="97" t="n"/>
      <c r="P299" s="97" t="n"/>
      <c r="Q299" s="97" t="n"/>
      <c r="R299" s="97" t="n"/>
      <c r="S299" s="97" t="n"/>
      <c r="T299" s="97" t="n"/>
      <c r="U299" s="97" t="n"/>
      <c r="V299" s="97" t="n"/>
      <c r="W299" s="97" t="n"/>
      <c r="X299" s="97" t="n"/>
      <c r="Y299" s="97" t="n"/>
      <c r="Z299" s="97" t="n"/>
      <c r="AA299" s="97" t="n"/>
      <c r="AB299" s="97" t="n"/>
      <c r="AC299" s="97" t="n"/>
      <c r="AD299" s="97" t="n"/>
      <c r="AE299" s="97" t="n"/>
      <c r="AF299" s="97" t="n"/>
      <c r="AG299" s="97" t="n"/>
      <c r="AH299" s="97" t="n"/>
      <c r="AI299" s="97" t="n"/>
      <c r="AJ299" s="97" t="n"/>
      <c r="AK299" s="97" t="n"/>
      <c r="AL299" s="97" t="n"/>
      <c r="AM299" s="97" t="n"/>
      <c r="AN299" s="97" t="n"/>
      <c r="AO299" s="97" t="n">
        <v>16.25211</v>
      </c>
      <c r="AP299" s="97" t="n"/>
      <c r="AQ299" s="97" t="n"/>
      <c r="AR299" s="97" t="n"/>
      <c r="AS299" s="97" t="n"/>
      <c r="AT299" s="97" t="n"/>
      <c r="AU299" s="97" t="n"/>
      <c r="AV299" s="97" t="n"/>
      <c r="AW299" s="97" t="n"/>
      <c r="AX299" s="97" t="n"/>
      <c r="AY299" s="97" t="n"/>
    </row>
    <row r="300" s="135">
      <c r="A300" t="inlineStr">
        <is>
          <t>1943-11</t>
        </is>
      </c>
      <c r="B300" s="2" t="n">
        <v>16011</v>
      </c>
      <c r="C300" s="96" t="n">
        <v>300</v>
      </c>
      <c r="E300" s="2">
        <f>B300</f>
        <v/>
      </c>
      <c r="F300" s="3">
        <f>B300</f>
        <v/>
      </c>
      <c r="G300" s="96" t="n">
        <v>298</v>
      </c>
      <c r="H300" s="97" t="n"/>
      <c r="I300" s="97" t="n"/>
      <c r="J300" s="97" t="n"/>
      <c r="K300" s="97" t="n"/>
      <c r="L300" s="97" t="n"/>
      <c r="M300" s="97" t="n"/>
      <c r="N300" s="97" t="n"/>
      <c r="O300" s="97" t="n"/>
      <c r="P300" s="97" t="n"/>
      <c r="Q300" s="97" t="n"/>
      <c r="R300" s="97" t="n"/>
      <c r="S300" s="97" t="n"/>
      <c r="T300" s="97" t="n"/>
      <c r="U300" s="97" t="n"/>
      <c r="V300" s="97" t="n"/>
      <c r="W300" s="97" t="n"/>
      <c r="X300" s="97" t="n"/>
      <c r="Y300" s="97" t="n"/>
      <c r="Z300" s="97" t="n"/>
      <c r="AA300" s="97" t="n"/>
      <c r="AB300" s="97" t="n"/>
      <c r="AC300" s="97" t="n"/>
      <c r="AD300" s="97" t="n"/>
      <c r="AE300" s="97" t="n"/>
      <c r="AF300" s="97" t="n"/>
      <c r="AG300" s="97" t="n"/>
      <c r="AH300" s="97" t="n"/>
      <c r="AI300" s="97" t="n"/>
      <c r="AJ300" s="97" t="n"/>
      <c r="AK300" s="97" t="n"/>
      <c r="AL300" s="97" t="n"/>
      <c r="AM300" s="97" t="n"/>
      <c r="AN300" s="97" t="n"/>
      <c r="AO300" s="97" t="n">
        <v>16.46486</v>
      </c>
      <c r="AP300" s="97" t="n"/>
      <c r="AQ300" s="97" t="n"/>
      <c r="AR300" s="97" t="n"/>
      <c r="AS300" s="97" t="n"/>
      <c r="AT300" s="97" t="n"/>
      <c r="AU300" s="97" t="n"/>
      <c r="AV300" s="97" t="n"/>
      <c r="AW300" s="97" t="n"/>
      <c r="AX300" s="97" t="n"/>
      <c r="AY300" s="97" t="n"/>
    </row>
    <row r="301" s="135">
      <c r="A301" t="inlineStr">
        <is>
          <t>1943-12</t>
        </is>
      </c>
      <c r="B301" s="2" t="n">
        <v>16041</v>
      </c>
      <c r="C301" s="96" t="n">
        <v>301</v>
      </c>
      <c r="E301" s="2">
        <f>B301</f>
        <v/>
      </c>
      <c r="F301" s="3">
        <f>B301</f>
        <v/>
      </c>
      <c r="G301" s="96" t="n">
        <v>299</v>
      </c>
      <c r="H301" s="97" t="n"/>
      <c r="I301" s="97" t="n"/>
      <c r="J301" s="97" t="n"/>
      <c r="K301" s="97" t="n"/>
      <c r="L301" s="97" t="n"/>
      <c r="M301" s="97" t="n"/>
      <c r="N301" s="97" t="n"/>
      <c r="O301" s="97" t="n"/>
      <c r="P301" s="97" t="n"/>
      <c r="Q301" s="97" t="n"/>
      <c r="R301" s="97" t="n"/>
      <c r="S301" s="97" t="n"/>
      <c r="T301" s="97" t="n"/>
      <c r="U301" s="97" t="n"/>
      <c r="V301" s="97" t="n"/>
      <c r="W301" s="97" t="n"/>
      <c r="X301" s="97" t="n"/>
      <c r="Y301" s="97" t="n"/>
      <c r="Z301" s="97" t="n"/>
      <c r="AA301" s="97" t="n"/>
      <c r="AB301" s="97" t="n"/>
      <c r="AC301" s="97" t="n"/>
      <c r="AD301" s="97" t="n"/>
      <c r="AE301" s="97" t="n"/>
      <c r="AF301" s="97" t="n"/>
      <c r="AG301" s="97" t="n"/>
      <c r="AH301" s="97" t="n"/>
      <c r="AI301" s="97" t="n"/>
      <c r="AJ301" s="97" t="n"/>
      <c r="AK301" s="97" t="n"/>
      <c r="AL301" s="97" t="n"/>
      <c r="AM301" s="97" t="n"/>
      <c r="AN301" s="97" t="n"/>
      <c r="AO301" s="97" t="n">
        <v>16.25211</v>
      </c>
      <c r="AP301" s="97" t="n"/>
      <c r="AQ301" s="97" t="n"/>
      <c r="AR301" s="97" t="n"/>
      <c r="AS301" s="97" t="n"/>
      <c r="AT301" s="97" t="n"/>
      <c r="AU301" s="97" t="n"/>
      <c r="AV301" s="97" t="n"/>
      <c r="AW301" s="97" t="n"/>
      <c r="AX301" s="97" t="n"/>
      <c r="AY301" s="97" t="n"/>
    </row>
    <row r="302" s="135">
      <c r="A302" t="inlineStr">
        <is>
          <t>1944-01</t>
        </is>
      </c>
      <c r="B302" s="2" t="n">
        <v>16072</v>
      </c>
      <c r="C302" s="96" t="n">
        <v>302</v>
      </c>
      <c r="E302" s="2">
        <f>B302</f>
        <v/>
      </c>
      <c r="F302" s="3">
        <f>B302</f>
        <v/>
      </c>
      <c r="G302" s="96" t="n">
        <v>300</v>
      </c>
      <c r="H302" s="97" t="n"/>
      <c r="I302" s="97" t="n"/>
      <c r="J302" s="97" t="n"/>
      <c r="K302" s="97" t="n"/>
      <c r="L302" s="97" t="n"/>
      <c r="M302" s="97" t="n"/>
      <c r="N302" s="97" t="n"/>
      <c r="O302" s="97" t="n"/>
      <c r="P302" s="97" t="n"/>
      <c r="Q302" s="97" t="n"/>
      <c r="R302" s="97" t="n"/>
      <c r="S302" s="97" t="n"/>
      <c r="T302" s="97" t="n"/>
      <c r="U302" s="97" t="n"/>
      <c r="V302" s="97" t="n"/>
      <c r="W302" s="97" t="n"/>
      <c r="X302" s="97" t="n"/>
      <c r="Y302" s="97" t="n"/>
      <c r="Z302" s="97" t="n"/>
      <c r="AA302" s="97" t="n"/>
      <c r="AB302" s="97" t="n"/>
      <c r="AC302" s="97" t="n"/>
      <c r="AD302" s="97" t="n"/>
      <c r="AE302" s="97" t="n"/>
      <c r="AF302" s="97" t="n"/>
      <c r="AG302" s="97" t="n"/>
      <c r="AH302" s="97" t="n"/>
      <c r="AI302" s="97" t="n"/>
      <c r="AJ302" s="97" t="n"/>
      <c r="AK302" s="97" t="n"/>
      <c r="AL302" s="97" t="n"/>
      <c r="AM302" s="97" t="n"/>
      <c r="AN302" s="97" t="n"/>
      <c r="AO302" s="97" t="n">
        <v>16.43826</v>
      </c>
      <c r="AP302" s="97" t="n"/>
      <c r="AQ302" s="97" t="n"/>
      <c r="AR302" s="97" t="n"/>
      <c r="AS302" s="97" t="n"/>
      <c r="AT302" s="97" t="n"/>
      <c r="AU302" s="97" t="n"/>
      <c r="AV302" s="97" t="n"/>
      <c r="AW302" s="97" t="n"/>
      <c r="AX302" s="97" t="n"/>
      <c r="AY302" s="97" t="n"/>
    </row>
    <row r="303" s="135">
      <c r="A303" t="inlineStr">
        <is>
          <t>1944-02</t>
        </is>
      </c>
      <c r="B303" s="2" t="n">
        <v>16103</v>
      </c>
      <c r="C303" s="96" t="n">
        <v>303</v>
      </c>
      <c r="E303" s="2">
        <f>B303</f>
        <v/>
      </c>
      <c r="F303" s="3">
        <f>B303</f>
        <v/>
      </c>
      <c r="G303" s="96" t="n">
        <v>301</v>
      </c>
      <c r="H303" s="97" t="n"/>
      <c r="I303" s="97" t="n"/>
      <c r="J303" s="97" t="n"/>
      <c r="K303" s="97" t="n"/>
      <c r="L303" s="97" t="n"/>
      <c r="M303" s="97" t="n"/>
      <c r="N303" s="97" t="n"/>
      <c r="O303" s="97" t="n"/>
      <c r="P303" s="97" t="n"/>
      <c r="Q303" s="97" t="n"/>
      <c r="R303" s="97" t="n"/>
      <c r="S303" s="97" t="n"/>
      <c r="T303" s="97" t="n"/>
      <c r="U303" s="97" t="n"/>
      <c r="V303" s="97" t="n"/>
      <c r="W303" s="97" t="n"/>
      <c r="X303" s="97" t="n"/>
      <c r="Y303" s="97" t="n"/>
      <c r="Z303" s="97" t="n"/>
      <c r="AA303" s="97" t="n"/>
      <c r="AB303" s="97" t="n"/>
      <c r="AC303" s="97" t="n"/>
      <c r="AD303" s="97" t="n"/>
      <c r="AE303" s="97" t="n"/>
      <c r="AF303" s="97" t="n"/>
      <c r="AG303" s="97" t="n"/>
      <c r="AH303" s="97" t="n"/>
      <c r="AI303" s="97" t="n"/>
      <c r="AJ303" s="97" t="n"/>
      <c r="AK303" s="97" t="n"/>
      <c r="AL303" s="97" t="n"/>
      <c r="AM303" s="97" t="n"/>
      <c r="AN303" s="97" t="n"/>
      <c r="AO303" s="97" t="n">
        <v>16.57129</v>
      </c>
      <c r="AP303" s="97" t="n"/>
      <c r="AQ303" s="97" t="n"/>
      <c r="AR303" s="97" t="n"/>
      <c r="AS303" s="97" t="n"/>
      <c r="AT303" s="97" t="n"/>
      <c r="AU303" s="97" t="n"/>
      <c r="AV303" s="97" t="n"/>
      <c r="AW303" s="97" t="n"/>
      <c r="AX303" s="97" t="n"/>
      <c r="AY303" s="97" t="n"/>
    </row>
    <row r="304" s="135">
      <c r="A304" t="inlineStr">
        <is>
          <t>1944-03</t>
        </is>
      </c>
      <c r="B304" s="2" t="n">
        <v>16132</v>
      </c>
      <c r="C304" s="96" t="n">
        <v>304</v>
      </c>
      <c r="E304" s="2">
        <f>B304</f>
        <v/>
      </c>
      <c r="F304" s="3">
        <f>B304</f>
        <v/>
      </c>
      <c r="G304" s="96" t="n">
        <v>302</v>
      </c>
      <c r="H304" s="97" t="n"/>
      <c r="I304" s="97" t="n"/>
      <c r="J304" s="97" t="n"/>
      <c r="K304" s="97" t="n"/>
      <c r="L304" s="97" t="n"/>
      <c r="M304" s="97" t="n"/>
      <c r="N304" s="97" t="n"/>
      <c r="O304" s="97" t="n"/>
      <c r="P304" s="97" t="n"/>
      <c r="Q304" s="97" t="n"/>
      <c r="R304" s="97" t="n"/>
      <c r="S304" s="97" t="n"/>
      <c r="T304" s="97" t="n"/>
      <c r="U304" s="97" t="n"/>
      <c r="V304" s="97" t="n"/>
      <c r="W304" s="97" t="n"/>
      <c r="X304" s="97" t="n"/>
      <c r="Y304" s="97" t="n"/>
      <c r="Z304" s="97" t="n"/>
      <c r="AA304" s="97" t="n"/>
      <c r="AB304" s="97" t="n"/>
      <c r="AC304" s="97" t="n"/>
      <c r="AD304" s="97" t="n"/>
      <c r="AE304" s="97" t="n"/>
      <c r="AF304" s="97" t="n"/>
      <c r="AG304" s="97" t="n"/>
      <c r="AH304" s="97" t="n"/>
      <c r="AI304" s="97" t="n"/>
      <c r="AJ304" s="97" t="n"/>
      <c r="AK304" s="97" t="n"/>
      <c r="AL304" s="97" t="n"/>
      <c r="AM304" s="97" t="n"/>
      <c r="AN304" s="97" t="n"/>
      <c r="AO304" s="97" t="n">
        <v>16.54468</v>
      </c>
      <c r="AP304" s="97" t="n"/>
      <c r="AQ304" s="97" t="n"/>
      <c r="AR304" s="97" t="n"/>
      <c r="AS304" s="97" t="n"/>
      <c r="AT304" s="97" t="n"/>
      <c r="AU304" s="97" t="n"/>
      <c r="AV304" s="97" t="n"/>
      <c r="AW304" s="97" t="n"/>
      <c r="AX304" s="97" t="n"/>
      <c r="AY304" s="97" t="n"/>
    </row>
    <row r="305" s="135">
      <c r="A305" t="inlineStr">
        <is>
          <t>1944-04</t>
        </is>
      </c>
      <c r="B305" s="2" t="n">
        <v>16163</v>
      </c>
      <c r="C305" s="96" t="n">
        <v>305</v>
      </c>
      <c r="E305" s="2">
        <f>B305</f>
        <v/>
      </c>
      <c r="F305" s="3">
        <f>B305</f>
        <v/>
      </c>
      <c r="G305" s="96" t="n">
        <v>303</v>
      </c>
      <c r="H305" s="97" t="n"/>
      <c r="I305" s="97" t="n"/>
      <c r="J305" s="97" t="n"/>
      <c r="K305" s="97" t="n"/>
      <c r="L305" s="97" t="n"/>
      <c r="M305" s="97" t="n"/>
      <c r="N305" s="97" t="n"/>
      <c r="O305" s="97" t="n"/>
      <c r="P305" s="97" t="n"/>
      <c r="Q305" s="97" t="n"/>
      <c r="R305" s="97" t="n"/>
      <c r="S305" s="97" t="n"/>
      <c r="T305" s="97" t="n"/>
      <c r="U305" s="97" t="n"/>
      <c r="V305" s="97" t="n"/>
      <c r="W305" s="97" t="n"/>
      <c r="X305" s="97" t="n"/>
      <c r="Y305" s="97" t="n"/>
      <c r="Z305" s="97" t="n"/>
      <c r="AA305" s="97" t="n"/>
      <c r="AB305" s="97" t="n"/>
      <c r="AC305" s="97" t="n"/>
      <c r="AD305" s="97" t="n"/>
      <c r="AE305" s="97" t="n"/>
      <c r="AF305" s="97" t="n"/>
      <c r="AG305" s="97" t="n"/>
      <c r="AH305" s="97" t="n"/>
      <c r="AI305" s="97" t="n"/>
      <c r="AJ305" s="97" t="n"/>
      <c r="AK305" s="97" t="n"/>
      <c r="AL305" s="97" t="n"/>
      <c r="AM305" s="97" t="n"/>
      <c r="AN305" s="97" t="n"/>
      <c r="AO305" s="97" t="n">
        <v>16.54468</v>
      </c>
      <c r="AP305" s="97" t="n"/>
      <c r="AQ305" s="97" t="n"/>
      <c r="AR305" s="97" t="n"/>
      <c r="AS305" s="97" t="n"/>
      <c r="AT305" s="97" t="n"/>
      <c r="AU305" s="97" t="n"/>
      <c r="AV305" s="97" t="n"/>
      <c r="AW305" s="97" t="n"/>
      <c r="AX305" s="97" t="n"/>
      <c r="AY305" s="97" t="n"/>
    </row>
    <row r="306" s="135">
      <c r="A306" t="inlineStr">
        <is>
          <t>1944-05</t>
        </is>
      </c>
      <c r="B306" s="2" t="n">
        <v>16193</v>
      </c>
      <c r="C306" s="96" t="n">
        <v>306</v>
      </c>
      <c r="E306" s="2">
        <f>B306</f>
        <v/>
      </c>
      <c r="F306" s="3">
        <f>B306</f>
        <v/>
      </c>
      <c r="G306" s="96" t="n">
        <v>304</v>
      </c>
      <c r="H306" s="97" t="n"/>
      <c r="I306" s="97" t="n"/>
      <c r="J306" s="97" t="n"/>
      <c r="K306" s="97" t="n"/>
      <c r="L306" s="97" t="n"/>
      <c r="M306" s="97" t="n"/>
      <c r="N306" s="97" t="n"/>
      <c r="O306" s="97" t="n"/>
      <c r="P306" s="97" t="n"/>
      <c r="Q306" s="97" t="n"/>
      <c r="R306" s="97" t="n"/>
      <c r="S306" s="97" t="n"/>
      <c r="T306" s="97" t="n"/>
      <c r="U306" s="97" t="n"/>
      <c r="V306" s="97" t="n"/>
      <c r="W306" s="97" t="n"/>
      <c r="X306" s="97" t="n"/>
      <c r="Y306" s="97" t="n"/>
      <c r="Z306" s="97" t="n"/>
      <c r="AA306" s="97" t="n"/>
      <c r="AB306" s="97" t="n"/>
      <c r="AC306" s="97" t="n"/>
      <c r="AD306" s="97" t="n"/>
      <c r="AE306" s="97" t="n"/>
      <c r="AF306" s="97" t="n"/>
      <c r="AG306" s="97" t="n"/>
      <c r="AH306" s="97" t="n"/>
      <c r="AI306" s="97" t="n"/>
      <c r="AJ306" s="97" t="n"/>
      <c r="AK306" s="97" t="n"/>
      <c r="AL306" s="97" t="n"/>
      <c r="AM306" s="97" t="n"/>
      <c r="AN306" s="97" t="n"/>
      <c r="AO306" s="97" t="n">
        <v>16.43835</v>
      </c>
      <c r="AP306" s="97" t="n"/>
      <c r="AQ306" s="97" t="n"/>
      <c r="AR306" s="97" t="n"/>
      <c r="AS306" s="97" t="n"/>
      <c r="AT306" s="97" t="n"/>
      <c r="AU306" s="97" t="n"/>
      <c r="AV306" s="97" t="n"/>
      <c r="AW306" s="97" t="n"/>
      <c r="AX306" s="97" t="n"/>
      <c r="AY306" s="97" t="n"/>
    </row>
    <row r="307" s="135">
      <c r="A307" t="inlineStr">
        <is>
          <t>1944-06</t>
        </is>
      </c>
      <c r="B307" s="2" t="n">
        <v>16224</v>
      </c>
      <c r="C307" s="96" t="n">
        <v>307</v>
      </c>
      <c r="E307" s="2">
        <f>B307</f>
        <v/>
      </c>
      <c r="F307" s="3">
        <f>B307</f>
        <v/>
      </c>
      <c r="G307" s="96" t="n">
        <v>305</v>
      </c>
      <c r="H307" s="97" t="n"/>
      <c r="I307" s="97" t="n"/>
      <c r="J307" s="97" t="n"/>
      <c r="K307" s="97" t="n"/>
      <c r="L307" s="97" t="n"/>
      <c r="M307" s="97" t="n"/>
      <c r="N307" s="97" t="n"/>
      <c r="O307" s="97" t="n"/>
      <c r="P307" s="97" t="n"/>
      <c r="Q307" s="97" t="n"/>
      <c r="R307" s="97" t="n"/>
      <c r="S307" s="97" t="n"/>
      <c r="T307" s="97" t="n"/>
      <c r="U307" s="97" t="n"/>
      <c r="V307" s="97" t="n"/>
      <c r="W307" s="97" t="n"/>
      <c r="X307" s="97" t="n"/>
      <c r="Y307" s="97" t="n"/>
      <c r="Z307" s="97" t="n"/>
      <c r="AA307" s="97" t="n"/>
      <c r="AB307" s="97" t="n"/>
      <c r="AC307" s="97" t="n"/>
      <c r="AD307" s="97" t="n"/>
      <c r="AE307" s="97" t="n"/>
      <c r="AF307" s="97" t="n"/>
      <c r="AG307" s="97" t="n"/>
      <c r="AH307" s="97" t="n"/>
      <c r="AI307" s="97" t="n"/>
      <c r="AJ307" s="97" t="n"/>
      <c r="AK307" s="97" t="n"/>
      <c r="AL307" s="97" t="n"/>
      <c r="AM307" s="97" t="n"/>
      <c r="AN307" s="97" t="n"/>
      <c r="AO307" s="97" t="n">
        <v>16.38514</v>
      </c>
      <c r="AP307" s="97" t="n"/>
      <c r="AQ307" s="97" t="n"/>
      <c r="AR307" s="97" t="n"/>
      <c r="AS307" s="97" t="n"/>
      <c r="AT307" s="97" t="n"/>
      <c r="AU307" s="97" t="n"/>
      <c r="AV307" s="97" t="n"/>
      <c r="AW307" s="97" t="n"/>
      <c r="AX307" s="97" t="n"/>
      <c r="AY307" s="97" t="n"/>
    </row>
    <row r="308" s="135">
      <c r="A308" t="inlineStr">
        <is>
          <t>1944-07</t>
        </is>
      </c>
      <c r="B308" s="2" t="n">
        <v>16254</v>
      </c>
      <c r="C308" s="96" t="n">
        <v>308</v>
      </c>
      <c r="E308" s="2">
        <f>B308</f>
        <v/>
      </c>
      <c r="F308" s="3">
        <f>B308</f>
        <v/>
      </c>
      <c r="G308" s="96" t="n">
        <v>306</v>
      </c>
      <c r="H308" s="97" t="n"/>
      <c r="I308" s="97" t="n"/>
      <c r="J308" s="97" t="n"/>
      <c r="K308" s="97" t="n"/>
      <c r="L308" s="97" t="n"/>
      <c r="M308" s="97" t="n"/>
      <c r="N308" s="97" t="n"/>
      <c r="O308" s="97" t="n"/>
      <c r="P308" s="97" t="n"/>
      <c r="Q308" s="97" t="n"/>
      <c r="R308" s="97" t="n"/>
      <c r="S308" s="97" t="n"/>
      <c r="T308" s="97" t="n"/>
      <c r="U308" s="97" t="n"/>
      <c r="V308" s="97" t="n"/>
      <c r="W308" s="97" t="n"/>
      <c r="X308" s="97" t="n"/>
      <c r="Y308" s="97" t="n"/>
      <c r="Z308" s="97" t="n"/>
      <c r="AA308" s="97" t="n"/>
      <c r="AB308" s="97" t="n"/>
      <c r="AC308" s="97" t="n"/>
      <c r="AD308" s="97" t="n"/>
      <c r="AE308" s="97" t="n"/>
      <c r="AF308" s="97" t="n"/>
      <c r="AG308" s="97" t="n"/>
      <c r="AH308" s="97" t="n"/>
      <c r="AI308" s="97" t="n"/>
      <c r="AJ308" s="97" t="n"/>
      <c r="AK308" s="97" t="n"/>
      <c r="AL308" s="97" t="n"/>
      <c r="AM308" s="97" t="n"/>
      <c r="AN308" s="97" t="n"/>
      <c r="AO308" s="97" t="n">
        <v>16.35853</v>
      </c>
      <c r="AP308" s="97" t="n"/>
      <c r="AQ308" s="97" t="n"/>
      <c r="AR308" s="97" t="n"/>
      <c r="AS308" s="97" t="n"/>
      <c r="AT308" s="97" t="n"/>
      <c r="AU308" s="97" t="n"/>
      <c r="AV308" s="97" t="n"/>
      <c r="AW308" s="97" t="n"/>
      <c r="AX308" s="97" t="n"/>
      <c r="AY308" s="97" t="n"/>
    </row>
    <row r="309" s="135">
      <c r="A309" t="inlineStr">
        <is>
          <t>1944-08</t>
        </is>
      </c>
      <c r="B309" s="2" t="n">
        <v>16285</v>
      </c>
      <c r="C309" s="96" t="n">
        <v>309</v>
      </c>
      <c r="E309" s="2">
        <f>B309</f>
        <v/>
      </c>
      <c r="F309" s="3">
        <f>B309</f>
        <v/>
      </c>
      <c r="G309" s="96" t="n">
        <v>307</v>
      </c>
      <c r="H309" s="97" t="n"/>
      <c r="I309" s="97" t="n"/>
      <c r="J309" s="97" t="n"/>
      <c r="K309" s="97" t="n"/>
      <c r="L309" s="97" t="n"/>
      <c r="M309" s="97" t="n"/>
      <c r="N309" s="97" t="n"/>
      <c r="O309" s="97" t="n"/>
      <c r="P309" s="97" t="n"/>
      <c r="Q309" s="97" t="n"/>
      <c r="R309" s="97" t="n"/>
      <c r="S309" s="97" t="n"/>
      <c r="T309" s="97" t="n"/>
      <c r="U309" s="97" t="n"/>
      <c r="V309" s="97" t="n"/>
      <c r="W309" s="97" t="n"/>
      <c r="X309" s="97" t="n"/>
      <c r="Y309" s="97" t="n"/>
      <c r="Z309" s="97" t="n"/>
      <c r="AA309" s="97" t="n"/>
      <c r="AB309" s="97" t="n"/>
      <c r="AC309" s="97" t="n"/>
      <c r="AD309" s="97" t="n"/>
      <c r="AE309" s="97" t="n"/>
      <c r="AF309" s="97" t="n"/>
      <c r="AG309" s="97" t="n"/>
      <c r="AH309" s="97" t="n"/>
      <c r="AI309" s="97" t="n"/>
      <c r="AJ309" s="97" t="n"/>
      <c r="AK309" s="97" t="n"/>
      <c r="AL309" s="97" t="n"/>
      <c r="AM309" s="97" t="n"/>
      <c r="AN309" s="97" t="n"/>
      <c r="AO309" s="97" t="n">
        <v>16.57129</v>
      </c>
      <c r="AP309" s="97" t="n"/>
      <c r="AQ309" s="97" t="n"/>
      <c r="AR309" s="97" t="n"/>
      <c r="AS309" s="97" t="n"/>
      <c r="AT309" s="97" t="n"/>
      <c r="AU309" s="97" t="n"/>
      <c r="AV309" s="97" t="n"/>
      <c r="AW309" s="97" t="n"/>
      <c r="AX309" s="97" t="n"/>
      <c r="AY309" s="97" t="n"/>
    </row>
    <row r="310" s="135">
      <c r="A310" t="inlineStr">
        <is>
          <t>1944-09</t>
        </is>
      </c>
      <c r="B310" s="2" t="n">
        <v>16316</v>
      </c>
      <c r="C310" s="96" t="n">
        <v>310</v>
      </c>
      <c r="E310" s="2">
        <f>B310</f>
        <v/>
      </c>
      <c r="F310" s="3">
        <f>B310</f>
        <v/>
      </c>
      <c r="G310" s="96" t="n">
        <v>308</v>
      </c>
      <c r="H310" s="97" t="n"/>
      <c r="I310" s="97" t="n"/>
      <c r="J310" s="97" t="n"/>
      <c r="K310" s="97" t="n"/>
      <c r="L310" s="97" t="n"/>
      <c r="M310" s="97" t="n"/>
      <c r="N310" s="97" t="n"/>
      <c r="O310" s="97" t="n"/>
      <c r="P310" s="97" t="n"/>
      <c r="Q310" s="97" t="n"/>
      <c r="R310" s="97" t="n"/>
      <c r="S310" s="97" t="n"/>
      <c r="T310" s="97" t="n"/>
      <c r="U310" s="97" t="n"/>
      <c r="V310" s="97" t="n"/>
      <c r="W310" s="97" t="n"/>
      <c r="X310" s="97" t="n"/>
      <c r="Y310" s="97" t="n"/>
      <c r="Z310" s="97" t="n"/>
      <c r="AA310" s="97" t="n"/>
      <c r="AB310" s="97" t="n"/>
      <c r="AC310" s="97" t="n"/>
      <c r="AD310" s="97" t="n"/>
      <c r="AE310" s="97" t="n"/>
      <c r="AF310" s="97" t="n"/>
      <c r="AG310" s="97" t="n"/>
      <c r="AH310" s="97" t="n"/>
      <c r="AI310" s="97" t="n"/>
      <c r="AJ310" s="97" t="n"/>
      <c r="AK310" s="97" t="n"/>
      <c r="AL310" s="97" t="n"/>
      <c r="AM310" s="97" t="n"/>
      <c r="AN310" s="97" t="n"/>
      <c r="AO310" s="97" t="n">
        <v>16.46486</v>
      </c>
      <c r="AP310" s="97" t="n"/>
      <c r="AQ310" s="97" t="n"/>
      <c r="AR310" s="97" t="n"/>
      <c r="AS310" s="97" t="n"/>
      <c r="AT310" s="97" t="n"/>
      <c r="AU310" s="97" t="n"/>
      <c r="AV310" s="97" t="n"/>
      <c r="AW310" s="97" t="n"/>
      <c r="AX310" s="97" t="n"/>
      <c r="AY310" s="97" t="n"/>
    </row>
    <row r="311" s="135">
      <c r="A311" t="inlineStr">
        <is>
          <t>1944-10</t>
        </is>
      </c>
      <c r="B311" s="2" t="n">
        <v>16346</v>
      </c>
      <c r="C311" s="96" t="n">
        <v>311</v>
      </c>
      <c r="E311" s="2">
        <f>B311</f>
        <v/>
      </c>
      <c r="F311" s="3">
        <f>B311</f>
        <v/>
      </c>
      <c r="G311" s="96" t="n">
        <v>309</v>
      </c>
      <c r="H311" s="97" t="n"/>
      <c r="I311" s="97" t="n"/>
      <c r="J311" s="97" t="n"/>
      <c r="K311" s="97" t="n"/>
      <c r="L311" s="97" t="n"/>
      <c r="M311" s="97" t="n"/>
      <c r="N311" s="97" t="n"/>
      <c r="O311" s="97" t="n"/>
      <c r="P311" s="97" t="n"/>
      <c r="Q311" s="97" t="n"/>
      <c r="R311" s="97" t="n"/>
      <c r="S311" s="97" t="n"/>
      <c r="T311" s="97" t="n"/>
      <c r="U311" s="97" t="n"/>
      <c r="V311" s="97" t="n"/>
      <c r="W311" s="97" t="n"/>
      <c r="X311" s="97" t="n"/>
      <c r="Y311" s="97" t="n"/>
      <c r="Z311" s="97" t="n"/>
      <c r="AA311" s="97" t="n"/>
      <c r="AB311" s="97" t="n"/>
      <c r="AC311" s="97" t="n"/>
      <c r="AD311" s="97" t="n"/>
      <c r="AE311" s="97" t="n"/>
      <c r="AF311" s="97" t="n"/>
      <c r="AG311" s="97" t="n"/>
      <c r="AH311" s="97" t="n"/>
      <c r="AI311" s="97" t="n"/>
      <c r="AJ311" s="97" t="n"/>
      <c r="AK311" s="97" t="n"/>
      <c r="AL311" s="97" t="n"/>
      <c r="AM311" s="97" t="n"/>
      <c r="AN311" s="97" t="n"/>
      <c r="AO311" s="97" t="n">
        <v>16.51807</v>
      </c>
      <c r="AP311" s="97" t="n"/>
      <c r="AQ311" s="97" t="n"/>
      <c r="AR311" s="97" t="n"/>
      <c r="AS311" s="97" t="n"/>
      <c r="AT311" s="97" t="n"/>
      <c r="AU311" s="97" t="n"/>
      <c r="AV311" s="97" t="n"/>
      <c r="AW311" s="97" t="n"/>
      <c r="AX311" s="97" t="n"/>
      <c r="AY311" s="97" t="n"/>
    </row>
    <row r="312" s="135">
      <c r="A312" t="inlineStr">
        <is>
          <t>1944-11</t>
        </is>
      </c>
      <c r="B312" s="2" t="n">
        <v>16377</v>
      </c>
      <c r="C312" s="96" t="n">
        <v>312</v>
      </c>
      <c r="E312" s="2">
        <f>B312</f>
        <v/>
      </c>
      <c r="F312" s="3">
        <f>B312</f>
        <v/>
      </c>
      <c r="G312" s="96" t="n">
        <v>310</v>
      </c>
      <c r="H312" s="97" t="n"/>
      <c r="I312" s="97" t="n"/>
      <c r="J312" s="97" t="n"/>
      <c r="K312" s="97" t="n"/>
      <c r="L312" s="97" t="n"/>
      <c r="M312" s="97" t="n"/>
      <c r="N312" s="97" t="n"/>
      <c r="O312" s="97" t="n"/>
      <c r="P312" s="97" t="n"/>
      <c r="Q312" s="97" t="n"/>
      <c r="R312" s="97" t="n"/>
      <c r="S312" s="97" t="n"/>
      <c r="T312" s="97" t="n"/>
      <c r="U312" s="97" t="n"/>
      <c r="V312" s="97" t="n"/>
      <c r="W312" s="97" t="n"/>
      <c r="X312" s="97" t="n"/>
      <c r="Y312" s="97" t="n"/>
      <c r="Z312" s="97" t="n"/>
      <c r="AA312" s="97" t="n"/>
      <c r="AB312" s="97" t="n"/>
      <c r="AC312" s="97" t="n"/>
      <c r="AD312" s="97" t="n"/>
      <c r="AE312" s="97" t="n"/>
      <c r="AF312" s="97" t="n"/>
      <c r="AG312" s="97" t="n"/>
      <c r="AH312" s="97" t="n"/>
      <c r="AI312" s="97" t="n"/>
      <c r="AJ312" s="97" t="n"/>
      <c r="AK312" s="97" t="n"/>
      <c r="AL312" s="97" t="n"/>
      <c r="AM312" s="97" t="n"/>
      <c r="AN312" s="97" t="n"/>
      <c r="AO312" s="97" t="n">
        <v>16.38514</v>
      </c>
      <c r="AP312" s="97" t="n"/>
      <c r="AQ312" s="97" t="n"/>
      <c r="AR312" s="97" t="n"/>
      <c r="AS312" s="97" t="n"/>
      <c r="AT312" s="97" t="n"/>
      <c r="AU312" s="97" t="n"/>
      <c r="AV312" s="97" t="n"/>
      <c r="AW312" s="97" t="n"/>
      <c r="AX312" s="97" t="n"/>
      <c r="AY312" s="97" t="n"/>
    </row>
    <row r="313" s="135">
      <c r="A313" t="inlineStr">
        <is>
          <t>1944-12</t>
        </is>
      </c>
      <c r="B313" s="2" t="n">
        <v>16407</v>
      </c>
      <c r="C313" s="96" t="n">
        <v>313</v>
      </c>
      <c r="E313" s="2">
        <f>B313</f>
        <v/>
      </c>
      <c r="F313" s="3">
        <f>B313</f>
        <v/>
      </c>
      <c r="G313" s="96" t="n">
        <v>311</v>
      </c>
      <c r="H313" s="97" t="n"/>
      <c r="I313" s="97" t="n"/>
      <c r="J313" s="97" t="n"/>
      <c r="K313" s="97" t="n"/>
      <c r="L313" s="97" t="n"/>
      <c r="M313" s="97" t="n"/>
      <c r="N313" s="97" t="n"/>
      <c r="O313" s="97" t="n"/>
      <c r="P313" s="97" t="n"/>
      <c r="Q313" s="97" t="n"/>
      <c r="R313" s="97" t="n"/>
      <c r="S313" s="97" t="n"/>
      <c r="T313" s="97" t="n"/>
      <c r="U313" s="97" t="n"/>
      <c r="V313" s="97" t="n"/>
      <c r="W313" s="97" t="n"/>
      <c r="X313" s="97" t="n"/>
      <c r="Y313" s="97" t="n"/>
      <c r="Z313" s="97" t="n"/>
      <c r="AA313" s="97" t="n"/>
      <c r="AB313" s="97" t="n"/>
      <c r="AC313" s="97" t="n"/>
      <c r="AD313" s="97" t="n"/>
      <c r="AE313" s="97" t="n"/>
      <c r="AF313" s="97" t="n"/>
      <c r="AG313" s="97" t="n"/>
      <c r="AH313" s="97" t="n"/>
      <c r="AI313" s="97" t="n"/>
      <c r="AJ313" s="97" t="n"/>
      <c r="AK313" s="97" t="n"/>
      <c r="AL313" s="97" t="n"/>
      <c r="AM313" s="97" t="n"/>
      <c r="AN313" s="97" t="n"/>
      <c r="AO313" s="97" t="n">
        <v>16.33193</v>
      </c>
      <c r="AP313" s="97" t="n"/>
      <c r="AQ313" s="97" t="n"/>
      <c r="AR313" s="97" t="n"/>
      <c r="AS313" s="97" t="n"/>
      <c r="AT313" s="97" t="n"/>
      <c r="AU313" s="97" t="n"/>
      <c r="AV313" s="97" t="n"/>
      <c r="AW313" s="97" t="n"/>
      <c r="AX313" s="97" t="n"/>
      <c r="AY313" s="97" t="n"/>
    </row>
    <row r="314" s="135">
      <c r="A314" t="inlineStr">
        <is>
          <t>1945-01</t>
        </is>
      </c>
      <c r="B314" s="2" t="n">
        <v>16438</v>
      </c>
      <c r="C314" s="96" t="n">
        <v>314</v>
      </c>
      <c r="E314" s="2">
        <f>B314</f>
        <v/>
      </c>
      <c r="F314" s="3">
        <f>B314</f>
        <v/>
      </c>
      <c r="G314" s="96" t="n">
        <v>312</v>
      </c>
      <c r="H314" s="97" t="n"/>
      <c r="I314" s="97" t="n"/>
      <c r="J314" s="97" t="n"/>
      <c r="K314" s="97" t="n"/>
      <c r="L314" s="97" t="n"/>
      <c r="M314" s="97" t="n"/>
      <c r="N314" s="97" t="n"/>
      <c r="O314" s="97" t="n"/>
      <c r="P314" s="97" t="n"/>
      <c r="Q314" s="97" t="n"/>
      <c r="R314" s="97" t="n"/>
      <c r="S314" s="97" t="n"/>
      <c r="T314" s="97" t="n"/>
      <c r="U314" s="97" t="n"/>
      <c r="V314" s="97" t="n"/>
      <c r="W314" s="97" t="n"/>
      <c r="X314" s="97" t="n"/>
      <c r="Y314" s="97" t="n"/>
      <c r="Z314" s="97" t="n"/>
      <c r="AA314" s="97" t="n"/>
      <c r="AB314" s="97" t="n"/>
      <c r="AC314" s="97" t="n"/>
      <c r="AD314" s="97" t="n"/>
      <c r="AE314" s="97" t="n"/>
      <c r="AF314" s="97" t="n"/>
      <c r="AG314" s="97" t="n"/>
      <c r="AH314" s="97" t="n"/>
      <c r="AI314" s="97" t="n"/>
      <c r="AJ314" s="97" t="n"/>
      <c r="AK314" s="97" t="n"/>
      <c r="AL314" s="97" t="n"/>
      <c r="AM314" s="97" t="n"/>
      <c r="AN314" s="97" t="n"/>
      <c r="AO314" s="97" t="n">
        <v>16.17229</v>
      </c>
      <c r="AP314" s="97" t="n"/>
      <c r="AQ314" s="97" t="n"/>
      <c r="AR314" s="97" t="n"/>
      <c r="AS314" s="97" t="n"/>
      <c r="AT314" s="97" t="n"/>
      <c r="AU314" s="97" t="n"/>
      <c r="AV314" s="97" t="n"/>
      <c r="AW314" s="97" t="n"/>
      <c r="AX314" s="97" t="n"/>
      <c r="AY314" s="97" t="n"/>
    </row>
    <row r="315" s="135">
      <c r="A315" t="inlineStr">
        <is>
          <t>1945-02</t>
        </is>
      </c>
      <c r="B315" s="2" t="n">
        <v>16469</v>
      </c>
      <c r="C315" s="96" t="n">
        <v>315</v>
      </c>
      <c r="E315" s="2">
        <f>B315</f>
        <v/>
      </c>
      <c r="F315" s="3">
        <f>B315</f>
        <v/>
      </c>
      <c r="G315" s="96" t="n">
        <v>313</v>
      </c>
      <c r="H315" s="97" t="n"/>
      <c r="I315" s="97" t="n"/>
      <c r="J315" s="97" t="n"/>
      <c r="K315" s="97" t="n"/>
      <c r="L315" s="97" t="n"/>
      <c r="M315" s="97" t="n"/>
      <c r="N315" s="97" t="n"/>
      <c r="O315" s="97" t="n"/>
      <c r="P315" s="97" t="n"/>
      <c r="Q315" s="97" t="n"/>
      <c r="R315" s="97" t="n"/>
      <c r="S315" s="97" t="n"/>
      <c r="T315" s="97" t="n"/>
      <c r="U315" s="97" t="n"/>
      <c r="V315" s="97" t="n"/>
      <c r="W315" s="97" t="n"/>
      <c r="X315" s="97" t="n"/>
      <c r="Y315" s="97" t="n"/>
      <c r="Z315" s="97" t="n"/>
      <c r="AA315" s="97" t="n"/>
      <c r="AB315" s="97" t="n"/>
      <c r="AC315" s="97" t="n"/>
      <c r="AD315" s="97" t="n"/>
      <c r="AE315" s="97" t="n"/>
      <c r="AF315" s="97" t="n"/>
      <c r="AG315" s="97" t="n"/>
      <c r="AH315" s="97" t="n"/>
      <c r="AI315" s="97" t="n"/>
      <c r="AJ315" s="97" t="n"/>
      <c r="AK315" s="97" t="n"/>
      <c r="AL315" s="97" t="n"/>
      <c r="AM315" s="97" t="n"/>
      <c r="AN315" s="97" t="n"/>
      <c r="AO315" s="97" t="n">
        <v>16.11908</v>
      </c>
      <c r="AP315" s="97" t="n"/>
      <c r="AQ315" s="97" t="n"/>
      <c r="AR315" s="97" t="n"/>
      <c r="AS315" s="97" t="n"/>
      <c r="AT315" s="97" t="n"/>
      <c r="AU315" s="97" t="n"/>
      <c r="AV315" s="97" t="n"/>
      <c r="AW315" s="97" t="n"/>
      <c r="AX315" s="97" t="n"/>
      <c r="AY315" s="97" t="n"/>
    </row>
    <row r="316" s="135">
      <c r="A316" t="inlineStr">
        <is>
          <t>1945-03</t>
        </is>
      </c>
      <c r="B316" s="2" t="n">
        <v>16497</v>
      </c>
      <c r="C316" s="96" t="n">
        <v>316</v>
      </c>
      <c r="E316" s="2">
        <f>B316</f>
        <v/>
      </c>
      <c r="F316" s="3">
        <f>B316</f>
        <v/>
      </c>
      <c r="G316" s="96" t="n">
        <v>314</v>
      </c>
      <c r="H316" s="97" t="n"/>
      <c r="I316" s="97" t="n"/>
      <c r="J316" s="97" t="n"/>
      <c r="K316" s="97" t="n"/>
      <c r="L316" s="97" t="n"/>
      <c r="M316" s="97" t="n"/>
      <c r="N316" s="97" t="n"/>
      <c r="O316" s="97" t="n"/>
      <c r="P316" s="97" t="n"/>
      <c r="Q316" s="97" t="n"/>
      <c r="R316" s="97" t="n"/>
      <c r="S316" s="97" t="n"/>
      <c r="T316" s="97" t="n"/>
      <c r="U316" s="97" t="n"/>
      <c r="V316" s="97" t="n"/>
      <c r="W316" s="97" t="n"/>
      <c r="X316" s="97" t="n"/>
      <c r="Y316" s="97" t="n"/>
      <c r="Z316" s="97" t="n"/>
      <c r="AA316" s="97" t="n"/>
      <c r="AB316" s="97" t="n"/>
      <c r="AC316" s="97" t="n"/>
      <c r="AD316" s="97" t="n"/>
      <c r="AE316" s="97" t="n"/>
      <c r="AF316" s="97" t="n"/>
      <c r="AG316" s="97" t="n"/>
      <c r="AH316" s="97" t="n"/>
      <c r="AI316" s="97" t="n"/>
      <c r="AJ316" s="97" t="n"/>
      <c r="AK316" s="97" t="n"/>
      <c r="AL316" s="97" t="n"/>
      <c r="AM316" s="97" t="n"/>
      <c r="AN316" s="97" t="n"/>
      <c r="AO316" s="97" t="n">
        <v>16.01266</v>
      </c>
      <c r="AP316" s="97" t="n"/>
      <c r="AQ316" s="97" t="n"/>
      <c r="AR316" s="97" t="n"/>
      <c r="AS316" s="97" t="n"/>
      <c r="AT316" s="97" t="n"/>
      <c r="AU316" s="97" t="n"/>
      <c r="AV316" s="97" t="n"/>
      <c r="AW316" s="97" t="n"/>
      <c r="AX316" s="97" t="n"/>
      <c r="AY316" s="97" t="n"/>
    </row>
    <row r="317" s="135">
      <c r="A317" t="inlineStr">
        <is>
          <t>1945-04</t>
        </is>
      </c>
      <c r="B317" s="2" t="n">
        <v>16528</v>
      </c>
      <c r="C317" s="96" t="n">
        <v>317</v>
      </c>
      <c r="E317" s="2">
        <f>B317</f>
        <v/>
      </c>
      <c r="F317" s="3">
        <f>B317</f>
        <v/>
      </c>
      <c r="G317" s="96" t="n">
        <v>315</v>
      </c>
      <c r="H317" s="97" t="n"/>
      <c r="I317" s="97" t="n"/>
      <c r="J317" s="97" t="n"/>
      <c r="K317" s="97" t="n"/>
      <c r="L317" s="97" t="n"/>
      <c r="M317" s="97" t="n"/>
      <c r="N317" s="97" t="n"/>
      <c r="O317" s="97" t="n"/>
      <c r="P317" s="97" t="n"/>
      <c r="Q317" s="97" t="n"/>
      <c r="R317" s="97" t="n"/>
      <c r="S317" s="97" t="n"/>
      <c r="T317" s="97" t="n"/>
      <c r="U317" s="97" t="n"/>
      <c r="V317" s="97" t="n"/>
      <c r="W317" s="97" t="n"/>
      <c r="X317" s="97" t="n"/>
      <c r="Y317" s="97" t="n"/>
      <c r="Z317" s="97" t="n"/>
      <c r="AA317" s="97" t="n"/>
      <c r="AB317" s="97" t="n"/>
      <c r="AC317" s="97" t="n"/>
      <c r="AD317" s="97" t="n"/>
      <c r="AE317" s="97" t="n"/>
      <c r="AF317" s="97" t="n"/>
      <c r="AG317" s="97" t="n"/>
      <c r="AH317" s="97" t="n"/>
      <c r="AI317" s="97" t="n"/>
      <c r="AJ317" s="97" t="n"/>
      <c r="AK317" s="97" t="n"/>
      <c r="AL317" s="97" t="n"/>
      <c r="AM317" s="97" t="n"/>
      <c r="AN317" s="97" t="n"/>
      <c r="AO317" s="97" t="n">
        <v>15.72008</v>
      </c>
      <c r="AP317" s="97" t="n"/>
      <c r="AQ317" s="97" t="n"/>
      <c r="AR317" s="97" t="n"/>
      <c r="AS317" s="97" t="n"/>
      <c r="AT317" s="97" t="n"/>
      <c r="AU317" s="97" t="n"/>
      <c r="AV317" s="97" t="n"/>
      <c r="AW317" s="97" t="n"/>
      <c r="AX317" s="97" t="n"/>
      <c r="AY317" s="97" t="n"/>
    </row>
    <row r="318" s="135">
      <c r="A318" t="inlineStr">
        <is>
          <t>1945-05</t>
        </is>
      </c>
      <c r="B318" s="2" t="n">
        <v>16558</v>
      </c>
      <c r="C318" s="96" t="n">
        <v>318</v>
      </c>
      <c r="E318" s="2">
        <f>B318</f>
        <v/>
      </c>
      <c r="F318" s="3">
        <f>B318</f>
        <v/>
      </c>
      <c r="G318" s="96" t="n">
        <v>316</v>
      </c>
      <c r="H318" s="97" t="n"/>
      <c r="I318" s="97" t="n"/>
      <c r="J318" s="97" t="n"/>
      <c r="K318" s="97" t="n"/>
      <c r="L318" s="97" t="n"/>
      <c r="M318" s="97" t="n"/>
      <c r="N318" s="97" t="n"/>
      <c r="O318" s="97" t="n"/>
      <c r="P318" s="97" t="n"/>
      <c r="Q318" s="97" t="n"/>
      <c r="R318" s="97" t="n"/>
      <c r="S318" s="97" t="n"/>
      <c r="T318" s="97" t="n"/>
      <c r="U318" s="97" t="n"/>
      <c r="V318" s="97" t="n"/>
      <c r="W318" s="97" t="n"/>
      <c r="X318" s="97" t="n"/>
      <c r="Y318" s="97" t="n"/>
      <c r="Z318" s="97" t="n"/>
      <c r="AA318" s="97" t="n"/>
      <c r="AB318" s="97" t="n"/>
      <c r="AC318" s="97" t="n"/>
      <c r="AD318" s="97" t="n"/>
      <c r="AE318" s="97" t="n"/>
      <c r="AF318" s="97" t="n"/>
      <c r="AG318" s="97" t="n"/>
      <c r="AH318" s="97" t="n"/>
      <c r="AI318" s="97" t="n"/>
      <c r="AJ318" s="97" t="n"/>
      <c r="AK318" s="97" t="n"/>
      <c r="AL318" s="97" t="n"/>
      <c r="AM318" s="97" t="n"/>
      <c r="AN318" s="97" t="n"/>
      <c r="AO318" s="97" t="n">
        <v>15.29458</v>
      </c>
      <c r="AP318" s="97" t="n"/>
      <c r="AQ318" s="97" t="n"/>
      <c r="AR318" s="97" t="n"/>
      <c r="AS318" s="97" t="n"/>
      <c r="AT318" s="97" t="n"/>
      <c r="AU318" s="97" t="n"/>
      <c r="AV318" s="97" t="n"/>
      <c r="AW318" s="97" t="n"/>
      <c r="AX318" s="97" t="n"/>
      <c r="AY318" s="97" t="n"/>
    </row>
    <row r="319" s="135">
      <c r="A319" t="inlineStr">
        <is>
          <t>1945-06</t>
        </is>
      </c>
      <c r="B319" s="2" t="n">
        <v>16589</v>
      </c>
      <c r="C319" s="96" t="n">
        <v>319</v>
      </c>
      <c r="E319" s="2">
        <f>B319</f>
        <v/>
      </c>
      <c r="F319" s="3">
        <f>B319</f>
        <v/>
      </c>
      <c r="G319" s="96" t="n">
        <v>317</v>
      </c>
      <c r="H319" s="97" t="n"/>
      <c r="I319" s="97" t="n"/>
      <c r="J319" s="97" t="n"/>
      <c r="K319" s="97" t="n"/>
      <c r="L319" s="97" t="n"/>
      <c r="M319" s="97" t="n"/>
      <c r="N319" s="97" t="n"/>
      <c r="O319" s="97" t="n"/>
      <c r="P319" s="97" t="n"/>
      <c r="Q319" s="97" t="n"/>
      <c r="R319" s="97" t="n"/>
      <c r="S319" s="97" t="n"/>
      <c r="T319" s="97" t="n"/>
      <c r="U319" s="97" t="n"/>
      <c r="V319" s="97" t="n"/>
      <c r="W319" s="97" t="n"/>
      <c r="X319" s="97" t="n"/>
      <c r="Y319" s="97" t="n"/>
      <c r="Z319" s="97" t="n"/>
      <c r="AA319" s="97" t="n"/>
      <c r="AB319" s="97" t="n"/>
      <c r="AC319" s="97" t="n"/>
      <c r="AD319" s="97" t="n"/>
      <c r="AE319" s="97" t="n"/>
      <c r="AF319" s="97" t="n"/>
      <c r="AG319" s="97" t="n"/>
      <c r="AH319" s="97" t="n"/>
      <c r="AI319" s="97" t="n"/>
      <c r="AJ319" s="97" t="n"/>
      <c r="AK319" s="97" t="n"/>
      <c r="AL319" s="97" t="n"/>
      <c r="AM319" s="97" t="n"/>
      <c r="AN319" s="97" t="n"/>
      <c r="AO319" s="97" t="n">
        <v>14.9487</v>
      </c>
      <c r="AP319" s="97" t="n"/>
      <c r="AQ319" s="97" t="n"/>
      <c r="AR319" s="97" t="n"/>
      <c r="AS319" s="97" t="n"/>
      <c r="AT319" s="97" t="n"/>
      <c r="AU319" s="97" t="n"/>
      <c r="AV319" s="97" t="n"/>
      <c r="AW319" s="97" t="n"/>
      <c r="AX319" s="97" t="n"/>
      <c r="AY319" s="97" t="n"/>
    </row>
    <row r="320" s="135">
      <c r="A320" t="inlineStr">
        <is>
          <t>1945-07</t>
        </is>
      </c>
      <c r="B320" s="2" t="n">
        <v>16619</v>
      </c>
      <c r="C320" s="96" t="n">
        <v>320</v>
      </c>
      <c r="E320" s="2">
        <f>B320</f>
        <v/>
      </c>
      <c r="F320" s="3">
        <f>B320</f>
        <v/>
      </c>
      <c r="G320" s="96" t="n">
        <v>318</v>
      </c>
      <c r="H320" s="97" t="n"/>
      <c r="I320" s="97" t="n"/>
      <c r="J320" s="97" t="n"/>
      <c r="K320" s="97" t="n"/>
      <c r="L320" s="97" t="n"/>
      <c r="M320" s="97" t="n"/>
      <c r="N320" s="97" t="n"/>
      <c r="O320" s="97" t="n"/>
      <c r="P320" s="97" t="n"/>
      <c r="Q320" s="97" t="n"/>
      <c r="R320" s="97" t="n"/>
      <c r="S320" s="97" t="n"/>
      <c r="T320" s="97" t="n"/>
      <c r="U320" s="97" t="n"/>
      <c r="V320" s="97" t="n"/>
      <c r="W320" s="97" t="n"/>
      <c r="X320" s="97" t="n"/>
      <c r="Y320" s="97" t="n"/>
      <c r="Z320" s="97" t="n"/>
      <c r="AA320" s="97" t="n"/>
      <c r="AB320" s="97" t="n"/>
      <c r="AC320" s="97" t="n"/>
      <c r="AD320" s="97" t="n"/>
      <c r="AE320" s="97" t="n"/>
      <c r="AF320" s="97" t="n"/>
      <c r="AG320" s="97" t="n"/>
      <c r="AH320" s="97" t="n"/>
      <c r="AI320" s="97" t="n"/>
      <c r="AJ320" s="97" t="n"/>
      <c r="AK320" s="97" t="n"/>
      <c r="AL320" s="97" t="n"/>
      <c r="AM320" s="97" t="n"/>
      <c r="AN320" s="97" t="n"/>
      <c r="AO320" s="97" t="n">
        <v>14.60301</v>
      </c>
      <c r="AP320" s="97" t="n"/>
      <c r="AQ320" s="97" t="n"/>
      <c r="AR320" s="97" t="n"/>
      <c r="AS320" s="97" t="n"/>
      <c r="AT320" s="97" t="n"/>
      <c r="AU320" s="97" t="n"/>
      <c r="AV320" s="97" t="n"/>
      <c r="AW320" s="97" t="n"/>
      <c r="AX320" s="97" t="n"/>
      <c r="AY320" s="97" t="n"/>
    </row>
    <row r="321" s="135">
      <c r="A321" t="inlineStr">
        <is>
          <t>1945-08</t>
        </is>
      </c>
      <c r="B321" s="2" t="n">
        <v>16650</v>
      </c>
      <c r="C321" s="96" t="n">
        <v>321</v>
      </c>
      <c r="E321" s="2">
        <f>B321</f>
        <v/>
      </c>
      <c r="F321" s="3">
        <f>B321</f>
        <v/>
      </c>
      <c r="G321" s="96" t="n">
        <v>319</v>
      </c>
      <c r="H321" s="97" t="n"/>
      <c r="I321" s="97" t="n"/>
      <c r="J321" s="97" t="n"/>
      <c r="K321" s="97" t="n"/>
      <c r="L321" s="97" t="n"/>
      <c r="M321" s="97" t="n"/>
      <c r="N321" s="97" t="n"/>
      <c r="O321" s="97" t="n"/>
      <c r="P321" s="97" t="n"/>
      <c r="Q321" s="97" t="n"/>
      <c r="R321" s="97" t="n"/>
      <c r="S321" s="97" t="n"/>
      <c r="T321" s="97" t="n"/>
      <c r="U321" s="97" t="n"/>
      <c r="V321" s="97" t="n"/>
      <c r="W321" s="97" t="n"/>
      <c r="X321" s="97" t="n"/>
      <c r="Y321" s="97" t="n"/>
      <c r="Z321" s="97" t="n"/>
      <c r="AA321" s="97" t="n"/>
      <c r="AB321" s="97" t="n"/>
      <c r="AC321" s="97" t="n"/>
      <c r="AD321" s="97" t="n"/>
      <c r="AE321" s="97" t="n"/>
      <c r="AF321" s="97" t="n"/>
      <c r="AG321" s="97" t="n"/>
      <c r="AH321" s="97" t="n"/>
      <c r="AI321" s="97" t="n"/>
      <c r="AJ321" s="97" t="n"/>
      <c r="AK321" s="97" t="n"/>
      <c r="AL321" s="97" t="n"/>
      <c r="AM321" s="97" t="n"/>
      <c r="AN321" s="97" t="n"/>
      <c r="AO321" s="97" t="n">
        <v>13.08685</v>
      </c>
      <c r="AP321" s="97" t="n"/>
      <c r="AQ321" s="97" t="n"/>
      <c r="AR321" s="97" t="n"/>
      <c r="AS321" s="97" t="n"/>
      <c r="AT321" s="97" t="n"/>
      <c r="AU321" s="97" t="n"/>
      <c r="AV321" s="97" t="n"/>
      <c r="AW321" s="97" t="n"/>
      <c r="AX321" s="97" t="n"/>
      <c r="AY321" s="97" t="n"/>
    </row>
    <row r="322" s="135">
      <c r="A322" t="inlineStr">
        <is>
          <t>1945-09</t>
        </is>
      </c>
      <c r="B322" s="2" t="n">
        <v>16681</v>
      </c>
      <c r="C322" s="96" t="n">
        <v>322</v>
      </c>
      <c r="E322" s="2">
        <f>B322</f>
        <v/>
      </c>
      <c r="F322" s="3">
        <f>B322</f>
        <v/>
      </c>
      <c r="G322" s="96" t="n">
        <v>320</v>
      </c>
      <c r="H322" s="97" t="n"/>
      <c r="I322" s="97" t="n"/>
      <c r="J322" s="97" t="n"/>
      <c r="K322" s="97" t="n"/>
      <c r="L322" s="97" t="n"/>
      <c r="M322" s="97" t="n"/>
      <c r="N322" s="97" t="n"/>
      <c r="O322" s="97" t="n"/>
      <c r="P322" s="97" t="n"/>
      <c r="Q322" s="97" t="n"/>
      <c r="R322" s="97" t="n"/>
      <c r="S322" s="97" t="n"/>
      <c r="T322" s="97" t="n"/>
      <c r="U322" s="97" t="n"/>
      <c r="V322" s="97" t="n"/>
      <c r="W322" s="97" t="n"/>
      <c r="X322" s="97" t="n"/>
      <c r="Y322" s="97" t="n"/>
      <c r="Z322" s="97" t="n"/>
      <c r="AA322" s="97" t="n"/>
      <c r="AB322" s="97" t="n"/>
      <c r="AC322" s="97" t="n"/>
      <c r="AD322" s="97" t="n"/>
      <c r="AE322" s="97" t="n"/>
      <c r="AF322" s="97" t="n"/>
      <c r="AG322" s="97" t="n"/>
      <c r="AH322" s="97" t="n"/>
      <c r="AI322" s="97" t="n"/>
      <c r="AJ322" s="97" t="n"/>
      <c r="AK322" s="97" t="n"/>
      <c r="AL322" s="97" t="n"/>
      <c r="AM322" s="97" t="n"/>
      <c r="AN322" s="97" t="n"/>
      <c r="AO322" s="97" t="n">
        <v>11.91647</v>
      </c>
      <c r="AP322" s="97" t="n"/>
      <c r="AQ322" s="97" t="n"/>
      <c r="AR322" s="97" t="n"/>
      <c r="AS322" s="97" t="n"/>
      <c r="AT322" s="97" t="n"/>
      <c r="AU322" s="97" t="n"/>
      <c r="AV322" s="97" t="n"/>
      <c r="AW322" s="97" t="n"/>
      <c r="AX322" s="97" t="n"/>
      <c r="AY322" s="97" t="n"/>
    </row>
    <row r="323" s="135">
      <c r="A323" t="inlineStr">
        <is>
          <t>1945-10</t>
        </is>
      </c>
      <c r="B323" s="2" t="n">
        <v>16711</v>
      </c>
      <c r="C323" s="96" t="n">
        <v>323</v>
      </c>
      <c r="E323" s="2">
        <f>B323</f>
        <v/>
      </c>
      <c r="F323" s="3">
        <f>B323</f>
        <v/>
      </c>
      <c r="G323" s="96" t="n">
        <v>321</v>
      </c>
      <c r="H323" s="97" t="n"/>
      <c r="I323" s="97" t="n"/>
      <c r="J323" s="97" t="n"/>
      <c r="K323" s="97" t="n"/>
      <c r="L323" s="97" t="n"/>
      <c r="M323" s="97" t="n"/>
      <c r="N323" s="97" t="n"/>
      <c r="O323" s="97" t="n"/>
      <c r="P323" s="97" t="n"/>
      <c r="Q323" s="97" t="n"/>
      <c r="R323" s="97" t="n"/>
      <c r="S323" s="97" t="n"/>
      <c r="T323" s="97" t="n"/>
      <c r="U323" s="97" t="n"/>
      <c r="V323" s="97" t="n"/>
      <c r="W323" s="97" t="n"/>
      <c r="X323" s="97" t="n"/>
      <c r="Y323" s="97" t="n"/>
      <c r="Z323" s="97" t="n"/>
      <c r="AA323" s="97" t="n"/>
      <c r="AB323" s="97" t="n"/>
      <c r="AC323" s="97" t="n"/>
      <c r="AD323" s="97" t="n"/>
      <c r="AE323" s="97" t="n"/>
      <c r="AF323" s="97" t="n"/>
      <c r="AG323" s="97" t="n"/>
      <c r="AH323" s="97" t="n"/>
      <c r="AI323" s="97" t="n"/>
      <c r="AJ323" s="97" t="n"/>
      <c r="AK323" s="97" t="n"/>
      <c r="AL323" s="97" t="n"/>
      <c r="AM323" s="97" t="n"/>
      <c r="AN323" s="97" t="n"/>
      <c r="AO323" s="97" t="n">
        <v>11.43765</v>
      </c>
      <c r="AP323" s="97" t="n"/>
      <c r="AQ323" s="97" t="n"/>
      <c r="AR323" s="97" t="n"/>
      <c r="AS323" s="97" t="n"/>
      <c r="AT323" s="97" t="n"/>
      <c r="AU323" s="97" t="n"/>
      <c r="AV323" s="97" t="n"/>
      <c r="AW323" s="97" t="n"/>
      <c r="AX323" s="97" t="n"/>
      <c r="AY323" s="97" t="n"/>
    </row>
    <row r="324" s="135">
      <c r="A324" t="inlineStr">
        <is>
          <t>1945-11</t>
        </is>
      </c>
      <c r="B324" s="2" t="n">
        <v>16742</v>
      </c>
      <c r="C324" s="96" t="n">
        <v>324</v>
      </c>
      <c r="E324" s="2">
        <f>B324</f>
        <v/>
      </c>
      <c r="F324" s="3">
        <f>B324</f>
        <v/>
      </c>
      <c r="G324" s="96" t="n">
        <v>322</v>
      </c>
      <c r="H324" s="97" t="n"/>
      <c r="I324" s="97" t="n"/>
      <c r="J324" s="97" t="n"/>
      <c r="K324" s="97" t="n"/>
      <c r="L324" s="97" t="n"/>
      <c r="M324" s="97" t="n"/>
      <c r="N324" s="97" t="n"/>
      <c r="O324" s="97" t="n"/>
      <c r="P324" s="97" t="n"/>
      <c r="Q324" s="97" t="n"/>
      <c r="R324" s="97" t="n"/>
      <c r="S324" s="97" t="n"/>
      <c r="T324" s="97" t="n"/>
      <c r="U324" s="97" t="n"/>
      <c r="V324" s="97" t="n"/>
      <c r="W324" s="97" t="n"/>
      <c r="X324" s="97" t="n"/>
      <c r="Y324" s="97" t="n"/>
      <c r="Z324" s="97" t="n"/>
      <c r="AA324" s="97" t="n"/>
      <c r="AB324" s="97" t="n"/>
      <c r="AC324" s="97" t="n"/>
      <c r="AD324" s="97" t="n"/>
      <c r="AE324" s="97" t="n"/>
      <c r="AF324" s="97" t="n"/>
      <c r="AG324" s="97" t="n"/>
      <c r="AH324" s="97" t="n"/>
      <c r="AI324" s="97" t="n"/>
      <c r="AJ324" s="97" t="n"/>
      <c r="AK324" s="97" t="n"/>
      <c r="AL324" s="97" t="n"/>
      <c r="AM324" s="97" t="n"/>
      <c r="AN324" s="97" t="n"/>
      <c r="AO324" s="97" t="n">
        <v>11.86325</v>
      </c>
      <c r="AP324" s="97" t="n"/>
      <c r="AQ324" s="97" t="n"/>
      <c r="AR324" s="97" t="n"/>
      <c r="AS324" s="97" t="n"/>
      <c r="AT324" s="97" t="n"/>
      <c r="AU324" s="97" t="n"/>
      <c r="AV324" s="97" t="n"/>
      <c r="AW324" s="97" t="n"/>
      <c r="AX324" s="97" t="n"/>
      <c r="AY324" s="97" t="n"/>
    </row>
    <row r="325" s="135">
      <c r="A325" t="inlineStr">
        <is>
          <t>1945-12</t>
        </is>
      </c>
      <c r="B325" s="2" t="n">
        <v>16772</v>
      </c>
      <c r="C325" s="96" t="n">
        <v>325</v>
      </c>
      <c r="E325" s="2">
        <f>B325</f>
        <v/>
      </c>
      <c r="F325" s="3">
        <f>B325</f>
        <v/>
      </c>
      <c r="G325" s="96" t="n">
        <v>323</v>
      </c>
      <c r="H325" s="97" t="n"/>
      <c r="I325" s="97" t="n"/>
      <c r="J325" s="97" t="n"/>
      <c r="K325" s="97" t="n"/>
      <c r="L325" s="97" t="n"/>
      <c r="M325" s="97" t="n"/>
      <c r="N325" s="97" t="n"/>
      <c r="O325" s="97" t="n"/>
      <c r="P325" s="97" t="n"/>
      <c r="Q325" s="97" t="n"/>
      <c r="R325" s="97" t="n"/>
      <c r="S325" s="97" t="n"/>
      <c r="T325" s="97" t="n"/>
      <c r="U325" s="97" t="n"/>
      <c r="V325" s="97" t="n"/>
      <c r="W325" s="97" t="n"/>
      <c r="X325" s="97" t="n"/>
      <c r="Y325" s="97" t="n"/>
      <c r="Z325" s="97" t="n"/>
      <c r="AA325" s="97" t="n"/>
      <c r="AB325" s="97" t="n"/>
      <c r="AC325" s="97" t="n"/>
      <c r="AD325" s="97" t="n"/>
      <c r="AE325" s="97" t="n"/>
      <c r="AF325" s="97" t="n"/>
      <c r="AG325" s="97" t="n"/>
      <c r="AH325" s="97" t="n"/>
      <c r="AI325" s="97" t="n"/>
      <c r="AJ325" s="97" t="n"/>
      <c r="AK325" s="97" t="n"/>
      <c r="AL325" s="97" t="n"/>
      <c r="AM325" s="97" t="n"/>
      <c r="AN325" s="97" t="n"/>
      <c r="AO325" s="97" t="n">
        <v>11.91647</v>
      </c>
      <c r="AP325" s="97" t="n"/>
      <c r="AQ325" s="97" t="n"/>
      <c r="AR325" s="97" t="n"/>
      <c r="AS325" s="97" t="n"/>
      <c r="AT325" s="97" t="n"/>
      <c r="AU325" s="97" t="n"/>
      <c r="AV325" s="97" t="n"/>
      <c r="AW325" s="97" t="n"/>
      <c r="AX325" s="97" t="n"/>
      <c r="AY325" s="97" t="n"/>
    </row>
    <row r="326" s="135">
      <c r="A326" t="inlineStr">
        <is>
          <t>1946-01</t>
        </is>
      </c>
      <c r="B326" s="2" t="n">
        <v>16803</v>
      </c>
      <c r="C326" s="96" t="n">
        <v>326</v>
      </c>
      <c r="E326" s="2">
        <f>B326</f>
        <v/>
      </c>
      <c r="F326" s="3">
        <f>B326</f>
        <v/>
      </c>
      <c r="G326" s="96" t="n">
        <v>324</v>
      </c>
      <c r="H326" s="97" t="n"/>
      <c r="I326" s="97" t="n"/>
      <c r="J326" s="97" t="n"/>
      <c r="K326" s="97" t="n"/>
      <c r="L326" s="97" t="n"/>
      <c r="M326" s="97" t="n"/>
      <c r="N326" s="97" t="n"/>
      <c r="O326" s="97" t="n"/>
      <c r="P326" s="97" t="n"/>
      <c r="Q326" s="97" t="n"/>
      <c r="R326" s="97" t="n"/>
      <c r="S326" s="97" t="n"/>
      <c r="T326" s="97" t="n"/>
      <c r="U326" s="97" t="n"/>
      <c r="V326" s="97" t="n"/>
      <c r="W326" s="97" t="n"/>
      <c r="X326" s="97" t="n"/>
      <c r="Y326" s="97" t="n"/>
      <c r="Z326" s="97" t="n"/>
      <c r="AA326" s="97" t="n"/>
      <c r="AB326" s="97" t="n"/>
      <c r="AC326" s="97" t="n"/>
      <c r="AD326" s="97" t="n"/>
      <c r="AE326" s="97" t="n"/>
      <c r="AF326" s="97" t="n"/>
      <c r="AG326" s="97" t="n"/>
      <c r="AH326" s="97" t="n"/>
      <c r="AI326" s="97" t="n"/>
      <c r="AJ326" s="97" t="n"/>
      <c r="AK326" s="97" t="n"/>
      <c r="AL326" s="97" t="n"/>
      <c r="AM326" s="97" t="n"/>
      <c r="AN326" s="97" t="n"/>
      <c r="AO326" s="97" t="n">
        <v>11.25141</v>
      </c>
      <c r="AP326" s="97" t="n"/>
      <c r="AQ326" s="97" t="n"/>
      <c r="AR326" s="97" t="n"/>
      <c r="AS326" s="97" t="n"/>
      <c r="AT326" s="97" t="n"/>
      <c r="AU326" s="97" t="n"/>
      <c r="AV326" s="97" t="n"/>
      <c r="AW326" s="97" t="n"/>
      <c r="AX326" s="97" t="n"/>
      <c r="AY326" s="97" t="n"/>
    </row>
    <row r="327" s="135">
      <c r="A327" t="inlineStr">
        <is>
          <t>1946-02</t>
        </is>
      </c>
      <c r="B327" s="2" t="n">
        <v>16834</v>
      </c>
      <c r="C327" s="96" t="n">
        <v>327</v>
      </c>
      <c r="E327" s="2">
        <f>B327</f>
        <v/>
      </c>
      <c r="F327" s="3">
        <f>B327</f>
        <v/>
      </c>
      <c r="G327" s="96" t="n">
        <v>325</v>
      </c>
      <c r="H327" s="97" t="n"/>
      <c r="I327" s="97" t="n"/>
      <c r="J327" s="97" t="n"/>
      <c r="K327" s="97" t="n"/>
      <c r="L327" s="97" t="n"/>
      <c r="M327" s="97" t="n"/>
      <c r="N327" s="97" t="n"/>
      <c r="O327" s="97" t="n"/>
      <c r="P327" s="97" t="n"/>
      <c r="Q327" s="97" t="n"/>
      <c r="R327" s="97" t="n"/>
      <c r="S327" s="97" t="n"/>
      <c r="T327" s="97" t="n"/>
      <c r="U327" s="97" t="n"/>
      <c r="V327" s="97" t="n"/>
      <c r="W327" s="97" t="n"/>
      <c r="X327" s="97" t="n"/>
      <c r="Y327" s="97" t="n"/>
      <c r="Z327" s="97" t="n"/>
      <c r="AA327" s="97" t="n"/>
      <c r="AB327" s="97" t="n"/>
      <c r="AC327" s="97" t="n"/>
      <c r="AD327" s="97" t="n"/>
      <c r="AE327" s="97" t="n"/>
      <c r="AF327" s="97" t="n"/>
      <c r="AG327" s="97" t="n"/>
      <c r="AH327" s="97" t="n"/>
      <c r="AI327" s="97" t="n"/>
      <c r="AJ327" s="97" t="n"/>
      <c r="AK327" s="97" t="n"/>
      <c r="AL327" s="97" t="n"/>
      <c r="AM327" s="97" t="n"/>
      <c r="AN327" s="97" t="n"/>
      <c r="AO327" s="97" t="n">
        <v>10.69287</v>
      </c>
      <c r="AP327" s="97" t="n"/>
      <c r="AQ327" s="97" t="n"/>
      <c r="AR327" s="97" t="n"/>
      <c r="AS327" s="97" t="n"/>
      <c r="AT327" s="97" t="n"/>
      <c r="AU327" s="97" t="n"/>
      <c r="AV327" s="97" t="n"/>
      <c r="AW327" s="97" t="n"/>
      <c r="AX327" s="97" t="n"/>
      <c r="AY327" s="97" t="n"/>
    </row>
    <row r="328" s="135">
      <c r="A328" t="inlineStr">
        <is>
          <t>1946-03</t>
        </is>
      </c>
      <c r="B328" s="2" t="n">
        <v>16862</v>
      </c>
      <c r="C328" s="96" t="n">
        <v>328</v>
      </c>
      <c r="E328" s="2">
        <f>B328</f>
        <v/>
      </c>
      <c r="F328" s="3">
        <f>B328</f>
        <v/>
      </c>
      <c r="G328" s="96" t="n">
        <v>326</v>
      </c>
      <c r="H328" s="97" t="n"/>
      <c r="I328" s="97" t="n"/>
      <c r="J328" s="97" t="n"/>
      <c r="K328" s="97" t="n"/>
      <c r="L328" s="97" t="n"/>
      <c r="M328" s="97" t="n"/>
      <c r="N328" s="97" t="n"/>
      <c r="O328" s="97" t="n"/>
      <c r="P328" s="97" t="n"/>
      <c r="Q328" s="97" t="n"/>
      <c r="R328" s="97" t="n"/>
      <c r="S328" s="97" t="n"/>
      <c r="T328" s="97" t="n"/>
      <c r="U328" s="97" t="n"/>
      <c r="V328" s="97" t="n"/>
      <c r="W328" s="97" t="n"/>
      <c r="X328" s="97" t="n"/>
      <c r="Y328" s="97" t="n"/>
      <c r="Z328" s="97" t="n"/>
      <c r="AA328" s="97" t="n"/>
      <c r="AB328" s="97" t="n"/>
      <c r="AC328" s="97" t="n"/>
      <c r="AD328" s="97" t="n"/>
      <c r="AE328" s="97" t="n"/>
      <c r="AF328" s="97" t="n"/>
      <c r="AG328" s="97" t="n"/>
      <c r="AH328" s="97" t="n"/>
      <c r="AI328" s="97" t="n"/>
      <c r="AJ328" s="97" t="n"/>
      <c r="AK328" s="97" t="n"/>
      <c r="AL328" s="97" t="n"/>
      <c r="AM328" s="97" t="n"/>
      <c r="AN328" s="97" t="n"/>
      <c r="AO328" s="97" t="n">
        <v>11.81004</v>
      </c>
      <c r="AP328" s="97" t="n"/>
      <c r="AQ328" s="97" t="n"/>
      <c r="AR328" s="97" t="n"/>
      <c r="AS328" s="97" t="n"/>
      <c r="AT328" s="97" t="n"/>
      <c r="AU328" s="97" t="n"/>
      <c r="AV328" s="97" t="n"/>
      <c r="AW328" s="97" t="n"/>
      <c r="AX328" s="97" t="n"/>
      <c r="AY328" s="97" t="n"/>
    </row>
    <row r="329" s="135">
      <c r="A329" t="inlineStr">
        <is>
          <t>1946-04</t>
        </is>
      </c>
      <c r="B329" s="2" t="n">
        <v>16893</v>
      </c>
      <c r="C329" s="96" t="n">
        <v>329</v>
      </c>
      <c r="E329" s="2">
        <f>B329</f>
        <v/>
      </c>
      <c r="F329" s="3">
        <f>B329</f>
        <v/>
      </c>
      <c r="G329" s="96" t="n">
        <v>327</v>
      </c>
      <c r="H329" s="97" t="n"/>
      <c r="I329" s="97" t="n"/>
      <c r="J329" s="97" t="n"/>
      <c r="K329" s="97" t="n"/>
      <c r="L329" s="97" t="n"/>
      <c r="M329" s="97" t="n"/>
      <c r="N329" s="97" t="n"/>
      <c r="O329" s="97" t="n"/>
      <c r="P329" s="97" t="n"/>
      <c r="Q329" s="97" t="n"/>
      <c r="R329" s="97" t="n"/>
      <c r="S329" s="97" t="n"/>
      <c r="T329" s="97" t="n"/>
      <c r="U329" s="97" t="n"/>
      <c r="V329" s="97" t="n"/>
      <c r="W329" s="97" t="n"/>
      <c r="X329" s="97" t="n"/>
      <c r="Y329" s="97" t="n"/>
      <c r="Z329" s="97" t="n"/>
      <c r="AA329" s="97" t="n"/>
      <c r="AB329" s="97" t="n"/>
      <c r="AC329" s="97" t="n"/>
      <c r="AD329" s="97" t="n"/>
      <c r="AE329" s="97" t="n"/>
      <c r="AF329" s="97" t="n"/>
      <c r="AG329" s="97" t="n"/>
      <c r="AH329" s="97" t="n"/>
      <c r="AI329" s="97" t="n"/>
      <c r="AJ329" s="97" t="n"/>
      <c r="AK329" s="97" t="n"/>
      <c r="AL329" s="97" t="n"/>
      <c r="AM329" s="97" t="n"/>
      <c r="AN329" s="97" t="n"/>
      <c r="AO329" s="97" t="n">
        <v>11.59729</v>
      </c>
      <c r="AP329" s="97" t="n"/>
      <c r="AQ329" s="97" t="n"/>
      <c r="AR329" s="97" t="n"/>
      <c r="AS329" s="97" t="n"/>
      <c r="AT329" s="97" t="n"/>
      <c r="AU329" s="97" t="n"/>
      <c r="AV329" s="97" t="n"/>
      <c r="AW329" s="97" t="n"/>
      <c r="AX329" s="97" t="n"/>
      <c r="AY329" s="97" t="n"/>
    </row>
    <row r="330" s="135">
      <c r="A330" t="inlineStr">
        <is>
          <t>1946-05</t>
        </is>
      </c>
      <c r="B330" s="2" t="n">
        <v>16923</v>
      </c>
      <c r="C330" s="96" t="n">
        <v>330</v>
      </c>
      <c r="E330" s="2">
        <f>B330</f>
        <v/>
      </c>
      <c r="F330" s="3">
        <f>B330</f>
        <v/>
      </c>
      <c r="G330" s="96" t="n">
        <v>328</v>
      </c>
      <c r="H330" s="97" t="n"/>
      <c r="I330" s="97" t="n"/>
      <c r="J330" s="97" t="n"/>
      <c r="K330" s="97" t="n"/>
      <c r="L330" s="97" t="n"/>
      <c r="M330" s="97" t="n"/>
      <c r="N330" s="97" t="n"/>
      <c r="O330" s="97" t="n"/>
      <c r="P330" s="97" t="n"/>
      <c r="Q330" s="97" t="n"/>
      <c r="R330" s="97" t="n"/>
      <c r="S330" s="97" t="n"/>
      <c r="T330" s="97" t="n"/>
      <c r="U330" s="97" t="n"/>
      <c r="V330" s="97" t="n"/>
      <c r="W330" s="97" t="n"/>
      <c r="X330" s="97" t="n"/>
      <c r="Y330" s="97" t="n"/>
      <c r="Z330" s="97" t="n"/>
      <c r="AA330" s="97" t="n"/>
      <c r="AB330" s="97" t="n"/>
      <c r="AC330" s="97" t="n"/>
      <c r="AD330" s="97" t="n"/>
      <c r="AE330" s="97" t="n"/>
      <c r="AF330" s="97" t="n"/>
      <c r="AG330" s="97" t="n"/>
      <c r="AH330" s="97" t="n"/>
      <c r="AI330" s="97" t="n"/>
      <c r="AJ330" s="97" t="n"/>
      <c r="AK330" s="97" t="n"/>
      <c r="AL330" s="97" t="n"/>
      <c r="AM330" s="97" t="n"/>
      <c r="AN330" s="97" t="n"/>
      <c r="AO330" s="97" t="n">
        <v>11.17169</v>
      </c>
      <c r="AP330" s="97" t="n"/>
      <c r="AQ330" s="97" t="n"/>
      <c r="AR330" s="97" t="n"/>
      <c r="AS330" s="97" t="n"/>
      <c r="AT330" s="97" t="n"/>
      <c r="AU330" s="97" t="n"/>
      <c r="AV330" s="97" t="n"/>
      <c r="AW330" s="97" t="n"/>
      <c r="AX330" s="97" t="n"/>
      <c r="AY330" s="97" t="n"/>
    </row>
    <row r="331" s="135">
      <c r="A331" t="inlineStr">
        <is>
          <t>1946-06</t>
        </is>
      </c>
      <c r="B331" s="2" t="n">
        <v>16954</v>
      </c>
      <c r="C331" s="96" t="n">
        <v>331</v>
      </c>
      <c r="E331" s="2">
        <f>B331</f>
        <v/>
      </c>
      <c r="F331" s="3">
        <f>B331</f>
        <v/>
      </c>
      <c r="G331" s="96" t="n">
        <v>329</v>
      </c>
      <c r="H331" s="97" t="n"/>
      <c r="I331" s="97" t="n"/>
      <c r="J331" s="97" t="n"/>
      <c r="K331" s="97" t="n"/>
      <c r="L331" s="97" t="n"/>
      <c r="M331" s="97" t="n"/>
      <c r="N331" s="97" t="n"/>
      <c r="O331" s="97" t="n"/>
      <c r="P331" s="97" t="n"/>
      <c r="Q331" s="97" t="n"/>
      <c r="R331" s="97" t="n"/>
      <c r="S331" s="97" t="n"/>
      <c r="T331" s="97" t="n"/>
      <c r="U331" s="97" t="n"/>
      <c r="V331" s="97" t="n"/>
      <c r="W331" s="97" t="n"/>
      <c r="X331" s="97" t="n"/>
      <c r="Y331" s="97" t="n"/>
      <c r="Z331" s="97" t="n"/>
      <c r="AA331" s="97" t="n"/>
      <c r="AB331" s="97" t="n"/>
      <c r="AC331" s="97" t="n"/>
      <c r="AD331" s="97" t="n"/>
      <c r="AE331" s="97" t="n"/>
      <c r="AF331" s="97" t="n"/>
      <c r="AG331" s="97" t="n"/>
      <c r="AH331" s="97" t="n"/>
      <c r="AI331" s="97" t="n"/>
      <c r="AJ331" s="97" t="n"/>
      <c r="AK331" s="97" t="n"/>
      <c r="AL331" s="97" t="n"/>
      <c r="AM331" s="97" t="n"/>
      <c r="AN331" s="97" t="n"/>
      <c r="AO331" s="97" t="n">
        <v>11.86325</v>
      </c>
      <c r="AP331" s="97" t="n"/>
      <c r="AQ331" s="97" t="n"/>
      <c r="AR331" s="97" t="n"/>
      <c r="AS331" s="97" t="n"/>
      <c r="AT331" s="97" t="n"/>
      <c r="AU331" s="97" t="n"/>
      <c r="AV331" s="97" t="n"/>
      <c r="AW331" s="97" t="n"/>
      <c r="AX331" s="97" t="n"/>
      <c r="AY331" s="97" t="n"/>
    </row>
    <row r="332" s="135">
      <c r="A332" t="inlineStr">
        <is>
          <t>1946-07</t>
        </is>
      </c>
      <c r="B332" s="2" t="n">
        <v>16984</v>
      </c>
      <c r="C332" s="96" t="n">
        <v>332</v>
      </c>
      <c r="E332" s="2">
        <f>B332</f>
        <v/>
      </c>
      <c r="F332" s="3">
        <f>B332</f>
        <v/>
      </c>
      <c r="G332" s="96" t="n">
        <v>330</v>
      </c>
      <c r="H332" s="97" t="n"/>
      <c r="I332" s="97" t="n"/>
      <c r="J332" s="97" t="n"/>
      <c r="K332" s="97" t="n"/>
      <c r="L332" s="97" t="n"/>
      <c r="M332" s="97" t="n"/>
      <c r="N332" s="97" t="n"/>
      <c r="O332" s="97" t="n"/>
      <c r="P332" s="97" t="n"/>
      <c r="Q332" s="97" t="n"/>
      <c r="R332" s="97" t="n"/>
      <c r="S332" s="97" t="n"/>
      <c r="T332" s="97" t="n"/>
      <c r="U332" s="97" t="n"/>
      <c r="V332" s="97" t="n"/>
      <c r="W332" s="97" t="n"/>
      <c r="X332" s="97" t="n"/>
      <c r="Y332" s="97" t="n"/>
      <c r="Z332" s="97" t="n"/>
      <c r="AA332" s="97" t="n"/>
      <c r="AB332" s="97" t="n"/>
      <c r="AC332" s="97" t="n"/>
      <c r="AD332" s="97" t="n"/>
      <c r="AE332" s="97" t="n"/>
      <c r="AF332" s="97" t="n"/>
      <c r="AG332" s="97" t="n"/>
      <c r="AH332" s="97" t="n"/>
      <c r="AI332" s="97" t="n"/>
      <c r="AJ332" s="97" t="n"/>
      <c r="AK332" s="97" t="n"/>
      <c r="AL332" s="97" t="n"/>
      <c r="AM332" s="97" t="n"/>
      <c r="AN332" s="97" t="n"/>
      <c r="AO332" s="97" t="n">
        <v>12.26225</v>
      </c>
      <c r="AP332" s="97" t="n"/>
      <c r="AQ332" s="97" t="n"/>
      <c r="AR332" s="97" t="n"/>
      <c r="AS332" s="97" t="n"/>
      <c r="AT332" s="97" t="n"/>
      <c r="AU332" s="97" t="n"/>
      <c r="AV332" s="97" t="n"/>
      <c r="AW332" s="97" t="n"/>
      <c r="AX332" s="97" t="n"/>
      <c r="AY332" s="97" t="n"/>
    </row>
    <row r="333" s="135">
      <c r="A333" t="inlineStr">
        <is>
          <t>1946-08</t>
        </is>
      </c>
      <c r="B333" s="2" t="n">
        <v>17015</v>
      </c>
      <c r="C333" s="96" t="n">
        <v>333</v>
      </c>
      <c r="E333" s="2">
        <f>B333</f>
        <v/>
      </c>
      <c r="F333" s="3">
        <f>B333</f>
        <v/>
      </c>
      <c r="G333" s="96" t="n">
        <v>331</v>
      </c>
      <c r="H333" s="97" t="n"/>
      <c r="I333" s="97" t="n"/>
      <c r="J333" s="97" t="n"/>
      <c r="K333" s="97" t="n"/>
      <c r="L333" s="97" t="n"/>
      <c r="M333" s="97" t="n"/>
      <c r="N333" s="97" t="n"/>
      <c r="O333" s="97" t="n"/>
      <c r="P333" s="97" t="n"/>
      <c r="Q333" s="97" t="n"/>
      <c r="R333" s="97" t="n"/>
      <c r="S333" s="97" t="n"/>
      <c r="T333" s="97" t="n"/>
      <c r="U333" s="97" t="n"/>
      <c r="V333" s="97" t="n"/>
      <c r="W333" s="97" t="n"/>
      <c r="X333" s="97" t="n"/>
      <c r="Y333" s="97" t="n"/>
      <c r="Z333" s="97" t="n"/>
      <c r="AA333" s="97" t="n"/>
      <c r="AB333" s="97" t="n"/>
      <c r="AC333" s="97" t="n"/>
      <c r="AD333" s="97" t="n"/>
      <c r="AE333" s="97" t="n"/>
      <c r="AF333" s="97" t="n"/>
      <c r="AG333" s="97" t="n"/>
      <c r="AH333" s="97" t="n"/>
      <c r="AI333" s="97" t="n"/>
      <c r="AJ333" s="97" t="n"/>
      <c r="AK333" s="97" t="n"/>
      <c r="AL333" s="97" t="n"/>
      <c r="AM333" s="97" t="n"/>
      <c r="AN333" s="97" t="n"/>
      <c r="AO333" s="97" t="n">
        <v>12.71436</v>
      </c>
      <c r="AP333" s="97" t="n"/>
      <c r="AQ333" s="97" t="n"/>
      <c r="AR333" s="97" t="n"/>
      <c r="AS333" s="97" t="n"/>
      <c r="AT333" s="97" t="n"/>
      <c r="AU333" s="97" t="n"/>
      <c r="AV333" s="97" t="n"/>
      <c r="AW333" s="97" t="n"/>
      <c r="AX333" s="97" t="n"/>
      <c r="AY333" s="97" t="n"/>
    </row>
    <row r="334" s="135">
      <c r="A334" t="inlineStr">
        <is>
          <t>1946-09</t>
        </is>
      </c>
      <c r="B334" s="2" t="n">
        <v>17046</v>
      </c>
      <c r="C334" s="96" t="n">
        <v>334</v>
      </c>
      <c r="E334" s="2">
        <f>B334</f>
        <v/>
      </c>
      <c r="F334" s="3">
        <f>B334</f>
        <v/>
      </c>
      <c r="G334" s="96" t="n">
        <v>332</v>
      </c>
      <c r="H334" s="97" t="n"/>
      <c r="I334" s="97" t="n"/>
      <c r="J334" s="97" t="n"/>
      <c r="K334" s="97" t="n"/>
      <c r="L334" s="97" t="n"/>
      <c r="M334" s="97" t="n"/>
      <c r="N334" s="97" t="n"/>
      <c r="O334" s="97" t="n"/>
      <c r="P334" s="97" t="n"/>
      <c r="Q334" s="97" t="n"/>
      <c r="R334" s="97" t="n"/>
      <c r="S334" s="97" t="n"/>
      <c r="T334" s="97" t="n"/>
      <c r="U334" s="97" t="n"/>
      <c r="V334" s="97" t="n"/>
      <c r="W334" s="97" t="n"/>
      <c r="X334" s="97" t="n"/>
      <c r="Y334" s="97" t="n"/>
      <c r="Z334" s="97" t="n"/>
      <c r="AA334" s="97" t="n"/>
      <c r="AB334" s="97" t="n"/>
      <c r="AC334" s="97" t="n"/>
      <c r="AD334" s="97" t="n"/>
      <c r="AE334" s="97" t="n"/>
      <c r="AF334" s="97" t="n"/>
      <c r="AG334" s="97" t="n"/>
      <c r="AH334" s="97" t="n"/>
      <c r="AI334" s="97" t="n"/>
      <c r="AJ334" s="97" t="n"/>
      <c r="AK334" s="97" t="n"/>
      <c r="AL334" s="97" t="n"/>
      <c r="AM334" s="97" t="n"/>
      <c r="AN334" s="97" t="n"/>
      <c r="AO334" s="97" t="n">
        <v>12.95382</v>
      </c>
      <c r="AP334" s="97" t="n"/>
      <c r="AQ334" s="97" t="n"/>
      <c r="AR334" s="97" t="n"/>
      <c r="AS334" s="97" t="n"/>
      <c r="AT334" s="97" t="n"/>
      <c r="AU334" s="97" t="n"/>
      <c r="AV334" s="97" t="n"/>
      <c r="AW334" s="97" t="n"/>
      <c r="AX334" s="97" t="n"/>
      <c r="AY334" s="97" t="n"/>
    </row>
    <row r="335" s="135">
      <c r="A335" t="inlineStr">
        <is>
          <t>1946-10</t>
        </is>
      </c>
      <c r="B335" s="2" t="n">
        <v>17076</v>
      </c>
      <c r="C335" s="96" t="n">
        <v>335</v>
      </c>
      <c r="E335" s="2">
        <f>B335</f>
        <v/>
      </c>
      <c r="F335" s="3">
        <f>B335</f>
        <v/>
      </c>
      <c r="G335" s="96" t="n">
        <v>333</v>
      </c>
      <c r="H335" s="97" t="n"/>
      <c r="I335" s="97" t="n"/>
      <c r="J335" s="97" t="n"/>
      <c r="K335" s="97" t="n"/>
      <c r="L335" s="97" t="n"/>
      <c r="M335" s="97" t="n"/>
      <c r="N335" s="97" t="n"/>
      <c r="O335" s="97" t="n"/>
      <c r="P335" s="97" t="n"/>
      <c r="Q335" s="97" t="n"/>
      <c r="R335" s="97" t="n"/>
      <c r="S335" s="97" t="n"/>
      <c r="T335" s="97" t="n"/>
      <c r="U335" s="97" t="n"/>
      <c r="V335" s="97" t="n"/>
      <c r="W335" s="97" t="n"/>
      <c r="X335" s="97" t="n"/>
      <c r="Y335" s="97" t="n"/>
      <c r="Z335" s="97" t="n"/>
      <c r="AA335" s="97" t="n"/>
      <c r="AB335" s="97" t="n"/>
      <c r="AC335" s="97" t="n"/>
      <c r="AD335" s="97" t="n"/>
      <c r="AE335" s="97" t="n"/>
      <c r="AF335" s="97" t="n"/>
      <c r="AG335" s="97" t="n"/>
      <c r="AH335" s="97" t="n"/>
      <c r="AI335" s="97" t="n"/>
      <c r="AJ335" s="97" t="n"/>
      <c r="AK335" s="97" t="n"/>
      <c r="AL335" s="97" t="n"/>
      <c r="AM335" s="97" t="n"/>
      <c r="AN335" s="97" t="n"/>
      <c r="AO335" s="97" t="n">
        <v>13.19317</v>
      </c>
      <c r="AP335" s="97" t="n"/>
      <c r="AQ335" s="97" t="n"/>
      <c r="AR335" s="97" t="n"/>
      <c r="AS335" s="97" t="n"/>
      <c r="AT335" s="97" t="n"/>
      <c r="AU335" s="97" t="n"/>
      <c r="AV335" s="97" t="n"/>
      <c r="AW335" s="97" t="n"/>
      <c r="AX335" s="97" t="n"/>
      <c r="AY335" s="97" t="n"/>
    </row>
    <row r="336" s="135">
      <c r="A336" t="inlineStr">
        <is>
          <t>1946-11</t>
        </is>
      </c>
      <c r="B336" s="2" t="n">
        <v>17107</v>
      </c>
      <c r="C336" s="96" t="n">
        <v>336</v>
      </c>
      <c r="E336" s="2">
        <f>B336</f>
        <v/>
      </c>
      <c r="F336" s="3">
        <f>B336</f>
        <v/>
      </c>
      <c r="G336" s="96" t="n">
        <v>334</v>
      </c>
      <c r="H336" s="97" t="n"/>
      <c r="I336" s="97" t="n"/>
      <c r="J336" s="97" t="n"/>
      <c r="K336" s="97" t="n"/>
      <c r="L336" s="97" t="n"/>
      <c r="M336" s="97" t="n"/>
      <c r="N336" s="97" t="n"/>
      <c r="O336" s="97" t="n"/>
      <c r="P336" s="97" t="n"/>
      <c r="Q336" s="97" t="n"/>
      <c r="R336" s="97" t="n"/>
      <c r="S336" s="97" t="n"/>
      <c r="T336" s="97" t="n"/>
      <c r="U336" s="97" t="n"/>
      <c r="V336" s="97" t="n"/>
      <c r="W336" s="97" t="n"/>
      <c r="X336" s="97" t="n"/>
      <c r="Y336" s="97" t="n"/>
      <c r="Z336" s="97" t="n"/>
      <c r="AA336" s="97" t="n"/>
      <c r="AB336" s="97" t="n"/>
      <c r="AC336" s="97" t="n"/>
      <c r="AD336" s="97" t="n"/>
      <c r="AE336" s="97" t="n"/>
      <c r="AF336" s="97" t="n"/>
      <c r="AG336" s="97" t="n"/>
      <c r="AH336" s="97" t="n"/>
      <c r="AI336" s="97" t="n"/>
      <c r="AJ336" s="97" t="n"/>
      <c r="AK336" s="97" t="n"/>
      <c r="AL336" s="97" t="n"/>
      <c r="AM336" s="97" t="n"/>
      <c r="AN336" s="97" t="n"/>
      <c r="AO336" s="97" t="n">
        <v>13.27299</v>
      </c>
      <c r="AP336" s="97" t="n"/>
      <c r="AQ336" s="97" t="n"/>
      <c r="AR336" s="97" t="n"/>
      <c r="AS336" s="97" t="n"/>
      <c r="AT336" s="97" t="n"/>
      <c r="AU336" s="97" t="n"/>
      <c r="AV336" s="97" t="n"/>
      <c r="AW336" s="97" t="n"/>
      <c r="AX336" s="97" t="n"/>
      <c r="AY336" s="97" t="n"/>
    </row>
    <row r="337" s="135">
      <c r="A337" t="inlineStr">
        <is>
          <t>1946-12</t>
        </is>
      </c>
      <c r="B337" s="2" t="n">
        <v>17137</v>
      </c>
      <c r="C337" s="96" t="n">
        <v>337</v>
      </c>
      <c r="E337" s="2">
        <f>B337</f>
        <v/>
      </c>
      <c r="F337" s="3">
        <f>B337</f>
        <v/>
      </c>
      <c r="G337" s="96" t="n">
        <v>335</v>
      </c>
      <c r="H337" s="97" t="n"/>
      <c r="I337" s="97" t="n"/>
      <c r="J337" s="97" t="n"/>
      <c r="K337" s="97" t="n"/>
      <c r="L337" s="97" t="n"/>
      <c r="M337" s="97" t="n"/>
      <c r="N337" s="97" t="n"/>
      <c r="O337" s="97" t="n"/>
      <c r="P337" s="97" t="n"/>
      <c r="Q337" s="97" t="n"/>
      <c r="R337" s="97" t="n"/>
      <c r="S337" s="97" t="n"/>
      <c r="T337" s="97" t="n"/>
      <c r="U337" s="97" t="n"/>
      <c r="V337" s="97" t="n"/>
      <c r="W337" s="97" t="n"/>
      <c r="X337" s="97" t="n"/>
      <c r="Y337" s="97" t="n"/>
      <c r="Z337" s="97" t="n"/>
      <c r="AA337" s="97" t="n"/>
      <c r="AB337" s="97" t="n"/>
      <c r="AC337" s="97" t="n"/>
      <c r="AD337" s="97" t="n"/>
      <c r="AE337" s="97" t="n"/>
      <c r="AF337" s="97" t="n"/>
      <c r="AG337" s="97" t="n"/>
      <c r="AH337" s="97" t="n"/>
      <c r="AI337" s="97" t="n"/>
      <c r="AJ337" s="97" t="n"/>
      <c r="AK337" s="97" t="n"/>
      <c r="AL337" s="97" t="n"/>
      <c r="AM337" s="97" t="n"/>
      <c r="AN337" s="97" t="n"/>
      <c r="AO337" s="97" t="n">
        <v>13.35281</v>
      </c>
      <c r="AP337" s="97" t="n"/>
      <c r="AQ337" s="97" t="n"/>
      <c r="AR337" s="97" t="n"/>
      <c r="AS337" s="97" t="n"/>
      <c r="AT337" s="97" t="n"/>
      <c r="AU337" s="97" t="n"/>
      <c r="AV337" s="97" t="n"/>
      <c r="AW337" s="97" t="n"/>
      <c r="AX337" s="97" t="n"/>
      <c r="AY337" s="97" t="n"/>
    </row>
    <row r="338" s="135">
      <c r="A338" t="inlineStr">
        <is>
          <t>1947-01</t>
        </is>
      </c>
      <c r="B338" s="2" t="n">
        <v>17168</v>
      </c>
      <c r="C338" s="96" t="n">
        <v>338</v>
      </c>
      <c r="E338" s="2">
        <f>B338</f>
        <v/>
      </c>
      <c r="F338" s="3">
        <f>B338</f>
        <v/>
      </c>
      <c r="G338" s="96" t="n">
        <v>336</v>
      </c>
      <c r="H338" s="97" t="n"/>
      <c r="I338" s="97" t="n"/>
      <c r="J338" s="97" t="n"/>
      <c r="K338" s="97" t="n"/>
      <c r="L338" s="97" t="n"/>
      <c r="M338" s="97" t="n"/>
      <c r="N338" s="97" t="n"/>
      <c r="O338" s="97" t="n"/>
      <c r="P338" s="97" t="n"/>
      <c r="Q338" s="97" t="n"/>
      <c r="R338" s="97" t="n"/>
      <c r="S338" s="97" t="n"/>
      <c r="T338" s="97" t="n"/>
      <c r="U338" s="97" t="n"/>
      <c r="V338" s="97" t="n"/>
      <c r="W338" s="97" t="n"/>
      <c r="X338" s="97" t="n"/>
      <c r="Y338" s="97" t="n"/>
      <c r="Z338" s="97" t="n"/>
      <c r="AA338" s="97" t="n"/>
      <c r="AB338" s="97" t="n"/>
      <c r="AC338" s="97" t="n"/>
      <c r="AD338" s="97" t="n"/>
      <c r="AE338" s="97" t="n"/>
      <c r="AF338" s="97" t="n"/>
      <c r="AG338" s="97" t="n"/>
      <c r="AH338" s="97" t="n"/>
      <c r="AI338" s="97" t="n"/>
      <c r="AJ338" s="97" t="n"/>
      <c r="AK338" s="97" t="n"/>
      <c r="AL338" s="97" t="n"/>
      <c r="AM338" s="97" t="n"/>
      <c r="AN338" s="97" t="n"/>
      <c r="AO338" s="97" t="n">
        <v>13.51235</v>
      </c>
      <c r="AP338" s="97" t="n"/>
      <c r="AQ338" s="97" t="n"/>
      <c r="AR338" s="97" t="n"/>
      <c r="AS338" s="97" t="n"/>
      <c r="AT338" s="97" t="n"/>
      <c r="AU338" s="97" t="n"/>
      <c r="AV338" s="97" t="n"/>
      <c r="AW338" s="97" t="n"/>
      <c r="AX338" s="97" t="n"/>
      <c r="AY338" s="97" t="n"/>
    </row>
    <row r="339" s="135">
      <c r="A339" t="inlineStr">
        <is>
          <t>1947-02</t>
        </is>
      </c>
      <c r="B339" s="2" t="n">
        <v>17199</v>
      </c>
      <c r="C339" s="96" t="n">
        <v>339</v>
      </c>
      <c r="E339" s="2">
        <f>B339</f>
        <v/>
      </c>
      <c r="F339" s="3">
        <f>B339</f>
        <v/>
      </c>
      <c r="G339" s="96" t="n">
        <v>337</v>
      </c>
      <c r="H339" s="97" t="n"/>
      <c r="I339" s="97" t="n"/>
      <c r="J339" s="97" t="n"/>
      <c r="K339" s="97" t="n"/>
      <c r="L339" s="97" t="n"/>
      <c r="M339" s="97" t="n"/>
      <c r="N339" s="97" t="n"/>
      <c r="O339" s="97" t="n"/>
      <c r="P339" s="97" t="n"/>
      <c r="Q339" s="97" t="n"/>
      <c r="R339" s="97" t="n"/>
      <c r="S339" s="97" t="n"/>
      <c r="T339" s="97" t="n"/>
      <c r="U339" s="97" t="n"/>
      <c r="V339" s="97" t="n"/>
      <c r="W339" s="97" t="n"/>
      <c r="X339" s="97" t="n"/>
      <c r="Y339" s="97" t="n"/>
      <c r="Z339" s="97" t="n"/>
      <c r="AA339" s="97" t="n"/>
      <c r="AB339" s="97" t="n"/>
      <c r="AC339" s="97" t="n"/>
      <c r="AD339" s="97" t="n"/>
      <c r="AE339" s="97" t="n"/>
      <c r="AF339" s="97" t="n"/>
      <c r="AG339" s="97" t="n"/>
      <c r="AH339" s="97" t="n"/>
      <c r="AI339" s="97" t="n"/>
      <c r="AJ339" s="97" t="n"/>
      <c r="AK339" s="97" t="n"/>
      <c r="AL339" s="97" t="n"/>
      <c r="AM339" s="97" t="n"/>
      <c r="AN339" s="97" t="n"/>
      <c r="AO339" s="97" t="n">
        <v>13.59217</v>
      </c>
      <c r="AP339" s="97" t="n"/>
      <c r="AQ339" s="97" t="n"/>
      <c r="AR339" s="97" t="n"/>
      <c r="AS339" s="97" t="n"/>
      <c r="AT339" s="97" t="n"/>
      <c r="AU339" s="97" t="n"/>
      <c r="AV339" s="97" t="n"/>
      <c r="AW339" s="97" t="n"/>
      <c r="AX339" s="97" t="n"/>
      <c r="AY339" s="97" t="n"/>
    </row>
    <row r="340" s="135">
      <c r="A340" t="inlineStr">
        <is>
          <t>1947-03</t>
        </is>
      </c>
      <c r="B340" s="2" t="n">
        <v>17227</v>
      </c>
      <c r="C340" s="96" t="n">
        <v>340</v>
      </c>
      <c r="E340" s="2">
        <f>B340</f>
        <v/>
      </c>
      <c r="F340" s="3">
        <f>B340</f>
        <v/>
      </c>
      <c r="G340" s="96" t="n">
        <v>338</v>
      </c>
      <c r="H340" s="97" t="n"/>
      <c r="I340" s="97" t="n"/>
      <c r="J340" s="97" t="n"/>
      <c r="K340" s="97" t="n"/>
      <c r="L340" s="97" t="n"/>
      <c r="M340" s="97" t="n"/>
      <c r="N340" s="97" t="n"/>
      <c r="O340" s="97" t="n"/>
      <c r="P340" s="97" t="n"/>
      <c r="Q340" s="97" t="n"/>
      <c r="R340" s="97" t="n"/>
      <c r="S340" s="97" t="n"/>
      <c r="T340" s="97" t="n"/>
      <c r="U340" s="97" t="n"/>
      <c r="V340" s="97" t="n"/>
      <c r="W340" s="97" t="n"/>
      <c r="X340" s="97" t="n"/>
      <c r="Y340" s="97" t="n"/>
      <c r="Z340" s="97" t="n"/>
      <c r="AA340" s="97" t="n"/>
      <c r="AB340" s="97" t="n"/>
      <c r="AC340" s="97" t="n"/>
      <c r="AD340" s="97" t="n"/>
      <c r="AE340" s="97" t="n"/>
      <c r="AF340" s="97" t="n"/>
      <c r="AG340" s="97" t="n"/>
      <c r="AH340" s="97" t="n"/>
      <c r="AI340" s="97" t="n"/>
      <c r="AJ340" s="97" t="n"/>
      <c r="AK340" s="97" t="n"/>
      <c r="AL340" s="97" t="n"/>
      <c r="AM340" s="97" t="n"/>
      <c r="AN340" s="97" t="n"/>
      <c r="AO340" s="97" t="n">
        <v>13.67199</v>
      </c>
      <c r="AP340" s="97" t="n"/>
      <c r="AQ340" s="97" t="n"/>
      <c r="AR340" s="97" t="n"/>
      <c r="AS340" s="97" t="n"/>
      <c r="AT340" s="97" t="n"/>
      <c r="AU340" s="97" t="n"/>
      <c r="AV340" s="97" t="n"/>
      <c r="AW340" s="97" t="n"/>
      <c r="AX340" s="97" t="n"/>
      <c r="AY340" s="97" t="n"/>
    </row>
    <row r="341" s="135">
      <c r="A341" t="inlineStr">
        <is>
          <t>1947-04</t>
        </is>
      </c>
      <c r="B341" s="2" t="n">
        <v>17258</v>
      </c>
      <c r="C341" s="96" t="n">
        <v>341</v>
      </c>
      <c r="E341" s="2">
        <f>B341</f>
        <v/>
      </c>
      <c r="F341" s="3">
        <f>B341</f>
        <v/>
      </c>
      <c r="G341" s="96" t="n">
        <v>339</v>
      </c>
      <c r="H341" s="97" t="n"/>
      <c r="I341" s="97" t="n"/>
      <c r="J341" s="97" t="n"/>
      <c r="K341" s="97" t="n"/>
      <c r="L341" s="97" t="n"/>
      <c r="M341" s="97" t="n"/>
      <c r="N341" s="97" t="n"/>
      <c r="O341" s="97" t="n"/>
      <c r="P341" s="97" t="n"/>
      <c r="Q341" s="97" t="n"/>
      <c r="R341" s="97" t="n"/>
      <c r="S341" s="97" t="n"/>
      <c r="T341" s="97" t="n"/>
      <c r="U341" s="97" t="n"/>
      <c r="V341" s="97" t="n"/>
      <c r="W341" s="97" t="n"/>
      <c r="X341" s="97" t="n"/>
      <c r="Y341" s="97" t="n"/>
      <c r="Z341" s="97" t="n"/>
      <c r="AA341" s="97" t="n"/>
      <c r="AB341" s="97" t="n"/>
      <c r="AC341" s="97" t="n"/>
      <c r="AD341" s="97" t="n"/>
      <c r="AE341" s="97" t="n"/>
      <c r="AF341" s="97" t="n"/>
      <c r="AG341" s="97" t="n"/>
      <c r="AH341" s="97" t="n"/>
      <c r="AI341" s="97" t="n"/>
      <c r="AJ341" s="97" t="n"/>
      <c r="AK341" s="97" t="n"/>
      <c r="AL341" s="97" t="n"/>
      <c r="AM341" s="97" t="n"/>
      <c r="AN341" s="97" t="n"/>
      <c r="AO341" s="97" t="n">
        <v>13.56556</v>
      </c>
      <c r="AP341" s="97" t="n"/>
      <c r="AQ341" s="97" t="n"/>
      <c r="AR341" s="97" t="n"/>
      <c r="AS341" s="97" t="n"/>
      <c r="AT341" s="97" t="n"/>
      <c r="AU341" s="97" t="n"/>
      <c r="AV341" s="97" t="n"/>
      <c r="AW341" s="97" t="n"/>
      <c r="AX341" s="97" t="n"/>
      <c r="AY341" s="97" t="n"/>
    </row>
    <row r="342" s="135">
      <c r="A342" t="inlineStr">
        <is>
          <t>1947-05</t>
        </is>
      </c>
      <c r="B342" s="2" t="n">
        <v>17288</v>
      </c>
      <c r="C342" s="96" t="n">
        <v>342</v>
      </c>
      <c r="E342" s="2">
        <f>B342</f>
        <v/>
      </c>
      <c r="F342" s="3">
        <f>B342</f>
        <v/>
      </c>
      <c r="G342" s="96" t="n">
        <v>340</v>
      </c>
      <c r="H342" s="97" t="n"/>
      <c r="I342" s="97" t="n"/>
      <c r="J342" s="97" t="n"/>
      <c r="K342" s="97" t="n"/>
      <c r="L342" s="97" t="n"/>
      <c r="M342" s="97" t="n"/>
      <c r="N342" s="97" t="n"/>
      <c r="O342" s="97" t="n"/>
      <c r="P342" s="97" t="n"/>
      <c r="Q342" s="97" t="n"/>
      <c r="R342" s="97" t="n"/>
      <c r="S342" s="97" t="n"/>
      <c r="T342" s="97" t="n"/>
      <c r="U342" s="97" t="n"/>
      <c r="V342" s="97" t="n"/>
      <c r="W342" s="97" t="n"/>
      <c r="X342" s="97" t="n"/>
      <c r="Y342" s="97" t="n"/>
      <c r="Z342" s="97" t="n"/>
      <c r="AA342" s="97" t="n"/>
      <c r="AB342" s="97" t="n"/>
      <c r="AC342" s="97" t="n"/>
      <c r="AD342" s="97" t="n"/>
      <c r="AE342" s="97" t="n"/>
      <c r="AF342" s="97" t="n"/>
      <c r="AG342" s="97" t="n"/>
      <c r="AH342" s="97" t="n"/>
      <c r="AI342" s="97" t="n"/>
      <c r="AJ342" s="97" t="n"/>
      <c r="AK342" s="97" t="n"/>
      <c r="AL342" s="97" t="n"/>
      <c r="AM342" s="97" t="n"/>
      <c r="AN342" s="97" t="n"/>
      <c r="AO342" s="97" t="n">
        <v>13.61878</v>
      </c>
      <c r="AP342" s="97" t="n"/>
      <c r="AQ342" s="97" t="n"/>
      <c r="AR342" s="97" t="n"/>
      <c r="AS342" s="97" t="n"/>
      <c r="AT342" s="97" t="n"/>
      <c r="AU342" s="97" t="n"/>
      <c r="AV342" s="97" t="n"/>
      <c r="AW342" s="97" t="n"/>
      <c r="AX342" s="97" t="n"/>
      <c r="AY342" s="97" t="n"/>
    </row>
    <row r="343" s="135">
      <c r="A343" t="inlineStr">
        <is>
          <t>1947-06</t>
        </is>
      </c>
      <c r="B343" s="2" t="n">
        <v>17319</v>
      </c>
      <c r="C343" s="96" t="n">
        <v>343</v>
      </c>
      <c r="E343" s="2">
        <f>B343</f>
        <v/>
      </c>
      <c r="F343" s="3">
        <f>B343</f>
        <v/>
      </c>
      <c r="G343" s="96" t="n">
        <v>341</v>
      </c>
      <c r="H343" s="97" t="n"/>
      <c r="I343" s="97" t="n"/>
      <c r="J343" s="97" t="n"/>
      <c r="K343" s="97" t="n"/>
      <c r="L343" s="97" t="n"/>
      <c r="M343" s="97" t="n"/>
      <c r="N343" s="97" t="n"/>
      <c r="O343" s="97" t="n"/>
      <c r="P343" s="97" t="n"/>
      <c r="Q343" s="97" t="n"/>
      <c r="R343" s="97" t="n"/>
      <c r="S343" s="97" t="n"/>
      <c r="T343" s="97" t="n"/>
      <c r="U343" s="97" t="n"/>
      <c r="V343" s="97" t="n"/>
      <c r="W343" s="97" t="n"/>
      <c r="X343" s="97" t="n"/>
      <c r="Y343" s="97" t="n"/>
      <c r="Z343" s="97" t="n"/>
      <c r="AA343" s="97" t="n"/>
      <c r="AB343" s="97" t="n"/>
      <c r="AC343" s="97" t="n"/>
      <c r="AD343" s="97" t="n"/>
      <c r="AE343" s="97" t="n"/>
      <c r="AF343" s="97" t="n"/>
      <c r="AG343" s="97" t="n"/>
      <c r="AH343" s="97" t="n"/>
      <c r="AI343" s="97" t="n"/>
      <c r="AJ343" s="97" t="n"/>
      <c r="AK343" s="97" t="n"/>
      <c r="AL343" s="97" t="n"/>
      <c r="AM343" s="97" t="n"/>
      <c r="AN343" s="97" t="n"/>
      <c r="AO343" s="97" t="n">
        <v>13.61878</v>
      </c>
      <c r="AP343" s="97" t="n"/>
      <c r="AQ343" s="97" t="n"/>
      <c r="AR343" s="97" t="n"/>
      <c r="AS343" s="97" t="n"/>
      <c r="AT343" s="97" t="n"/>
      <c r="AU343" s="97" t="n"/>
      <c r="AV343" s="97" t="n"/>
      <c r="AW343" s="97" t="n"/>
      <c r="AX343" s="97" t="n"/>
      <c r="AY343" s="97" t="n"/>
    </row>
    <row r="344" s="135">
      <c r="A344" t="inlineStr">
        <is>
          <t>1947-07</t>
        </is>
      </c>
      <c r="B344" s="2" t="n">
        <v>17349</v>
      </c>
      <c r="C344" s="96" t="n">
        <v>344</v>
      </c>
      <c r="E344" s="2">
        <f>B344</f>
        <v/>
      </c>
      <c r="F344" s="3">
        <f>B344</f>
        <v/>
      </c>
      <c r="G344" s="96" t="n">
        <v>342</v>
      </c>
      <c r="H344" s="97" t="n"/>
      <c r="I344" s="97" t="n"/>
      <c r="J344" s="97" t="n"/>
      <c r="K344" s="97" t="n"/>
      <c r="L344" s="97" t="n"/>
      <c r="M344" s="97" t="n"/>
      <c r="N344" s="97" t="n"/>
      <c r="O344" s="97" t="n"/>
      <c r="P344" s="97" t="n"/>
      <c r="Q344" s="97" t="n"/>
      <c r="R344" s="97" t="n"/>
      <c r="S344" s="97" t="n"/>
      <c r="T344" s="97" t="n"/>
      <c r="U344" s="97" t="n"/>
      <c r="V344" s="97" t="n"/>
      <c r="W344" s="97" t="n"/>
      <c r="X344" s="97" t="n"/>
      <c r="Y344" s="97" t="n"/>
      <c r="Z344" s="97" t="n"/>
      <c r="AA344" s="97" t="n"/>
      <c r="AB344" s="97" t="n"/>
      <c r="AC344" s="97" t="n"/>
      <c r="AD344" s="97" t="n"/>
      <c r="AE344" s="97" t="n"/>
      <c r="AF344" s="97" t="n"/>
      <c r="AG344" s="97" t="n"/>
      <c r="AH344" s="97" t="n"/>
      <c r="AI344" s="97" t="n"/>
      <c r="AJ344" s="97" t="n"/>
      <c r="AK344" s="97" t="n"/>
      <c r="AL344" s="97" t="n"/>
      <c r="AM344" s="97" t="n"/>
      <c r="AN344" s="97" t="n"/>
      <c r="AO344" s="97" t="n">
        <v>13.53896</v>
      </c>
      <c r="AP344" s="97" t="n"/>
      <c r="AQ344" s="97" t="n"/>
      <c r="AR344" s="97" t="n"/>
      <c r="AS344" s="97" t="n"/>
      <c r="AT344" s="97" t="n"/>
      <c r="AU344" s="97" t="n"/>
      <c r="AV344" s="97" t="n"/>
      <c r="AW344" s="97" t="n"/>
      <c r="AX344" s="97" t="n"/>
      <c r="AY344" s="97" t="n"/>
    </row>
    <row r="345" s="135">
      <c r="A345" t="inlineStr">
        <is>
          <t>1947-08</t>
        </is>
      </c>
      <c r="B345" s="2" t="n">
        <v>17380</v>
      </c>
      <c r="C345" s="96" t="n">
        <v>345</v>
      </c>
      <c r="E345" s="2">
        <f>B345</f>
        <v/>
      </c>
      <c r="F345" s="3">
        <f>B345</f>
        <v/>
      </c>
      <c r="G345" s="96" t="n">
        <v>343</v>
      </c>
      <c r="H345" s="97" t="n"/>
      <c r="I345" s="97" t="n"/>
      <c r="J345" s="97" t="n"/>
      <c r="K345" s="97" t="n"/>
      <c r="L345" s="97" t="n"/>
      <c r="M345" s="97" t="n"/>
      <c r="N345" s="97" t="n"/>
      <c r="O345" s="97" t="n"/>
      <c r="P345" s="97" t="n"/>
      <c r="Q345" s="97" t="n"/>
      <c r="R345" s="97" t="n"/>
      <c r="S345" s="97" t="n"/>
      <c r="T345" s="97" t="n"/>
      <c r="U345" s="97" t="n"/>
      <c r="V345" s="97" t="n"/>
      <c r="W345" s="97" t="n"/>
      <c r="X345" s="97" t="n"/>
      <c r="Y345" s="97" t="n"/>
      <c r="Z345" s="97" t="n"/>
      <c r="AA345" s="97" t="n"/>
      <c r="AB345" s="97" t="n"/>
      <c r="AC345" s="97" t="n"/>
      <c r="AD345" s="97" t="n"/>
      <c r="AE345" s="97" t="n"/>
      <c r="AF345" s="97" t="n"/>
      <c r="AG345" s="97" t="n"/>
      <c r="AH345" s="97" t="n"/>
      <c r="AI345" s="97" t="n"/>
      <c r="AJ345" s="97" t="n"/>
      <c r="AK345" s="97" t="n"/>
      <c r="AL345" s="97" t="n"/>
      <c r="AM345" s="97" t="n"/>
      <c r="AN345" s="97" t="n"/>
      <c r="AO345" s="97" t="n">
        <v>13.61878</v>
      </c>
      <c r="AP345" s="97" t="n"/>
      <c r="AQ345" s="97" t="n"/>
      <c r="AR345" s="97" t="n"/>
      <c r="AS345" s="97" t="n"/>
      <c r="AT345" s="97" t="n"/>
      <c r="AU345" s="97" t="n"/>
      <c r="AV345" s="97" t="n"/>
      <c r="AW345" s="97" t="n"/>
      <c r="AX345" s="97" t="n"/>
      <c r="AY345" s="97" t="n"/>
    </row>
    <row r="346" s="135">
      <c r="A346" t="inlineStr">
        <is>
          <t>1947-09</t>
        </is>
      </c>
      <c r="B346" s="2" t="n">
        <v>17411</v>
      </c>
      <c r="C346" s="96" t="n">
        <v>346</v>
      </c>
      <c r="E346" s="2">
        <f>B346</f>
        <v/>
      </c>
      <c r="F346" s="3">
        <f>B346</f>
        <v/>
      </c>
      <c r="G346" s="96" t="n">
        <v>344</v>
      </c>
      <c r="H346" s="97" t="n"/>
      <c r="I346" s="97" t="n"/>
      <c r="J346" s="97" t="n"/>
      <c r="K346" s="97" t="n"/>
      <c r="L346" s="97" t="n"/>
      <c r="M346" s="97" t="n"/>
      <c r="N346" s="97" t="n"/>
      <c r="O346" s="97" t="n"/>
      <c r="P346" s="97" t="n"/>
      <c r="Q346" s="97" t="n"/>
      <c r="R346" s="97" t="n"/>
      <c r="S346" s="97" t="n"/>
      <c r="T346" s="97" t="n"/>
      <c r="U346" s="97" t="n"/>
      <c r="V346" s="97" t="n"/>
      <c r="W346" s="97" t="n"/>
      <c r="X346" s="97" t="n"/>
      <c r="Y346" s="97" t="n"/>
      <c r="Z346" s="97" t="n"/>
      <c r="AA346" s="97" t="n"/>
      <c r="AB346" s="97" t="n"/>
      <c r="AC346" s="97" t="n"/>
      <c r="AD346" s="97" t="n"/>
      <c r="AE346" s="97" t="n"/>
      <c r="AF346" s="97" t="n"/>
      <c r="AG346" s="97" t="n"/>
      <c r="AH346" s="97" t="n"/>
      <c r="AI346" s="97" t="n"/>
      <c r="AJ346" s="97" t="n"/>
      <c r="AK346" s="97" t="n"/>
      <c r="AL346" s="97" t="n"/>
      <c r="AM346" s="97" t="n"/>
      <c r="AN346" s="97" t="n"/>
      <c r="AO346" s="97" t="n">
        <v>13.7252</v>
      </c>
      <c r="AP346" s="97" t="n"/>
      <c r="AQ346" s="97" t="n"/>
      <c r="AR346" s="97" t="n"/>
      <c r="AS346" s="97" t="n"/>
      <c r="AT346" s="97" t="n"/>
      <c r="AU346" s="97" t="n"/>
      <c r="AV346" s="97" t="n"/>
      <c r="AW346" s="97" t="n"/>
      <c r="AX346" s="97" t="n"/>
      <c r="AY346" s="97" t="n"/>
    </row>
    <row r="347" s="135">
      <c r="A347" t="inlineStr">
        <is>
          <t>1947-10</t>
        </is>
      </c>
      <c r="B347" s="2" t="n">
        <v>17441</v>
      </c>
      <c r="C347" s="96" t="n">
        <v>347</v>
      </c>
      <c r="E347" s="2">
        <f>B347</f>
        <v/>
      </c>
      <c r="F347" s="3">
        <f>B347</f>
        <v/>
      </c>
      <c r="G347" s="96" t="n">
        <v>345</v>
      </c>
      <c r="H347" s="97" t="n"/>
      <c r="I347" s="97" t="n"/>
      <c r="J347" s="97" t="n"/>
      <c r="K347" s="97" t="n"/>
      <c r="L347" s="97" t="n"/>
      <c r="M347" s="97" t="n"/>
      <c r="N347" s="97" t="n"/>
      <c r="O347" s="97" t="n"/>
      <c r="P347" s="97" t="n"/>
      <c r="Q347" s="97" t="n"/>
      <c r="R347" s="97" t="n"/>
      <c r="S347" s="97" t="n"/>
      <c r="T347" s="97" t="n"/>
      <c r="U347" s="97" t="n"/>
      <c r="V347" s="97" t="n"/>
      <c r="W347" s="97" t="n"/>
      <c r="X347" s="97" t="n"/>
      <c r="Y347" s="97" t="n"/>
      <c r="Z347" s="97" t="n"/>
      <c r="AA347" s="97" t="n"/>
      <c r="AB347" s="97" t="n"/>
      <c r="AC347" s="97" t="n"/>
      <c r="AD347" s="97" t="n"/>
      <c r="AE347" s="97" t="n"/>
      <c r="AF347" s="97" t="n"/>
      <c r="AG347" s="97" t="n"/>
      <c r="AH347" s="97" t="n"/>
      <c r="AI347" s="97" t="n"/>
      <c r="AJ347" s="97" t="n"/>
      <c r="AK347" s="97" t="n"/>
      <c r="AL347" s="97" t="n"/>
      <c r="AM347" s="97" t="n"/>
      <c r="AN347" s="97" t="n"/>
      <c r="AO347" s="97" t="n">
        <v>13.85814</v>
      </c>
      <c r="AP347" s="97" t="n"/>
      <c r="AQ347" s="97" t="n"/>
      <c r="AR347" s="97" t="n"/>
      <c r="AS347" s="97" t="n"/>
      <c r="AT347" s="97" t="n"/>
      <c r="AU347" s="97" t="n"/>
      <c r="AV347" s="97" t="n"/>
      <c r="AW347" s="97" t="n"/>
      <c r="AX347" s="97" t="n"/>
      <c r="AY347" s="97" t="n"/>
    </row>
    <row r="348" s="135">
      <c r="A348" t="inlineStr">
        <is>
          <t>1947-11</t>
        </is>
      </c>
      <c r="B348" s="2" t="n">
        <v>17472</v>
      </c>
      <c r="C348" s="96" t="n">
        <v>348</v>
      </c>
      <c r="E348" s="2">
        <f>B348</f>
        <v/>
      </c>
      <c r="F348" s="3">
        <f>B348</f>
        <v/>
      </c>
      <c r="G348" s="96" t="n">
        <v>346</v>
      </c>
      <c r="H348" s="97" t="n"/>
      <c r="I348" s="97" t="n"/>
      <c r="J348" s="97" t="n"/>
      <c r="K348" s="97" t="n"/>
      <c r="L348" s="97" t="n"/>
      <c r="M348" s="97" t="n"/>
      <c r="N348" s="97" t="n"/>
      <c r="O348" s="97" t="n"/>
      <c r="P348" s="97" t="n"/>
      <c r="Q348" s="97" t="n"/>
      <c r="R348" s="97" t="n"/>
      <c r="S348" s="97" t="n"/>
      <c r="T348" s="97" t="n"/>
      <c r="U348" s="97" t="n"/>
      <c r="V348" s="97" t="n"/>
      <c r="W348" s="97" t="n"/>
      <c r="X348" s="97" t="n"/>
      <c r="Y348" s="97" t="n"/>
      <c r="Z348" s="97" t="n"/>
      <c r="AA348" s="97" t="n"/>
      <c r="AB348" s="97" t="n"/>
      <c r="AC348" s="97" t="n"/>
      <c r="AD348" s="97" t="n"/>
      <c r="AE348" s="97" t="n"/>
      <c r="AF348" s="97" t="n"/>
      <c r="AG348" s="97" t="n"/>
      <c r="AH348" s="97" t="n"/>
      <c r="AI348" s="97" t="n"/>
      <c r="AJ348" s="97" t="n"/>
      <c r="AK348" s="97" t="n"/>
      <c r="AL348" s="97" t="n"/>
      <c r="AM348" s="97" t="n"/>
      <c r="AN348" s="97" t="n"/>
      <c r="AO348" s="97" t="n">
        <v>14.04438</v>
      </c>
      <c r="AP348" s="97" t="n"/>
      <c r="AQ348" s="97" t="n"/>
      <c r="AR348" s="97" t="n"/>
      <c r="AS348" s="97" t="n"/>
      <c r="AT348" s="97" t="n"/>
      <c r="AU348" s="97" t="n"/>
      <c r="AV348" s="97" t="n"/>
      <c r="AW348" s="97" t="n"/>
      <c r="AX348" s="97" t="n"/>
      <c r="AY348" s="97" t="n"/>
    </row>
    <row r="349" s="135">
      <c r="A349" t="inlineStr">
        <is>
          <t>1947-12</t>
        </is>
      </c>
      <c r="B349" s="2" t="n">
        <v>17502</v>
      </c>
      <c r="C349" s="96" t="n">
        <v>349</v>
      </c>
      <c r="E349" s="2">
        <f>B349</f>
        <v/>
      </c>
      <c r="F349" s="3">
        <f>B349</f>
        <v/>
      </c>
      <c r="G349" s="96" t="n">
        <v>347</v>
      </c>
      <c r="H349" s="97" t="n"/>
      <c r="I349" s="97" t="n"/>
      <c r="J349" s="97" t="n"/>
      <c r="K349" s="97" t="n"/>
      <c r="L349" s="97" t="n"/>
      <c r="M349" s="97" t="n"/>
      <c r="N349" s="97" t="n"/>
      <c r="O349" s="97" t="n"/>
      <c r="P349" s="97" t="n"/>
      <c r="Q349" s="97" t="n"/>
      <c r="R349" s="97" t="n"/>
      <c r="S349" s="97" t="n"/>
      <c r="T349" s="97" t="n"/>
      <c r="U349" s="97" t="n"/>
      <c r="V349" s="97" t="n"/>
      <c r="W349" s="97" t="n"/>
      <c r="X349" s="97" t="n"/>
      <c r="Y349" s="97" t="n"/>
      <c r="Z349" s="97" t="n"/>
      <c r="AA349" s="97" t="n"/>
      <c r="AB349" s="97" t="n"/>
      <c r="AC349" s="97" t="n"/>
      <c r="AD349" s="97" t="n"/>
      <c r="AE349" s="97" t="n"/>
      <c r="AF349" s="97" t="n"/>
      <c r="AG349" s="97" t="n"/>
      <c r="AH349" s="97" t="n"/>
      <c r="AI349" s="97" t="n"/>
      <c r="AJ349" s="97" t="n"/>
      <c r="AK349" s="97" t="n"/>
      <c r="AL349" s="97" t="n"/>
      <c r="AM349" s="97" t="n"/>
      <c r="AN349" s="97" t="n"/>
      <c r="AO349" s="97" t="n">
        <v>14.09759</v>
      </c>
      <c r="AP349" s="97" t="n"/>
      <c r="AQ349" s="97" t="n"/>
      <c r="AR349" s="97" t="n"/>
      <c r="AS349" s="97" t="n"/>
      <c r="AT349" s="97" t="n"/>
      <c r="AU349" s="97" t="n"/>
      <c r="AV349" s="97" t="n"/>
      <c r="AW349" s="97" t="n"/>
      <c r="AX349" s="97" t="n"/>
      <c r="AY349" s="97" t="n"/>
    </row>
    <row r="350" s="135">
      <c r="A350" t="inlineStr">
        <is>
          <t>1948-01</t>
        </is>
      </c>
      <c r="B350" s="2" t="n">
        <v>17533</v>
      </c>
      <c r="C350" s="96" t="n">
        <v>350</v>
      </c>
      <c r="E350" s="2">
        <f>B350</f>
        <v/>
      </c>
      <c r="F350" s="3">
        <f>B350</f>
        <v/>
      </c>
      <c r="G350" s="96" t="n">
        <v>348</v>
      </c>
      <c r="H350" s="97" t="n"/>
      <c r="I350" s="97" t="n"/>
      <c r="J350" s="97" t="n"/>
      <c r="K350" s="97" t="n"/>
      <c r="L350" s="97" t="n"/>
      <c r="M350" s="97" t="n"/>
      <c r="N350" s="97" t="n"/>
      <c r="O350" s="97" t="n"/>
      <c r="P350" s="97" t="n"/>
      <c r="Q350" s="97" t="n"/>
      <c r="R350" s="97" t="n"/>
      <c r="S350" s="97" t="n"/>
      <c r="T350" s="97" t="n"/>
      <c r="U350" s="97" t="n"/>
      <c r="V350" s="97" t="n"/>
      <c r="W350" s="97" t="n"/>
      <c r="X350" s="97" t="n"/>
      <c r="Y350" s="97" t="n"/>
      <c r="Z350" s="97" t="n"/>
      <c r="AA350" s="97" t="n"/>
      <c r="AB350" s="97" t="n"/>
      <c r="AC350" s="97" t="n"/>
      <c r="AD350" s="97" t="n"/>
      <c r="AE350" s="97" t="n"/>
      <c r="AF350" s="97" t="n"/>
      <c r="AG350" s="97" t="n"/>
      <c r="AH350" s="97" t="n"/>
      <c r="AI350" s="97" t="n"/>
      <c r="AJ350" s="97" t="n"/>
      <c r="AK350" s="97" t="n"/>
      <c r="AL350" s="97" t="n"/>
      <c r="AM350" s="97" t="n"/>
      <c r="AN350" s="97" t="n"/>
      <c r="AO350" s="97" t="n">
        <v>14.17741</v>
      </c>
      <c r="AP350" s="97" t="n"/>
      <c r="AQ350" s="97" t="n"/>
      <c r="AR350" s="97" t="n"/>
      <c r="AS350" s="97" t="n"/>
      <c r="AT350" s="97" t="n"/>
      <c r="AU350" s="97" t="n"/>
      <c r="AV350" s="97" t="n"/>
      <c r="AW350" s="97" t="n"/>
      <c r="AX350" s="97" t="n"/>
      <c r="AY350" s="97" t="n"/>
    </row>
    <row r="351" s="135">
      <c r="A351" t="inlineStr">
        <is>
          <t>1948-02</t>
        </is>
      </c>
      <c r="B351" s="2" t="n">
        <v>17564</v>
      </c>
      <c r="C351" s="96" t="n">
        <v>351</v>
      </c>
      <c r="E351" s="2">
        <f>B351</f>
        <v/>
      </c>
      <c r="F351" s="3">
        <f>B351</f>
        <v/>
      </c>
      <c r="G351" s="96" t="n">
        <v>349</v>
      </c>
      <c r="H351" s="97" t="n"/>
      <c r="I351" s="97" t="n"/>
      <c r="J351" s="97" t="n"/>
      <c r="K351" s="97" t="n"/>
      <c r="L351" s="97" t="n"/>
      <c r="M351" s="97" t="n"/>
      <c r="N351" s="97" t="n"/>
      <c r="O351" s="97" t="n"/>
      <c r="P351" s="97" t="n"/>
      <c r="Q351" s="97" t="n"/>
      <c r="R351" s="97" t="n"/>
      <c r="S351" s="97" t="n"/>
      <c r="T351" s="97" t="n"/>
      <c r="U351" s="97" t="n"/>
      <c r="V351" s="97" t="n"/>
      <c r="W351" s="97" t="n"/>
      <c r="X351" s="97" t="n"/>
      <c r="Y351" s="97" t="n"/>
      <c r="Z351" s="97" t="n"/>
      <c r="AA351" s="97" t="n"/>
      <c r="AB351" s="97" t="n"/>
      <c r="AC351" s="97" t="n"/>
      <c r="AD351" s="97" t="n"/>
      <c r="AE351" s="97" t="n"/>
      <c r="AF351" s="97" t="n"/>
      <c r="AG351" s="97" t="n"/>
      <c r="AH351" s="97" t="n"/>
      <c r="AI351" s="97" t="n"/>
      <c r="AJ351" s="97" t="n"/>
      <c r="AK351" s="97" t="n"/>
      <c r="AL351" s="97" t="n"/>
      <c r="AM351" s="97" t="n"/>
      <c r="AN351" s="97" t="n"/>
      <c r="AO351" s="97" t="n">
        <v>14.20401</v>
      </c>
      <c r="AP351" s="97" t="n"/>
      <c r="AQ351" s="97" t="n"/>
      <c r="AR351" s="97" t="n"/>
      <c r="AS351" s="97" t="n"/>
      <c r="AT351" s="97" t="n"/>
      <c r="AU351" s="97" t="n"/>
      <c r="AV351" s="97" t="n"/>
      <c r="AW351" s="97" t="n"/>
      <c r="AX351" s="97" t="n"/>
      <c r="AY351" s="97" t="n"/>
    </row>
    <row r="352" s="135">
      <c r="A352" t="inlineStr">
        <is>
          <t>1948-03</t>
        </is>
      </c>
      <c r="B352" s="2" t="n">
        <v>17593</v>
      </c>
      <c r="C352" s="96" t="n">
        <v>352</v>
      </c>
      <c r="E352" s="2">
        <f>B352</f>
        <v/>
      </c>
      <c r="F352" s="3">
        <f>B352</f>
        <v/>
      </c>
      <c r="G352" s="96" t="n">
        <v>350</v>
      </c>
      <c r="H352" s="97" t="n"/>
      <c r="I352" s="97" t="n"/>
      <c r="J352" s="97" t="n"/>
      <c r="K352" s="97" t="n"/>
      <c r="L352" s="97" t="n"/>
      <c r="M352" s="97" t="n"/>
      <c r="N352" s="97" t="n"/>
      <c r="O352" s="97" t="n"/>
      <c r="P352" s="97" t="n"/>
      <c r="Q352" s="97" t="n"/>
      <c r="R352" s="97" t="n"/>
      <c r="S352" s="97" t="n"/>
      <c r="T352" s="97" t="n"/>
      <c r="U352" s="97" t="n"/>
      <c r="V352" s="97" t="n"/>
      <c r="W352" s="97" t="n"/>
      <c r="X352" s="97" t="n"/>
      <c r="Y352" s="97" t="n"/>
      <c r="Z352" s="97" t="n"/>
      <c r="AA352" s="97" t="n"/>
      <c r="AB352" s="97" t="n"/>
      <c r="AC352" s="97" t="n"/>
      <c r="AD352" s="97" t="n"/>
      <c r="AE352" s="97" t="n"/>
      <c r="AF352" s="97" t="n"/>
      <c r="AG352" s="97" t="n"/>
      <c r="AH352" s="97" t="n"/>
      <c r="AI352" s="97" t="n"/>
      <c r="AJ352" s="97" t="n"/>
      <c r="AK352" s="97" t="n"/>
      <c r="AL352" s="97" t="n"/>
      <c r="AM352" s="97" t="n"/>
      <c r="AN352" s="97" t="n"/>
      <c r="AO352" s="97" t="n">
        <v>14.04438</v>
      </c>
      <c r="AP352" s="97" t="n"/>
      <c r="AQ352" s="97" t="n"/>
      <c r="AR352" s="97" t="n"/>
      <c r="AS352" s="97" t="n"/>
      <c r="AT352" s="97" t="n"/>
      <c r="AU352" s="97" t="n"/>
      <c r="AV352" s="97" t="n"/>
      <c r="AW352" s="97" t="n"/>
      <c r="AX352" s="97" t="n"/>
      <c r="AY352" s="97" t="n"/>
    </row>
    <row r="353" s="135">
      <c r="A353" t="inlineStr">
        <is>
          <t>1948-04</t>
        </is>
      </c>
      <c r="B353" s="2" t="n">
        <v>17624</v>
      </c>
      <c r="C353" s="96" t="n">
        <v>353</v>
      </c>
      <c r="E353" s="2">
        <f>B353</f>
        <v/>
      </c>
      <c r="F353" s="3">
        <f>B353</f>
        <v/>
      </c>
      <c r="G353" s="96" t="n">
        <v>351</v>
      </c>
      <c r="H353" s="97" t="n"/>
      <c r="I353" s="97" t="n"/>
      <c r="J353" s="97" t="n"/>
      <c r="K353" s="97" t="n"/>
      <c r="L353" s="97" t="n"/>
      <c r="M353" s="97" t="n"/>
      <c r="N353" s="97" t="n"/>
      <c r="O353" s="97" t="n"/>
      <c r="P353" s="97" t="n"/>
      <c r="Q353" s="97" t="n"/>
      <c r="R353" s="97" t="n"/>
      <c r="S353" s="97" t="n"/>
      <c r="T353" s="97" t="n"/>
      <c r="U353" s="97" t="n"/>
      <c r="V353" s="97" t="n"/>
      <c r="W353" s="97" t="n"/>
      <c r="X353" s="97" t="n"/>
      <c r="Y353" s="97" t="n"/>
      <c r="Z353" s="97" t="n"/>
      <c r="AA353" s="97" t="n"/>
      <c r="AB353" s="97" t="n"/>
      <c r="AC353" s="97" t="n"/>
      <c r="AD353" s="97" t="n"/>
      <c r="AE353" s="97" t="n"/>
      <c r="AF353" s="97" t="n"/>
      <c r="AG353" s="97" t="n"/>
      <c r="AH353" s="97" t="n"/>
      <c r="AI353" s="97" t="n"/>
      <c r="AJ353" s="97" t="n"/>
      <c r="AK353" s="97" t="n"/>
      <c r="AL353" s="97" t="n"/>
      <c r="AM353" s="97" t="n"/>
      <c r="AN353" s="97" t="n"/>
      <c r="AO353" s="97" t="n">
        <v>14.07098</v>
      </c>
      <c r="AP353" s="97" t="n"/>
      <c r="AQ353" s="97" t="n"/>
      <c r="AR353" s="97" t="n"/>
      <c r="AS353" s="97" t="n"/>
      <c r="AT353" s="97" t="n"/>
      <c r="AU353" s="97" t="n"/>
      <c r="AV353" s="97" t="n"/>
      <c r="AW353" s="97" t="n"/>
      <c r="AX353" s="97" t="n"/>
      <c r="AY353" s="97" t="n"/>
    </row>
    <row r="354" s="135">
      <c r="A354" t="inlineStr">
        <is>
          <t>1948-05</t>
        </is>
      </c>
      <c r="B354" s="2" t="n">
        <v>17654</v>
      </c>
      <c r="C354" s="96" t="n">
        <v>354</v>
      </c>
      <c r="E354" s="2">
        <f>B354</f>
        <v/>
      </c>
      <c r="F354" s="3">
        <f>B354</f>
        <v/>
      </c>
      <c r="G354" s="96" t="n">
        <v>352</v>
      </c>
      <c r="H354" s="97" t="n"/>
      <c r="I354" s="97" t="n"/>
      <c r="J354" s="97" t="n"/>
      <c r="K354" s="97" t="n"/>
      <c r="L354" s="97" t="n"/>
      <c r="M354" s="97" t="n"/>
      <c r="N354" s="97" t="n"/>
      <c r="O354" s="97" t="n"/>
      <c r="P354" s="97" t="n"/>
      <c r="Q354" s="97" t="n"/>
      <c r="R354" s="97" t="n"/>
      <c r="S354" s="97" t="n"/>
      <c r="T354" s="97" t="n"/>
      <c r="U354" s="97" t="n"/>
      <c r="V354" s="97" t="n"/>
      <c r="W354" s="97" t="n"/>
      <c r="X354" s="97" t="n"/>
      <c r="Y354" s="97" t="n"/>
      <c r="Z354" s="97" t="n"/>
      <c r="AA354" s="97" t="n"/>
      <c r="AB354" s="97" t="n"/>
      <c r="AC354" s="97" t="n"/>
      <c r="AD354" s="97" t="n"/>
      <c r="AE354" s="97" t="n"/>
      <c r="AF354" s="97" t="n"/>
      <c r="AG354" s="97" t="n"/>
      <c r="AH354" s="97" t="n"/>
      <c r="AI354" s="97" t="n"/>
      <c r="AJ354" s="97" t="n"/>
      <c r="AK354" s="97" t="n"/>
      <c r="AL354" s="97" t="n"/>
      <c r="AM354" s="97" t="n"/>
      <c r="AN354" s="97" t="n"/>
      <c r="AO354" s="97" t="n">
        <v>14.31034</v>
      </c>
      <c r="AP354" s="97" t="n"/>
      <c r="AQ354" s="97" t="n"/>
      <c r="AR354" s="97" t="n"/>
      <c r="AS354" s="97" t="n"/>
      <c r="AT354" s="97" t="n"/>
      <c r="AU354" s="97" t="n"/>
      <c r="AV354" s="97" t="n"/>
      <c r="AW354" s="97" t="n"/>
      <c r="AX354" s="97" t="n"/>
      <c r="AY354" s="97" t="n"/>
    </row>
    <row r="355" s="135">
      <c r="A355" t="inlineStr">
        <is>
          <t>1948-06</t>
        </is>
      </c>
      <c r="B355" s="2" t="n">
        <v>17685</v>
      </c>
      <c r="C355" s="96" t="n">
        <v>355</v>
      </c>
      <c r="E355" s="2">
        <f>B355</f>
        <v/>
      </c>
      <c r="F355" s="3">
        <f>B355</f>
        <v/>
      </c>
      <c r="G355" s="96" t="n">
        <v>353</v>
      </c>
      <c r="H355" s="97" t="n"/>
      <c r="I355" s="97" t="n"/>
      <c r="J355" s="97" t="n"/>
      <c r="K355" s="97" t="n"/>
      <c r="L355" s="97" t="n"/>
      <c r="M355" s="97" t="n"/>
      <c r="N355" s="97" t="n"/>
      <c r="O355" s="97" t="n"/>
      <c r="P355" s="97" t="n"/>
      <c r="Q355" s="97" t="n"/>
      <c r="R355" s="97" t="n"/>
      <c r="S355" s="97" t="n"/>
      <c r="T355" s="97" t="n"/>
      <c r="U355" s="97" t="n"/>
      <c r="V355" s="97" t="n"/>
      <c r="W355" s="97" t="n"/>
      <c r="X355" s="97" t="n"/>
      <c r="Y355" s="97" t="n"/>
      <c r="Z355" s="97" t="n"/>
      <c r="AA355" s="97" t="n"/>
      <c r="AB355" s="97" t="n"/>
      <c r="AC355" s="97" t="n"/>
      <c r="AD355" s="97" t="n"/>
      <c r="AE355" s="97" t="n"/>
      <c r="AF355" s="97" t="n"/>
      <c r="AG355" s="97" t="n"/>
      <c r="AH355" s="97" t="n"/>
      <c r="AI355" s="97" t="n"/>
      <c r="AJ355" s="97" t="n"/>
      <c r="AK355" s="97" t="n"/>
      <c r="AL355" s="97" t="n"/>
      <c r="AM355" s="97" t="n"/>
      <c r="AN355" s="97" t="n"/>
      <c r="AO355" s="97" t="n">
        <v>14.49659</v>
      </c>
      <c r="AP355" s="97" t="n"/>
      <c r="AQ355" s="97" t="n"/>
      <c r="AR355" s="97" t="n"/>
      <c r="AS355" s="97" t="n"/>
      <c r="AT355" s="97" t="n"/>
      <c r="AU355" s="97" t="n"/>
      <c r="AV355" s="97" t="n"/>
      <c r="AW355" s="97" t="n"/>
      <c r="AX355" s="97" t="n"/>
      <c r="AY355" s="97" t="n"/>
    </row>
    <row r="356" s="135">
      <c r="A356" t="inlineStr">
        <is>
          <t>1948-07</t>
        </is>
      </c>
      <c r="B356" s="2" t="n">
        <v>17715</v>
      </c>
      <c r="C356" s="96" t="n">
        <v>356</v>
      </c>
      <c r="E356" s="2">
        <f>B356</f>
        <v/>
      </c>
      <c r="F356" s="3">
        <f>B356</f>
        <v/>
      </c>
      <c r="G356" s="96" t="n">
        <v>354</v>
      </c>
      <c r="H356" s="97" t="n"/>
      <c r="I356" s="97" t="n"/>
      <c r="J356" s="97" t="n"/>
      <c r="K356" s="97" t="n"/>
      <c r="L356" s="97" t="n"/>
      <c r="M356" s="97" t="n"/>
      <c r="N356" s="97" t="n"/>
      <c r="O356" s="97" t="n"/>
      <c r="P356" s="97" t="n"/>
      <c r="Q356" s="97" t="n"/>
      <c r="R356" s="97" t="n"/>
      <c r="S356" s="97" t="n"/>
      <c r="T356" s="97" t="n"/>
      <c r="U356" s="97" t="n"/>
      <c r="V356" s="97" t="n"/>
      <c r="W356" s="97" t="n"/>
      <c r="X356" s="97" t="n"/>
      <c r="Y356" s="97" t="n"/>
      <c r="Z356" s="97" t="n"/>
      <c r="AA356" s="97" t="n"/>
      <c r="AB356" s="97" t="n"/>
      <c r="AC356" s="97" t="n"/>
      <c r="AD356" s="97" t="n"/>
      <c r="AE356" s="97" t="n"/>
      <c r="AF356" s="97" t="n"/>
      <c r="AG356" s="97" t="n"/>
      <c r="AH356" s="97" t="n"/>
      <c r="AI356" s="97" t="n"/>
      <c r="AJ356" s="97" t="n"/>
      <c r="AK356" s="97" t="n"/>
      <c r="AL356" s="97" t="n"/>
      <c r="AM356" s="97" t="n"/>
      <c r="AN356" s="97" t="n"/>
      <c r="AO356" s="97" t="n">
        <v>14.49659</v>
      </c>
      <c r="AP356" s="97" t="n"/>
      <c r="AQ356" s="97" t="n"/>
      <c r="AR356" s="97" t="n"/>
      <c r="AS356" s="97" t="n"/>
      <c r="AT356" s="97" t="n"/>
      <c r="AU356" s="97" t="n"/>
      <c r="AV356" s="97" t="n"/>
      <c r="AW356" s="97" t="n"/>
      <c r="AX356" s="97" t="n"/>
      <c r="AY356" s="97" t="n"/>
    </row>
    <row r="357" s="135">
      <c r="A357" t="inlineStr">
        <is>
          <t>1948-08</t>
        </is>
      </c>
      <c r="B357" s="2" t="n">
        <v>17746</v>
      </c>
      <c r="C357" s="96" t="n">
        <v>357</v>
      </c>
      <c r="E357" s="2">
        <f>B357</f>
        <v/>
      </c>
      <c r="F357" s="3">
        <f>B357</f>
        <v/>
      </c>
      <c r="G357" s="96" t="n">
        <v>355</v>
      </c>
      <c r="H357" s="97" t="n"/>
      <c r="I357" s="97" t="n"/>
      <c r="J357" s="97" t="n"/>
      <c r="K357" s="97" t="n"/>
      <c r="L357" s="97" t="n"/>
      <c r="M357" s="97" t="n"/>
      <c r="N357" s="97" t="n"/>
      <c r="O357" s="97" t="n"/>
      <c r="P357" s="97" t="n"/>
      <c r="Q357" s="97" t="n"/>
      <c r="R357" s="97" t="n"/>
      <c r="S357" s="97" t="n"/>
      <c r="T357" s="97" t="n"/>
      <c r="U357" s="97" t="n"/>
      <c r="V357" s="97" t="n"/>
      <c r="W357" s="97" t="n"/>
      <c r="X357" s="97" t="n"/>
      <c r="Y357" s="97" t="n"/>
      <c r="Z357" s="97" t="n"/>
      <c r="AA357" s="97" t="n"/>
      <c r="AB357" s="97" t="n"/>
      <c r="AC357" s="97" t="n"/>
      <c r="AD357" s="97" t="n"/>
      <c r="AE357" s="97" t="n"/>
      <c r="AF357" s="97" t="n"/>
      <c r="AG357" s="97" t="n"/>
      <c r="AH357" s="97" t="n"/>
      <c r="AI357" s="97" t="n"/>
      <c r="AJ357" s="97" t="n"/>
      <c r="AK357" s="97" t="n"/>
      <c r="AL357" s="97" t="n"/>
      <c r="AM357" s="97" t="n"/>
      <c r="AN357" s="97" t="n"/>
      <c r="AO357" s="97" t="n">
        <v>14.44337</v>
      </c>
      <c r="AP357" s="97" t="n"/>
      <c r="AQ357" s="97" t="n"/>
      <c r="AR357" s="97" t="n"/>
      <c r="AS357" s="97" t="n"/>
      <c r="AT357" s="97" t="n"/>
      <c r="AU357" s="97" t="n"/>
      <c r="AV357" s="97" t="n"/>
      <c r="AW357" s="97" t="n"/>
      <c r="AX357" s="97" t="n"/>
      <c r="AY357" s="97" t="n"/>
    </row>
    <row r="358" s="135">
      <c r="A358" t="inlineStr">
        <is>
          <t>1948-09</t>
        </is>
      </c>
      <c r="B358" s="2" t="n">
        <v>17777</v>
      </c>
      <c r="C358" s="96" t="n">
        <v>358</v>
      </c>
      <c r="E358" s="2">
        <f>B358</f>
        <v/>
      </c>
      <c r="F358" s="3">
        <f>B358</f>
        <v/>
      </c>
      <c r="G358" s="96" t="n">
        <v>356</v>
      </c>
      <c r="H358" s="97" t="n"/>
      <c r="I358" s="97" t="n"/>
      <c r="J358" s="97" t="n"/>
      <c r="K358" s="97" t="n"/>
      <c r="L358" s="97" t="n"/>
      <c r="M358" s="97" t="n"/>
      <c r="N358" s="97" t="n"/>
      <c r="O358" s="97" t="n"/>
      <c r="P358" s="97" t="n"/>
      <c r="Q358" s="97" t="n"/>
      <c r="R358" s="97" t="n"/>
      <c r="S358" s="97" t="n"/>
      <c r="T358" s="97" t="n"/>
      <c r="U358" s="97" t="n"/>
      <c r="V358" s="97" t="n"/>
      <c r="W358" s="97" t="n"/>
      <c r="X358" s="97" t="n"/>
      <c r="Y358" s="97" t="n"/>
      <c r="Z358" s="97" t="n"/>
      <c r="AA358" s="97" t="n"/>
      <c r="AB358" s="97" t="n"/>
      <c r="AC358" s="97" t="n"/>
      <c r="AD358" s="97" t="n"/>
      <c r="AE358" s="97" t="n"/>
      <c r="AF358" s="97" t="n"/>
      <c r="AG358" s="97" t="n"/>
      <c r="AH358" s="97" t="n"/>
      <c r="AI358" s="97" t="n"/>
      <c r="AJ358" s="97" t="n"/>
      <c r="AK358" s="97" t="n"/>
      <c r="AL358" s="97" t="n"/>
      <c r="AM358" s="97" t="n"/>
      <c r="AN358" s="97" t="n"/>
      <c r="AO358" s="97" t="n">
        <v>14.33695</v>
      </c>
      <c r="AP358" s="97" t="n"/>
      <c r="AQ358" s="97" t="n"/>
      <c r="AR358" s="97" t="n"/>
      <c r="AS358" s="97" t="n"/>
      <c r="AT358" s="97" t="n"/>
      <c r="AU358" s="97" t="n"/>
      <c r="AV358" s="97" t="n"/>
      <c r="AW358" s="97" t="n"/>
      <c r="AX358" s="97" t="n"/>
      <c r="AY358" s="97" t="n"/>
    </row>
    <row r="359" s="135">
      <c r="A359" t="inlineStr">
        <is>
          <t>1948-10</t>
        </is>
      </c>
      <c r="B359" s="2" t="n">
        <v>17807</v>
      </c>
      <c r="C359" s="96" t="n">
        <v>359</v>
      </c>
      <c r="E359" s="2">
        <f>B359</f>
        <v/>
      </c>
      <c r="F359" s="3">
        <f>B359</f>
        <v/>
      </c>
      <c r="G359" s="96" t="n">
        <v>357</v>
      </c>
      <c r="H359" s="97" t="n"/>
      <c r="I359" s="97" t="n"/>
      <c r="J359" s="97" t="n"/>
      <c r="K359" s="97" t="n"/>
      <c r="L359" s="97" t="n"/>
      <c r="M359" s="97" t="n"/>
      <c r="N359" s="97" t="n"/>
      <c r="O359" s="97" t="n"/>
      <c r="P359" s="97" t="n"/>
      <c r="Q359" s="97" t="n"/>
      <c r="R359" s="97" t="n"/>
      <c r="S359" s="97" t="n"/>
      <c r="T359" s="97" t="n"/>
      <c r="U359" s="97" t="n"/>
      <c r="V359" s="97" t="n"/>
      <c r="W359" s="97" t="n"/>
      <c r="X359" s="97" t="n"/>
      <c r="Y359" s="97" t="n"/>
      <c r="Z359" s="97" t="n"/>
      <c r="AA359" s="97" t="n"/>
      <c r="AB359" s="97" t="n"/>
      <c r="AC359" s="97" t="n"/>
      <c r="AD359" s="97" t="n"/>
      <c r="AE359" s="97" t="n"/>
      <c r="AF359" s="97" t="n"/>
      <c r="AG359" s="97" t="n"/>
      <c r="AH359" s="97" t="n"/>
      <c r="AI359" s="97" t="n"/>
      <c r="AJ359" s="97" t="n"/>
      <c r="AK359" s="97" t="n"/>
      <c r="AL359" s="97" t="n"/>
      <c r="AM359" s="97" t="n"/>
      <c r="AN359" s="97" t="n"/>
      <c r="AO359" s="97" t="n">
        <v>14.44337</v>
      </c>
      <c r="AP359" s="97" t="n"/>
      <c r="AQ359" s="97" t="n"/>
      <c r="AR359" s="97" t="n"/>
      <c r="AS359" s="97" t="n"/>
      <c r="AT359" s="97" t="n"/>
      <c r="AU359" s="97" t="n"/>
      <c r="AV359" s="97" t="n"/>
      <c r="AW359" s="97" t="n"/>
      <c r="AX359" s="97" t="n"/>
      <c r="AY359" s="97" t="n"/>
    </row>
    <row r="360" s="135">
      <c r="A360" t="inlineStr">
        <is>
          <t>1948-11</t>
        </is>
      </c>
      <c r="B360" s="2" t="n">
        <v>17838</v>
      </c>
      <c r="C360" s="96" t="n">
        <v>360</v>
      </c>
      <c r="E360" s="2">
        <f>B360</f>
        <v/>
      </c>
      <c r="F360" s="3">
        <f>B360</f>
        <v/>
      </c>
      <c r="G360" s="96" t="n">
        <v>358</v>
      </c>
      <c r="H360" s="97" t="n"/>
      <c r="I360" s="97" t="n"/>
      <c r="J360" s="97" t="n"/>
      <c r="K360" s="97" t="n"/>
      <c r="L360" s="97" t="n"/>
      <c r="M360" s="97" t="n"/>
      <c r="N360" s="97" t="n"/>
      <c r="O360" s="97" t="n"/>
      <c r="P360" s="97" t="n"/>
      <c r="Q360" s="97" t="n"/>
      <c r="R360" s="97" t="n"/>
      <c r="S360" s="97" t="n"/>
      <c r="T360" s="97" t="n"/>
      <c r="U360" s="97" t="n"/>
      <c r="V360" s="97" t="n"/>
      <c r="W360" s="97" t="n"/>
      <c r="X360" s="97" t="n"/>
      <c r="Y360" s="97" t="n"/>
      <c r="Z360" s="97" t="n"/>
      <c r="AA360" s="97" t="n"/>
      <c r="AB360" s="97" t="n"/>
      <c r="AC360" s="97" t="n"/>
      <c r="AD360" s="97" t="n"/>
      <c r="AE360" s="97" t="n"/>
      <c r="AF360" s="97" t="n"/>
      <c r="AG360" s="97" t="n"/>
      <c r="AH360" s="97" t="n"/>
      <c r="AI360" s="97" t="n"/>
      <c r="AJ360" s="97" t="n"/>
      <c r="AK360" s="97" t="n"/>
      <c r="AL360" s="97" t="n"/>
      <c r="AM360" s="97" t="n"/>
      <c r="AN360" s="97" t="n"/>
      <c r="AO360" s="97" t="n">
        <v>14.25713</v>
      </c>
      <c r="AP360" s="97" t="n"/>
      <c r="AQ360" s="97" t="n"/>
      <c r="AR360" s="97" t="n"/>
      <c r="AS360" s="97" t="n"/>
      <c r="AT360" s="97" t="n"/>
      <c r="AU360" s="97" t="n"/>
      <c r="AV360" s="97" t="n"/>
      <c r="AW360" s="97" t="n"/>
      <c r="AX360" s="97" t="n"/>
      <c r="AY360" s="97" t="n"/>
    </row>
    <row r="361" s="135">
      <c r="A361" t="inlineStr">
        <is>
          <t>1948-12</t>
        </is>
      </c>
      <c r="B361" s="2" t="n">
        <v>17868</v>
      </c>
      <c r="C361" s="96" t="n">
        <v>361</v>
      </c>
      <c r="E361" s="2">
        <f>B361</f>
        <v/>
      </c>
      <c r="F361" s="3">
        <f>B361</f>
        <v/>
      </c>
      <c r="G361" s="96" t="n">
        <v>359</v>
      </c>
      <c r="H361" s="97" t="n"/>
      <c r="I361" s="97" t="n"/>
      <c r="J361" s="97" t="n"/>
      <c r="K361" s="97" t="n"/>
      <c r="L361" s="97" t="n"/>
      <c r="M361" s="97" t="n"/>
      <c r="N361" s="97" t="n"/>
      <c r="O361" s="97" t="n"/>
      <c r="P361" s="97" t="n"/>
      <c r="Q361" s="97" t="n"/>
      <c r="R361" s="97" t="n"/>
      <c r="S361" s="97" t="n"/>
      <c r="T361" s="97" t="n"/>
      <c r="U361" s="97" t="n"/>
      <c r="V361" s="97" t="n"/>
      <c r="W361" s="97" t="n"/>
      <c r="X361" s="97" t="n"/>
      <c r="Y361" s="97" t="n"/>
      <c r="Z361" s="97" t="n"/>
      <c r="AA361" s="97" t="n"/>
      <c r="AB361" s="97" t="n"/>
      <c r="AC361" s="97" t="n"/>
      <c r="AD361" s="97" t="n"/>
      <c r="AE361" s="97" t="n"/>
      <c r="AF361" s="97" t="n"/>
      <c r="AG361" s="97" t="n"/>
      <c r="AH361" s="97" t="n"/>
      <c r="AI361" s="97" t="n"/>
      <c r="AJ361" s="97" t="n"/>
      <c r="AK361" s="97" t="n"/>
      <c r="AL361" s="97" t="n"/>
      <c r="AM361" s="97" t="n"/>
      <c r="AN361" s="97" t="n"/>
      <c r="AO361" s="97" t="n">
        <v>14.1242</v>
      </c>
      <c r="AP361" s="97" t="n"/>
      <c r="AQ361" s="97" t="n"/>
      <c r="AR361" s="97" t="n"/>
      <c r="AS361" s="97" t="n"/>
      <c r="AT361" s="97" t="n"/>
      <c r="AU361" s="97" t="n"/>
      <c r="AV361" s="97" t="n"/>
      <c r="AW361" s="97" t="n"/>
      <c r="AX361" s="97" t="n"/>
      <c r="AY361" s="97" t="n"/>
    </row>
    <row r="362" s="135">
      <c r="A362" t="inlineStr">
        <is>
          <t>1949-01</t>
        </is>
      </c>
      <c r="B362" s="2" t="n">
        <v>17899</v>
      </c>
      <c r="C362" s="96" t="n">
        <v>362</v>
      </c>
      <c r="E362" s="2">
        <f>B362</f>
        <v/>
      </c>
      <c r="F362" s="3">
        <f>B362</f>
        <v/>
      </c>
      <c r="G362" s="96" t="n">
        <v>360</v>
      </c>
      <c r="H362" s="97" t="n"/>
      <c r="I362" s="97" t="n"/>
      <c r="J362" s="97" t="n"/>
      <c r="K362" s="97" t="n"/>
      <c r="L362" s="97" t="n"/>
      <c r="M362" s="97" t="n"/>
      <c r="N362" s="97" t="n"/>
      <c r="O362" s="97" t="n"/>
      <c r="P362" s="97" t="n"/>
      <c r="Q362" s="97" t="n"/>
      <c r="R362" s="97" t="n"/>
      <c r="S362" s="97" t="n"/>
      <c r="T362" s="97" t="n"/>
      <c r="U362" s="97" t="n"/>
      <c r="V362" s="97" t="n"/>
      <c r="W362" s="97" t="n"/>
      <c r="X362" s="97" t="n"/>
      <c r="Y362" s="97" t="n"/>
      <c r="Z362" s="97" t="n"/>
      <c r="AA362" s="97" t="n"/>
      <c r="AB362" s="97" t="n"/>
      <c r="AC362" s="97" t="n"/>
      <c r="AD362" s="97" t="n"/>
      <c r="AE362" s="97" t="n"/>
      <c r="AF362" s="97" t="n"/>
      <c r="AG362" s="97" t="n"/>
      <c r="AH362" s="97" t="n"/>
      <c r="AI362" s="97" t="n"/>
      <c r="AJ362" s="97" t="n"/>
      <c r="AK362" s="97" t="n"/>
      <c r="AL362" s="97" t="n"/>
      <c r="AM362" s="97" t="n"/>
      <c r="AN362" s="97" t="n"/>
      <c r="AO362" s="97" t="n">
        <v>13.99117</v>
      </c>
      <c r="AP362" s="97" t="n"/>
      <c r="AQ362" s="97" t="n"/>
      <c r="AR362" s="97" t="n"/>
      <c r="AS362" s="97" t="n"/>
      <c r="AT362" s="97" t="n"/>
      <c r="AU362" s="97" t="n"/>
      <c r="AV362" s="97" t="n"/>
      <c r="AW362" s="97" t="n"/>
      <c r="AX362" s="97" t="n"/>
      <c r="AY362" s="97" t="n"/>
    </row>
    <row r="363" s="135">
      <c r="A363" t="inlineStr">
        <is>
          <t>1949-02</t>
        </is>
      </c>
      <c r="B363" s="2" t="n">
        <v>17930</v>
      </c>
      <c r="C363" s="96" t="n">
        <v>363</v>
      </c>
      <c r="E363" s="2">
        <f>B363</f>
        <v/>
      </c>
      <c r="F363" s="3">
        <f>B363</f>
        <v/>
      </c>
      <c r="G363" s="96" t="n">
        <v>361</v>
      </c>
      <c r="H363" s="97" t="n"/>
      <c r="I363" s="97" t="n"/>
      <c r="J363" s="97" t="n"/>
      <c r="K363" s="97" t="n"/>
      <c r="L363" s="97" t="n"/>
      <c r="M363" s="97" t="n"/>
      <c r="N363" s="97" t="n"/>
      <c r="O363" s="97" t="n"/>
      <c r="P363" s="97" t="n"/>
      <c r="Q363" s="97" t="n"/>
      <c r="R363" s="97" t="n"/>
      <c r="S363" s="97" t="n"/>
      <c r="T363" s="97" t="n"/>
      <c r="U363" s="97" t="n"/>
      <c r="V363" s="97" t="n"/>
      <c r="W363" s="97" t="n"/>
      <c r="X363" s="97" t="n"/>
      <c r="Y363" s="97" t="n"/>
      <c r="Z363" s="97" t="n"/>
      <c r="AA363" s="97" t="n"/>
      <c r="AB363" s="97" t="n"/>
      <c r="AC363" s="97" t="n"/>
      <c r="AD363" s="97" t="n"/>
      <c r="AE363" s="97" t="n"/>
      <c r="AF363" s="97" t="n"/>
      <c r="AG363" s="97" t="n"/>
      <c r="AH363" s="97" t="n"/>
      <c r="AI363" s="97" t="n"/>
      <c r="AJ363" s="97" t="n"/>
      <c r="AK363" s="97" t="n"/>
      <c r="AL363" s="97" t="n"/>
      <c r="AM363" s="97" t="n"/>
      <c r="AN363" s="97" t="n"/>
      <c r="AO363" s="97" t="n">
        <v>13.85823</v>
      </c>
      <c r="AP363" s="97" t="n"/>
      <c r="AQ363" s="97" t="n"/>
      <c r="AR363" s="97" t="n"/>
      <c r="AS363" s="97" t="n"/>
      <c r="AT363" s="97" t="n"/>
      <c r="AU363" s="97" t="n"/>
      <c r="AV363" s="97" t="n"/>
      <c r="AW363" s="97" t="n"/>
      <c r="AX363" s="97" t="n"/>
      <c r="AY363" s="97" t="n"/>
    </row>
    <row r="364" s="135">
      <c r="A364" t="inlineStr">
        <is>
          <t>1949-03</t>
        </is>
      </c>
      <c r="B364" s="2" t="n">
        <v>17958</v>
      </c>
      <c r="C364" s="96" t="n">
        <v>364</v>
      </c>
      <c r="E364" s="2">
        <f>B364</f>
        <v/>
      </c>
      <c r="F364" s="3">
        <f>B364</f>
        <v/>
      </c>
      <c r="G364" s="96" t="n">
        <v>362</v>
      </c>
      <c r="H364" s="97" t="n"/>
      <c r="I364" s="97" t="n"/>
      <c r="J364" s="97" t="n"/>
      <c r="K364" s="97" t="n"/>
      <c r="L364" s="97" t="n"/>
      <c r="M364" s="97" t="n"/>
      <c r="N364" s="97" t="n"/>
      <c r="O364" s="97" t="n"/>
      <c r="P364" s="97" t="n"/>
      <c r="Q364" s="97" t="n"/>
      <c r="R364" s="97" t="n"/>
      <c r="S364" s="97" t="n"/>
      <c r="T364" s="97" t="n"/>
      <c r="U364" s="97" t="n"/>
      <c r="V364" s="97" t="n"/>
      <c r="W364" s="97" t="n"/>
      <c r="X364" s="97" t="n"/>
      <c r="Y364" s="97" t="n"/>
      <c r="Z364" s="97" t="n"/>
      <c r="AA364" s="97" t="n"/>
      <c r="AB364" s="97" t="n"/>
      <c r="AC364" s="97" t="n"/>
      <c r="AD364" s="97" t="n"/>
      <c r="AE364" s="97" t="n"/>
      <c r="AF364" s="97" t="n"/>
      <c r="AG364" s="97" t="n"/>
      <c r="AH364" s="97" t="n"/>
      <c r="AI364" s="97" t="n"/>
      <c r="AJ364" s="97" t="n"/>
      <c r="AK364" s="97" t="n"/>
      <c r="AL364" s="97" t="n"/>
      <c r="AM364" s="97" t="n"/>
      <c r="AN364" s="97" t="n"/>
      <c r="AO364" s="97" t="n">
        <v>13.59217</v>
      </c>
      <c r="AP364" s="97" t="n"/>
      <c r="AQ364" s="97" t="n"/>
      <c r="AR364" s="97" t="n"/>
      <c r="AS364" s="97" t="n"/>
      <c r="AT364" s="97" t="n"/>
      <c r="AU364" s="97" t="n"/>
      <c r="AV364" s="97" t="n"/>
      <c r="AW364" s="97" t="n"/>
      <c r="AX364" s="97" t="n"/>
      <c r="AY364" s="97" t="n"/>
    </row>
    <row r="365" s="135">
      <c r="A365" t="inlineStr">
        <is>
          <t>1949-04</t>
        </is>
      </c>
      <c r="B365" s="2" t="n">
        <v>17989</v>
      </c>
      <c r="C365" s="96" t="n">
        <v>365</v>
      </c>
      <c r="E365" s="2">
        <f>B365</f>
        <v/>
      </c>
      <c r="F365" s="3">
        <f>B365</f>
        <v/>
      </c>
      <c r="G365" s="96" t="n">
        <v>363</v>
      </c>
      <c r="H365" s="97" t="n"/>
      <c r="I365" s="97" t="n"/>
      <c r="J365" s="97" t="n"/>
      <c r="K365" s="97" t="n"/>
      <c r="L365" s="97" t="n"/>
      <c r="M365" s="97" t="n"/>
      <c r="N365" s="97" t="n"/>
      <c r="O365" s="97" t="n"/>
      <c r="P365" s="97" t="n"/>
      <c r="Q365" s="97" t="n"/>
      <c r="R365" s="97" t="n"/>
      <c r="S365" s="97" t="n"/>
      <c r="T365" s="97" t="n"/>
      <c r="U365" s="97" t="n"/>
      <c r="V365" s="97" t="n"/>
      <c r="W365" s="97" t="n"/>
      <c r="X365" s="97" t="n"/>
      <c r="Y365" s="97" t="n"/>
      <c r="Z365" s="97" t="n"/>
      <c r="AA365" s="97" t="n"/>
      <c r="AB365" s="97" t="n"/>
      <c r="AC365" s="97" t="n"/>
      <c r="AD365" s="97" t="n"/>
      <c r="AE365" s="97" t="n"/>
      <c r="AF365" s="97" t="n"/>
      <c r="AG365" s="97" t="n"/>
      <c r="AH365" s="97" t="n"/>
      <c r="AI365" s="97" t="n"/>
      <c r="AJ365" s="97" t="n"/>
      <c r="AK365" s="97" t="n"/>
      <c r="AL365" s="97" t="n"/>
      <c r="AM365" s="97" t="n"/>
      <c r="AN365" s="97" t="n"/>
      <c r="AO365" s="97" t="n">
        <v>13.51235</v>
      </c>
      <c r="AP365" s="97" t="n"/>
      <c r="AQ365" s="97" t="n"/>
      <c r="AR365" s="97" t="n"/>
      <c r="AS365" s="97" t="n"/>
      <c r="AT365" s="97" t="n"/>
      <c r="AU365" s="97" t="n"/>
      <c r="AV365" s="97" t="n"/>
      <c r="AW365" s="97" t="n"/>
      <c r="AX365" s="97" t="n"/>
      <c r="AY365" s="97" t="n"/>
    </row>
    <row r="366" s="135">
      <c r="A366" t="inlineStr">
        <is>
          <t>1949-05</t>
        </is>
      </c>
      <c r="B366" s="2" t="n">
        <v>18019</v>
      </c>
      <c r="C366" s="96" t="n">
        <v>366</v>
      </c>
      <c r="E366" s="2">
        <f>B366</f>
        <v/>
      </c>
      <c r="F366" s="3">
        <f>B366</f>
        <v/>
      </c>
      <c r="G366" s="96" t="n">
        <v>364</v>
      </c>
      <c r="H366" s="97" t="n"/>
      <c r="I366" s="97" t="n"/>
      <c r="J366" s="97" t="n"/>
      <c r="K366" s="97" t="n"/>
      <c r="L366" s="97" t="n"/>
      <c r="M366" s="97" t="n"/>
      <c r="N366" s="97" t="n"/>
      <c r="O366" s="97" t="n"/>
      <c r="P366" s="97" t="n"/>
      <c r="Q366" s="97" t="n"/>
      <c r="R366" s="97" t="n"/>
      <c r="S366" s="97" t="n"/>
      <c r="T366" s="97" t="n"/>
      <c r="U366" s="97" t="n"/>
      <c r="V366" s="97" t="n"/>
      <c r="W366" s="97" t="n"/>
      <c r="X366" s="97" t="n"/>
      <c r="Y366" s="97" t="n"/>
      <c r="Z366" s="97" t="n"/>
      <c r="AA366" s="97" t="n"/>
      <c r="AB366" s="97" t="n"/>
      <c r="AC366" s="97" t="n"/>
      <c r="AD366" s="97" t="n"/>
      <c r="AE366" s="97" t="n"/>
      <c r="AF366" s="97" t="n"/>
      <c r="AG366" s="97" t="n"/>
      <c r="AH366" s="97" t="n"/>
      <c r="AI366" s="97" t="n"/>
      <c r="AJ366" s="97" t="n"/>
      <c r="AK366" s="97" t="n"/>
      <c r="AL366" s="97" t="n"/>
      <c r="AM366" s="97" t="n"/>
      <c r="AN366" s="97" t="n"/>
      <c r="AO366" s="97" t="n">
        <v>13.32621</v>
      </c>
      <c r="AP366" s="97" t="n"/>
      <c r="AQ366" s="97" t="n"/>
      <c r="AR366" s="97" t="n"/>
      <c r="AS366" s="97" t="n"/>
      <c r="AT366" s="97" t="n"/>
      <c r="AU366" s="97" t="n"/>
      <c r="AV366" s="97" t="n"/>
      <c r="AW366" s="97" t="n"/>
      <c r="AX366" s="97" t="n"/>
      <c r="AY366" s="97" t="n"/>
    </row>
    <row r="367" s="135">
      <c r="A367" t="inlineStr">
        <is>
          <t>1949-06</t>
        </is>
      </c>
      <c r="B367" s="2" t="n">
        <v>18050</v>
      </c>
      <c r="C367" s="96" t="n">
        <v>367</v>
      </c>
      <c r="E367" s="2">
        <f>B367</f>
        <v/>
      </c>
      <c r="F367" s="3">
        <f>B367</f>
        <v/>
      </c>
      <c r="G367" s="96" t="n">
        <v>365</v>
      </c>
      <c r="H367" s="97" t="n"/>
      <c r="I367" s="97" t="n"/>
      <c r="J367" s="97" t="n"/>
      <c r="K367" s="97" t="n"/>
      <c r="L367" s="97" t="n"/>
      <c r="M367" s="97" t="n"/>
      <c r="N367" s="97" t="n"/>
      <c r="O367" s="97" t="n"/>
      <c r="P367" s="97" t="n"/>
      <c r="Q367" s="97" t="n"/>
      <c r="R367" s="97" t="n"/>
      <c r="S367" s="97" t="n"/>
      <c r="T367" s="97" t="n"/>
      <c r="U367" s="97" t="n"/>
      <c r="V367" s="97" t="n"/>
      <c r="W367" s="97" t="n"/>
      <c r="X367" s="97" t="n"/>
      <c r="Y367" s="97" t="n"/>
      <c r="Z367" s="97" t="n"/>
      <c r="AA367" s="97" t="n"/>
      <c r="AB367" s="97" t="n"/>
      <c r="AC367" s="97" t="n"/>
      <c r="AD367" s="97" t="n"/>
      <c r="AE367" s="97" t="n"/>
      <c r="AF367" s="97" t="n"/>
      <c r="AG367" s="97" t="n"/>
      <c r="AH367" s="97" t="n"/>
      <c r="AI367" s="97" t="n"/>
      <c r="AJ367" s="97" t="n"/>
      <c r="AK367" s="97" t="n"/>
      <c r="AL367" s="97" t="n"/>
      <c r="AM367" s="97" t="n"/>
      <c r="AN367" s="97" t="n"/>
      <c r="AO367" s="97" t="n">
        <v>13.2996</v>
      </c>
      <c r="AP367" s="97" t="n"/>
      <c r="AQ367" s="97" t="n"/>
      <c r="AR367" s="97" t="n"/>
      <c r="AS367" s="97" t="n"/>
      <c r="AT367" s="97" t="n"/>
      <c r="AU367" s="97" t="n"/>
      <c r="AV367" s="97" t="n"/>
      <c r="AW367" s="97" t="n"/>
      <c r="AX367" s="97" t="n"/>
      <c r="AY367" s="97" t="n"/>
    </row>
    <row r="368" s="135">
      <c r="A368" t="inlineStr">
        <is>
          <t>1949-07</t>
        </is>
      </c>
      <c r="B368" s="2" t="n">
        <v>18080</v>
      </c>
      <c r="C368" s="96" t="n">
        <v>368</v>
      </c>
      <c r="E368" s="2">
        <f>B368</f>
        <v/>
      </c>
      <c r="F368" s="3">
        <f>B368</f>
        <v/>
      </c>
      <c r="G368" s="96" t="n">
        <v>366</v>
      </c>
      <c r="H368" s="97" t="n"/>
      <c r="I368" s="97" t="n"/>
      <c r="J368" s="97" t="n"/>
      <c r="K368" s="97" t="n"/>
      <c r="L368" s="97" t="n"/>
      <c r="M368" s="97" t="n"/>
      <c r="N368" s="97" t="n"/>
      <c r="O368" s="97" t="n"/>
      <c r="P368" s="97" t="n"/>
      <c r="Q368" s="97" t="n"/>
      <c r="R368" s="97" t="n"/>
      <c r="S368" s="97" t="n"/>
      <c r="T368" s="97" t="n"/>
      <c r="U368" s="97" t="n"/>
      <c r="V368" s="97" t="n"/>
      <c r="W368" s="97" t="n"/>
      <c r="X368" s="97" t="n"/>
      <c r="Y368" s="97" t="n"/>
      <c r="Z368" s="97" t="n"/>
      <c r="AA368" s="97" t="n"/>
      <c r="AB368" s="97" t="n"/>
      <c r="AC368" s="97" t="n"/>
      <c r="AD368" s="97" t="n"/>
      <c r="AE368" s="97" t="n"/>
      <c r="AF368" s="97" t="n"/>
      <c r="AG368" s="97" t="n"/>
      <c r="AH368" s="97" t="n"/>
      <c r="AI368" s="97" t="n"/>
      <c r="AJ368" s="97" t="n"/>
      <c r="AK368" s="97" t="n"/>
      <c r="AL368" s="97" t="n"/>
      <c r="AM368" s="97" t="n"/>
      <c r="AN368" s="97" t="n"/>
      <c r="AO368" s="97" t="n">
        <v>13.27299</v>
      </c>
      <c r="AP368" s="97" t="n"/>
      <c r="AQ368" s="97" t="n"/>
      <c r="AR368" s="97" t="n"/>
      <c r="AS368" s="97" t="n"/>
      <c r="AT368" s="97" t="n"/>
      <c r="AU368" s="97" t="n"/>
      <c r="AV368" s="97" t="n"/>
      <c r="AW368" s="97" t="n"/>
      <c r="AX368" s="97" t="n"/>
      <c r="AY368" s="97" t="n"/>
    </row>
    <row r="369" s="135">
      <c r="A369" t="inlineStr">
        <is>
          <t>1949-08</t>
        </is>
      </c>
      <c r="B369" s="2" t="n">
        <v>18111</v>
      </c>
      <c r="C369" s="96" t="n">
        <v>369</v>
      </c>
      <c r="E369" s="2">
        <f>B369</f>
        <v/>
      </c>
      <c r="F369" s="3">
        <f>B369</f>
        <v/>
      </c>
      <c r="G369" s="96" t="n">
        <v>367</v>
      </c>
      <c r="H369" s="97" t="n"/>
      <c r="I369" s="97" t="n"/>
      <c r="J369" s="97" t="n"/>
      <c r="K369" s="97" t="n"/>
      <c r="L369" s="97" t="n"/>
      <c r="M369" s="97" t="n"/>
      <c r="N369" s="97" t="n"/>
      <c r="O369" s="97" t="n"/>
      <c r="P369" s="97" t="n"/>
      <c r="Q369" s="97" t="n"/>
      <c r="R369" s="97" t="n"/>
      <c r="S369" s="97" t="n"/>
      <c r="T369" s="97" t="n"/>
      <c r="U369" s="97" t="n"/>
      <c r="V369" s="97" t="n"/>
      <c r="W369" s="97" t="n"/>
      <c r="X369" s="97" t="n"/>
      <c r="Y369" s="97" t="n"/>
      <c r="Z369" s="97" t="n"/>
      <c r="AA369" s="97" t="n"/>
      <c r="AB369" s="97" t="n"/>
      <c r="AC369" s="97" t="n"/>
      <c r="AD369" s="97" t="n"/>
      <c r="AE369" s="97" t="n"/>
      <c r="AF369" s="97" t="n"/>
      <c r="AG369" s="97" t="n"/>
      <c r="AH369" s="97" t="n"/>
      <c r="AI369" s="97" t="n"/>
      <c r="AJ369" s="97" t="n"/>
      <c r="AK369" s="97" t="n"/>
      <c r="AL369" s="97" t="n"/>
      <c r="AM369" s="97" t="n"/>
      <c r="AN369" s="97" t="n"/>
      <c r="AO369" s="97" t="n">
        <v>13.40602</v>
      </c>
      <c r="AP369" s="97" t="n"/>
      <c r="AQ369" s="97" t="n"/>
      <c r="AR369" s="97" t="n"/>
      <c r="AS369" s="97" t="n"/>
      <c r="AT369" s="97" t="n"/>
      <c r="AU369" s="97" t="n"/>
      <c r="AV369" s="97" t="n"/>
      <c r="AW369" s="97" t="n"/>
      <c r="AX369" s="97" t="n"/>
      <c r="AY369" s="97" t="n"/>
    </row>
    <row r="370" s="135">
      <c r="A370" t="inlineStr">
        <is>
          <t>1949-09</t>
        </is>
      </c>
      <c r="B370" s="2" t="n">
        <v>18142</v>
      </c>
      <c r="C370" s="96" t="n">
        <v>370</v>
      </c>
      <c r="E370" s="2">
        <f>B370</f>
        <v/>
      </c>
      <c r="F370" s="3">
        <f>B370</f>
        <v/>
      </c>
      <c r="G370" s="96" t="n">
        <v>368</v>
      </c>
      <c r="H370" s="97" t="n"/>
      <c r="I370" s="97" t="n"/>
      <c r="J370" s="97" t="n"/>
      <c r="K370" s="97" t="n"/>
      <c r="L370" s="97" t="n"/>
      <c r="M370" s="97" t="n"/>
      <c r="N370" s="97" t="n"/>
      <c r="O370" s="97" t="n"/>
      <c r="P370" s="97" t="n"/>
      <c r="Q370" s="97" t="n"/>
      <c r="R370" s="97" t="n"/>
      <c r="S370" s="97" t="n"/>
      <c r="T370" s="97" t="n"/>
      <c r="U370" s="97" t="n"/>
      <c r="V370" s="97" t="n"/>
      <c r="W370" s="97" t="n"/>
      <c r="X370" s="97" t="n"/>
      <c r="Y370" s="97" t="n"/>
      <c r="Z370" s="97" t="n"/>
      <c r="AA370" s="97" t="n"/>
      <c r="AB370" s="97" t="n"/>
      <c r="AC370" s="97" t="n"/>
      <c r="AD370" s="97" t="n"/>
      <c r="AE370" s="97" t="n"/>
      <c r="AF370" s="97" t="n"/>
      <c r="AG370" s="97" t="n"/>
      <c r="AH370" s="97" t="n"/>
      <c r="AI370" s="97" t="n"/>
      <c r="AJ370" s="97" t="n"/>
      <c r="AK370" s="97" t="n"/>
      <c r="AL370" s="97" t="n"/>
      <c r="AM370" s="97" t="n"/>
      <c r="AN370" s="97" t="n"/>
      <c r="AO370" s="97" t="n">
        <v>13.53896</v>
      </c>
      <c r="AP370" s="97" t="n"/>
      <c r="AQ370" s="97" t="n"/>
      <c r="AR370" s="97" t="n"/>
      <c r="AS370" s="97" t="n"/>
      <c r="AT370" s="97" t="n"/>
      <c r="AU370" s="97" t="n"/>
      <c r="AV370" s="97" t="n"/>
      <c r="AW370" s="97" t="n"/>
      <c r="AX370" s="97" t="n"/>
      <c r="AY370" s="97" t="n"/>
    </row>
    <row r="371" s="135">
      <c r="A371" t="inlineStr">
        <is>
          <t>1949-10</t>
        </is>
      </c>
      <c r="B371" s="2" t="n">
        <v>18172</v>
      </c>
      <c r="C371" s="96" t="n">
        <v>371</v>
      </c>
      <c r="E371" s="2">
        <f>B371</f>
        <v/>
      </c>
      <c r="F371" s="3">
        <f>B371</f>
        <v/>
      </c>
      <c r="G371" s="96" t="n">
        <v>369</v>
      </c>
      <c r="H371" s="97" t="n"/>
      <c r="I371" s="97" t="n"/>
      <c r="J371" s="97" t="n"/>
      <c r="K371" s="97" t="n"/>
      <c r="L371" s="97" t="n"/>
      <c r="M371" s="97" t="n"/>
      <c r="N371" s="97" t="n"/>
      <c r="O371" s="97" t="n"/>
      <c r="P371" s="97" t="n"/>
      <c r="Q371" s="97" t="n"/>
      <c r="R371" s="97" t="n"/>
      <c r="S371" s="97" t="n"/>
      <c r="T371" s="97" t="n"/>
      <c r="U371" s="97" t="n"/>
      <c r="V371" s="97" t="n"/>
      <c r="W371" s="97" t="n"/>
      <c r="X371" s="97" t="n"/>
      <c r="Y371" s="97" t="n"/>
      <c r="Z371" s="97" t="n"/>
      <c r="AA371" s="97" t="n"/>
      <c r="AB371" s="97" t="n"/>
      <c r="AC371" s="97" t="n"/>
      <c r="AD371" s="97" t="n"/>
      <c r="AE371" s="97" t="n"/>
      <c r="AF371" s="97" t="n"/>
      <c r="AG371" s="97" t="n"/>
      <c r="AH371" s="97" t="n"/>
      <c r="AI371" s="97" t="n"/>
      <c r="AJ371" s="97" t="n"/>
      <c r="AK371" s="97" t="n"/>
      <c r="AL371" s="97" t="n"/>
      <c r="AM371" s="97" t="n"/>
      <c r="AN371" s="97" t="n"/>
      <c r="AO371" s="97" t="n">
        <v>13.03363</v>
      </c>
      <c r="AP371" s="97" t="n"/>
      <c r="AQ371" s="97" t="n"/>
      <c r="AR371" s="97" t="n"/>
      <c r="AS371" s="97" t="n"/>
      <c r="AT371" s="97" t="n"/>
      <c r="AU371" s="97" t="n"/>
      <c r="AV371" s="97" t="n"/>
      <c r="AW371" s="97" t="n"/>
      <c r="AX371" s="97" t="n"/>
      <c r="AY371" s="97" t="n"/>
    </row>
    <row r="372" s="135">
      <c r="A372" t="inlineStr">
        <is>
          <t>1949-11</t>
        </is>
      </c>
      <c r="B372" s="2" t="n">
        <v>18203</v>
      </c>
      <c r="C372" s="96" t="n">
        <v>372</v>
      </c>
      <c r="E372" s="2">
        <f>B372</f>
        <v/>
      </c>
      <c r="F372" s="3">
        <f>B372</f>
        <v/>
      </c>
      <c r="G372" s="96" t="n">
        <v>370</v>
      </c>
      <c r="H372" s="97" t="n"/>
      <c r="I372" s="97" t="n"/>
      <c r="J372" s="97" t="n"/>
      <c r="K372" s="97" t="n"/>
      <c r="L372" s="97" t="n"/>
      <c r="M372" s="97" t="n"/>
      <c r="N372" s="97" t="n"/>
      <c r="O372" s="97" t="n"/>
      <c r="P372" s="97" t="n"/>
      <c r="Q372" s="97" t="n"/>
      <c r="R372" s="97" t="n"/>
      <c r="S372" s="97" t="n"/>
      <c r="T372" s="97" t="n"/>
      <c r="U372" s="97" t="n"/>
      <c r="V372" s="97" t="n"/>
      <c r="W372" s="97" t="n"/>
      <c r="X372" s="97" t="n"/>
      <c r="Y372" s="97" t="n"/>
      <c r="Z372" s="97" t="n"/>
      <c r="AA372" s="97" t="n"/>
      <c r="AB372" s="97" t="n"/>
      <c r="AC372" s="97" t="n"/>
      <c r="AD372" s="97" t="n"/>
      <c r="AE372" s="97" t="n"/>
      <c r="AF372" s="97" t="n"/>
      <c r="AG372" s="97" t="n"/>
      <c r="AH372" s="97" t="n"/>
      <c r="AI372" s="97" t="n"/>
      <c r="AJ372" s="97" t="n"/>
      <c r="AK372" s="97" t="n"/>
      <c r="AL372" s="97" t="n"/>
      <c r="AM372" s="97" t="n"/>
      <c r="AN372" s="97" t="n"/>
      <c r="AO372" s="97" t="n">
        <v>13.37942</v>
      </c>
      <c r="AP372" s="97" t="n"/>
      <c r="AQ372" s="97" t="n"/>
      <c r="AR372" s="97" t="n"/>
      <c r="AS372" s="97" t="n"/>
      <c r="AT372" s="97" t="n"/>
      <c r="AU372" s="97" t="n"/>
      <c r="AV372" s="97" t="n"/>
      <c r="AW372" s="97" t="n"/>
      <c r="AX372" s="97" t="n"/>
      <c r="AY372" s="97" t="n"/>
    </row>
    <row r="373" s="135">
      <c r="A373" t="inlineStr">
        <is>
          <t>1949-12</t>
        </is>
      </c>
      <c r="B373" s="2" t="n">
        <v>18233</v>
      </c>
      <c r="C373" s="96" t="n">
        <v>373</v>
      </c>
      <c r="E373" s="2">
        <f>B373</f>
        <v/>
      </c>
      <c r="F373" s="3">
        <f>B373</f>
        <v/>
      </c>
      <c r="G373" s="96" t="n">
        <v>371</v>
      </c>
      <c r="H373" s="97" t="n"/>
      <c r="I373" s="97" t="n"/>
      <c r="J373" s="97" t="n"/>
      <c r="K373" s="97" t="n"/>
      <c r="L373" s="97" t="n"/>
      <c r="M373" s="97" t="n"/>
      <c r="N373" s="97" t="n"/>
      <c r="O373" s="97" t="n"/>
      <c r="P373" s="97" t="n"/>
      <c r="Q373" s="97" t="n"/>
      <c r="R373" s="97" t="n"/>
      <c r="S373" s="97" t="n"/>
      <c r="T373" s="97" t="n"/>
      <c r="U373" s="97" t="n"/>
      <c r="V373" s="97" t="n"/>
      <c r="W373" s="97" t="n"/>
      <c r="X373" s="97" t="n"/>
      <c r="Y373" s="97" t="n"/>
      <c r="Z373" s="97" t="n"/>
      <c r="AA373" s="97" t="n"/>
      <c r="AB373" s="97" t="n"/>
      <c r="AC373" s="97" t="n"/>
      <c r="AD373" s="97" t="n"/>
      <c r="AE373" s="97" t="n"/>
      <c r="AF373" s="97" t="n"/>
      <c r="AG373" s="97" t="n"/>
      <c r="AH373" s="97" t="n"/>
      <c r="AI373" s="97" t="n"/>
      <c r="AJ373" s="97" t="n"/>
      <c r="AK373" s="97" t="n"/>
      <c r="AL373" s="97" t="n"/>
      <c r="AM373" s="97" t="n"/>
      <c r="AN373" s="97" t="n"/>
      <c r="AO373" s="97" t="n">
        <v>13.61878</v>
      </c>
      <c r="AP373" s="97" t="n"/>
      <c r="AQ373" s="97" t="n"/>
      <c r="AR373" s="97" t="n"/>
      <c r="AS373" s="97" t="n"/>
      <c r="AT373" s="97" t="n"/>
      <c r="AU373" s="97" t="n"/>
      <c r="AV373" s="97" t="n"/>
      <c r="AW373" s="97" t="n"/>
      <c r="AX373" s="97" t="n"/>
      <c r="AY373" s="97" t="n"/>
    </row>
    <row r="374" s="135">
      <c r="A374" t="inlineStr">
        <is>
          <t>1950-01</t>
        </is>
      </c>
      <c r="B374" s="2" t="n">
        <v>18264</v>
      </c>
      <c r="C374" s="96" t="n">
        <v>374</v>
      </c>
      <c r="E374" s="2">
        <f>B374</f>
        <v/>
      </c>
      <c r="F374" s="3">
        <f>B374</f>
        <v/>
      </c>
      <c r="G374" s="96" t="n">
        <v>372</v>
      </c>
      <c r="H374" s="97" t="n"/>
      <c r="I374" s="97" t="n"/>
      <c r="J374" s="97" t="n"/>
      <c r="K374" s="97" t="n"/>
      <c r="L374" s="97" t="n"/>
      <c r="M374" s="97" t="n"/>
      <c r="N374" s="97" t="n"/>
      <c r="O374" s="97" t="n"/>
      <c r="P374" s="97" t="n"/>
      <c r="Q374" s="97" t="n"/>
      <c r="R374" s="97" t="n"/>
      <c r="S374" s="97" t="n"/>
      <c r="T374" s="97" t="n"/>
      <c r="U374" s="97" t="n"/>
      <c r="V374" s="97" t="n"/>
      <c r="W374" s="97" t="n"/>
      <c r="X374" s="97" t="n"/>
      <c r="Y374" s="97" t="n"/>
      <c r="Z374" s="97" t="n"/>
      <c r="AA374" s="97" t="n"/>
      <c r="AB374" s="97" t="n"/>
      <c r="AC374" s="97" t="n"/>
      <c r="AD374" s="97" t="n"/>
      <c r="AE374" s="97" t="n"/>
      <c r="AF374" s="97" t="n"/>
      <c r="AG374" s="97" t="n"/>
      <c r="AH374" s="97" t="n"/>
      <c r="AI374" s="97" t="n"/>
      <c r="AJ374" s="97" t="n"/>
      <c r="AK374" s="97" t="n"/>
      <c r="AL374" s="97" t="n"/>
      <c r="AM374" s="97" t="n"/>
      <c r="AN374" s="97" t="n"/>
      <c r="AO374" s="97" t="n">
        <v>13.85814</v>
      </c>
      <c r="AP374" s="97" t="n"/>
      <c r="AQ374" s="97" t="n"/>
      <c r="AR374" s="97" t="n"/>
      <c r="AS374" s="97" t="n"/>
      <c r="AT374" s="97" t="n"/>
      <c r="AU374" s="97" t="n"/>
      <c r="AV374" s="97" t="n"/>
      <c r="AW374" s="97" t="n"/>
      <c r="AX374" s="97" t="n"/>
      <c r="AY374" s="97" t="n"/>
    </row>
    <row r="375" s="135">
      <c r="A375" t="inlineStr">
        <is>
          <t>1950-02</t>
        </is>
      </c>
      <c r="B375" s="2" t="n">
        <v>18295</v>
      </c>
      <c r="C375" s="96" t="n">
        <v>375</v>
      </c>
      <c r="E375" s="2">
        <f>B375</f>
        <v/>
      </c>
      <c r="F375" s="3">
        <f>B375</f>
        <v/>
      </c>
      <c r="G375" s="96" t="n">
        <v>373</v>
      </c>
      <c r="H375" s="97" t="n"/>
      <c r="I375" s="97" t="n"/>
      <c r="J375" s="97" t="n"/>
      <c r="K375" s="97" t="n"/>
      <c r="L375" s="97" t="n"/>
      <c r="M375" s="97" t="n"/>
      <c r="N375" s="97" t="n"/>
      <c r="O375" s="97" t="n"/>
      <c r="P375" s="97" t="n"/>
      <c r="Q375" s="97" t="n"/>
      <c r="R375" s="97" t="n"/>
      <c r="S375" s="97" t="n"/>
      <c r="T375" s="97" t="n"/>
      <c r="U375" s="97" t="n"/>
      <c r="V375" s="97" t="n"/>
      <c r="W375" s="97" t="n"/>
      <c r="X375" s="97" t="n"/>
      <c r="Y375" s="97" t="n"/>
      <c r="Z375" s="97" t="n"/>
      <c r="AA375" s="97" t="n"/>
      <c r="AB375" s="97" t="n"/>
      <c r="AC375" s="97" t="n"/>
      <c r="AD375" s="97" t="n"/>
      <c r="AE375" s="97" t="n"/>
      <c r="AF375" s="97" t="n"/>
      <c r="AG375" s="97" t="n"/>
      <c r="AH375" s="97" t="n"/>
      <c r="AI375" s="97" t="n"/>
      <c r="AJ375" s="97" t="n"/>
      <c r="AK375" s="97" t="n"/>
      <c r="AL375" s="97" t="n"/>
      <c r="AM375" s="97" t="n"/>
      <c r="AN375" s="97" t="n"/>
      <c r="AO375" s="97" t="n">
        <v>13.91135</v>
      </c>
      <c r="AP375" s="97" t="n"/>
      <c r="AQ375" s="97" t="n"/>
      <c r="AR375" s="97" t="n"/>
      <c r="AS375" s="97" t="n"/>
      <c r="AT375" s="97" t="n"/>
      <c r="AU375" s="97" t="n"/>
      <c r="AV375" s="97" t="n"/>
      <c r="AW375" s="97" t="n"/>
      <c r="AX375" s="97" t="n"/>
      <c r="AY375" s="97" t="n"/>
    </row>
    <row r="376" s="135">
      <c r="A376" t="inlineStr">
        <is>
          <t>1950-03</t>
        </is>
      </c>
      <c r="B376" s="2" t="n">
        <v>18323</v>
      </c>
      <c r="C376" s="96" t="n">
        <v>376</v>
      </c>
      <c r="E376" s="2">
        <f>B376</f>
        <v/>
      </c>
      <c r="F376" s="3">
        <f>B376</f>
        <v/>
      </c>
      <c r="G376" s="96" t="n">
        <v>374</v>
      </c>
      <c r="H376" s="97" t="n"/>
      <c r="I376" s="97" t="n"/>
      <c r="J376" s="97" t="n"/>
      <c r="K376" s="97" t="n"/>
      <c r="L376" s="97" t="n"/>
      <c r="M376" s="97" t="n"/>
      <c r="N376" s="97" t="n"/>
      <c r="O376" s="97" t="n"/>
      <c r="P376" s="97" t="n"/>
      <c r="Q376" s="97" t="n"/>
      <c r="R376" s="97" t="n"/>
      <c r="S376" s="97" t="n"/>
      <c r="T376" s="97" t="n"/>
      <c r="U376" s="97" t="n"/>
      <c r="V376" s="97" t="n"/>
      <c r="W376" s="97" t="n"/>
      <c r="X376" s="97" t="n"/>
      <c r="Y376" s="97" t="n"/>
      <c r="Z376" s="97" t="n"/>
      <c r="AA376" s="97" t="n"/>
      <c r="AB376" s="97" t="n"/>
      <c r="AC376" s="97" t="n"/>
      <c r="AD376" s="97" t="n"/>
      <c r="AE376" s="97" t="n"/>
      <c r="AF376" s="97" t="n"/>
      <c r="AG376" s="97" t="n"/>
      <c r="AH376" s="97" t="n"/>
      <c r="AI376" s="97" t="n"/>
      <c r="AJ376" s="97" t="n"/>
      <c r="AK376" s="97" t="n"/>
      <c r="AL376" s="97" t="n"/>
      <c r="AM376" s="97" t="n"/>
      <c r="AN376" s="97" t="n"/>
      <c r="AO376" s="97" t="n">
        <v>14.36356</v>
      </c>
      <c r="AP376" s="97" t="n"/>
      <c r="AQ376" s="97" t="n"/>
      <c r="AR376" s="97" t="n"/>
      <c r="AS376" s="97" t="n"/>
      <c r="AT376" s="97" t="n"/>
      <c r="AU376" s="97" t="n"/>
      <c r="AV376" s="97" t="n"/>
      <c r="AW376" s="97" t="n"/>
      <c r="AX376" s="97" t="n"/>
      <c r="AY376" s="97" t="n"/>
    </row>
    <row r="377" s="135">
      <c r="A377" t="inlineStr">
        <is>
          <t>1950-04</t>
        </is>
      </c>
      <c r="B377" s="2" t="n">
        <v>18354</v>
      </c>
      <c r="C377" s="96" t="n">
        <v>377</v>
      </c>
      <c r="E377" s="2">
        <f>B377</f>
        <v/>
      </c>
      <c r="F377" s="3">
        <f>B377</f>
        <v/>
      </c>
      <c r="G377" s="96" t="n">
        <v>375</v>
      </c>
      <c r="H377" s="97" t="n"/>
      <c r="I377" s="97" t="n"/>
      <c r="J377" s="97" t="n"/>
      <c r="K377" s="97" t="n"/>
      <c r="L377" s="97" t="n"/>
      <c r="M377" s="97" t="n"/>
      <c r="N377" s="97" t="n"/>
      <c r="O377" s="97" t="n"/>
      <c r="P377" s="97" t="n"/>
      <c r="Q377" s="97" t="n"/>
      <c r="R377" s="97" t="n"/>
      <c r="S377" s="97" t="n"/>
      <c r="T377" s="97" t="n"/>
      <c r="U377" s="97" t="n"/>
      <c r="V377" s="97" t="n"/>
      <c r="W377" s="97" t="n"/>
      <c r="X377" s="97" t="n"/>
      <c r="Y377" s="97" t="n"/>
      <c r="Z377" s="97" t="n"/>
      <c r="AA377" s="97" t="n"/>
      <c r="AB377" s="97" t="n"/>
      <c r="AC377" s="97" t="n"/>
      <c r="AD377" s="97" t="n"/>
      <c r="AE377" s="97" t="n"/>
      <c r="AF377" s="97" t="n"/>
      <c r="AG377" s="97" t="n"/>
      <c r="AH377" s="97" t="n"/>
      <c r="AI377" s="97" t="n"/>
      <c r="AJ377" s="97" t="n"/>
      <c r="AK377" s="97" t="n"/>
      <c r="AL377" s="97" t="n"/>
      <c r="AM377" s="97" t="n"/>
      <c r="AN377" s="97" t="n"/>
      <c r="AO377" s="97" t="n">
        <v>14.84237</v>
      </c>
      <c r="AP377" s="97" t="n"/>
      <c r="AQ377" s="97" t="n"/>
      <c r="AR377" s="97" t="n"/>
      <c r="AS377" s="97" t="n"/>
      <c r="AT377" s="97" t="n"/>
      <c r="AU377" s="97" t="n"/>
      <c r="AV377" s="97" t="n"/>
      <c r="AW377" s="97" t="n"/>
      <c r="AX377" s="97" t="n"/>
      <c r="AY377" s="97" t="n"/>
    </row>
    <row r="378" s="135">
      <c r="A378" t="inlineStr">
        <is>
          <t>1950-05</t>
        </is>
      </c>
      <c r="B378" s="2" t="n">
        <v>18384</v>
      </c>
      <c r="C378" s="96" t="n">
        <v>378</v>
      </c>
      <c r="E378" s="2">
        <f>B378</f>
        <v/>
      </c>
      <c r="F378" s="3">
        <f>B378</f>
        <v/>
      </c>
      <c r="G378" s="96" t="n">
        <v>376</v>
      </c>
      <c r="H378" s="97" t="n"/>
      <c r="I378" s="97" t="n"/>
      <c r="J378" s="97" t="n"/>
      <c r="K378" s="97" t="n"/>
      <c r="L378" s="97" t="n"/>
      <c r="M378" s="97" t="n"/>
      <c r="N378" s="97" t="n"/>
      <c r="O378" s="97" t="n"/>
      <c r="P378" s="97" t="n"/>
      <c r="Q378" s="97" t="n"/>
      <c r="R378" s="97" t="n"/>
      <c r="S378" s="97" t="n"/>
      <c r="T378" s="97" t="n"/>
      <c r="U378" s="97" t="n"/>
      <c r="V378" s="97" t="n"/>
      <c r="W378" s="97" t="n"/>
      <c r="X378" s="97" t="n"/>
      <c r="Y378" s="97" t="n"/>
      <c r="Z378" s="97" t="n"/>
      <c r="AA378" s="97" t="n"/>
      <c r="AB378" s="97" t="n"/>
      <c r="AC378" s="97" t="n"/>
      <c r="AD378" s="97" t="n"/>
      <c r="AE378" s="97" t="n"/>
      <c r="AF378" s="97" t="n"/>
      <c r="AG378" s="97" t="n"/>
      <c r="AH378" s="97" t="n"/>
      <c r="AI378" s="97" t="n"/>
      <c r="AJ378" s="97" t="n"/>
      <c r="AK378" s="97" t="n"/>
      <c r="AL378" s="97" t="n"/>
      <c r="AM378" s="97" t="n"/>
      <c r="AN378" s="97" t="n"/>
      <c r="AO378" s="97" t="n">
        <v>15.18815</v>
      </c>
      <c r="AP378" s="97" t="n"/>
      <c r="AQ378" s="97" t="n"/>
      <c r="AR378" s="97" t="n"/>
      <c r="AS378" s="97" t="n"/>
      <c r="AT378" s="97" t="n"/>
      <c r="AU378" s="97" t="n"/>
      <c r="AV378" s="97" t="n"/>
      <c r="AW378" s="97" t="n"/>
      <c r="AX378" s="97" t="n"/>
      <c r="AY378" s="97" t="n"/>
    </row>
    <row r="379" s="135">
      <c r="A379" t="inlineStr">
        <is>
          <t>1950-06</t>
        </is>
      </c>
      <c r="B379" s="2" t="n">
        <v>18415</v>
      </c>
      <c r="C379" s="96" t="n">
        <v>379</v>
      </c>
      <c r="E379" s="2">
        <f>B379</f>
        <v/>
      </c>
      <c r="F379" s="3">
        <f>B379</f>
        <v/>
      </c>
      <c r="G379" s="96" t="n">
        <v>377</v>
      </c>
      <c r="H379" s="97" t="n"/>
      <c r="I379" s="97" t="n"/>
      <c r="J379" s="97" t="n"/>
      <c r="K379" s="97" t="n"/>
      <c r="L379" s="97" t="n"/>
      <c r="M379" s="97" t="n"/>
      <c r="N379" s="97" t="n"/>
      <c r="O379" s="97" t="n"/>
      <c r="P379" s="97" t="n"/>
      <c r="Q379" s="97" t="n"/>
      <c r="R379" s="97" t="n"/>
      <c r="S379" s="97" t="n"/>
      <c r="T379" s="97" t="n"/>
      <c r="U379" s="97" t="n"/>
      <c r="V379" s="97" t="n"/>
      <c r="W379" s="97" t="n"/>
      <c r="X379" s="97" t="n"/>
      <c r="Y379" s="97" t="n"/>
      <c r="Z379" s="97" t="n"/>
      <c r="AA379" s="97" t="n"/>
      <c r="AB379" s="97" t="n"/>
      <c r="AC379" s="97" t="n"/>
      <c r="AD379" s="97" t="n"/>
      <c r="AE379" s="97" t="n"/>
      <c r="AF379" s="97" t="n"/>
      <c r="AG379" s="97" t="n"/>
      <c r="AH379" s="97" t="n"/>
      <c r="AI379" s="97" t="n"/>
      <c r="AJ379" s="97" t="n"/>
      <c r="AK379" s="97" t="n"/>
      <c r="AL379" s="97" t="n"/>
      <c r="AM379" s="97" t="n"/>
      <c r="AN379" s="97" t="n"/>
      <c r="AO379" s="97" t="n">
        <v>15.64036</v>
      </c>
      <c r="AP379" s="97" t="n"/>
      <c r="AQ379" s="97" t="n"/>
      <c r="AR379" s="97" t="n"/>
      <c r="AS379" s="97" t="n"/>
      <c r="AT379" s="97" t="n"/>
      <c r="AU379" s="97" t="n"/>
      <c r="AV379" s="97" t="n"/>
      <c r="AW379" s="97" t="n"/>
      <c r="AX379" s="97" t="n"/>
      <c r="AY379" s="97" t="n"/>
    </row>
    <row r="380" s="135">
      <c r="A380" t="inlineStr">
        <is>
          <t>1950-07</t>
        </is>
      </c>
      <c r="B380" s="2" t="n">
        <v>18445</v>
      </c>
      <c r="C380" s="96" t="n">
        <v>380</v>
      </c>
      <c r="E380" s="2">
        <f>B380</f>
        <v/>
      </c>
      <c r="F380" s="3">
        <f>B380</f>
        <v/>
      </c>
      <c r="G380" s="96" t="n">
        <v>378</v>
      </c>
      <c r="H380" s="97" t="n"/>
      <c r="I380" s="97" t="n"/>
      <c r="J380" s="97" t="n"/>
      <c r="K380" s="97" t="n"/>
      <c r="L380" s="97" t="n"/>
      <c r="M380" s="97" t="n"/>
      <c r="N380" s="97" t="n"/>
      <c r="O380" s="97" t="n"/>
      <c r="P380" s="97" t="n"/>
      <c r="Q380" s="97" t="n"/>
      <c r="R380" s="97" t="n"/>
      <c r="S380" s="97" t="n"/>
      <c r="T380" s="97" t="n"/>
      <c r="U380" s="97" t="n"/>
      <c r="V380" s="97" t="n"/>
      <c r="W380" s="97" t="n"/>
      <c r="X380" s="97" t="n"/>
      <c r="Y380" s="97" t="n"/>
      <c r="Z380" s="97" t="n"/>
      <c r="AA380" s="97" t="n"/>
      <c r="AB380" s="97" t="n"/>
      <c r="AC380" s="97" t="n"/>
      <c r="AD380" s="97" t="n"/>
      <c r="AE380" s="97" t="n"/>
      <c r="AF380" s="97" t="n"/>
      <c r="AG380" s="97" t="n"/>
      <c r="AH380" s="97" t="n"/>
      <c r="AI380" s="97" t="n"/>
      <c r="AJ380" s="97" t="n"/>
      <c r="AK380" s="97" t="n"/>
      <c r="AL380" s="97" t="n"/>
      <c r="AM380" s="97" t="n"/>
      <c r="AN380" s="97" t="n"/>
      <c r="AO380" s="97" t="n">
        <v>16.14569</v>
      </c>
      <c r="AP380" s="97" t="n"/>
      <c r="AQ380" s="97" t="n"/>
      <c r="AR380" s="97" t="n"/>
      <c r="AS380" s="97" t="n"/>
      <c r="AT380" s="97" t="n"/>
      <c r="AU380" s="97" t="n"/>
      <c r="AV380" s="97" t="n"/>
      <c r="AW380" s="97" t="n"/>
      <c r="AX380" s="97" t="n"/>
      <c r="AY380" s="97" t="n"/>
    </row>
    <row r="381" s="135">
      <c r="A381" t="inlineStr">
        <is>
          <t>1950-08</t>
        </is>
      </c>
      <c r="B381" s="2" t="n">
        <v>18476</v>
      </c>
      <c r="C381" s="96" t="n">
        <v>381</v>
      </c>
      <c r="E381" s="2">
        <f>B381</f>
        <v/>
      </c>
      <c r="F381" s="3">
        <f>B381</f>
        <v/>
      </c>
      <c r="G381" s="96" t="n">
        <v>379</v>
      </c>
      <c r="H381" s="97" t="n"/>
      <c r="I381" s="97" t="n"/>
      <c r="J381" s="97" t="n"/>
      <c r="K381" s="97" t="n"/>
      <c r="L381" s="97" t="n"/>
      <c r="M381" s="97" t="n"/>
      <c r="N381" s="97" t="n"/>
      <c r="O381" s="97" t="n"/>
      <c r="P381" s="97" t="n"/>
      <c r="Q381" s="97" t="n"/>
      <c r="R381" s="97" t="n"/>
      <c r="S381" s="97" t="n"/>
      <c r="T381" s="97" t="n"/>
      <c r="U381" s="97" t="n"/>
      <c r="V381" s="97" t="n"/>
      <c r="W381" s="97" t="n"/>
      <c r="X381" s="97" t="n"/>
      <c r="Y381" s="97" t="n"/>
      <c r="Z381" s="97" t="n"/>
      <c r="AA381" s="97" t="n"/>
      <c r="AB381" s="97" t="n"/>
      <c r="AC381" s="97" t="n"/>
      <c r="AD381" s="97" t="n"/>
      <c r="AE381" s="97" t="n"/>
      <c r="AF381" s="97" t="n"/>
      <c r="AG381" s="97" t="n"/>
      <c r="AH381" s="97" t="n"/>
      <c r="AI381" s="97" t="n"/>
      <c r="AJ381" s="97" t="n"/>
      <c r="AK381" s="97" t="n"/>
      <c r="AL381" s="97" t="n"/>
      <c r="AM381" s="97" t="n"/>
      <c r="AN381" s="97" t="n"/>
      <c r="AO381" s="97" t="n">
        <v>16.65111</v>
      </c>
      <c r="AP381" s="97" t="n"/>
      <c r="AQ381" s="97" t="n"/>
      <c r="AR381" s="97" t="n"/>
      <c r="AS381" s="97" t="n"/>
      <c r="AT381" s="97" t="n"/>
      <c r="AU381" s="97" t="n"/>
      <c r="AV381" s="97" t="n"/>
      <c r="AW381" s="97" t="n"/>
      <c r="AX381" s="97" t="n"/>
      <c r="AY381" s="97" t="n"/>
    </row>
    <row r="382" s="135">
      <c r="A382" t="inlineStr">
        <is>
          <t>1950-09</t>
        </is>
      </c>
      <c r="B382" s="2" t="n">
        <v>18507</v>
      </c>
      <c r="C382" s="96" t="n">
        <v>382</v>
      </c>
      <c r="E382" s="2">
        <f>B382</f>
        <v/>
      </c>
      <c r="F382" s="3">
        <f>B382</f>
        <v/>
      </c>
      <c r="G382" s="96" t="n">
        <v>380</v>
      </c>
      <c r="H382" s="97" t="n"/>
      <c r="I382" s="97" t="n"/>
      <c r="J382" s="97" t="n"/>
      <c r="K382" s="97" t="n"/>
      <c r="L382" s="97" t="n"/>
      <c r="M382" s="97" t="n"/>
      <c r="N382" s="97" t="n"/>
      <c r="O382" s="97" t="n"/>
      <c r="P382" s="97" t="n"/>
      <c r="Q382" s="97" t="n"/>
      <c r="R382" s="97" t="n"/>
      <c r="S382" s="97" t="n"/>
      <c r="T382" s="97" t="n"/>
      <c r="U382" s="97" t="n"/>
      <c r="V382" s="97" t="n"/>
      <c r="W382" s="97" t="n"/>
      <c r="X382" s="97" t="n"/>
      <c r="Y382" s="97" t="n"/>
      <c r="Z382" s="97" t="n"/>
      <c r="AA382" s="97" t="n"/>
      <c r="AB382" s="97" t="n"/>
      <c r="AC382" s="97" t="n"/>
      <c r="AD382" s="97" t="n"/>
      <c r="AE382" s="97" t="n"/>
      <c r="AF382" s="97" t="n"/>
      <c r="AG382" s="97" t="n"/>
      <c r="AH382" s="97" t="n"/>
      <c r="AI382" s="97" t="n"/>
      <c r="AJ382" s="97" t="n"/>
      <c r="AK382" s="97" t="n"/>
      <c r="AL382" s="97" t="n"/>
      <c r="AM382" s="97" t="n"/>
      <c r="AN382" s="97" t="n"/>
      <c r="AO382" s="97" t="n">
        <v>16.54468</v>
      </c>
      <c r="AP382" s="97" t="n"/>
      <c r="AQ382" s="97" t="n"/>
      <c r="AR382" s="97" t="n"/>
      <c r="AS382" s="97" t="n"/>
      <c r="AT382" s="97" t="n"/>
      <c r="AU382" s="97" t="n"/>
      <c r="AV382" s="97" t="n"/>
      <c r="AW382" s="97" t="n"/>
      <c r="AX382" s="97" t="n"/>
      <c r="AY382" s="97" t="n"/>
    </row>
    <row r="383" s="135">
      <c r="A383" t="inlineStr">
        <is>
          <t>1950-10</t>
        </is>
      </c>
      <c r="B383" s="2" t="n">
        <v>18537</v>
      </c>
      <c r="C383" s="96" t="n">
        <v>383</v>
      </c>
      <c r="E383" s="2">
        <f>B383</f>
        <v/>
      </c>
      <c r="F383" s="3">
        <f>B383</f>
        <v/>
      </c>
      <c r="G383" s="96" t="n">
        <v>381</v>
      </c>
      <c r="H383" s="97" t="n"/>
      <c r="I383" s="97" t="n"/>
      <c r="J383" s="97" t="n"/>
      <c r="K383" s="97" t="n"/>
      <c r="L383" s="97" t="n"/>
      <c r="M383" s="97" t="n"/>
      <c r="N383" s="97" t="n"/>
      <c r="O383" s="97" t="n"/>
      <c r="P383" s="97" t="n"/>
      <c r="Q383" s="97" t="n"/>
      <c r="R383" s="97" t="n"/>
      <c r="S383" s="97" t="n"/>
      <c r="T383" s="97" t="n"/>
      <c r="U383" s="97" t="n"/>
      <c r="V383" s="97" t="n"/>
      <c r="W383" s="97" t="n"/>
      <c r="X383" s="97" t="n"/>
      <c r="Y383" s="97" t="n"/>
      <c r="Z383" s="97" t="n"/>
      <c r="AA383" s="97" t="n"/>
      <c r="AB383" s="97" t="n"/>
      <c r="AC383" s="97" t="n"/>
      <c r="AD383" s="97" t="n"/>
      <c r="AE383" s="97" t="n"/>
      <c r="AF383" s="97" t="n"/>
      <c r="AG383" s="97" t="n"/>
      <c r="AH383" s="97" t="n"/>
      <c r="AI383" s="97" t="n"/>
      <c r="AJ383" s="97" t="n"/>
      <c r="AK383" s="97" t="n"/>
      <c r="AL383" s="97" t="n"/>
      <c r="AM383" s="97" t="n"/>
      <c r="AN383" s="97" t="n"/>
      <c r="AO383" s="97" t="n">
        <v>16.65111</v>
      </c>
      <c r="AP383" s="97" t="n"/>
      <c r="AQ383" s="97" t="n"/>
      <c r="AR383" s="97" t="n"/>
      <c r="AS383" s="97" t="n"/>
      <c r="AT383" s="97" t="n"/>
      <c r="AU383" s="97" t="n"/>
      <c r="AV383" s="97" t="n"/>
      <c r="AW383" s="97" t="n"/>
      <c r="AX383" s="97" t="n"/>
      <c r="AY383" s="97" t="n"/>
    </row>
    <row r="384" s="135">
      <c r="A384" t="inlineStr">
        <is>
          <t>1950-11</t>
        </is>
      </c>
      <c r="B384" s="2" t="n">
        <v>18568</v>
      </c>
      <c r="C384" s="96" t="n">
        <v>384</v>
      </c>
      <c r="E384" s="2">
        <f>B384</f>
        <v/>
      </c>
      <c r="F384" s="3">
        <f>B384</f>
        <v/>
      </c>
      <c r="G384" s="96" t="n">
        <v>382</v>
      </c>
      <c r="H384" s="97" t="n"/>
      <c r="I384" s="97" t="n"/>
      <c r="J384" s="97" t="n"/>
      <c r="K384" s="97" t="n"/>
      <c r="L384" s="97" t="n"/>
      <c r="M384" s="97" t="n"/>
      <c r="N384" s="97" t="n"/>
      <c r="O384" s="97" t="n"/>
      <c r="P384" s="97" t="n"/>
      <c r="Q384" s="97" t="n"/>
      <c r="R384" s="97" t="n"/>
      <c r="S384" s="97" t="n"/>
      <c r="T384" s="97" t="n"/>
      <c r="U384" s="97" t="n"/>
      <c r="V384" s="97" t="n"/>
      <c r="W384" s="97" t="n"/>
      <c r="X384" s="97" t="n"/>
      <c r="Y384" s="97" t="n"/>
      <c r="Z384" s="97" t="n"/>
      <c r="AA384" s="97" t="n"/>
      <c r="AB384" s="97" t="n"/>
      <c r="AC384" s="97" t="n"/>
      <c r="AD384" s="97" t="n"/>
      <c r="AE384" s="97" t="n"/>
      <c r="AF384" s="97" t="n"/>
      <c r="AG384" s="97" t="n"/>
      <c r="AH384" s="97" t="n"/>
      <c r="AI384" s="97" t="n"/>
      <c r="AJ384" s="97" t="n"/>
      <c r="AK384" s="97" t="n"/>
      <c r="AL384" s="97" t="n"/>
      <c r="AM384" s="97" t="n"/>
      <c r="AN384" s="97" t="n"/>
      <c r="AO384" s="97" t="n">
        <v>16.6245</v>
      </c>
      <c r="AP384" s="97" t="n"/>
      <c r="AQ384" s="97" t="n"/>
      <c r="AR384" s="97" t="n"/>
      <c r="AS384" s="97" t="n"/>
      <c r="AT384" s="97" t="n"/>
      <c r="AU384" s="97" t="n"/>
      <c r="AV384" s="97" t="n"/>
      <c r="AW384" s="97" t="n"/>
      <c r="AX384" s="97" t="n"/>
      <c r="AY384" s="97" t="n"/>
    </row>
    <row r="385" s="135">
      <c r="A385" t="inlineStr">
        <is>
          <t>1950-12</t>
        </is>
      </c>
      <c r="B385" s="2" t="n">
        <v>18598</v>
      </c>
      <c r="C385" s="96" t="n">
        <v>385</v>
      </c>
      <c r="E385" s="2">
        <f>B385</f>
        <v/>
      </c>
      <c r="F385" s="3">
        <f>B385</f>
        <v/>
      </c>
      <c r="G385" s="96" t="n">
        <v>383</v>
      </c>
      <c r="H385" s="97" t="n"/>
      <c r="I385" s="97" t="n"/>
      <c r="J385" s="97" t="n"/>
      <c r="K385" s="97" t="n"/>
      <c r="L385" s="97" t="n"/>
      <c r="M385" s="97" t="n"/>
      <c r="N385" s="97" t="n"/>
      <c r="O385" s="97" t="n"/>
      <c r="P385" s="97" t="n"/>
      <c r="Q385" s="97" t="n"/>
      <c r="R385" s="97" t="n"/>
      <c r="S385" s="97" t="n"/>
      <c r="T385" s="97" t="n"/>
      <c r="U385" s="97" t="n"/>
      <c r="V385" s="97" t="n"/>
      <c r="W385" s="97" t="n"/>
      <c r="X385" s="97" t="n"/>
      <c r="Y385" s="97" t="n"/>
      <c r="Z385" s="97" t="n"/>
      <c r="AA385" s="97" t="n"/>
      <c r="AB385" s="97" t="n"/>
      <c r="AC385" s="97" t="n"/>
      <c r="AD385" s="97" t="n"/>
      <c r="AE385" s="97" t="n"/>
      <c r="AF385" s="97" t="n"/>
      <c r="AG385" s="97" t="n"/>
      <c r="AH385" s="97" t="n"/>
      <c r="AI385" s="97" t="n"/>
      <c r="AJ385" s="97" t="n"/>
      <c r="AK385" s="97" t="n"/>
      <c r="AL385" s="97" t="n"/>
      <c r="AM385" s="97" t="n"/>
      <c r="AN385" s="97" t="n"/>
      <c r="AO385" s="97" t="n">
        <v>16.91707</v>
      </c>
      <c r="AP385" s="97" t="n"/>
      <c r="AQ385" s="97" t="n"/>
      <c r="AR385" s="97" t="n"/>
      <c r="AS385" s="97" t="n"/>
      <c r="AT385" s="97" t="n"/>
      <c r="AU385" s="97" t="n"/>
      <c r="AV385" s="97" t="n"/>
      <c r="AW385" s="97" t="n"/>
      <c r="AX385" s="97" t="n"/>
      <c r="AY385" s="97" t="n"/>
    </row>
    <row r="386" s="135">
      <c r="A386" t="inlineStr">
        <is>
          <t>1951-01</t>
        </is>
      </c>
      <c r="B386" s="2" t="n">
        <v>18629</v>
      </c>
      <c r="C386" s="96" t="n">
        <v>386</v>
      </c>
      <c r="E386" s="2">
        <f>B386</f>
        <v/>
      </c>
      <c r="F386" s="3">
        <f>B386</f>
        <v/>
      </c>
      <c r="G386" s="96" t="n">
        <v>384</v>
      </c>
      <c r="H386" s="97" t="n"/>
      <c r="I386" s="97" t="n"/>
      <c r="J386" s="97" t="n"/>
      <c r="K386" s="97" t="n"/>
      <c r="L386" s="97" t="n"/>
      <c r="M386" s="97" t="n"/>
      <c r="N386" s="97" t="n"/>
      <c r="O386" s="97" t="n"/>
      <c r="P386" s="97" t="n"/>
      <c r="Q386" s="97" t="n"/>
      <c r="R386" s="97" t="n"/>
      <c r="S386" s="97" t="n"/>
      <c r="T386" s="97" t="n"/>
      <c r="U386" s="97" t="n"/>
      <c r="V386" s="97" t="n"/>
      <c r="W386" s="97" t="n"/>
      <c r="X386" s="97" t="n"/>
      <c r="Y386" s="97" t="n"/>
      <c r="Z386" s="97" t="n"/>
      <c r="AA386" s="97" t="n"/>
      <c r="AB386" s="97" t="n"/>
      <c r="AC386" s="97" t="n"/>
      <c r="AD386" s="97" t="n"/>
      <c r="AE386" s="97" t="n"/>
      <c r="AF386" s="97" t="n"/>
      <c r="AG386" s="97" t="n"/>
      <c r="AH386" s="97" t="n"/>
      <c r="AI386" s="97" t="n"/>
      <c r="AJ386" s="97" t="n"/>
      <c r="AK386" s="97" t="n"/>
      <c r="AL386" s="97" t="n"/>
      <c r="AM386" s="97" t="n"/>
      <c r="AN386" s="97" t="n"/>
      <c r="AO386" s="97" t="n">
        <v>16.97028</v>
      </c>
      <c r="AP386" s="97" t="n"/>
      <c r="AQ386" s="97" t="n"/>
      <c r="AR386" s="97" t="n"/>
      <c r="AS386" s="97" t="n"/>
      <c r="AT386" s="97" t="n"/>
      <c r="AU386" s="97" t="n"/>
      <c r="AV386" s="97" t="n"/>
      <c r="AW386" s="97" t="n"/>
      <c r="AX386" s="97" t="n"/>
      <c r="AY386" s="97" t="n"/>
    </row>
    <row r="387" s="135">
      <c r="A387" t="inlineStr">
        <is>
          <t>1951-02</t>
        </is>
      </c>
      <c r="B387" s="2" t="n">
        <v>18660</v>
      </c>
      <c r="C387" s="96" t="n">
        <v>387</v>
      </c>
      <c r="E387" s="2">
        <f>B387</f>
        <v/>
      </c>
      <c r="F387" s="3">
        <f>B387</f>
        <v/>
      </c>
      <c r="G387" s="96" t="n">
        <v>385</v>
      </c>
      <c r="H387" s="97" t="n"/>
      <c r="I387" s="97" t="n"/>
      <c r="J387" s="97" t="n"/>
      <c r="K387" s="97" t="n"/>
      <c r="L387" s="97" t="n"/>
      <c r="M387" s="97" t="n"/>
      <c r="N387" s="97" t="n"/>
      <c r="O387" s="97" t="n"/>
      <c r="P387" s="97" t="n"/>
      <c r="Q387" s="97" t="n"/>
      <c r="R387" s="97" t="n"/>
      <c r="S387" s="97" t="n"/>
      <c r="T387" s="97" t="n"/>
      <c r="U387" s="97" t="n"/>
      <c r="V387" s="97" t="n"/>
      <c r="W387" s="97" t="n"/>
      <c r="X387" s="97" t="n"/>
      <c r="Y387" s="97" t="n"/>
      <c r="Z387" s="97" t="n"/>
      <c r="AA387" s="97" t="n"/>
      <c r="AB387" s="97" t="n"/>
      <c r="AC387" s="97" t="n"/>
      <c r="AD387" s="97" t="n"/>
      <c r="AE387" s="97" t="n"/>
      <c r="AF387" s="97" t="n"/>
      <c r="AG387" s="97" t="n"/>
      <c r="AH387" s="97" t="n"/>
      <c r="AI387" s="97" t="n"/>
      <c r="AJ387" s="97" t="n"/>
      <c r="AK387" s="97" t="n"/>
      <c r="AL387" s="97" t="n"/>
      <c r="AM387" s="97" t="n"/>
      <c r="AN387" s="97" t="n"/>
      <c r="AO387" s="97" t="n">
        <v>17.07671</v>
      </c>
      <c r="AP387" s="97" t="n"/>
      <c r="AQ387" s="97" t="n"/>
      <c r="AR387" s="97" t="n"/>
      <c r="AS387" s="97" t="n"/>
      <c r="AT387" s="97" t="n"/>
      <c r="AU387" s="97" t="n"/>
      <c r="AV387" s="97" t="n"/>
      <c r="AW387" s="97" t="n"/>
      <c r="AX387" s="97" t="n"/>
      <c r="AY387" s="97" t="n"/>
    </row>
    <row r="388" s="135">
      <c r="A388" t="inlineStr">
        <is>
          <t>1951-03</t>
        </is>
      </c>
      <c r="B388" s="2" t="n">
        <v>18688</v>
      </c>
      <c r="C388" s="96" t="n">
        <v>388</v>
      </c>
      <c r="E388" s="2">
        <f>B388</f>
        <v/>
      </c>
      <c r="F388" s="3">
        <f>B388</f>
        <v/>
      </c>
      <c r="G388" s="96" t="n">
        <v>386</v>
      </c>
      <c r="H388" s="97" t="n"/>
      <c r="I388" s="97" t="n"/>
      <c r="J388" s="97" t="n"/>
      <c r="K388" s="97" t="n"/>
      <c r="L388" s="97" t="n"/>
      <c r="M388" s="97" t="n"/>
      <c r="N388" s="97" t="n"/>
      <c r="O388" s="97" t="n"/>
      <c r="P388" s="97" t="n"/>
      <c r="Q388" s="97" t="n"/>
      <c r="R388" s="97" t="n"/>
      <c r="S388" s="97" t="n"/>
      <c r="T388" s="97" t="n"/>
      <c r="U388" s="97" t="n"/>
      <c r="V388" s="97" t="n"/>
      <c r="W388" s="97" t="n"/>
      <c r="X388" s="97" t="n"/>
      <c r="Y388" s="97" t="n"/>
      <c r="Z388" s="97" t="n"/>
      <c r="AA388" s="97" t="n"/>
      <c r="AB388" s="97" t="n"/>
      <c r="AC388" s="97" t="n"/>
      <c r="AD388" s="97" t="n"/>
      <c r="AE388" s="97" t="n"/>
      <c r="AF388" s="97" t="n"/>
      <c r="AG388" s="97" t="n"/>
      <c r="AH388" s="97" t="n"/>
      <c r="AI388" s="97" t="n"/>
      <c r="AJ388" s="97" t="n"/>
      <c r="AK388" s="97" t="n"/>
      <c r="AL388" s="97" t="n"/>
      <c r="AM388" s="97" t="n"/>
      <c r="AN388" s="97" t="n"/>
      <c r="AO388" s="97" t="n">
        <v>17.15643</v>
      </c>
      <c r="AP388" s="97" t="n"/>
      <c r="AQ388" s="97" t="n"/>
      <c r="AR388" s="97" t="n"/>
      <c r="AS388" s="97" t="n"/>
      <c r="AT388" s="97" t="n"/>
      <c r="AU388" s="97" t="n"/>
      <c r="AV388" s="97" t="n"/>
      <c r="AW388" s="97" t="n"/>
      <c r="AX388" s="97" t="n"/>
      <c r="AY388" s="97" t="n"/>
    </row>
    <row r="389" s="135">
      <c r="A389" t="inlineStr">
        <is>
          <t>1951-04</t>
        </is>
      </c>
      <c r="B389" s="2" t="n">
        <v>18719</v>
      </c>
      <c r="C389" s="96" t="n">
        <v>389</v>
      </c>
      <c r="E389" s="2">
        <f>B389</f>
        <v/>
      </c>
      <c r="F389" s="3">
        <f>B389</f>
        <v/>
      </c>
      <c r="G389" s="96" t="n">
        <v>387</v>
      </c>
      <c r="H389" s="97" t="n"/>
      <c r="I389" s="97" t="n"/>
      <c r="J389" s="97" t="n"/>
      <c r="K389" s="97" t="n"/>
      <c r="L389" s="97" t="n"/>
      <c r="M389" s="97" t="n"/>
      <c r="N389" s="97" t="n"/>
      <c r="O389" s="97" t="n"/>
      <c r="P389" s="97" t="n"/>
      <c r="Q389" s="97" t="n"/>
      <c r="R389" s="97" t="n"/>
      <c r="S389" s="97" t="n"/>
      <c r="T389" s="97" t="n"/>
      <c r="U389" s="97" t="n"/>
      <c r="V389" s="97" t="n"/>
      <c r="W389" s="97" t="n"/>
      <c r="X389" s="97" t="n"/>
      <c r="Y389" s="97" t="n"/>
      <c r="Z389" s="97" t="n"/>
      <c r="AA389" s="97" t="n"/>
      <c r="AB389" s="97" t="n"/>
      <c r="AC389" s="97" t="n"/>
      <c r="AD389" s="97" t="n"/>
      <c r="AE389" s="97" t="n"/>
      <c r="AF389" s="97" t="n"/>
      <c r="AG389" s="97" t="n"/>
      <c r="AH389" s="97" t="n"/>
      <c r="AI389" s="97" t="n"/>
      <c r="AJ389" s="97" t="n"/>
      <c r="AK389" s="97" t="n"/>
      <c r="AL389" s="97" t="n"/>
      <c r="AM389" s="97" t="n"/>
      <c r="AN389" s="97" t="n"/>
      <c r="AO389" s="97" t="n">
        <v>17.18303</v>
      </c>
      <c r="AP389" s="97" t="n"/>
      <c r="AQ389" s="97" t="n"/>
      <c r="AR389" s="97" t="n"/>
      <c r="AS389" s="97" t="n"/>
      <c r="AT389" s="97" t="n"/>
      <c r="AU389" s="97" t="n"/>
      <c r="AV389" s="97" t="n"/>
      <c r="AW389" s="97" t="n"/>
      <c r="AX389" s="97" t="n"/>
      <c r="AY389" s="97" t="n"/>
    </row>
    <row r="390" s="135">
      <c r="A390" t="inlineStr">
        <is>
          <t>1951-05</t>
        </is>
      </c>
      <c r="B390" s="2" t="n">
        <v>18749</v>
      </c>
      <c r="C390" s="96" t="n">
        <v>390</v>
      </c>
      <c r="E390" s="2">
        <f>B390</f>
        <v/>
      </c>
      <c r="F390" s="3">
        <f>B390</f>
        <v/>
      </c>
      <c r="G390" s="96" t="n">
        <v>388</v>
      </c>
      <c r="H390" s="97" t="n"/>
      <c r="I390" s="97" t="n"/>
      <c r="J390" s="97" t="n"/>
      <c r="K390" s="97" t="n"/>
      <c r="L390" s="97" t="n"/>
      <c r="M390" s="97" t="n"/>
      <c r="N390" s="97" t="n"/>
      <c r="O390" s="97" t="n"/>
      <c r="P390" s="97" t="n"/>
      <c r="Q390" s="97" t="n"/>
      <c r="R390" s="97" t="n"/>
      <c r="S390" s="97" t="n"/>
      <c r="T390" s="97" t="n"/>
      <c r="U390" s="97" t="n"/>
      <c r="V390" s="97" t="n"/>
      <c r="W390" s="97" t="n"/>
      <c r="X390" s="97" t="n"/>
      <c r="Y390" s="97" t="n"/>
      <c r="Z390" s="97" t="n"/>
      <c r="AA390" s="97" t="n"/>
      <c r="AB390" s="97" t="n"/>
      <c r="AC390" s="97" t="n"/>
      <c r="AD390" s="97" t="n"/>
      <c r="AE390" s="97" t="n"/>
      <c r="AF390" s="97" t="n"/>
      <c r="AG390" s="97" t="n"/>
      <c r="AH390" s="97" t="n"/>
      <c r="AI390" s="97" t="n"/>
      <c r="AJ390" s="97" t="n"/>
      <c r="AK390" s="97" t="n"/>
      <c r="AL390" s="97" t="n"/>
      <c r="AM390" s="97" t="n"/>
      <c r="AN390" s="97" t="n"/>
      <c r="AO390" s="97" t="n">
        <v>17.12992</v>
      </c>
      <c r="AP390" s="97" t="n"/>
      <c r="AQ390" s="97" t="n"/>
      <c r="AR390" s="97" t="n"/>
      <c r="AS390" s="97" t="n"/>
      <c r="AT390" s="97" t="n"/>
      <c r="AU390" s="97" t="n"/>
      <c r="AV390" s="97" t="n"/>
      <c r="AW390" s="97" t="n"/>
      <c r="AX390" s="97" t="n"/>
      <c r="AY390" s="97" t="n"/>
    </row>
    <row r="391" s="135">
      <c r="A391" t="inlineStr">
        <is>
          <t>1951-06</t>
        </is>
      </c>
      <c r="B391" s="2" t="n">
        <v>18780</v>
      </c>
      <c r="C391" s="96" t="n">
        <v>391</v>
      </c>
      <c r="E391" s="2">
        <f>B391</f>
        <v/>
      </c>
      <c r="F391" s="3">
        <f>B391</f>
        <v/>
      </c>
      <c r="G391" s="96" t="n">
        <v>389</v>
      </c>
      <c r="H391" s="97" t="n"/>
      <c r="I391" s="97" t="n"/>
      <c r="J391" s="97" t="n"/>
      <c r="K391" s="97" t="n"/>
      <c r="L391" s="97" t="n"/>
      <c r="M391" s="97" t="n"/>
      <c r="N391" s="97" t="n"/>
      <c r="O391" s="97" t="n"/>
      <c r="P391" s="97" t="n"/>
      <c r="Q391" s="97" t="n"/>
      <c r="R391" s="97" t="n"/>
      <c r="S391" s="97" t="n"/>
      <c r="T391" s="97" t="n"/>
      <c r="U391" s="97" t="n"/>
      <c r="V391" s="97" t="n"/>
      <c r="W391" s="97" t="n"/>
      <c r="X391" s="97" t="n"/>
      <c r="Y391" s="97" t="n"/>
      <c r="Z391" s="97" t="n"/>
      <c r="AA391" s="97" t="n"/>
      <c r="AB391" s="97" t="n"/>
      <c r="AC391" s="97" t="n"/>
      <c r="AD391" s="97" t="n"/>
      <c r="AE391" s="97" t="n"/>
      <c r="AF391" s="97" t="n"/>
      <c r="AG391" s="97" t="n"/>
      <c r="AH391" s="97" t="n"/>
      <c r="AI391" s="97" t="n"/>
      <c r="AJ391" s="97" t="n"/>
      <c r="AK391" s="97" t="n"/>
      <c r="AL391" s="97" t="n"/>
      <c r="AM391" s="97" t="n"/>
      <c r="AN391" s="97" t="n"/>
      <c r="AO391" s="97" t="n">
        <v>17.0501</v>
      </c>
      <c r="AP391" s="97" t="n"/>
      <c r="AQ391" s="97" t="n"/>
      <c r="AR391" s="97" t="n"/>
      <c r="AS391" s="97" t="n"/>
      <c r="AT391" s="97" t="n"/>
      <c r="AU391" s="97" t="n"/>
      <c r="AV391" s="97" t="n"/>
      <c r="AW391" s="97" t="n"/>
      <c r="AX391" s="97" t="n"/>
      <c r="AY391" s="97" t="n"/>
    </row>
    <row r="392" s="135">
      <c r="A392" t="inlineStr">
        <is>
          <t>1951-07</t>
        </is>
      </c>
      <c r="B392" s="2" t="n">
        <v>18810</v>
      </c>
      <c r="C392" s="96" t="n">
        <v>392</v>
      </c>
      <c r="E392" s="2">
        <f>B392</f>
        <v/>
      </c>
      <c r="F392" s="3">
        <f>B392</f>
        <v/>
      </c>
      <c r="G392" s="96" t="n">
        <v>390</v>
      </c>
      <c r="H392" s="97" t="n"/>
      <c r="I392" s="97" t="n"/>
      <c r="J392" s="97" t="n"/>
      <c r="K392" s="97" t="n"/>
      <c r="L392" s="97" t="n"/>
      <c r="M392" s="97" t="n"/>
      <c r="N392" s="97" t="n"/>
      <c r="O392" s="97" t="n"/>
      <c r="P392" s="97" t="n"/>
      <c r="Q392" s="97" t="n"/>
      <c r="R392" s="97" t="n"/>
      <c r="S392" s="97" t="n"/>
      <c r="T392" s="97" t="n"/>
      <c r="U392" s="97" t="n"/>
      <c r="V392" s="97" t="n"/>
      <c r="W392" s="97" t="n"/>
      <c r="X392" s="97" t="n"/>
      <c r="Y392" s="97" t="n"/>
      <c r="Z392" s="97" t="n"/>
      <c r="AA392" s="97" t="n"/>
      <c r="AB392" s="97" t="n"/>
      <c r="AC392" s="97" t="n"/>
      <c r="AD392" s="97" t="n"/>
      <c r="AE392" s="97" t="n"/>
      <c r="AF392" s="97" t="n"/>
      <c r="AG392" s="97" t="n"/>
      <c r="AH392" s="97" t="n"/>
      <c r="AI392" s="97" t="n"/>
      <c r="AJ392" s="97" t="n"/>
      <c r="AK392" s="97" t="n"/>
      <c r="AL392" s="97" t="n"/>
      <c r="AM392" s="97" t="n"/>
      <c r="AN392" s="97" t="n"/>
      <c r="AO392" s="97" t="n">
        <v>16.78404</v>
      </c>
      <c r="AP392" s="97" t="n"/>
      <c r="AQ392" s="97" t="n"/>
      <c r="AR392" s="97" t="n"/>
      <c r="AS392" s="97" t="n"/>
      <c r="AT392" s="97" t="n"/>
      <c r="AU392" s="97" t="n"/>
      <c r="AV392" s="97" t="n"/>
      <c r="AW392" s="97" t="n"/>
      <c r="AX392" s="97" t="n"/>
      <c r="AY392" s="97" t="n"/>
    </row>
    <row r="393" s="135">
      <c r="A393" t="inlineStr">
        <is>
          <t>1951-08</t>
        </is>
      </c>
      <c r="B393" s="2" t="n">
        <v>18841</v>
      </c>
      <c r="C393" s="96" t="n">
        <v>393</v>
      </c>
      <c r="E393" s="2">
        <f>B393</f>
        <v/>
      </c>
      <c r="F393" s="3">
        <f>B393</f>
        <v/>
      </c>
      <c r="G393" s="96" t="n">
        <v>391</v>
      </c>
      <c r="H393" s="97" t="n"/>
      <c r="I393" s="97" t="n"/>
      <c r="J393" s="97" t="n"/>
      <c r="K393" s="97" t="n"/>
      <c r="L393" s="97" t="n"/>
      <c r="M393" s="97" t="n"/>
      <c r="N393" s="97" t="n"/>
      <c r="O393" s="97" t="n"/>
      <c r="P393" s="97" t="n"/>
      <c r="Q393" s="97" t="n"/>
      <c r="R393" s="97" t="n"/>
      <c r="S393" s="97" t="n"/>
      <c r="T393" s="97" t="n"/>
      <c r="U393" s="97" t="n"/>
      <c r="V393" s="97" t="n"/>
      <c r="W393" s="97" t="n"/>
      <c r="X393" s="97" t="n"/>
      <c r="Y393" s="97" t="n"/>
      <c r="Z393" s="97" t="n"/>
      <c r="AA393" s="97" t="n"/>
      <c r="AB393" s="97" t="n"/>
      <c r="AC393" s="97" t="n"/>
      <c r="AD393" s="97" t="n"/>
      <c r="AE393" s="97" t="n"/>
      <c r="AF393" s="97" t="n"/>
      <c r="AG393" s="97" t="n"/>
      <c r="AH393" s="97" t="n"/>
      <c r="AI393" s="97" t="n"/>
      <c r="AJ393" s="97" t="n"/>
      <c r="AK393" s="97" t="n"/>
      <c r="AL393" s="97" t="n"/>
      <c r="AM393" s="97" t="n"/>
      <c r="AN393" s="97" t="n"/>
      <c r="AO393" s="97" t="n">
        <v>16.6245</v>
      </c>
      <c r="AP393" s="97" t="n"/>
      <c r="AQ393" s="97" t="n"/>
      <c r="AR393" s="97" t="n"/>
      <c r="AS393" s="97" t="n"/>
      <c r="AT393" s="97" t="n"/>
      <c r="AU393" s="97" t="n"/>
      <c r="AV393" s="97" t="n"/>
      <c r="AW393" s="97" t="n"/>
      <c r="AX393" s="97" t="n"/>
      <c r="AY393" s="97" t="n"/>
    </row>
    <row r="394" s="135">
      <c r="A394" t="inlineStr">
        <is>
          <t>1951-09</t>
        </is>
      </c>
      <c r="B394" s="2" t="n">
        <v>18872</v>
      </c>
      <c r="C394" s="96" t="n">
        <v>394</v>
      </c>
      <c r="E394" s="2">
        <f>B394</f>
        <v/>
      </c>
      <c r="F394" s="3">
        <f>B394</f>
        <v/>
      </c>
      <c r="G394" s="96" t="n">
        <v>392</v>
      </c>
      <c r="H394" s="97" t="n"/>
      <c r="I394" s="97" t="n"/>
      <c r="J394" s="97" t="n"/>
      <c r="K394" s="97" t="n"/>
      <c r="L394" s="97" t="n"/>
      <c r="M394" s="97" t="n"/>
      <c r="N394" s="97" t="n"/>
      <c r="O394" s="97" t="n"/>
      <c r="P394" s="97" t="n"/>
      <c r="Q394" s="97" t="n"/>
      <c r="R394" s="97" t="n"/>
      <c r="S394" s="97" t="n"/>
      <c r="T394" s="97" t="n"/>
      <c r="U394" s="97" t="n"/>
      <c r="V394" s="97" t="n"/>
      <c r="W394" s="97" t="n"/>
      <c r="X394" s="97" t="n"/>
      <c r="Y394" s="97" t="n"/>
      <c r="Z394" s="97" t="n"/>
      <c r="AA394" s="97" t="n"/>
      <c r="AB394" s="97" t="n"/>
      <c r="AC394" s="97" t="n"/>
      <c r="AD394" s="97" t="n"/>
      <c r="AE394" s="97" t="n"/>
      <c r="AF394" s="97" t="n"/>
      <c r="AG394" s="97" t="n"/>
      <c r="AH394" s="97" t="n"/>
      <c r="AI394" s="97" t="n"/>
      <c r="AJ394" s="97" t="n"/>
      <c r="AK394" s="97" t="n"/>
      <c r="AL394" s="97" t="n"/>
      <c r="AM394" s="97" t="n"/>
      <c r="AN394" s="97" t="n"/>
      <c r="AO394" s="97" t="n">
        <v>16.73092</v>
      </c>
      <c r="AP394" s="97" t="n"/>
      <c r="AQ394" s="97" t="n"/>
      <c r="AR394" s="97" t="n"/>
      <c r="AS394" s="97" t="n"/>
      <c r="AT394" s="97" t="n"/>
      <c r="AU394" s="97" t="n"/>
      <c r="AV394" s="97" t="n"/>
      <c r="AW394" s="97" t="n"/>
      <c r="AX394" s="97" t="n"/>
      <c r="AY394" s="97" t="n"/>
    </row>
    <row r="395" s="135">
      <c r="A395" t="inlineStr">
        <is>
          <t>1951-10</t>
        </is>
      </c>
      <c r="B395" s="2" t="n">
        <v>18902</v>
      </c>
      <c r="C395" s="96" t="n">
        <v>395</v>
      </c>
      <c r="E395" s="2">
        <f>B395</f>
        <v/>
      </c>
      <c r="F395" s="3">
        <f>B395</f>
        <v/>
      </c>
      <c r="G395" s="96" t="n">
        <v>393</v>
      </c>
      <c r="H395" s="97" t="n"/>
      <c r="I395" s="97" t="n"/>
      <c r="J395" s="97" t="n"/>
      <c r="K395" s="97" t="n"/>
      <c r="L395" s="97" t="n"/>
      <c r="M395" s="97" t="n"/>
      <c r="N395" s="97" t="n"/>
      <c r="O395" s="97" t="n"/>
      <c r="P395" s="97" t="n"/>
      <c r="Q395" s="97" t="n"/>
      <c r="R395" s="97" t="n"/>
      <c r="S395" s="97" t="n"/>
      <c r="T395" s="97" t="n"/>
      <c r="U395" s="97" t="n"/>
      <c r="V395" s="97" t="n"/>
      <c r="W395" s="97" t="n"/>
      <c r="X395" s="97" t="n"/>
      <c r="Y395" s="97" t="n"/>
      <c r="Z395" s="97" t="n"/>
      <c r="AA395" s="97" t="n"/>
      <c r="AB395" s="97" t="n"/>
      <c r="AC395" s="97" t="n"/>
      <c r="AD395" s="97" t="n"/>
      <c r="AE395" s="97" t="n"/>
      <c r="AF395" s="97" t="n"/>
      <c r="AG395" s="97" t="n"/>
      <c r="AH395" s="97" t="n"/>
      <c r="AI395" s="97" t="n"/>
      <c r="AJ395" s="97" t="n"/>
      <c r="AK395" s="97" t="n"/>
      <c r="AL395" s="97" t="n"/>
      <c r="AM395" s="97" t="n"/>
      <c r="AN395" s="97" t="n"/>
      <c r="AO395" s="97" t="n">
        <v>16.70432</v>
      </c>
      <c r="AP395" s="97" t="n"/>
      <c r="AQ395" s="97" t="n"/>
      <c r="AR395" s="97" t="n"/>
      <c r="AS395" s="97" t="n"/>
      <c r="AT395" s="97" t="n"/>
      <c r="AU395" s="97" t="n"/>
      <c r="AV395" s="97" t="n"/>
      <c r="AW395" s="97" t="n"/>
      <c r="AX395" s="97" t="n"/>
      <c r="AY395" s="97" t="n"/>
    </row>
    <row r="396" s="135">
      <c r="A396" t="inlineStr">
        <is>
          <t>1951-11</t>
        </is>
      </c>
      <c r="B396" s="2" t="n">
        <v>18933</v>
      </c>
      <c r="C396" s="96" t="n">
        <v>396</v>
      </c>
      <c r="E396" s="2">
        <f>B396</f>
        <v/>
      </c>
      <c r="F396" s="3">
        <f>B396</f>
        <v/>
      </c>
      <c r="G396" s="96" t="n">
        <v>394</v>
      </c>
      <c r="H396" s="97" t="n"/>
      <c r="I396" s="97" t="n"/>
      <c r="J396" s="97" t="n"/>
      <c r="K396" s="97" t="n"/>
      <c r="L396" s="97" t="n"/>
      <c r="M396" s="97" t="n"/>
      <c r="N396" s="97" t="n"/>
      <c r="O396" s="97" t="n"/>
      <c r="P396" s="97" t="n"/>
      <c r="Q396" s="97" t="n"/>
      <c r="R396" s="97" t="n"/>
      <c r="S396" s="97" t="n"/>
      <c r="T396" s="97" t="n"/>
      <c r="U396" s="97" t="n"/>
      <c r="V396" s="97" t="n"/>
      <c r="W396" s="97" t="n"/>
      <c r="X396" s="97" t="n"/>
      <c r="Y396" s="97" t="n"/>
      <c r="Z396" s="97" t="n"/>
      <c r="AA396" s="97" t="n"/>
      <c r="AB396" s="97" t="n"/>
      <c r="AC396" s="97" t="n"/>
      <c r="AD396" s="97" t="n"/>
      <c r="AE396" s="97" t="n"/>
      <c r="AF396" s="97" t="n"/>
      <c r="AG396" s="97" t="n"/>
      <c r="AH396" s="97" t="n"/>
      <c r="AI396" s="97" t="n"/>
      <c r="AJ396" s="97" t="n"/>
      <c r="AK396" s="97" t="n"/>
      <c r="AL396" s="97" t="n"/>
      <c r="AM396" s="97" t="n"/>
      <c r="AN396" s="97" t="n"/>
      <c r="AO396" s="97" t="n">
        <v>16.83725</v>
      </c>
      <c r="AP396" s="97" t="n"/>
      <c r="AQ396" s="97" t="n"/>
      <c r="AR396" s="97" t="n"/>
      <c r="AS396" s="97" t="n"/>
      <c r="AT396" s="97" t="n"/>
      <c r="AU396" s="97" t="n"/>
      <c r="AV396" s="97" t="n"/>
      <c r="AW396" s="97" t="n"/>
      <c r="AX396" s="97" t="n"/>
      <c r="AY396" s="97" t="n"/>
    </row>
    <row r="397" s="135">
      <c r="A397" t="inlineStr">
        <is>
          <t>1951-12</t>
        </is>
      </c>
      <c r="B397" s="2" t="n">
        <v>18963</v>
      </c>
      <c r="C397" s="96" t="n">
        <v>397</v>
      </c>
      <c r="E397" s="2">
        <f>B397</f>
        <v/>
      </c>
      <c r="F397" s="3">
        <f>B397</f>
        <v/>
      </c>
      <c r="G397" s="96" t="n">
        <v>395</v>
      </c>
      <c r="H397" s="97" t="n"/>
      <c r="I397" s="97" t="n"/>
      <c r="J397" s="97" t="n"/>
      <c r="K397" s="97" t="n"/>
      <c r="L397" s="97" t="n"/>
      <c r="M397" s="97" t="n"/>
      <c r="N397" s="97" t="n"/>
      <c r="O397" s="97" t="n"/>
      <c r="P397" s="97" t="n"/>
      <c r="Q397" s="97" t="n"/>
      <c r="R397" s="97" t="n"/>
      <c r="S397" s="97" t="n"/>
      <c r="T397" s="97" t="n"/>
      <c r="U397" s="97" t="n"/>
      <c r="V397" s="97" t="n"/>
      <c r="W397" s="97" t="n"/>
      <c r="X397" s="97" t="n"/>
      <c r="Y397" s="97" t="n"/>
      <c r="Z397" s="97" t="n"/>
      <c r="AA397" s="97" t="n"/>
      <c r="AB397" s="97" t="n"/>
      <c r="AC397" s="97" t="n"/>
      <c r="AD397" s="97" t="n"/>
      <c r="AE397" s="97" t="n"/>
      <c r="AF397" s="97" t="n"/>
      <c r="AG397" s="97" t="n"/>
      <c r="AH397" s="97" t="n"/>
      <c r="AI397" s="97" t="n"/>
      <c r="AJ397" s="97" t="n"/>
      <c r="AK397" s="97" t="n"/>
      <c r="AL397" s="97" t="n"/>
      <c r="AM397" s="97" t="n"/>
      <c r="AN397" s="97" t="n"/>
      <c r="AO397" s="97" t="n">
        <v>16.94368</v>
      </c>
      <c r="AP397" s="97" t="n"/>
      <c r="AQ397" s="97" t="n"/>
      <c r="AR397" s="97" t="n"/>
      <c r="AS397" s="97" t="n"/>
      <c r="AT397" s="97" t="n"/>
      <c r="AU397" s="97" t="n"/>
      <c r="AV397" s="97" t="n"/>
      <c r="AW397" s="97" t="n"/>
      <c r="AX397" s="97" t="n"/>
      <c r="AY397" s="97" t="n"/>
    </row>
    <row r="398" s="135">
      <c r="A398" t="inlineStr">
        <is>
          <t>1952-01</t>
        </is>
      </c>
      <c r="B398" s="2" t="n">
        <v>18994</v>
      </c>
      <c r="C398" s="96" t="n">
        <v>398</v>
      </c>
      <c r="E398" s="2">
        <f>B398</f>
        <v/>
      </c>
      <c r="F398" s="3">
        <f>B398</f>
        <v/>
      </c>
      <c r="G398" s="96" t="n">
        <v>396</v>
      </c>
      <c r="H398" s="97" t="n"/>
      <c r="I398" s="97" t="n"/>
      <c r="J398" s="97" t="n"/>
      <c r="K398" s="97" t="n"/>
      <c r="L398" s="97" t="n"/>
      <c r="M398" s="97" t="n"/>
      <c r="N398" s="97" t="n"/>
      <c r="O398" s="97" t="n"/>
      <c r="P398" s="97" t="n"/>
      <c r="Q398" s="97" t="n"/>
      <c r="R398" s="97" t="n"/>
      <c r="S398" s="97" t="n"/>
      <c r="T398" s="97" t="n"/>
      <c r="U398" s="97" t="n"/>
      <c r="V398" s="97" t="n"/>
      <c r="W398" s="97" t="n"/>
      <c r="X398" s="97" t="n"/>
      <c r="Y398" s="97" t="n"/>
      <c r="Z398" s="97" t="n"/>
      <c r="AA398" s="97" t="n"/>
      <c r="AB398" s="97" t="n"/>
      <c r="AC398" s="97" t="n"/>
      <c r="AD398" s="97" t="n"/>
      <c r="AE398" s="97" t="n"/>
      <c r="AF398" s="97" t="n"/>
      <c r="AG398" s="97" t="n"/>
      <c r="AH398" s="97" t="n"/>
      <c r="AI398" s="97" t="n"/>
      <c r="AJ398" s="97" t="n"/>
      <c r="AK398" s="97" t="n"/>
      <c r="AL398" s="97" t="n"/>
      <c r="AM398" s="97" t="n"/>
      <c r="AN398" s="97" t="n"/>
      <c r="AO398" s="97" t="n">
        <v>17.12982</v>
      </c>
      <c r="AP398" s="97" t="n"/>
      <c r="AQ398" s="97" t="n"/>
      <c r="AR398" s="97" t="n"/>
      <c r="AS398" s="97" t="n"/>
      <c r="AT398" s="97" t="n"/>
      <c r="AU398" s="97" t="n"/>
      <c r="AV398" s="97" t="n"/>
      <c r="AW398" s="97" t="n"/>
      <c r="AX398" s="97" t="n"/>
      <c r="AY398" s="97" t="n"/>
    </row>
    <row r="399" s="135">
      <c r="A399" t="inlineStr">
        <is>
          <t>1952-02</t>
        </is>
      </c>
      <c r="B399" s="2" t="n">
        <v>19025</v>
      </c>
      <c r="C399" s="96" t="n">
        <v>399</v>
      </c>
      <c r="E399" s="2">
        <f>B399</f>
        <v/>
      </c>
      <c r="F399" s="3">
        <f>B399</f>
        <v/>
      </c>
      <c r="G399" s="96" t="n">
        <v>397</v>
      </c>
      <c r="H399" s="97" t="n"/>
      <c r="I399" s="97" t="n"/>
      <c r="J399" s="97" t="n"/>
      <c r="K399" s="97" t="n"/>
      <c r="L399" s="97" t="n"/>
      <c r="M399" s="97" t="n"/>
      <c r="N399" s="97" t="n"/>
      <c r="O399" s="97" t="n"/>
      <c r="P399" s="97" t="n"/>
      <c r="Q399" s="97" t="n"/>
      <c r="R399" s="97" t="n"/>
      <c r="S399" s="97" t="n"/>
      <c r="T399" s="97" t="n"/>
      <c r="U399" s="97" t="n"/>
      <c r="V399" s="97" t="n"/>
      <c r="W399" s="97" t="n"/>
      <c r="X399" s="97" t="n"/>
      <c r="Y399" s="97" t="n"/>
      <c r="Z399" s="97" t="n"/>
      <c r="AA399" s="97" t="n"/>
      <c r="AB399" s="97" t="n"/>
      <c r="AC399" s="97" t="n"/>
      <c r="AD399" s="97" t="n"/>
      <c r="AE399" s="97" t="n"/>
      <c r="AF399" s="97" t="n"/>
      <c r="AG399" s="97" t="n"/>
      <c r="AH399" s="97" t="n"/>
      <c r="AI399" s="97" t="n"/>
      <c r="AJ399" s="97" t="n"/>
      <c r="AK399" s="97" t="n"/>
      <c r="AL399" s="97" t="n"/>
      <c r="AM399" s="97" t="n"/>
      <c r="AN399" s="97" t="n"/>
      <c r="AO399" s="97" t="n">
        <v>17.23625</v>
      </c>
      <c r="AP399" s="97" t="n"/>
      <c r="AQ399" s="97" t="n"/>
      <c r="AR399" s="97" t="n"/>
      <c r="AS399" s="97" t="n"/>
      <c r="AT399" s="97" t="n"/>
      <c r="AU399" s="97" t="n"/>
      <c r="AV399" s="97" t="n"/>
      <c r="AW399" s="97" t="n"/>
      <c r="AX399" s="97" t="n"/>
      <c r="AY399" s="97" t="n"/>
    </row>
    <row r="400" s="135">
      <c r="A400" t="inlineStr">
        <is>
          <t>1952-03</t>
        </is>
      </c>
      <c r="B400" s="2" t="n">
        <v>19054</v>
      </c>
      <c r="C400" s="96" t="n">
        <v>400</v>
      </c>
      <c r="E400" s="2">
        <f>B400</f>
        <v/>
      </c>
      <c r="F400" s="3">
        <f>B400</f>
        <v/>
      </c>
      <c r="G400" s="96" t="n">
        <v>398</v>
      </c>
      <c r="H400" s="97" t="n"/>
      <c r="I400" s="97" t="n"/>
      <c r="J400" s="97" t="n"/>
      <c r="K400" s="97" t="n"/>
      <c r="L400" s="97" t="n"/>
      <c r="M400" s="97" t="n"/>
      <c r="N400" s="97" t="n"/>
      <c r="O400" s="97" t="n"/>
      <c r="P400" s="97" t="n"/>
      <c r="Q400" s="97" t="n"/>
      <c r="R400" s="97" t="n"/>
      <c r="S400" s="97" t="n"/>
      <c r="T400" s="97" t="n"/>
      <c r="U400" s="97" t="n"/>
      <c r="V400" s="97" t="n"/>
      <c r="W400" s="97" t="n"/>
      <c r="X400" s="97" t="n"/>
      <c r="Y400" s="97" t="n"/>
      <c r="Z400" s="97" t="n"/>
      <c r="AA400" s="97" t="n"/>
      <c r="AB400" s="97" t="n"/>
      <c r="AC400" s="97" t="n"/>
      <c r="AD400" s="97" t="n"/>
      <c r="AE400" s="97" t="n"/>
      <c r="AF400" s="97" t="n"/>
      <c r="AG400" s="97" t="n"/>
      <c r="AH400" s="97" t="n"/>
      <c r="AI400" s="97" t="n"/>
      <c r="AJ400" s="97" t="n"/>
      <c r="AK400" s="97" t="n"/>
      <c r="AL400" s="97" t="n"/>
      <c r="AM400" s="97" t="n"/>
      <c r="AN400" s="97" t="n"/>
      <c r="AO400" s="97" t="n">
        <v>17.28946</v>
      </c>
      <c r="AP400" s="97" t="n"/>
      <c r="AQ400" s="97" t="n"/>
      <c r="AR400" s="97" t="n"/>
      <c r="AS400" s="97" t="n"/>
      <c r="AT400" s="97" t="n"/>
      <c r="AU400" s="97" t="n"/>
      <c r="AV400" s="97" t="n"/>
      <c r="AW400" s="97" t="n"/>
      <c r="AX400" s="97" t="n"/>
      <c r="AY400" s="97" t="n"/>
    </row>
    <row r="401" s="135">
      <c r="A401" t="inlineStr">
        <is>
          <t>1952-04</t>
        </is>
      </c>
      <c r="B401" s="2" t="n">
        <v>19085</v>
      </c>
      <c r="C401" s="96" t="n">
        <v>401</v>
      </c>
      <c r="E401" s="2">
        <f>B401</f>
        <v/>
      </c>
      <c r="F401" s="3">
        <f>B401</f>
        <v/>
      </c>
      <c r="G401" s="96" t="n">
        <v>399</v>
      </c>
      <c r="H401" s="97" t="n"/>
      <c r="I401" s="97" t="n"/>
      <c r="J401" s="97" t="n"/>
      <c r="K401" s="97" t="n"/>
      <c r="L401" s="97" t="n"/>
      <c r="M401" s="97" t="n"/>
      <c r="N401" s="97" t="n"/>
      <c r="O401" s="97" t="n"/>
      <c r="P401" s="97" t="n"/>
      <c r="Q401" s="97" t="n"/>
      <c r="R401" s="97" t="n"/>
      <c r="S401" s="97" t="n"/>
      <c r="T401" s="97" t="n"/>
      <c r="U401" s="97" t="n"/>
      <c r="V401" s="97" t="n"/>
      <c r="W401" s="97" t="n"/>
      <c r="X401" s="97" t="n"/>
      <c r="Y401" s="97" t="n"/>
      <c r="Z401" s="97" t="n"/>
      <c r="AA401" s="97" t="n"/>
      <c r="AB401" s="97" t="n"/>
      <c r="AC401" s="97" t="n"/>
      <c r="AD401" s="97" t="n"/>
      <c r="AE401" s="97" t="n"/>
      <c r="AF401" s="97" t="n"/>
      <c r="AG401" s="97" t="n"/>
      <c r="AH401" s="97" t="n"/>
      <c r="AI401" s="97" t="n"/>
      <c r="AJ401" s="97" t="n"/>
      <c r="AK401" s="97" t="n"/>
      <c r="AL401" s="97" t="n"/>
      <c r="AM401" s="97" t="n"/>
      <c r="AN401" s="97" t="n"/>
      <c r="AO401" s="97" t="n">
        <v>17.12982</v>
      </c>
      <c r="AP401" s="97" t="n"/>
      <c r="AQ401" s="97" t="n"/>
      <c r="AR401" s="97" t="n"/>
      <c r="AS401" s="97" t="n"/>
      <c r="AT401" s="97" t="n"/>
      <c r="AU401" s="97" t="n"/>
      <c r="AV401" s="97" t="n"/>
      <c r="AW401" s="97" t="n"/>
      <c r="AX401" s="97" t="n"/>
      <c r="AY401" s="97" t="n"/>
    </row>
    <row r="402" s="135">
      <c r="A402" t="inlineStr">
        <is>
          <t>1952-05</t>
        </is>
      </c>
      <c r="B402" s="2" t="n">
        <v>19115</v>
      </c>
      <c r="C402" s="96" t="n">
        <v>402</v>
      </c>
      <c r="E402" s="2">
        <f>B402</f>
        <v/>
      </c>
      <c r="F402" s="3">
        <f>B402</f>
        <v/>
      </c>
      <c r="G402" s="96" t="n">
        <v>400</v>
      </c>
      <c r="H402" s="97" t="n"/>
      <c r="I402" s="97" t="n"/>
      <c r="J402" s="97" t="n"/>
      <c r="K402" s="97" t="n"/>
      <c r="L402" s="97" t="n"/>
      <c r="M402" s="97" t="n"/>
      <c r="N402" s="97" t="n"/>
      <c r="O402" s="97" t="n"/>
      <c r="P402" s="97" t="n"/>
      <c r="Q402" s="97" t="n"/>
      <c r="R402" s="97" t="n"/>
      <c r="S402" s="97" t="n"/>
      <c r="T402" s="97" t="n"/>
      <c r="U402" s="97" t="n"/>
      <c r="V402" s="97" t="n"/>
      <c r="W402" s="97" t="n"/>
      <c r="X402" s="97" t="n"/>
      <c r="Y402" s="97" t="n"/>
      <c r="Z402" s="97" t="n"/>
      <c r="AA402" s="97" t="n"/>
      <c r="AB402" s="97" t="n"/>
      <c r="AC402" s="97" t="n"/>
      <c r="AD402" s="97" t="n"/>
      <c r="AE402" s="97" t="n"/>
      <c r="AF402" s="97" t="n"/>
      <c r="AG402" s="97" t="n"/>
      <c r="AH402" s="97" t="n"/>
      <c r="AI402" s="97" t="n"/>
      <c r="AJ402" s="97" t="n"/>
      <c r="AK402" s="97" t="n"/>
      <c r="AL402" s="97" t="n"/>
      <c r="AM402" s="97" t="n"/>
      <c r="AN402" s="97" t="n"/>
      <c r="AO402" s="97" t="n">
        <v>16.97028</v>
      </c>
      <c r="AP402" s="97" t="n"/>
      <c r="AQ402" s="97" t="n"/>
      <c r="AR402" s="97" t="n"/>
      <c r="AS402" s="97" t="n"/>
      <c r="AT402" s="97" t="n"/>
      <c r="AU402" s="97" t="n"/>
      <c r="AV402" s="97" t="n"/>
      <c r="AW402" s="97" t="n"/>
      <c r="AX402" s="97" t="n"/>
      <c r="AY402" s="97" t="n"/>
    </row>
    <row r="403" s="135">
      <c r="A403" t="inlineStr">
        <is>
          <t>1952-06</t>
        </is>
      </c>
      <c r="B403" s="2" t="n">
        <v>19146</v>
      </c>
      <c r="C403" s="96" t="n">
        <v>403</v>
      </c>
      <c r="E403" s="2">
        <f>B403</f>
        <v/>
      </c>
      <c r="F403" s="3">
        <f>B403</f>
        <v/>
      </c>
      <c r="G403" s="96" t="n">
        <v>401</v>
      </c>
      <c r="H403" s="97" t="n"/>
      <c r="I403" s="97" t="n"/>
      <c r="J403" s="97" t="n"/>
      <c r="K403" s="97" t="n"/>
      <c r="L403" s="97" t="n"/>
      <c r="M403" s="97" t="n"/>
      <c r="N403" s="97" t="n"/>
      <c r="O403" s="97" t="n"/>
      <c r="P403" s="97" t="n"/>
      <c r="Q403" s="97" t="n"/>
      <c r="R403" s="97" t="n"/>
      <c r="S403" s="97" t="n"/>
      <c r="T403" s="97" t="n"/>
      <c r="U403" s="97" t="n"/>
      <c r="V403" s="97" t="n"/>
      <c r="W403" s="97" t="n"/>
      <c r="X403" s="97" t="n"/>
      <c r="Y403" s="97" t="n"/>
      <c r="Z403" s="97" t="n"/>
      <c r="AA403" s="97" t="n"/>
      <c r="AB403" s="97" t="n"/>
      <c r="AC403" s="97" t="n"/>
      <c r="AD403" s="97" t="n"/>
      <c r="AE403" s="97" t="n"/>
      <c r="AF403" s="97" t="n"/>
      <c r="AG403" s="97" t="n"/>
      <c r="AH403" s="97" t="n"/>
      <c r="AI403" s="97" t="n"/>
      <c r="AJ403" s="97" t="n"/>
      <c r="AK403" s="97" t="n"/>
      <c r="AL403" s="97" t="n"/>
      <c r="AM403" s="97" t="n"/>
      <c r="AN403" s="97" t="n"/>
      <c r="AO403" s="97" t="n">
        <v>16.81065</v>
      </c>
      <c r="AP403" s="97" t="n"/>
      <c r="AQ403" s="97" t="n"/>
      <c r="AR403" s="97" t="n"/>
      <c r="AS403" s="97" t="n"/>
      <c r="AT403" s="97" t="n"/>
      <c r="AU403" s="97" t="n"/>
      <c r="AV403" s="97" t="n"/>
      <c r="AW403" s="97" t="n"/>
      <c r="AX403" s="97" t="n"/>
      <c r="AY403" s="97" t="n"/>
    </row>
    <row r="404" s="135">
      <c r="A404" t="inlineStr">
        <is>
          <t>1952-07</t>
        </is>
      </c>
      <c r="B404" s="2" t="n">
        <v>19176</v>
      </c>
      <c r="C404" s="96" t="n">
        <v>404</v>
      </c>
      <c r="E404" s="2">
        <f>B404</f>
        <v/>
      </c>
      <c r="F404" s="3">
        <f>B404</f>
        <v/>
      </c>
      <c r="G404" s="96" t="n">
        <v>402</v>
      </c>
      <c r="H404" s="97" t="n"/>
      <c r="I404" s="97" t="n"/>
      <c r="J404" s="97" t="n"/>
      <c r="K404" s="97" t="n"/>
      <c r="L404" s="97" t="n"/>
      <c r="M404" s="97" t="n"/>
      <c r="N404" s="97" t="n"/>
      <c r="O404" s="97" t="n"/>
      <c r="P404" s="97" t="n"/>
      <c r="Q404" s="97" t="n"/>
      <c r="R404" s="97" t="n"/>
      <c r="S404" s="97" t="n"/>
      <c r="T404" s="97" t="n"/>
      <c r="U404" s="97" t="n"/>
      <c r="V404" s="97" t="n"/>
      <c r="W404" s="97" t="n"/>
      <c r="X404" s="97" t="n"/>
      <c r="Y404" s="97" t="n"/>
      <c r="Z404" s="97" t="n"/>
      <c r="AA404" s="97" t="n"/>
      <c r="AB404" s="97" t="n"/>
      <c r="AC404" s="97" t="n"/>
      <c r="AD404" s="97" t="n"/>
      <c r="AE404" s="97" t="n"/>
      <c r="AF404" s="97" t="n"/>
      <c r="AG404" s="97" t="n"/>
      <c r="AH404" s="97" t="n"/>
      <c r="AI404" s="97" t="n"/>
      <c r="AJ404" s="97" t="n"/>
      <c r="AK404" s="97" t="n"/>
      <c r="AL404" s="97" t="n"/>
      <c r="AM404" s="97" t="n"/>
      <c r="AN404" s="97" t="n"/>
      <c r="AO404" s="97" t="n">
        <v>16.54468</v>
      </c>
      <c r="AP404" s="97" t="n"/>
      <c r="AQ404" s="97" t="n"/>
      <c r="AR404" s="97" t="n"/>
      <c r="AS404" s="97" t="n"/>
      <c r="AT404" s="97" t="n"/>
      <c r="AU404" s="97" t="n"/>
      <c r="AV404" s="97" t="n"/>
      <c r="AW404" s="97" t="n"/>
      <c r="AX404" s="97" t="n"/>
      <c r="AY404" s="97" t="n"/>
    </row>
    <row r="405" s="135">
      <c r="A405" t="inlineStr">
        <is>
          <t>1952-08</t>
        </is>
      </c>
      <c r="B405" s="2" t="n">
        <v>19207</v>
      </c>
      <c r="C405" s="96" t="n">
        <v>405</v>
      </c>
      <c r="E405" s="2">
        <f>B405</f>
        <v/>
      </c>
      <c r="F405" s="3">
        <f>B405</f>
        <v/>
      </c>
      <c r="G405" s="96" t="n">
        <v>403</v>
      </c>
      <c r="H405" s="97" t="n"/>
      <c r="I405" s="97" t="n"/>
      <c r="J405" s="97" t="n"/>
      <c r="K405" s="97" t="n"/>
      <c r="L405" s="97" t="n"/>
      <c r="M405" s="97" t="n"/>
      <c r="N405" s="97" t="n"/>
      <c r="O405" s="97" t="n"/>
      <c r="P405" s="97" t="n"/>
      <c r="Q405" s="97" t="n"/>
      <c r="R405" s="97" t="n"/>
      <c r="S405" s="97" t="n"/>
      <c r="T405" s="97" t="n"/>
      <c r="U405" s="97" t="n"/>
      <c r="V405" s="97" t="n"/>
      <c r="W405" s="97" t="n"/>
      <c r="X405" s="97" t="n"/>
      <c r="Y405" s="97" t="n"/>
      <c r="Z405" s="97" t="n"/>
      <c r="AA405" s="97" t="n"/>
      <c r="AB405" s="97" t="n"/>
      <c r="AC405" s="97" t="n"/>
      <c r="AD405" s="97" t="n"/>
      <c r="AE405" s="97" t="n"/>
      <c r="AF405" s="97" t="n"/>
      <c r="AG405" s="97" t="n"/>
      <c r="AH405" s="97" t="n"/>
      <c r="AI405" s="97" t="n"/>
      <c r="AJ405" s="97" t="n"/>
      <c r="AK405" s="97" t="n"/>
      <c r="AL405" s="97" t="n"/>
      <c r="AM405" s="97" t="n"/>
      <c r="AN405" s="97" t="n"/>
      <c r="AO405" s="97" t="n">
        <v>17.60864</v>
      </c>
      <c r="AP405" s="97" t="n"/>
      <c r="AQ405" s="97" t="n"/>
      <c r="AR405" s="97" t="n"/>
      <c r="AS405" s="97" t="n"/>
      <c r="AT405" s="97" t="n"/>
      <c r="AU405" s="97" t="n"/>
      <c r="AV405" s="97" t="n"/>
      <c r="AW405" s="97" t="n"/>
      <c r="AX405" s="97" t="n"/>
      <c r="AY405" s="97" t="n"/>
    </row>
    <row r="406" s="135">
      <c r="A406" t="inlineStr">
        <is>
          <t>1952-09</t>
        </is>
      </c>
      <c r="B406" s="2" t="n">
        <v>19238</v>
      </c>
      <c r="C406" s="96" t="n">
        <v>406</v>
      </c>
      <c r="E406" s="2">
        <f>B406</f>
        <v/>
      </c>
      <c r="F406" s="3">
        <f>B406</f>
        <v/>
      </c>
      <c r="G406" s="96" t="n">
        <v>404</v>
      </c>
      <c r="H406" s="97" t="n"/>
      <c r="I406" s="97" t="n"/>
      <c r="J406" s="97" t="n"/>
      <c r="K406" s="97" t="n"/>
      <c r="L406" s="97" t="n"/>
      <c r="M406" s="97" t="n"/>
      <c r="N406" s="97" t="n"/>
      <c r="O406" s="97" t="n"/>
      <c r="P406" s="97" t="n"/>
      <c r="Q406" s="97" t="n"/>
      <c r="R406" s="97" t="n"/>
      <c r="S406" s="97" t="n"/>
      <c r="T406" s="97" t="n"/>
      <c r="U406" s="97" t="n"/>
      <c r="V406" s="97" t="n"/>
      <c r="W406" s="97" t="n"/>
      <c r="X406" s="97" t="n"/>
      <c r="Y406" s="97" t="n"/>
      <c r="Z406" s="97" t="n"/>
      <c r="AA406" s="97" t="n"/>
      <c r="AB406" s="97" t="n"/>
      <c r="AC406" s="97" t="n"/>
      <c r="AD406" s="97" t="n"/>
      <c r="AE406" s="97" t="n"/>
      <c r="AF406" s="97" t="n"/>
      <c r="AG406" s="97" t="n"/>
      <c r="AH406" s="97" t="n"/>
      <c r="AI406" s="97" t="n"/>
      <c r="AJ406" s="97" t="n"/>
      <c r="AK406" s="97" t="n"/>
      <c r="AL406" s="97" t="n"/>
      <c r="AM406" s="97" t="n"/>
      <c r="AN406" s="97" t="n"/>
      <c r="AO406" s="97" t="n">
        <v>18.24699</v>
      </c>
      <c r="AP406" s="97" t="n"/>
      <c r="AQ406" s="97" t="n"/>
      <c r="AR406" s="97" t="n"/>
      <c r="AS406" s="97" t="n"/>
      <c r="AT406" s="97" t="n"/>
      <c r="AU406" s="97" t="n"/>
      <c r="AV406" s="97" t="n"/>
      <c r="AW406" s="97" t="n"/>
      <c r="AX406" s="97" t="n"/>
      <c r="AY406" s="97" t="n"/>
    </row>
    <row r="407" s="135">
      <c r="A407" t="inlineStr">
        <is>
          <t>1952-10</t>
        </is>
      </c>
      <c r="B407" s="2" t="n">
        <v>19268</v>
      </c>
      <c r="C407" s="96" t="n">
        <v>407</v>
      </c>
      <c r="E407" s="2">
        <f>B407</f>
        <v/>
      </c>
      <c r="F407" s="3">
        <f>B407</f>
        <v/>
      </c>
      <c r="G407" s="96" t="n">
        <v>405</v>
      </c>
      <c r="H407" s="97" t="n"/>
      <c r="I407" s="97" t="n"/>
      <c r="J407" s="97" t="n"/>
      <c r="K407" s="97" t="n"/>
      <c r="L407" s="97" t="n"/>
      <c r="M407" s="97" t="n"/>
      <c r="N407" s="97" t="n"/>
      <c r="O407" s="97" t="n"/>
      <c r="P407" s="97" t="n"/>
      <c r="Q407" s="97" t="n"/>
      <c r="R407" s="97" t="n"/>
      <c r="S407" s="97" t="n"/>
      <c r="T407" s="97" t="n"/>
      <c r="U407" s="97" t="n"/>
      <c r="V407" s="97" t="n"/>
      <c r="W407" s="97" t="n"/>
      <c r="X407" s="97" t="n"/>
      <c r="Y407" s="97" t="n"/>
      <c r="Z407" s="97" t="n"/>
      <c r="AA407" s="97" t="n"/>
      <c r="AB407" s="97" t="n"/>
      <c r="AC407" s="97" t="n"/>
      <c r="AD407" s="97" t="n"/>
      <c r="AE407" s="97" t="n"/>
      <c r="AF407" s="97" t="n"/>
      <c r="AG407" s="97" t="n"/>
      <c r="AH407" s="97" t="n"/>
      <c r="AI407" s="97" t="n"/>
      <c r="AJ407" s="97" t="n"/>
      <c r="AK407" s="97" t="n"/>
      <c r="AL407" s="97" t="n"/>
      <c r="AM407" s="97" t="n"/>
      <c r="AN407" s="97" t="n"/>
      <c r="AO407" s="97" t="n">
        <v>18.43324</v>
      </c>
      <c r="AP407" s="97" t="n"/>
      <c r="AQ407" s="97" t="n"/>
      <c r="AR407" s="97" t="n"/>
      <c r="AS407" s="97" t="n"/>
      <c r="AT407" s="97" t="n"/>
      <c r="AU407" s="97" t="n"/>
      <c r="AV407" s="97" t="n"/>
      <c r="AW407" s="97" t="n"/>
      <c r="AX407" s="97" t="n"/>
      <c r="AY407" s="97" t="n"/>
    </row>
    <row r="408" s="135">
      <c r="A408" t="inlineStr">
        <is>
          <t>1952-11</t>
        </is>
      </c>
      <c r="B408" s="2" t="n">
        <v>19299</v>
      </c>
      <c r="C408" s="96" t="n">
        <v>408</v>
      </c>
      <c r="E408" s="2">
        <f>B408</f>
        <v/>
      </c>
      <c r="F408" s="3">
        <f>B408</f>
        <v/>
      </c>
      <c r="G408" s="96" t="n">
        <v>406</v>
      </c>
      <c r="H408" s="97" t="n"/>
      <c r="I408" s="97" t="n"/>
      <c r="J408" s="97" t="n"/>
      <c r="K408" s="97" t="n"/>
      <c r="L408" s="97" t="n"/>
      <c r="M408" s="97" t="n"/>
      <c r="N408" s="97" t="n"/>
      <c r="O408" s="97" t="n"/>
      <c r="P408" s="97" t="n"/>
      <c r="Q408" s="97" t="n"/>
      <c r="R408" s="97" t="n"/>
      <c r="S408" s="97" t="n"/>
      <c r="T408" s="97" t="n"/>
      <c r="U408" s="97" t="n"/>
      <c r="V408" s="97" t="n"/>
      <c r="W408" s="97" t="n"/>
      <c r="X408" s="97" t="n"/>
      <c r="Y408" s="97" t="n"/>
      <c r="Z408" s="97" t="n"/>
      <c r="AA408" s="97" t="n"/>
      <c r="AB408" s="97" t="n"/>
      <c r="AC408" s="97" t="n"/>
      <c r="AD408" s="97" t="n"/>
      <c r="AE408" s="97" t="n"/>
      <c r="AF408" s="97" t="n"/>
      <c r="AG408" s="97" t="n"/>
      <c r="AH408" s="97" t="n"/>
      <c r="AI408" s="97" t="n"/>
      <c r="AJ408" s="97" t="n"/>
      <c r="AK408" s="97" t="n"/>
      <c r="AL408" s="97" t="n"/>
      <c r="AM408" s="97" t="n"/>
      <c r="AN408" s="97" t="n"/>
      <c r="AO408" s="97" t="n">
        <v>18.80562</v>
      </c>
      <c r="AP408" s="97" t="n"/>
      <c r="AQ408" s="97" t="n"/>
      <c r="AR408" s="97" t="n"/>
      <c r="AS408" s="97" t="n"/>
      <c r="AT408" s="97" t="n"/>
      <c r="AU408" s="97" t="n"/>
      <c r="AV408" s="97" t="n"/>
      <c r="AW408" s="97" t="n"/>
      <c r="AX408" s="97" t="n"/>
      <c r="AY408" s="97" t="n"/>
    </row>
    <row r="409" s="135">
      <c r="A409" t="inlineStr">
        <is>
          <t>1952-12</t>
        </is>
      </c>
      <c r="B409" s="2" t="n">
        <v>19329</v>
      </c>
      <c r="C409" s="96" t="n">
        <v>409</v>
      </c>
      <c r="E409" s="2">
        <f>B409</f>
        <v/>
      </c>
      <c r="F409" s="3">
        <f>B409</f>
        <v/>
      </c>
      <c r="G409" s="96" t="n">
        <v>407</v>
      </c>
      <c r="H409" s="97" t="n"/>
      <c r="I409" s="97" t="n"/>
      <c r="J409" s="97" t="n"/>
      <c r="K409" s="97" t="n"/>
      <c r="L409" s="97" t="n"/>
      <c r="M409" s="97" t="n"/>
      <c r="N409" s="97" t="n"/>
      <c r="O409" s="97" t="n"/>
      <c r="P409" s="97" t="n"/>
      <c r="Q409" s="97" t="n"/>
      <c r="R409" s="97" t="n"/>
      <c r="S409" s="97" t="n"/>
      <c r="T409" s="97" t="n"/>
      <c r="U409" s="97" t="n"/>
      <c r="V409" s="97" t="n"/>
      <c r="W409" s="97" t="n"/>
      <c r="X409" s="97" t="n"/>
      <c r="Y409" s="97" t="n"/>
      <c r="Z409" s="97" t="n"/>
      <c r="AA409" s="97" t="n"/>
      <c r="AB409" s="97" t="n"/>
      <c r="AC409" s="97" t="n"/>
      <c r="AD409" s="97" t="n"/>
      <c r="AE409" s="97" t="n"/>
      <c r="AF409" s="97" t="n"/>
      <c r="AG409" s="97" t="n"/>
      <c r="AH409" s="97" t="n"/>
      <c r="AI409" s="97" t="n"/>
      <c r="AJ409" s="97" t="n"/>
      <c r="AK409" s="97" t="n"/>
      <c r="AL409" s="97" t="n"/>
      <c r="AM409" s="97" t="n"/>
      <c r="AN409" s="97" t="n"/>
      <c r="AO409" s="97" t="n">
        <v>18.91205</v>
      </c>
      <c r="AP409" s="97" t="n"/>
      <c r="AQ409" s="97" t="n"/>
      <c r="AR409" s="97" t="n"/>
      <c r="AS409" s="97" t="n"/>
      <c r="AT409" s="97" t="n"/>
      <c r="AU409" s="97" t="n"/>
      <c r="AV409" s="97" t="n"/>
      <c r="AW409" s="97" t="n"/>
      <c r="AX409" s="97" t="n"/>
      <c r="AY409" s="97" t="n"/>
    </row>
    <row r="410" s="135">
      <c r="A410" t="inlineStr">
        <is>
          <t>1953-01</t>
        </is>
      </c>
      <c r="B410" s="2" t="n">
        <v>19360</v>
      </c>
      <c r="C410" s="96" t="n">
        <v>410</v>
      </c>
      <c r="E410" s="2">
        <f>B410</f>
        <v/>
      </c>
      <c r="F410" s="3">
        <f>B410</f>
        <v/>
      </c>
      <c r="G410" s="96" t="n">
        <v>408</v>
      </c>
      <c r="H410" s="97" t="n"/>
      <c r="I410" s="97" t="n"/>
      <c r="J410" s="97" t="n"/>
      <c r="K410" s="97" t="n"/>
      <c r="L410" s="97" t="n"/>
      <c r="M410" s="97" t="n"/>
      <c r="N410" s="97" t="n"/>
      <c r="O410" s="97" t="n"/>
      <c r="P410" s="97" t="n"/>
      <c r="Q410" s="97" t="n"/>
      <c r="R410" s="97" t="n"/>
      <c r="S410" s="97" t="n"/>
      <c r="T410" s="97" t="n"/>
      <c r="U410" s="97" t="n"/>
      <c r="V410" s="97" t="n"/>
      <c r="W410" s="97" t="n"/>
      <c r="X410" s="97" t="n"/>
      <c r="Y410" s="97" t="n"/>
      <c r="Z410" s="97" t="n"/>
      <c r="AA410" s="97" t="n"/>
      <c r="AB410" s="97" t="n"/>
      <c r="AC410" s="97" t="n"/>
      <c r="AD410" s="97" t="n"/>
      <c r="AE410" s="97" t="n"/>
      <c r="AF410" s="97" t="n"/>
      <c r="AG410" s="97" t="n"/>
      <c r="AH410" s="97" t="n"/>
      <c r="AI410" s="97" t="n"/>
      <c r="AJ410" s="97" t="n"/>
      <c r="AK410" s="97" t="n"/>
      <c r="AL410" s="97" t="n"/>
      <c r="AM410" s="97" t="n"/>
      <c r="AN410" s="97" t="n"/>
      <c r="AO410" s="97" t="n">
        <v>18.96516</v>
      </c>
      <c r="AP410" s="97" t="n"/>
      <c r="AQ410" s="97" t="n"/>
      <c r="AR410" s="97" t="n"/>
      <c r="AS410" s="97" t="n"/>
      <c r="AT410" s="97" t="n"/>
      <c r="AU410" s="97" t="n"/>
      <c r="AV410" s="97" t="n"/>
      <c r="AW410" s="97" t="n"/>
      <c r="AX410" s="97" t="n"/>
      <c r="AY410" s="97" t="n"/>
    </row>
    <row r="411" s="135">
      <c r="A411" t="inlineStr">
        <is>
          <t>1953-02</t>
        </is>
      </c>
      <c r="B411" s="2" t="n">
        <v>19391</v>
      </c>
      <c r="C411" s="96" t="n">
        <v>411</v>
      </c>
      <c r="E411" s="2">
        <f>B411</f>
        <v/>
      </c>
      <c r="F411" s="3">
        <f>B411</f>
        <v/>
      </c>
      <c r="G411" s="96" t="n">
        <v>409</v>
      </c>
      <c r="H411" s="97" t="n"/>
      <c r="I411" s="97" t="n"/>
      <c r="J411" s="97" t="n"/>
      <c r="K411" s="97" t="n"/>
      <c r="L411" s="97" t="n"/>
      <c r="M411" s="97" t="n"/>
      <c r="N411" s="97" t="n"/>
      <c r="O411" s="97" t="n"/>
      <c r="P411" s="97" t="n"/>
      <c r="Q411" s="97" t="n"/>
      <c r="R411" s="97" t="n"/>
      <c r="S411" s="97" t="n"/>
      <c r="T411" s="97" t="n"/>
      <c r="U411" s="97" t="n"/>
      <c r="V411" s="97" t="n"/>
      <c r="W411" s="97" t="n"/>
      <c r="X411" s="97" t="n"/>
      <c r="Y411" s="97" t="n"/>
      <c r="Z411" s="97" t="n"/>
      <c r="AA411" s="97" t="n"/>
      <c r="AB411" s="97" t="n"/>
      <c r="AC411" s="97" t="n"/>
      <c r="AD411" s="97" t="n"/>
      <c r="AE411" s="97" t="n"/>
      <c r="AF411" s="97" t="n"/>
      <c r="AG411" s="97" t="n"/>
      <c r="AH411" s="97" t="n"/>
      <c r="AI411" s="97" t="n"/>
      <c r="AJ411" s="97" t="n"/>
      <c r="AK411" s="97" t="n"/>
      <c r="AL411" s="97" t="n"/>
      <c r="AM411" s="97" t="n"/>
      <c r="AN411" s="97" t="n"/>
      <c r="AO411" s="97" t="n">
        <v>19.07159</v>
      </c>
      <c r="AP411" s="97" t="n"/>
      <c r="AQ411" s="97" t="n"/>
      <c r="AR411" s="97" t="n"/>
      <c r="AS411" s="97" t="n"/>
      <c r="AT411" s="97" t="n"/>
      <c r="AU411" s="97" t="n"/>
      <c r="AV411" s="97" t="n"/>
      <c r="AW411" s="97" t="n"/>
      <c r="AX411" s="97" t="n"/>
      <c r="AY411" s="97" t="n"/>
    </row>
    <row r="412" s="135">
      <c r="A412" t="inlineStr">
        <is>
          <t>1953-03</t>
        </is>
      </c>
      <c r="B412" s="2" t="n">
        <v>19419</v>
      </c>
      <c r="C412" s="96" t="n">
        <v>412</v>
      </c>
      <c r="E412" s="2">
        <f>B412</f>
        <v/>
      </c>
      <c r="F412" s="3">
        <f>B412</f>
        <v/>
      </c>
      <c r="G412" s="96" t="n">
        <v>410</v>
      </c>
      <c r="H412" s="97" t="n"/>
      <c r="I412" s="97" t="n"/>
      <c r="J412" s="97" t="n"/>
      <c r="K412" s="97" t="n"/>
      <c r="L412" s="97" t="n"/>
      <c r="M412" s="97" t="n"/>
      <c r="N412" s="97" t="n"/>
      <c r="O412" s="97" t="n"/>
      <c r="P412" s="97" t="n"/>
      <c r="Q412" s="97" t="n"/>
      <c r="R412" s="97" t="n"/>
      <c r="S412" s="97" t="n"/>
      <c r="T412" s="97" t="n"/>
      <c r="U412" s="97" t="n"/>
      <c r="V412" s="97" t="n"/>
      <c r="W412" s="97" t="n"/>
      <c r="X412" s="97" t="n"/>
      <c r="Y412" s="97" t="n"/>
      <c r="Z412" s="97" t="n"/>
      <c r="AA412" s="97" t="n"/>
      <c r="AB412" s="97" t="n"/>
      <c r="AC412" s="97" t="n"/>
      <c r="AD412" s="97" t="n"/>
      <c r="AE412" s="97" t="n"/>
      <c r="AF412" s="97" t="n"/>
      <c r="AG412" s="97" t="n"/>
      <c r="AH412" s="97" t="n"/>
      <c r="AI412" s="97" t="n"/>
      <c r="AJ412" s="97" t="n"/>
      <c r="AK412" s="97" t="n"/>
      <c r="AL412" s="97" t="n"/>
      <c r="AM412" s="97" t="n"/>
      <c r="AN412" s="97" t="n"/>
      <c r="AO412" s="97" t="n">
        <v>19.23123</v>
      </c>
      <c r="AP412" s="97" t="n"/>
      <c r="AQ412" s="97" t="n"/>
      <c r="AR412" s="97" t="n"/>
      <c r="AS412" s="97" t="n"/>
      <c r="AT412" s="97" t="n"/>
      <c r="AU412" s="97" t="n"/>
      <c r="AV412" s="97" t="n"/>
      <c r="AW412" s="97" t="n"/>
      <c r="AX412" s="97" t="n"/>
      <c r="AY412" s="97" t="n"/>
    </row>
    <row r="413" s="135">
      <c r="A413" t="inlineStr">
        <is>
          <t>1953-04</t>
        </is>
      </c>
      <c r="B413" s="2" t="n">
        <v>19450</v>
      </c>
      <c r="C413" s="96" t="n">
        <v>413</v>
      </c>
      <c r="E413" s="2">
        <f>B413</f>
        <v/>
      </c>
      <c r="F413" s="3">
        <f>B413</f>
        <v/>
      </c>
      <c r="G413" s="96" t="n">
        <v>411</v>
      </c>
      <c r="H413" s="97" t="n"/>
      <c r="I413" s="97" t="n"/>
      <c r="J413" s="97" t="n"/>
      <c r="K413" s="97" t="n"/>
      <c r="L413" s="97" t="n"/>
      <c r="M413" s="97" t="n"/>
      <c r="N413" s="97" t="n"/>
      <c r="O413" s="97" t="n"/>
      <c r="P413" s="97" t="n"/>
      <c r="Q413" s="97" t="n"/>
      <c r="R413" s="97" t="n"/>
      <c r="S413" s="97" t="n"/>
      <c r="T413" s="97" t="n"/>
      <c r="U413" s="97" t="n"/>
      <c r="V413" s="97" t="n"/>
      <c r="W413" s="97" t="n"/>
      <c r="X413" s="97" t="n"/>
      <c r="Y413" s="97" t="n"/>
      <c r="Z413" s="97" t="n"/>
      <c r="AA413" s="97" t="n"/>
      <c r="AB413" s="97" t="n"/>
      <c r="AC413" s="97" t="n"/>
      <c r="AD413" s="97" t="n"/>
      <c r="AE413" s="97" t="n"/>
      <c r="AF413" s="97" t="n"/>
      <c r="AG413" s="97" t="n"/>
      <c r="AH413" s="97" t="n"/>
      <c r="AI413" s="97" t="n"/>
      <c r="AJ413" s="97" t="n"/>
      <c r="AK413" s="97" t="n"/>
      <c r="AL413" s="97" t="n"/>
      <c r="AM413" s="97" t="n"/>
      <c r="AN413" s="97" t="n"/>
      <c r="AO413" s="97" t="n">
        <v>19.31104</v>
      </c>
      <c r="AP413" s="97" t="n"/>
      <c r="AQ413" s="97" t="n"/>
      <c r="AR413" s="97" t="n"/>
      <c r="AS413" s="97" t="n"/>
      <c r="AT413" s="97" t="n"/>
      <c r="AU413" s="97" t="n"/>
      <c r="AV413" s="97" t="n"/>
      <c r="AW413" s="97" t="n"/>
      <c r="AX413" s="97" t="n"/>
      <c r="AY413" s="97" t="n"/>
    </row>
    <row r="414" s="135">
      <c r="A414" t="inlineStr">
        <is>
          <t>1953-05</t>
        </is>
      </c>
      <c r="B414" s="2" t="n">
        <v>19480</v>
      </c>
      <c r="C414" s="96" t="n">
        <v>414</v>
      </c>
      <c r="E414" s="2">
        <f>B414</f>
        <v/>
      </c>
      <c r="F414" s="3">
        <f>B414</f>
        <v/>
      </c>
      <c r="G414" s="96" t="n">
        <v>412</v>
      </c>
      <c r="H414" s="97" t="n"/>
      <c r="I414" s="97" t="n"/>
      <c r="J414" s="97" t="n"/>
      <c r="K414" s="97" t="n"/>
      <c r="L414" s="97" t="n"/>
      <c r="M414" s="97" t="n"/>
      <c r="N414" s="97" t="n"/>
      <c r="O414" s="97" t="n"/>
      <c r="P414" s="97" t="n"/>
      <c r="Q414" s="97" t="n"/>
      <c r="R414" s="97" t="n"/>
      <c r="S414" s="97" t="n"/>
      <c r="T414" s="97" t="n"/>
      <c r="U414" s="97" t="n"/>
      <c r="V414" s="97" t="n"/>
      <c r="W414" s="97" t="n"/>
      <c r="X414" s="97" t="n"/>
      <c r="Y414" s="97" t="n"/>
      <c r="Z414" s="97" t="n"/>
      <c r="AA414" s="97" t="n"/>
      <c r="AB414" s="97" t="n"/>
      <c r="AC414" s="97" t="n"/>
      <c r="AD414" s="97" t="n"/>
      <c r="AE414" s="97" t="n"/>
      <c r="AF414" s="97" t="n"/>
      <c r="AG414" s="97" t="n"/>
      <c r="AH414" s="97" t="n"/>
      <c r="AI414" s="97" t="n"/>
      <c r="AJ414" s="97" t="n"/>
      <c r="AK414" s="97" t="n"/>
      <c r="AL414" s="97" t="n"/>
      <c r="AM414" s="97" t="n"/>
      <c r="AN414" s="97" t="n"/>
      <c r="AO414" s="97" t="n">
        <v>19.41737</v>
      </c>
      <c r="AP414" s="97" t="n"/>
      <c r="AQ414" s="97" t="n"/>
      <c r="AR414" s="97" t="n"/>
      <c r="AS414" s="97" t="n"/>
      <c r="AT414" s="97" t="n"/>
      <c r="AU414" s="97" t="n"/>
      <c r="AV414" s="97" t="n"/>
      <c r="AW414" s="97" t="n"/>
      <c r="AX414" s="97" t="n"/>
      <c r="AY414" s="97" t="n"/>
    </row>
    <row r="415" s="135">
      <c r="A415" t="inlineStr">
        <is>
          <t>1953-06</t>
        </is>
      </c>
      <c r="B415" s="2" t="n">
        <v>19511</v>
      </c>
      <c r="C415" s="96" t="n">
        <v>415</v>
      </c>
      <c r="E415" s="2">
        <f>B415</f>
        <v/>
      </c>
      <c r="F415" s="3">
        <f>B415</f>
        <v/>
      </c>
      <c r="G415" s="96" t="n">
        <v>413</v>
      </c>
      <c r="H415" s="97" t="n"/>
      <c r="I415" s="97" t="n"/>
      <c r="J415" s="97" t="n"/>
      <c r="K415" s="97" t="n"/>
      <c r="L415" s="97" t="n"/>
      <c r="M415" s="97" t="n"/>
      <c r="N415" s="97" t="n"/>
      <c r="O415" s="97" t="n"/>
      <c r="P415" s="97" t="n"/>
      <c r="Q415" s="97" t="n"/>
      <c r="R415" s="97" t="n"/>
      <c r="S415" s="97" t="n"/>
      <c r="T415" s="97" t="n"/>
      <c r="U415" s="97" t="n"/>
      <c r="V415" s="97" t="n"/>
      <c r="W415" s="97" t="n"/>
      <c r="X415" s="97" t="n"/>
      <c r="Y415" s="97" t="n"/>
      <c r="Z415" s="97" t="n"/>
      <c r="AA415" s="97" t="n"/>
      <c r="AB415" s="97" t="n"/>
      <c r="AC415" s="97" t="n"/>
      <c r="AD415" s="97" t="n"/>
      <c r="AE415" s="97" t="n"/>
      <c r="AF415" s="97" t="n"/>
      <c r="AG415" s="97" t="n"/>
      <c r="AH415" s="97" t="n"/>
      <c r="AI415" s="97" t="n"/>
      <c r="AJ415" s="97" t="n"/>
      <c r="AK415" s="97" t="n"/>
      <c r="AL415" s="97" t="n"/>
      <c r="AM415" s="97" t="n"/>
      <c r="AN415" s="97" t="n"/>
      <c r="AO415" s="97" t="n">
        <v>19.33755</v>
      </c>
      <c r="AP415" s="97" t="n"/>
      <c r="AQ415" s="97" t="n"/>
      <c r="AR415" s="97" t="n"/>
      <c r="AS415" s="97" t="n"/>
      <c r="AT415" s="97" t="n"/>
      <c r="AU415" s="97" t="n"/>
      <c r="AV415" s="97" t="n"/>
      <c r="AW415" s="97" t="n"/>
      <c r="AX415" s="97" t="n"/>
      <c r="AY415" s="97" t="n"/>
    </row>
    <row r="416" s="135">
      <c r="A416" t="inlineStr">
        <is>
          <t>1953-07</t>
        </is>
      </c>
      <c r="B416" s="2" t="n">
        <v>19541</v>
      </c>
      <c r="C416" s="96" t="n">
        <v>416</v>
      </c>
      <c r="E416" s="2">
        <f>B416</f>
        <v/>
      </c>
      <c r="F416" s="3">
        <f>B416</f>
        <v/>
      </c>
      <c r="G416" s="96" t="n">
        <v>414</v>
      </c>
      <c r="H416" s="97" t="n"/>
      <c r="I416" s="97" t="n"/>
      <c r="J416" s="97" t="n"/>
      <c r="K416" s="97" t="n"/>
      <c r="L416" s="97" t="n"/>
      <c r="M416" s="97" t="n"/>
      <c r="N416" s="97" t="n"/>
      <c r="O416" s="97" t="n"/>
      <c r="P416" s="97" t="n"/>
      <c r="Q416" s="97" t="n"/>
      <c r="R416" s="97" t="n"/>
      <c r="S416" s="97" t="n"/>
      <c r="T416" s="97" t="n"/>
      <c r="U416" s="97" t="n"/>
      <c r="V416" s="97" t="n"/>
      <c r="W416" s="97" t="n"/>
      <c r="X416" s="97" t="n"/>
      <c r="Y416" s="97" t="n"/>
      <c r="Z416" s="97" t="n"/>
      <c r="AA416" s="97" t="n"/>
      <c r="AB416" s="97" t="n"/>
      <c r="AC416" s="97" t="n"/>
      <c r="AD416" s="97" t="n"/>
      <c r="AE416" s="97" t="n"/>
      <c r="AF416" s="97" t="n"/>
      <c r="AG416" s="97" t="n"/>
      <c r="AH416" s="97" t="n"/>
      <c r="AI416" s="97" t="n"/>
      <c r="AJ416" s="97" t="n"/>
      <c r="AK416" s="97" t="n"/>
      <c r="AL416" s="97" t="n"/>
      <c r="AM416" s="97" t="n"/>
      <c r="AN416" s="97" t="n"/>
      <c r="AO416" s="97" t="n">
        <v>19.57701</v>
      </c>
      <c r="AP416" s="97" t="n"/>
      <c r="AQ416" s="97" t="n"/>
      <c r="AR416" s="97" t="n"/>
      <c r="AS416" s="97" t="n"/>
      <c r="AT416" s="97" t="n"/>
      <c r="AU416" s="97" t="n"/>
      <c r="AV416" s="97" t="n"/>
      <c r="AW416" s="97" t="n"/>
      <c r="AX416" s="97" t="n"/>
      <c r="AY416" s="97" t="n"/>
    </row>
    <row r="417" s="135">
      <c r="A417" t="inlineStr">
        <is>
          <t>1953-08</t>
        </is>
      </c>
      <c r="B417" s="2" t="n">
        <v>19572</v>
      </c>
      <c r="C417" s="96" t="n">
        <v>417</v>
      </c>
      <c r="E417" s="2">
        <f>B417</f>
        <v/>
      </c>
      <c r="F417" s="3">
        <f>B417</f>
        <v/>
      </c>
      <c r="G417" s="96" t="n">
        <v>415</v>
      </c>
      <c r="H417" s="97" t="n"/>
      <c r="I417" s="97" t="n"/>
      <c r="J417" s="97" t="n"/>
      <c r="K417" s="97" t="n"/>
      <c r="L417" s="97" t="n"/>
      <c r="M417" s="97" t="n"/>
      <c r="N417" s="97" t="n"/>
      <c r="O417" s="97" t="n"/>
      <c r="P417" s="97" t="n"/>
      <c r="Q417" s="97" t="n"/>
      <c r="R417" s="97" t="n"/>
      <c r="S417" s="97" t="n"/>
      <c r="T417" s="97" t="n"/>
      <c r="U417" s="97" t="n"/>
      <c r="V417" s="97" t="n"/>
      <c r="W417" s="97" t="n"/>
      <c r="X417" s="97" t="n"/>
      <c r="Y417" s="97" t="n"/>
      <c r="Z417" s="97" t="n"/>
      <c r="AA417" s="97" t="n"/>
      <c r="AB417" s="97" t="n"/>
      <c r="AC417" s="97" t="n"/>
      <c r="AD417" s="97" t="n"/>
      <c r="AE417" s="97" t="n"/>
      <c r="AF417" s="97" t="n"/>
      <c r="AG417" s="97" t="n"/>
      <c r="AH417" s="97" t="n"/>
      <c r="AI417" s="97" t="n"/>
      <c r="AJ417" s="97" t="n"/>
      <c r="AK417" s="97" t="n"/>
      <c r="AL417" s="97" t="n"/>
      <c r="AM417" s="97" t="n"/>
      <c r="AN417" s="97" t="n"/>
      <c r="AO417" s="97" t="n">
        <v>19.47058</v>
      </c>
      <c r="AP417" s="97" t="n"/>
      <c r="AQ417" s="97" t="n"/>
      <c r="AR417" s="97" t="n"/>
      <c r="AS417" s="97" t="n"/>
      <c r="AT417" s="97" t="n"/>
      <c r="AU417" s="97" t="n"/>
      <c r="AV417" s="97" t="n"/>
      <c r="AW417" s="97" t="n"/>
      <c r="AX417" s="97" t="n"/>
      <c r="AY417" s="97" t="n"/>
    </row>
    <row r="418" s="135">
      <c r="A418" t="inlineStr">
        <is>
          <t>1953-09</t>
        </is>
      </c>
      <c r="B418" s="2" t="n">
        <v>19603</v>
      </c>
      <c r="C418" s="96" t="n">
        <v>418</v>
      </c>
      <c r="E418" s="2">
        <f>B418</f>
        <v/>
      </c>
      <c r="F418" s="3">
        <f>B418</f>
        <v/>
      </c>
      <c r="G418" s="96" t="n">
        <v>416</v>
      </c>
      <c r="H418" s="97" t="n"/>
      <c r="I418" s="97" t="n"/>
      <c r="J418" s="97" t="n"/>
      <c r="K418" s="97" t="n"/>
      <c r="L418" s="97" t="n"/>
      <c r="M418" s="97" t="n"/>
      <c r="N418" s="97" t="n"/>
      <c r="O418" s="97" t="n"/>
      <c r="P418" s="97" t="n"/>
      <c r="Q418" s="97" t="n"/>
      <c r="R418" s="97" t="n"/>
      <c r="S418" s="97" t="n"/>
      <c r="T418" s="97" t="n"/>
      <c r="U418" s="97" t="n"/>
      <c r="V418" s="97" t="n"/>
      <c r="W418" s="97" t="n"/>
      <c r="X418" s="97" t="n"/>
      <c r="Y418" s="97" t="n"/>
      <c r="Z418" s="97" t="n"/>
      <c r="AA418" s="97" t="n"/>
      <c r="AB418" s="97" t="n"/>
      <c r="AC418" s="97" t="n"/>
      <c r="AD418" s="97" t="n"/>
      <c r="AE418" s="97" t="n"/>
      <c r="AF418" s="97" t="n"/>
      <c r="AG418" s="97" t="n"/>
      <c r="AH418" s="97" t="n"/>
      <c r="AI418" s="97" t="n"/>
      <c r="AJ418" s="97" t="n"/>
      <c r="AK418" s="97" t="n"/>
      <c r="AL418" s="97" t="n"/>
      <c r="AM418" s="97" t="n"/>
      <c r="AN418" s="97" t="n"/>
      <c r="AO418" s="97" t="n">
        <v>19.07159</v>
      </c>
      <c r="AP418" s="97" t="n"/>
      <c r="AQ418" s="97" t="n"/>
      <c r="AR418" s="97" t="n"/>
      <c r="AS418" s="97" t="n"/>
      <c r="AT418" s="97" t="n"/>
      <c r="AU418" s="97" t="n"/>
      <c r="AV418" s="97" t="n"/>
      <c r="AW418" s="97" t="n"/>
      <c r="AX418" s="97" t="n"/>
      <c r="AY418" s="97" t="n"/>
    </row>
    <row r="419" s="135">
      <c r="A419" t="inlineStr">
        <is>
          <t>1953-10</t>
        </is>
      </c>
      <c r="B419" s="2" t="n">
        <v>19633</v>
      </c>
      <c r="C419" s="96" t="n">
        <v>419</v>
      </c>
      <c r="E419" s="2">
        <f>B419</f>
        <v/>
      </c>
      <c r="F419" s="3">
        <f>B419</f>
        <v/>
      </c>
      <c r="G419" s="96" t="n">
        <v>417</v>
      </c>
      <c r="H419" s="97" t="n"/>
      <c r="I419" s="97" t="n"/>
      <c r="J419" s="97" t="n"/>
      <c r="K419" s="97" t="n"/>
      <c r="L419" s="97" t="n"/>
      <c r="M419" s="97" t="n"/>
      <c r="N419" s="97" t="n"/>
      <c r="O419" s="97" t="n"/>
      <c r="P419" s="97" t="n"/>
      <c r="Q419" s="97" t="n"/>
      <c r="R419" s="97" t="n"/>
      <c r="S419" s="97" t="n"/>
      <c r="T419" s="97" t="n"/>
      <c r="U419" s="97" t="n"/>
      <c r="V419" s="97" t="n"/>
      <c r="W419" s="97" t="n"/>
      <c r="X419" s="97" t="n"/>
      <c r="Y419" s="97" t="n"/>
      <c r="Z419" s="97" t="n"/>
      <c r="AA419" s="97" t="n"/>
      <c r="AB419" s="97" t="n"/>
      <c r="AC419" s="97" t="n"/>
      <c r="AD419" s="97" t="n"/>
      <c r="AE419" s="97" t="n"/>
      <c r="AF419" s="97" t="n"/>
      <c r="AG419" s="97" t="n"/>
      <c r="AH419" s="97" t="n"/>
      <c r="AI419" s="97" t="n"/>
      <c r="AJ419" s="97" t="n"/>
      <c r="AK419" s="97" t="n"/>
      <c r="AL419" s="97" t="n"/>
      <c r="AM419" s="97" t="n"/>
      <c r="AN419" s="97" t="n"/>
      <c r="AO419" s="97" t="n">
        <v>18.91205</v>
      </c>
      <c r="AP419" s="97" t="n"/>
      <c r="AQ419" s="97" t="n"/>
      <c r="AR419" s="97" t="n"/>
      <c r="AS419" s="97" t="n"/>
      <c r="AT419" s="97" t="n"/>
      <c r="AU419" s="97" t="n"/>
      <c r="AV419" s="97" t="n"/>
      <c r="AW419" s="97" t="n"/>
      <c r="AX419" s="97" t="n"/>
      <c r="AY419" s="97" t="n"/>
    </row>
    <row r="420" s="135">
      <c r="A420" t="inlineStr">
        <is>
          <t>1953-11</t>
        </is>
      </c>
      <c r="B420" s="2" t="n">
        <v>19664</v>
      </c>
      <c r="C420" s="96" t="n">
        <v>420</v>
      </c>
      <c r="E420" s="2">
        <f>B420</f>
        <v/>
      </c>
      <c r="F420" s="3">
        <f>B420</f>
        <v/>
      </c>
      <c r="G420" s="96" t="n">
        <v>418</v>
      </c>
      <c r="H420" s="97" t="n"/>
      <c r="I420" s="97" t="n"/>
      <c r="J420" s="97" t="n"/>
      <c r="K420" s="97" t="n"/>
      <c r="L420" s="97" t="n"/>
      <c r="M420" s="97" t="n"/>
      <c r="N420" s="97" t="n"/>
      <c r="O420" s="97" t="n"/>
      <c r="P420" s="97" t="n"/>
      <c r="Q420" s="97" t="n"/>
      <c r="R420" s="97" t="n"/>
      <c r="S420" s="97" t="n"/>
      <c r="T420" s="97" t="n"/>
      <c r="U420" s="97" t="n"/>
      <c r="V420" s="97" t="n"/>
      <c r="W420" s="97" t="n"/>
      <c r="X420" s="97" t="n"/>
      <c r="Y420" s="97" t="n"/>
      <c r="Z420" s="97" t="n"/>
      <c r="AA420" s="97" t="n"/>
      <c r="AB420" s="97" t="n"/>
      <c r="AC420" s="97" t="n"/>
      <c r="AD420" s="97" t="n"/>
      <c r="AE420" s="97" t="n"/>
      <c r="AF420" s="97" t="n"/>
      <c r="AG420" s="97" t="n"/>
      <c r="AH420" s="97" t="n"/>
      <c r="AI420" s="97" t="n"/>
      <c r="AJ420" s="97" t="n"/>
      <c r="AK420" s="97" t="n"/>
      <c r="AL420" s="97" t="n"/>
      <c r="AM420" s="97" t="n"/>
      <c r="AN420" s="97" t="n"/>
      <c r="AO420" s="97" t="n">
        <v>18.45984</v>
      </c>
      <c r="AP420" s="97" t="n"/>
      <c r="AQ420" s="97" t="n"/>
      <c r="AR420" s="97" t="n"/>
      <c r="AS420" s="97" t="n"/>
      <c r="AT420" s="97" t="n"/>
      <c r="AU420" s="97" t="n"/>
      <c r="AV420" s="97" t="n"/>
      <c r="AW420" s="97" t="n"/>
      <c r="AX420" s="97" t="n"/>
      <c r="AY420" s="97" t="n"/>
    </row>
    <row r="421" s="135">
      <c r="A421" t="inlineStr">
        <is>
          <t>1953-12</t>
        </is>
      </c>
      <c r="B421" s="2" t="n">
        <v>19694</v>
      </c>
      <c r="C421" s="96" t="n">
        <v>421</v>
      </c>
      <c r="E421" s="2">
        <f>B421</f>
        <v/>
      </c>
      <c r="F421" s="3">
        <f>B421</f>
        <v/>
      </c>
      <c r="G421" s="96" t="n">
        <v>419</v>
      </c>
      <c r="H421" s="97" t="n"/>
      <c r="I421" s="97" t="n"/>
      <c r="J421" s="97" t="n"/>
      <c r="K421" s="97" t="n"/>
      <c r="L421" s="97" t="n"/>
      <c r="M421" s="97" t="n"/>
      <c r="N421" s="97" t="n"/>
      <c r="O421" s="97" t="n"/>
      <c r="P421" s="97" t="n"/>
      <c r="Q421" s="97" t="n"/>
      <c r="R421" s="97" t="n"/>
      <c r="S421" s="97" t="n"/>
      <c r="T421" s="97" t="n"/>
      <c r="U421" s="97" t="n"/>
      <c r="V421" s="97" t="n"/>
      <c r="W421" s="97" t="n"/>
      <c r="X421" s="97" t="n"/>
      <c r="Y421" s="97" t="n"/>
      <c r="Z421" s="97" t="n"/>
      <c r="AA421" s="97" t="n"/>
      <c r="AB421" s="97" t="n"/>
      <c r="AC421" s="97" t="n"/>
      <c r="AD421" s="97" t="n"/>
      <c r="AE421" s="97" t="n"/>
      <c r="AF421" s="97" t="n"/>
      <c r="AG421" s="97" t="n"/>
      <c r="AH421" s="97" t="n"/>
      <c r="AI421" s="97" t="n"/>
      <c r="AJ421" s="97" t="n"/>
      <c r="AK421" s="97" t="n"/>
      <c r="AL421" s="97" t="n"/>
      <c r="AM421" s="97" t="n"/>
      <c r="AN421" s="97" t="n"/>
      <c r="AO421" s="97" t="n">
        <v>18.00763</v>
      </c>
      <c r="AP421" s="97" t="n"/>
      <c r="AQ421" s="97" t="n"/>
      <c r="AR421" s="97" t="n"/>
      <c r="AS421" s="97" t="n"/>
      <c r="AT421" s="97" t="n"/>
      <c r="AU421" s="97" t="n"/>
      <c r="AV421" s="97" t="n"/>
      <c r="AW421" s="97" t="n"/>
      <c r="AX421" s="97" t="n"/>
      <c r="AY421" s="97" t="n"/>
    </row>
    <row r="422" s="135">
      <c r="A422" t="inlineStr">
        <is>
          <t>1954-01</t>
        </is>
      </c>
      <c r="B422" s="2" t="n">
        <v>19725</v>
      </c>
      <c r="C422" s="96" t="n">
        <v>422</v>
      </c>
      <c r="E422" s="2">
        <f>B422</f>
        <v/>
      </c>
      <c r="F422" s="3">
        <f>B422</f>
        <v/>
      </c>
      <c r="G422" s="96" t="n">
        <v>420</v>
      </c>
      <c r="H422" s="97" t="n"/>
      <c r="I422" s="97" t="n"/>
      <c r="J422" s="97" t="n"/>
      <c r="K422" s="97" t="n"/>
      <c r="L422" s="97" t="n"/>
      <c r="M422" s="97" t="n"/>
      <c r="N422" s="97" t="n"/>
      <c r="O422" s="97" t="n"/>
      <c r="P422" s="97" t="n"/>
      <c r="Q422" s="97" t="n"/>
      <c r="R422" s="97" t="n"/>
      <c r="S422" s="97" t="n"/>
      <c r="T422" s="97" t="n"/>
      <c r="U422" s="97" t="n"/>
      <c r="V422" s="97" t="n"/>
      <c r="W422" s="97" t="n"/>
      <c r="X422" s="97" t="n"/>
      <c r="Y422" s="97" t="n"/>
      <c r="Z422" s="97" t="n"/>
      <c r="AA422" s="97" t="n"/>
      <c r="AB422" s="97" t="n"/>
      <c r="AC422" s="97" t="n"/>
      <c r="AD422" s="97" t="n"/>
      <c r="AE422" s="97" t="n"/>
      <c r="AF422" s="97" t="n"/>
      <c r="AG422" s="97" t="n"/>
      <c r="AH422" s="97" t="n"/>
      <c r="AI422" s="97" t="n"/>
      <c r="AJ422" s="97" t="n"/>
      <c r="AK422" s="97" t="n"/>
      <c r="AL422" s="97" t="n"/>
      <c r="AM422" s="97" t="n"/>
      <c r="AN422" s="97" t="n"/>
      <c r="AO422" s="97" t="n">
        <v>17.8746</v>
      </c>
      <c r="AP422" s="97" t="n"/>
      <c r="AQ422" s="97" t="n"/>
      <c r="AR422" s="97" t="n"/>
      <c r="AS422" s="97" t="n"/>
      <c r="AT422" s="97" t="n"/>
      <c r="AU422" s="97" t="n"/>
      <c r="AV422" s="97" t="n"/>
      <c r="AW422" s="97" t="n"/>
      <c r="AX422" s="97" t="n"/>
      <c r="AY422" s="97" t="n"/>
    </row>
    <row r="423" s="135">
      <c r="A423" t="inlineStr">
        <is>
          <t>1954-02</t>
        </is>
      </c>
      <c r="B423" s="2" t="n">
        <v>19756</v>
      </c>
      <c r="C423" s="96" t="n">
        <v>423</v>
      </c>
      <c r="E423" s="2">
        <f>B423</f>
        <v/>
      </c>
      <c r="F423" s="3">
        <f>B423</f>
        <v/>
      </c>
      <c r="G423" s="96" t="n">
        <v>421</v>
      </c>
      <c r="H423" s="97" t="n"/>
      <c r="I423" s="97" t="n"/>
      <c r="J423" s="97" t="n"/>
      <c r="K423" s="97" t="n"/>
      <c r="L423" s="97" t="n"/>
      <c r="M423" s="97" t="n"/>
      <c r="N423" s="97" t="n"/>
      <c r="O423" s="97" t="n"/>
      <c r="P423" s="97" t="n"/>
      <c r="Q423" s="97" t="n"/>
      <c r="R423" s="97" t="n"/>
      <c r="S423" s="97" t="n"/>
      <c r="T423" s="97" t="n"/>
      <c r="U423" s="97" t="n"/>
      <c r="V423" s="97" t="n"/>
      <c r="W423" s="97" t="n"/>
      <c r="X423" s="97" t="n"/>
      <c r="Y423" s="97" t="n"/>
      <c r="Z423" s="97" t="n"/>
      <c r="AA423" s="97" t="n"/>
      <c r="AB423" s="97" t="n"/>
      <c r="AC423" s="97" t="n"/>
      <c r="AD423" s="97" t="n"/>
      <c r="AE423" s="97" t="n"/>
      <c r="AF423" s="97" t="n"/>
      <c r="AG423" s="97" t="n"/>
      <c r="AH423" s="97" t="n"/>
      <c r="AI423" s="97" t="n"/>
      <c r="AJ423" s="97" t="n"/>
      <c r="AK423" s="97" t="n"/>
      <c r="AL423" s="97" t="n"/>
      <c r="AM423" s="97" t="n"/>
      <c r="AN423" s="97" t="n"/>
      <c r="AO423" s="97" t="n">
        <v>17.92781</v>
      </c>
      <c r="AP423" s="97" t="n"/>
      <c r="AQ423" s="97" t="n"/>
      <c r="AR423" s="97" t="n"/>
      <c r="AS423" s="97" t="n"/>
      <c r="AT423" s="97" t="n"/>
      <c r="AU423" s="97" t="n"/>
      <c r="AV423" s="97" t="n"/>
      <c r="AW423" s="97" t="n"/>
      <c r="AX423" s="97" t="n"/>
      <c r="AY423" s="97" t="n"/>
    </row>
    <row r="424" s="135">
      <c r="A424" t="inlineStr">
        <is>
          <t>1954-03</t>
        </is>
      </c>
      <c r="B424" s="2" t="n">
        <v>19784</v>
      </c>
      <c r="C424" s="96" t="n">
        <v>424</v>
      </c>
      <c r="E424" s="2">
        <f>B424</f>
        <v/>
      </c>
      <c r="F424" s="3">
        <f>B424</f>
        <v/>
      </c>
      <c r="G424" s="96" t="n">
        <v>422</v>
      </c>
      <c r="H424" s="97" t="n"/>
      <c r="I424" s="97" t="n"/>
      <c r="J424" s="97" t="n"/>
      <c r="K424" s="97" t="n"/>
      <c r="L424" s="97" t="n"/>
      <c r="M424" s="97" t="n"/>
      <c r="N424" s="97" t="n"/>
      <c r="O424" s="97" t="n"/>
      <c r="P424" s="97" t="n"/>
      <c r="Q424" s="97" t="n"/>
      <c r="R424" s="97" t="n"/>
      <c r="S424" s="97" t="n"/>
      <c r="T424" s="97" t="n"/>
      <c r="U424" s="97" t="n"/>
      <c r="V424" s="97" t="n"/>
      <c r="W424" s="97" t="n"/>
      <c r="X424" s="97" t="n"/>
      <c r="Y424" s="97" t="n"/>
      <c r="Z424" s="97" t="n"/>
      <c r="AA424" s="97" t="n"/>
      <c r="AB424" s="97" t="n"/>
      <c r="AC424" s="97" t="n"/>
      <c r="AD424" s="97" t="n"/>
      <c r="AE424" s="97" t="n"/>
      <c r="AF424" s="97" t="n"/>
      <c r="AG424" s="97" t="n"/>
      <c r="AH424" s="97" t="n"/>
      <c r="AI424" s="97" t="n"/>
      <c r="AJ424" s="97" t="n"/>
      <c r="AK424" s="97" t="n"/>
      <c r="AL424" s="97" t="n"/>
      <c r="AM424" s="97" t="n"/>
      <c r="AN424" s="97" t="n"/>
      <c r="AO424" s="97" t="n">
        <v>17.82149</v>
      </c>
      <c r="AP424" s="97" t="n"/>
      <c r="AQ424" s="97" t="n"/>
      <c r="AR424" s="97" t="n"/>
      <c r="AS424" s="97" t="n"/>
      <c r="AT424" s="97" t="n"/>
      <c r="AU424" s="97" t="n"/>
      <c r="AV424" s="97" t="n"/>
      <c r="AW424" s="97" t="n"/>
      <c r="AX424" s="97" t="n"/>
      <c r="AY424" s="97" t="n"/>
    </row>
    <row r="425" s="135">
      <c r="A425" t="inlineStr">
        <is>
          <t>1954-04</t>
        </is>
      </c>
      <c r="B425" s="2" t="n">
        <v>19815</v>
      </c>
      <c r="C425" s="96" t="n">
        <v>425</v>
      </c>
      <c r="E425" s="2">
        <f>B425</f>
        <v/>
      </c>
      <c r="F425" s="3">
        <f>B425</f>
        <v/>
      </c>
      <c r="G425" s="96" t="n">
        <v>423</v>
      </c>
      <c r="H425" s="97" t="n"/>
      <c r="I425" s="97" t="n"/>
      <c r="J425" s="97" t="n"/>
      <c r="K425" s="97" t="n"/>
      <c r="L425" s="97" t="n"/>
      <c r="M425" s="97" t="n"/>
      <c r="N425" s="97" t="n"/>
      <c r="O425" s="97" t="n"/>
      <c r="P425" s="97" t="n"/>
      <c r="Q425" s="97" t="n"/>
      <c r="R425" s="97" t="n"/>
      <c r="S425" s="97" t="n"/>
      <c r="T425" s="97" t="n"/>
      <c r="U425" s="97" t="n"/>
      <c r="V425" s="97" t="n"/>
      <c r="W425" s="97" t="n"/>
      <c r="X425" s="97" t="n"/>
      <c r="Y425" s="97" t="n"/>
      <c r="Z425" s="97" t="n"/>
      <c r="AA425" s="97" t="n"/>
      <c r="AB425" s="97" t="n"/>
      <c r="AC425" s="97" t="n"/>
      <c r="AD425" s="97" t="n"/>
      <c r="AE425" s="97" t="n"/>
      <c r="AF425" s="97" t="n"/>
      <c r="AG425" s="97" t="n"/>
      <c r="AH425" s="97" t="n"/>
      <c r="AI425" s="97" t="n"/>
      <c r="AJ425" s="97" t="n"/>
      <c r="AK425" s="97" t="n"/>
      <c r="AL425" s="97" t="n"/>
      <c r="AM425" s="97" t="n"/>
      <c r="AN425" s="97" t="n"/>
      <c r="AO425" s="97" t="n">
        <v>17.71506</v>
      </c>
      <c r="AP425" s="97" t="n"/>
      <c r="AQ425" s="97" t="n"/>
      <c r="AR425" s="97" t="n"/>
      <c r="AS425" s="97" t="n"/>
      <c r="AT425" s="97" t="n"/>
      <c r="AU425" s="97" t="n"/>
      <c r="AV425" s="97" t="n"/>
      <c r="AW425" s="97" t="n"/>
      <c r="AX425" s="97" t="n"/>
      <c r="AY425" s="97" t="n"/>
    </row>
    <row r="426" s="135">
      <c r="A426" t="inlineStr">
        <is>
          <t>1954-05</t>
        </is>
      </c>
      <c r="B426" s="2" t="n">
        <v>19845</v>
      </c>
      <c r="C426" s="96" t="n">
        <v>426</v>
      </c>
      <c r="E426" s="2">
        <f>B426</f>
        <v/>
      </c>
      <c r="F426" s="3">
        <f>B426</f>
        <v/>
      </c>
      <c r="G426" s="96" t="n">
        <v>424</v>
      </c>
      <c r="H426" s="97" t="n"/>
      <c r="I426" s="97" t="n"/>
      <c r="J426" s="97" t="n"/>
      <c r="K426" s="97" t="n"/>
      <c r="L426" s="97" t="n"/>
      <c r="M426" s="97" t="n"/>
      <c r="N426" s="97" t="n"/>
      <c r="O426" s="97" t="n"/>
      <c r="P426" s="97" t="n"/>
      <c r="Q426" s="97" t="n"/>
      <c r="R426" s="97" t="n"/>
      <c r="S426" s="97" t="n"/>
      <c r="T426" s="97" t="n"/>
      <c r="U426" s="97" t="n"/>
      <c r="V426" s="97" t="n"/>
      <c r="W426" s="97" t="n"/>
      <c r="X426" s="97" t="n"/>
      <c r="Y426" s="97" t="n"/>
      <c r="Z426" s="97" t="n"/>
      <c r="AA426" s="97" t="n"/>
      <c r="AB426" s="97" t="n"/>
      <c r="AC426" s="97" t="n"/>
      <c r="AD426" s="97" t="n"/>
      <c r="AE426" s="97" t="n"/>
      <c r="AF426" s="97" t="n"/>
      <c r="AG426" s="97" t="n"/>
      <c r="AH426" s="97" t="n"/>
      <c r="AI426" s="97" t="n"/>
      <c r="AJ426" s="97" t="n"/>
      <c r="AK426" s="97" t="n"/>
      <c r="AL426" s="97" t="n"/>
      <c r="AM426" s="97" t="n"/>
      <c r="AN426" s="97" t="n"/>
      <c r="AO426" s="97" t="n">
        <v>17.82149</v>
      </c>
      <c r="AP426" s="97" t="n"/>
      <c r="AQ426" s="97" t="n"/>
      <c r="AR426" s="97" t="n"/>
      <c r="AS426" s="97" t="n"/>
      <c r="AT426" s="97" t="n"/>
      <c r="AU426" s="97" t="n"/>
      <c r="AV426" s="97" t="n"/>
      <c r="AW426" s="97" t="n"/>
      <c r="AX426" s="97" t="n"/>
      <c r="AY426" s="97" t="n"/>
    </row>
    <row r="427" s="135">
      <c r="A427" t="inlineStr">
        <is>
          <t>1954-06</t>
        </is>
      </c>
      <c r="B427" s="2" t="n">
        <v>19876</v>
      </c>
      <c r="C427" s="96" t="n">
        <v>427</v>
      </c>
      <c r="E427" s="2">
        <f>B427</f>
        <v/>
      </c>
      <c r="F427" s="3">
        <f>B427</f>
        <v/>
      </c>
      <c r="G427" s="96" t="n">
        <v>425</v>
      </c>
      <c r="H427" s="97" t="n"/>
      <c r="I427" s="97" t="n"/>
      <c r="J427" s="97" t="n"/>
      <c r="K427" s="97" t="n"/>
      <c r="L427" s="97" t="n"/>
      <c r="M427" s="97" t="n"/>
      <c r="N427" s="97" t="n"/>
      <c r="O427" s="97" t="n"/>
      <c r="P427" s="97" t="n"/>
      <c r="Q427" s="97" t="n"/>
      <c r="R427" s="97" t="n"/>
      <c r="S427" s="97" t="n"/>
      <c r="T427" s="97" t="n"/>
      <c r="U427" s="97" t="n"/>
      <c r="V427" s="97" t="n"/>
      <c r="W427" s="97" t="n"/>
      <c r="X427" s="97" t="n"/>
      <c r="Y427" s="97" t="n"/>
      <c r="Z427" s="97" t="n"/>
      <c r="AA427" s="97" t="n"/>
      <c r="AB427" s="97" t="n"/>
      <c r="AC427" s="97" t="n"/>
      <c r="AD427" s="97" t="n"/>
      <c r="AE427" s="97" t="n"/>
      <c r="AF427" s="97" t="n"/>
      <c r="AG427" s="97" t="n"/>
      <c r="AH427" s="97" t="n"/>
      <c r="AI427" s="97" t="n"/>
      <c r="AJ427" s="97" t="n"/>
      <c r="AK427" s="97" t="n"/>
      <c r="AL427" s="97" t="n"/>
      <c r="AM427" s="97" t="n"/>
      <c r="AN427" s="97" t="n"/>
      <c r="AO427" s="97" t="n">
        <v>17.8747</v>
      </c>
      <c r="AP427" s="97" t="n"/>
      <c r="AQ427" s="97" t="n"/>
      <c r="AR427" s="97" t="n"/>
      <c r="AS427" s="97" t="n"/>
      <c r="AT427" s="97" t="n"/>
      <c r="AU427" s="97" t="n"/>
      <c r="AV427" s="97" t="n"/>
      <c r="AW427" s="97" t="n"/>
      <c r="AX427" s="97" t="n"/>
      <c r="AY427" s="97" t="n"/>
    </row>
    <row r="428" s="135">
      <c r="A428" t="inlineStr">
        <is>
          <t>1954-07</t>
        </is>
      </c>
      <c r="B428" s="2" t="n">
        <v>19906</v>
      </c>
      <c r="C428" s="96" t="n">
        <v>428</v>
      </c>
      <c r="E428" s="2">
        <f>B428</f>
        <v/>
      </c>
      <c r="F428" s="3">
        <f>B428</f>
        <v/>
      </c>
      <c r="G428" s="96" t="n">
        <v>426</v>
      </c>
      <c r="H428" s="97" t="n"/>
      <c r="I428" s="97" t="n"/>
      <c r="J428" s="97" t="n"/>
      <c r="K428" s="97" t="n"/>
      <c r="L428" s="97" t="n"/>
      <c r="M428" s="97" t="n"/>
      <c r="N428" s="97" t="n"/>
      <c r="O428" s="97" t="n"/>
      <c r="P428" s="97" t="n"/>
      <c r="Q428" s="97" t="n"/>
      <c r="R428" s="97" t="n"/>
      <c r="S428" s="97" t="n"/>
      <c r="T428" s="97" t="n"/>
      <c r="U428" s="97" t="n"/>
      <c r="V428" s="97" t="n"/>
      <c r="W428" s="97" t="n"/>
      <c r="X428" s="97" t="n"/>
      <c r="Y428" s="97" t="n"/>
      <c r="Z428" s="97" t="n"/>
      <c r="AA428" s="97" t="n"/>
      <c r="AB428" s="97" t="n"/>
      <c r="AC428" s="97" t="n"/>
      <c r="AD428" s="97" t="n"/>
      <c r="AE428" s="97" t="n"/>
      <c r="AF428" s="97" t="n"/>
      <c r="AG428" s="97" t="n"/>
      <c r="AH428" s="97" t="n"/>
      <c r="AI428" s="97" t="n"/>
      <c r="AJ428" s="97" t="n"/>
      <c r="AK428" s="97" t="n"/>
      <c r="AL428" s="97" t="n"/>
      <c r="AM428" s="97" t="n"/>
      <c r="AN428" s="97" t="n"/>
      <c r="AO428" s="97" t="n">
        <v>17.90121</v>
      </c>
      <c r="AP428" s="97" t="n"/>
      <c r="AQ428" s="97" t="n"/>
      <c r="AR428" s="97" t="n"/>
      <c r="AS428" s="97" t="n"/>
      <c r="AT428" s="97" t="n"/>
      <c r="AU428" s="97" t="n"/>
      <c r="AV428" s="97" t="n"/>
      <c r="AW428" s="97" t="n"/>
      <c r="AX428" s="97" t="n"/>
      <c r="AY428" s="97" t="n"/>
    </row>
    <row r="429" s="135">
      <c r="A429" t="inlineStr">
        <is>
          <t>1954-08</t>
        </is>
      </c>
      <c r="B429" s="2" t="n">
        <v>19937</v>
      </c>
      <c r="C429" s="96" t="n">
        <v>429</v>
      </c>
      <c r="E429" s="2">
        <f>B429</f>
        <v/>
      </c>
      <c r="F429" s="3">
        <f>B429</f>
        <v/>
      </c>
      <c r="G429" s="96" t="n">
        <v>427</v>
      </c>
      <c r="H429" s="97" t="n"/>
      <c r="I429" s="97" t="n"/>
      <c r="J429" s="97" t="n"/>
      <c r="K429" s="97" t="n"/>
      <c r="L429" s="97" t="n"/>
      <c r="M429" s="97" t="n"/>
      <c r="N429" s="97" t="n"/>
      <c r="O429" s="97" t="n"/>
      <c r="P429" s="97" t="n"/>
      <c r="Q429" s="97" t="n"/>
      <c r="R429" s="97" t="n"/>
      <c r="S429" s="97" t="n"/>
      <c r="T429" s="97" t="n"/>
      <c r="U429" s="97" t="n"/>
      <c r="V429" s="97" t="n"/>
      <c r="W429" s="97" t="n"/>
      <c r="X429" s="97" t="n"/>
      <c r="Y429" s="97" t="n"/>
      <c r="Z429" s="97" t="n"/>
      <c r="AA429" s="97" t="n"/>
      <c r="AB429" s="97" t="n"/>
      <c r="AC429" s="97" t="n"/>
      <c r="AD429" s="97" t="n"/>
      <c r="AE429" s="97" t="n"/>
      <c r="AF429" s="97" t="n"/>
      <c r="AG429" s="97" t="n"/>
      <c r="AH429" s="97" t="n"/>
      <c r="AI429" s="97" t="n"/>
      <c r="AJ429" s="97" t="n"/>
      <c r="AK429" s="97" t="n"/>
      <c r="AL429" s="97" t="n"/>
      <c r="AM429" s="97" t="n"/>
      <c r="AN429" s="97" t="n"/>
      <c r="AO429" s="97" t="n">
        <v>17.8746</v>
      </c>
      <c r="AP429" s="97" t="n"/>
      <c r="AQ429" s="97" t="n"/>
      <c r="AR429" s="97" t="n"/>
      <c r="AS429" s="97" t="n"/>
      <c r="AT429" s="97" t="n"/>
      <c r="AU429" s="97" t="n"/>
      <c r="AV429" s="97" t="n"/>
      <c r="AW429" s="97" t="n"/>
      <c r="AX429" s="97" t="n"/>
      <c r="AY429" s="97" t="n"/>
    </row>
    <row r="430" s="135">
      <c r="A430" t="inlineStr">
        <is>
          <t>1954-09</t>
        </is>
      </c>
      <c r="B430" s="2" t="n">
        <v>19968</v>
      </c>
      <c r="C430" s="96" t="n">
        <v>430</v>
      </c>
      <c r="E430" s="2">
        <f>B430</f>
        <v/>
      </c>
      <c r="F430" s="3">
        <f>B430</f>
        <v/>
      </c>
      <c r="G430" s="96" t="n">
        <v>428</v>
      </c>
      <c r="H430" s="97" t="n"/>
      <c r="I430" s="97" t="n"/>
      <c r="J430" s="97" t="n"/>
      <c r="K430" s="97" t="n"/>
      <c r="L430" s="97" t="n"/>
      <c r="M430" s="97" t="n"/>
      <c r="N430" s="97" t="n"/>
      <c r="O430" s="97" t="n"/>
      <c r="P430" s="97" t="n"/>
      <c r="Q430" s="97" t="n"/>
      <c r="R430" s="97" t="n"/>
      <c r="S430" s="97" t="n"/>
      <c r="T430" s="97" t="n"/>
      <c r="U430" s="97" t="n"/>
      <c r="V430" s="97" t="n"/>
      <c r="W430" s="97" t="n"/>
      <c r="X430" s="97" t="n"/>
      <c r="Y430" s="97" t="n"/>
      <c r="Z430" s="97" t="n"/>
      <c r="AA430" s="97" t="n"/>
      <c r="AB430" s="97" t="n"/>
      <c r="AC430" s="97" t="n"/>
      <c r="AD430" s="97" t="n"/>
      <c r="AE430" s="97" t="n"/>
      <c r="AF430" s="97" t="n"/>
      <c r="AG430" s="97" t="n"/>
      <c r="AH430" s="97" t="n"/>
      <c r="AI430" s="97" t="n"/>
      <c r="AJ430" s="97" t="n"/>
      <c r="AK430" s="97" t="n"/>
      <c r="AL430" s="97" t="n"/>
      <c r="AM430" s="97" t="n"/>
      <c r="AN430" s="97" t="n"/>
      <c r="AO430" s="97" t="n">
        <v>17.90121</v>
      </c>
      <c r="AP430" s="97" t="n"/>
      <c r="AQ430" s="97" t="n"/>
      <c r="AR430" s="97" t="n"/>
      <c r="AS430" s="97" t="n"/>
      <c r="AT430" s="97" t="n"/>
      <c r="AU430" s="97" t="n"/>
      <c r="AV430" s="97" t="n"/>
      <c r="AW430" s="97" t="n"/>
      <c r="AX430" s="97" t="n"/>
      <c r="AY430" s="97" t="n"/>
    </row>
    <row r="431" s="135">
      <c r="A431" t="inlineStr">
        <is>
          <t>1954-10</t>
        </is>
      </c>
      <c r="B431" s="2" t="n">
        <v>19998</v>
      </c>
      <c r="C431" s="96" t="n">
        <v>431</v>
      </c>
      <c r="E431" s="2">
        <f>B431</f>
        <v/>
      </c>
      <c r="F431" s="3">
        <f>B431</f>
        <v/>
      </c>
      <c r="G431" s="96" t="n">
        <v>429</v>
      </c>
      <c r="H431" s="97" t="n"/>
      <c r="I431" s="97" t="n"/>
      <c r="J431" s="97" t="n"/>
      <c r="K431" s="97" t="n"/>
      <c r="L431" s="97" t="n"/>
      <c r="M431" s="97" t="n"/>
      <c r="N431" s="97" t="n"/>
      <c r="O431" s="97" t="n"/>
      <c r="P431" s="97" t="n"/>
      <c r="Q431" s="97" t="n"/>
      <c r="R431" s="97" t="n"/>
      <c r="S431" s="97" t="n"/>
      <c r="T431" s="97" t="n"/>
      <c r="U431" s="97" t="n"/>
      <c r="V431" s="97" t="n"/>
      <c r="W431" s="97" t="n"/>
      <c r="X431" s="97" t="n"/>
      <c r="Y431" s="97" t="n"/>
      <c r="Z431" s="97" t="n"/>
      <c r="AA431" s="97" t="n"/>
      <c r="AB431" s="97" t="n"/>
      <c r="AC431" s="97" t="n"/>
      <c r="AD431" s="97" t="n"/>
      <c r="AE431" s="97" t="n"/>
      <c r="AF431" s="97" t="n"/>
      <c r="AG431" s="97" t="n"/>
      <c r="AH431" s="97" t="n"/>
      <c r="AI431" s="97" t="n"/>
      <c r="AJ431" s="97" t="n"/>
      <c r="AK431" s="97" t="n"/>
      <c r="AL431" s="97" t="n"/>
      <c r="AM431" s="97" t="n"/>
      <c r="AN431" s="97" t="n"/>
      <c r="AO431" s="97" t="n">
        <v>18.11406</v>
      </c>
      <c r="AP431" s="97" t="n"/>
      <c r="AQ431" s="97" t="n"/>
      <c r="AR431" s="97" t="n"/>
      <c r="AS431" s="97" t="n"/>
      <c r="AT431" s="97" t="n"/>
      <c r="AU431" s="97" t="n"/>
      <c r="AV431" s="97" t="n"/>
      <c r="AW431" s="97" t="n"/>
      <c r="AX431" s="97" t="n"/>
      <c r="AY431" s="97" t="n"/>
    </row>
    <row r="432" s="135">
      <c r="A432" t="inlineStr">
        <is>
          <t>1954-11</t>
        </is>
      </c>
      <c r="B432" s="2" t="n">
        <v>20029</v>
      </c>
      <c r="C432" s="96" t="n">
        <v>432</v>
      </c>
      <c r="E432" s="2">
        <f>B432</f>
        <v/>
      </c>
      <c r="F432" s="3">
        <f>B432</f>
        <v/>
      </c>
      <c r="G432" s="96" t="n">
        <v>430</v>
      </c>
      <c r="H432" s="97" t="n"/>
      <c r="I432" s="97" t="n"/>
      <c r="J432" s="97" t="n"/>
      <c r="K432" s="97" t="n"/>
      <c r="L432" s="97" t="n"/>
      <c r="M432" s="97" t="n"/>
      <c r="N432" s="97" t="n"/>
      <c r="O432" s="97" t="n"/>
      <c r="P432" s="97" t="n"/>
      <c r="Q432" s="97" t="n"/>
      <c r="R432" s="97" t="n"/>
      <c r="S432" s="97" t="n"/>
      <c r="T432" s="97" t="n"/>
      <c r="U432" s="97" t="n"/>
      <c r="V432" s="97" t="n"/>
      <c r="W432" s="97" t="n"/>
      <c r="X432" s="97" t="n"/>
      <c r="Y432" s="97" t="n"/>
      <c r="Z432" s="97" t="n"/>
      <c r="AA432" s="97" t="n"/>
      <c r="AB432" s="97" t="n"/>
      <c r="AC432" s="97" t="n"/>
      <c r="AD432" s="97" t="n"/>
      <c r="AE432" s="97" t="n"/>
      <c r="AF432" s="97" t="n"/>
      <c r="AG432" s="97" t="n"/>
      <c r="AH432" s="97" t="n"/>
      <c r="AI432" s="97" t="n"/>
      <c r="AJ432" s="97" t="n"/>
      <c r="AK432" s="97" t="n"/>
      <c r="AL432" s="97" t="n"/>
      <c r="AM432" s="97" t="n"/>
      <c r="AN432" s="97" t="n"/>
      <c r="AO432" s="97" t="n">
        <v>18.40663</v>
      </c>
      <c r="AP432" s="97" t="n"/>
      <c r="AQ432" s="97" t="n"/>
      <c r="AR432" s="97" t="n"/>
      <c r="AS432" s="97" t="n"/>
      <c r="AT432" s="97" t="n"/>
      <c r="AU432" s="97" t="n"/>
      <c r="AV432" s="97" t="n"/>
      <c r="AW432" s="97" t="n"/>
      <c r="AX432" s="97" t="n"/>
      <c r="AY432" s="97" t="n"/>
    </row>
    <row r="433" s="135">
      <c r="A433" t="inlineStr">
        <is>
          <t>1954-12</t>
        </is>
      </c>
      <c r="B433" s="2" t="n">
        <v>20059</v>
      </c>
      <c r="C433" s="96" t="n">
        <v>433</v>
      </c>
      <c r="E433" s="2">
        <f>B433</f>
        <v/>
      </c>
      <c r="F433" s="3">
        <f>B433</f>
        <v/>
      </c>
      <c r="G433" s="96" t="n">
        <v>431</v>
      </c>
      <c r="H433" s="97" t="n"/>
      <c r="I433" s="97" t="n"/>
      <c r="J433" s="97" t="n"/>
      <c r="K433" s="97" t="n"/>
      <c r="L433" s="97" t="n"/>
      <c r="M433" s="97" t="n"/>
      <c r="N433" s="97" t="n"/>
      <c r="O433" s="97" t="n"/>
      <c r="P433" s="97" t="n"/>
      <c r="Q433" s="97" t="n"/>
      <c r="R433" s="97" t="n"/>
      <c r="S433" s="97" t="n"/>
      <c r="T433" s="97" t="n"/>
      <c r="U433" s="97" t="n"/>
      <c r="V433" s="97" t="n"/>
      <c r="W433" s="97" t="n"/>
      <c r="X433" s="97" t="n"/>
      <c r="Y433" s="97" t="n"/>
      <c r="Z433" s="97" t="n"/>
      <c r="AA433" s="97" t="n"/>
      <c r="AB433" s="97" t="n"/>
      <c r="AC433" s="97" t="n"/>
      <c r="AD433" s="97" t="n"/>
      <c r="AE433" s="97" t="n"/>
      <c r="AF433" s="97" t="n"/>
      <c r="AG433" s="97" t="n"/>
      <c r="AH433" s="97" t="n"/>
      <c r="AI433" s="97" t="n"/>
      <c r="AJ433" s="97" t="n"/>
      <c r="AK433" s="97" t="n"/>
      <c r="AL433" s="97" t="n"/>
      <c r="AM433" s="97" t="n"/>
      <c r="AN433" s="97" t="n"/>
      <c r="AO433" s="97" t="n">
        <v>18.64599</v>
      </c>
      <c r="AP433" s="97" t="n"/>
      <c r="AQ433" s="97" t="n"/>
      <c r="AR433" s="97" t="n"/>
      <c r="AS433" s="97" t="n"/>
      <c r="AT433" s="97" t="n"/>
      <c r="AU433" s="97" t="n"/>
      <c r="AV433" s="97" t="n"/>
      <c r="AW433" s="97" t="n"/>
      <c r="AX433" s="97" t="n"/>
      <c r="AY433" s="97" t="n"/>
    </row>
    <row r="434" s="135">
      <c r="A434" t="inlineStr">
        <is>
          <t>1955-01</t>
        </is>
      </c>
      <c r="B434" s="2" t="n">
        <v>20090</v>
      </c>
      <c r="C434" s="96" t="n">
        <v>434</v>
      </c>
      <c r="E434" s="2">
        <f>B434</f>
        <v/>
      </c>
      <c r="F434" s="3">
        <f>B434</f>
        <v/>
      </c>
      <c r="G434" s="96" t="n">
        <v>432</v>
      </c>
      <c r="H434" s="97" t="n"/>
      <c r="I434" s="97" t="n"/>
      <c r="J434" s="97" t="n">
        <v>21.49312</v>
      </c>
      <c r="K434" s="97" t="n"/>
      <c r="L434" s="97" t="n"/>
      <c r="M434" s="97" t="n"/>
      <c r="N434" s="97" t="n"/>
      <c r="O434" s="97" t="n"/>
      <c r="P434" s="97" t="n"/>
      <c r="Q434" s="97" t="n"/>
      <c r="R434" s="97" t="n"/>
      <c r="S434" s="97" t="n"/>
      <c r="T434" s="97" t="n"/>
      <c r="U434" s="97" t="n"/>
      <c r="V434" s="97" t="n"/>
      <c r="W434" s="97" t="n"/>
      <c r="X434" s="97" t="n"/>
      <c r="Y434" s="97" t="n"/>
      <c r="Z434" s="97" t="n">
        <v>21.75209</v>
      </c>
      <c r="AA434" s="97" t="n">
        <v>5.889028</v>
      </c>
      <c r="AB434" s="97" t="n"/>
      <c r="AC434" s="97" t="n">
        <v>32.25689</v>
      </c>
      <c r="AD434" s="97" t="n"/>
      <c r="AE434" s="97" t="n"/>
      <c r="AF434" s="97" t="n"/>
      <c r="AG434" s="97" t="n">
        <v>16.31305</v>
      </c>
      <c r="AH434" s="97" t="n"/>
      <c r="AI434" s="97" t="n"/>
      <c r="AJ434" s="97" t="n">
        <v>14.60289</v>
      </c>
      <c r="AK434" s="97" t="n"/>
      <c r="AL434" s="97" t="n"/>
      <c r="AM434" s="97" t="n"/>
      <c r="AN434" s="97" t="n"/>
      <c r="AO434" s="97" t="n">
        <v>19.07159</v>
      </c>
      <c r="AP434" s="97" t="n"/>
      <c r="AQ434" s="97" t="n"/>
      <c r="AR434" s="97" t="n"/>
      <c r="AS434" s="97" t="n"/>
      <c r="AT434" s="97" t="n"/>
      <c r="AU434" s="97" t="n"/>
      <c r="AV434" s="97" t="n"/>
      <c r="AW434" s="97" t="n"/>
      <c r="AX434" s="97" t="n"/>
      <c r="AY434" s="97" t="n"/>
    </row>
    <row r="435" s="135">
      <c r="A435" t="inlineStr">
        <is>
          <t>1955-02</t>
        </is>
      </c>
      <c r="B435" s="2" t="n">
        <v>20121</v>
      </c>
      <c r="C435" s="96" t="n">
        <v>435</v>
      </c>
      <c r="E435" s="2">
        <f>B435</f>
        <v/>
      </c>
      <c r="F435" s="3">
        <f>B435</f>
        <v/>
      </c>
      <c r="G435" s="96" t="n">
        <v>433</v>
      </c>
      <c r="H435" s="97" t="n"/>
      <c r="I435" s="97" t="n"/>
      <c r="J435" s="97" t="n">
        <v>22.21579</v>
      </c>
      <c r="K435" s="97" t="n"/>
      <c r="L435" s="97" t="n"/>
      <c r="M435" s="97" t="n"/>
      <c r="N435" s="97" t="n"/>
      <c r="O435" s="97" t="n"/>
      <c r="P435" s="97" t="n"/>
      <c r="Q435" s="97" t="n"/>
      <c r="R435" s="97" t="n"/>
      <c r="S435" s="97" t="n"/>
      <c r="T435" s="97" t="n"/>
      <c r="U435" s="97" t="n"/>
      <c r="V435" s="97" t="n"/>
      <c r="W435" s="97" t="n"/>
      <c r="X435" s="97" t="n"/>
      <c r="Y435" s="97" t="n"/>
      <c r="Z435" s="97" t="n">
        <v>21.96125</v>
      </c>
      <c r="AA435" s="97" t="n">
        <v>5.973157</v>
      </c>
      <c r="AB435" s="97" t="n"/>
      <c r="AC435" s="97" t="n">
        <v>34.52923</v>
      </c>
      <c r="AD435" s="97" t="n"/>
      <c r="AE435" s="97" t="n"/>
      <c r="AF435" s="97" t="n"/>
      <c r="AG435" s="97" t="n">
        <v>16.51896</v>
      </c>
      <c r="AH435" s="97" t="n"/>
      <c r="AI435" s="97" t="n"/>
      <c r="AJ435" s="97" t="n">
        <v>14.90776</v>
      </c>
      <c r="AK435" s="97" t="n"/>
      <c r="AL435" s="97" t="n"/>
      <c r="AM435" s="97" t="n"/>
      <c r="AN435" s="97" t="n"/>
      <c r="AO435" s="97" t="n">
        <v>19.31104</v>
      </c>
      <c r="AP435" s="97" t="n"/>
      <c r="AQ435" s="97" t="n"/>
      <c r="AR435" s="97" t="n"/>
      <c r="AS435" s="97" t="n"/>
      <c r="AT435" s="97" t="n"/>
      <c r="AU435" s="97" t="n"/>
      <c r="AV435" s="97" t="n"/>
      <c r="AW435" s="97" t="n"/>
      <c r="AX435" s="97" t="n"/>
      <c r="AY435" s="97" t="n"/>
    </row>
    <row r="436" s="135">
      <c r="A436" t="inlineStr">
        <is>
          <t>1955-03</t>
        </is>
      </c>
      <c r="B436" s="2" t="n">
        <v>20149</v>
      </c>
      <c r="C436" s="96" t="n">
        <v>436</v>
      </c>
      <c r="E436" s="2">
        <f>B436</f>
        <v/>
      </c>
      <c r="F436" s="3">
        <f>B436</f>
        <v/>
      </c>
      <c r="G436" s="96" t="n">
        <v>434</v>
      </c>
      <c r="H436" s="97" t="n"/>
      <c r="I436" s="97" t="n"/>
      <c r="J436" s="97" t="n">
        <v>23.06005</v>
      </c>
      <c r="K436" s="97" t="n"/>
      <c r="L436" s="97" t="n"/>
      <c r="M436" s="97" t="n"/>
      <c r="N436" s="97" t="n"/>
      <c r="O436" s="97" t="n"/>
      <c r="P436" s="97" t="n"/>
      <c r="Q436" s="97" t="n"/>
      <c r="R436" s="97" t="n"/>
      <c r="S436" s="97" t="n"/>
      <c r="T436" s="97" t="n"/>
      <c r="U436" s="97" t="n"/>
      <c r="V436" s="97" t="n"/>
      <c r="W436" s="97" t="n"/>
      <c r="X436" s="97" t="n"/>
      <c r="Y436" s="97" t="n"/>
      <c r="Z436" s="97" t="n">
        <v>22.28449</v>
      </c>
      <c r="AA436" s="97" t="n">
        <v>6.057286</v>
      </c>
      <c r="AB436" s="97" t="n"/>
      <c r="AC436" s="97" t="n">
        <v>32.29696</v>
      </c>
      <c r="AD436" s="97" t="n"/>
      <c r="AE436" s="97" t="n"/>
      <c r="AF436" s="97" t="n"/>
      <c r="AG436" s="97" t="n">
        <v>16.99943</v>
      </c>
      <c r="AH436" s="97" t="n"/>
      <c r="AI436" s="97" t="n"/>
      <c r="AJ436" s="97" t="n">
        <v>15.76611</v>
      </c>
      <c r="AK436" s="97" t="n"/>
      <c r="AL436" s="97" t="n"/>
      <c r="AM436" s="97" t="n"/>
      <c r="AN436" s="97" t="n"/>
      <c r="AO436" s="97" t="n">
        <v>19.76316</v>
      </c>
      <c r="AP436" s="97" t="n"/>
      <c r="AQ436" s="97" t="n"/>
      <c r="AR436" s="97" t="n"/>
      <c r="AS436" s="97" t="n"/>
      <c r="AT436" s="97" t="n"/>
      <c r="AU436" s="97" t="n"/>
      <c r="AV436" s="97" t="n"/>
      <c r="AW436" s="97" t="n"/>
      <c r="AX436" s="97" t="n"/>
      <c r="AY436" s="97" t="n"/>
    </row>
    <row r="437" s="135">
      <c r="A437" t="inlineStr">
        <is>
          <t>1955-04</t>
        </is>
      </c>
      <c r="B437" s="2" t="n">
        <v>20180</v>
      </c>
      <c r="C437" s="96" t="n">
        <v>437</v>
      </c>
      <c r="E437" s="2">
        <f>B437</f>
        <v/>
      </c>
      <c r="F437" s="3">
        <f>B437</f>
        <v/>
      </c>
      <c r="G437" s="96" t="n">
        <v>435</v>
      </c>
      <c r="H437" s="97" t="n"/>
      <c r="I437" s="97" t="n"/>
      <c r="J437" s="97" t="n">
        <v>22.26876</v>
      </c>
      <c r="K437" s="97" t="n"/>
      <c r="L437" s="97" t="n"/>
      <c r="M437" s="97" t="n"/>
      <c r="N437" s="97" t="n"/>
      <c r="O437" s="97" t="n"/>
      <c r="P437" s="97" t="n"/>
      <c r="Q437" s="97" t="n"/>
      <c r="R437" s="97" t="n"/>
      <c r="S437" s="97" t="n"/>
      <c r="T437" s="97" t="n"/>
      <c r="U437" s="97" t="n"/>
      <c r="V437" s="97" t="n"/>
      <c r="W437" s="97" t="n"/>
      <c r="X437" s="97" t="n"/>
      <c r="Y437" s="97" t="n"/>
      <c r="Z437" s="97" t="n">
        <v>22.13238</v>
      </c>
      <c r="AA437" s="97" t="n">
        <v>6.057286</v>
      </c>
      <c r="AB437" s="97" t="n"/>
      <c r="AC437" s="97" t="n">
        <v>31.00866</v>
      </c>
      <c r="AD437" s="97" t="n"/>
      <c r="AE437" s="97" t="n"/>
      <c r="AF437" s="97" t="n"/>
      <c r="AG437" s="97" t="n">
        <v>16.06137</v>
      </c>
      <c r="AH437" s="97" t="n"/>
      <c r="AI437" s="97" t="n"/>
      <c r="AJ437" s="97" t="n">
        <v>15.81631</v>
      </c>
      <c r="AK437" s="97" t="n"/>
      <c r="AL437" s="97" t="n"/>
      <c r="AM437" s="97" t="n"/>
      <c r="AN437" s="97" t="n"/>
      <c r="AO437" s="97" t="n">
        <v>20.00261</v>
      </c>
      <c r="AP437" s="97" t="n"/>
      <c r="AQ437" s="97" t="n"/>
      <c r="AR437" s="97" t="n"/>
      <c r="AS437" s="97" t="n"/>
      <c r="AT437" s="97" t="n"/>
      <c r="AU437" s="97" t="n"/>
      <c r="AV437" s="97" t="n"/>
      <c r="AW437" s="97" t="n"/>
      <c r="AX437" s="97" t="n"/>
      <c r="AY437" s="97" t="n"/>
    </row>
    <row r="438" s="135">
      <c r="A438" t="inlineStr">
        <is>
          <t>1955-05</t>
        </is>
      </c>
      <c r="B438" s="2" t="n">
        <v>20210</v>
      </c>
      <c r="C438" s="96" t="n">
        <v>438</v>
      </c>
      <c r="E438" s="2">
        <f>B438</f>
        <v/>
      </c>
      <c r="F438" s="3">
        <f>B438</f>
        <v/>
      </c>
      <c r="G438" s="96" t="n">
        <v>436</v>
      </c>
      <c r="H438" s="97" t="n"/>
      <c r="I438" s="97" t="n"/>
      <c r="J438" s="97" t="n">
        <v>22.32869</v>
      </c>
      <c r="K438" s="97" t="n"/>
      <c r="L438" s="97" t="n"/>
      <c r="M438" s="97" t="n"/>
      <c r="N438" s="97" t="n"/>
      <c r="O438" s="97" t="n"/>
      <c r="P438" s="97" t="n"/>
      <c r="Q438" s="97" t="n"/>
      <c r="R438" s="97" t="n"/>
      <c r="S438" s="97" t="n"/>
      <c r="T438" s="97" t="n"/>
      <c r="U438" s="97" t="n"/>
      <c r="V438" s="97" t="n"/>
      <c r="W438" s="97" t="n"/>
      <c r="X438" s="97" t="n"/>
      <c r="Y438" s="97" t="n"/>
      <c r="Z438" s="97" t="n">
        <v>22.36055</v>
      </c>
      <c r="AA438" s="97" t="n">
        <v>6.057286</v>
      </c>
      <c r="AB438" s="97" t="n"/>
      <c r="AC438" s="97" t="n">
        <v>32.14213</v>
      </c>
      <c r="AD438" s="97" t="n"/>
      <c r="AE438" s="97" t="n"/>
      <c r="AF438" s="97" t="n"/>
      <c r="AG438" s="97" t="n">
        <v>16.90792</v>
      </c>
      <c r="AH438" s="97" t="n"/>
      <c r="AI438" s="97" t="n"/>
      <c r="AJ438" s="97" t="n">
        <v>15.95131</v>
      </c>
      <c r="AK438" s="97" t="n"/>
      <c r="AL438" s="97" t="n"/>
      <c r="AM438" s="97" t="n"/>
      <c r="AN438" s="97" t="n"/>
      <c r="AO438" s="97" t="n">
        <v>20.32179</v>
      </c>
      <c r="AP438" s="97" t="n"/>
      <c r="AQ438" s="97" t="n"/>
      <c r="AR438" s="97" t="n"/>
      <c r="AS438" s="97" t="n"/>
      <c r="AT438" s="97" t="n"/>
      <c r="AU438" s="97" t="n"/>
      <c r="AV438" s="97" t="n"/>
      <c r="AW438" s="97" t="n"/>
      <c r="AX438" s="97" t="n"/>
      <c r="AY438" s="97" t="n"/>
    </row>
    <row r="439" s="135">
      <c r="A439" t="inlineStr">
        <is>
          <t>1955-06</t>
        </is>
      </c>
      <c r="B439" s="2" t="n">
        <v>20241</v>
      </c>
      <c r="C439" s="96" t="n">
        <v>439</v>
      </c>
      <c r="E439" s="2">
        <f>B439</f>
        <v/>
      </c>
      <c r="F439" s="3">
        <f>B439</f>
        <v/>
      </c>
      <c r="G439" s="96" t="n">
        <v>437</v>
      </c>
      <c r="H439" s="97" t="n"/>
      <c r="I439" s="97" t="n"/>
      <c r="J439" s="97" t="n">
        <v>23.31649</v>
      </c>
      <c r="K439" s="97" t="n"/>
      <c r="L439" s="97" t="n"/>
      <c r="M439" s="97" t="n"/>
      <c r="N439" s="97" t="n"/>
      <c r="O439" s="97" t="n"/>
      <c r="P439" s="97" t="n"/>
      <c r="Q439" s="97" t="n"/>
      <c r="R439" s="97" t="n"/>
      <c r="S439" s="97" t="n"/>
      <c r="T439" s="97" t="n"/>
      <c r="U439" s="97" t="n"/>
      <c r="V439" s="97" t="n"/>
      <c r="W439" s="97" t="n"/>
      <c r="X439" s="97" t="n"/>
      <c r="Y439" s="97" t="n"/>
      <c r="Z439" s="97" t="n">
        <v>22.93097</v>
      </c>
      <c r="AA439" s="97" t="n">
        <v>6.057286</v>
      </c>
      <c r="AB439" s="97" t="n"/>
      <c r="AC439" s="97" t="n">
        <v>33.50248</v>
      </c>
      <c r="AD439" s="97" t="n"/>
      <c r="AE439" s="97" t="n"/>
      <c r="AF439" s="97" t="n"/>
      <c r="AG439" s="97" t="n">
        <v>17.09095</v>
      </c>
      <c r="AH439" s="97" t="n"/>
      <c r="AI439" s="97" t="n"/>
      <c r="AJ439" s="97" t="n">
        <v>15.43983</v>
      </c>
      <c r="AK439" s="97" t="n"/>
      <c r="AL439" s="97" t="n"/>
      <c r="AM439" s="97" t="n"/>
      <c r="AN439" s="97" t="n"/>
      <c r="AO439" s="97" t="n">
        <v>20.34839</v>
      </c>
      <c r="AP439" s="97" t="n"/>
      <c r="AQ439" s="97" t="n"/>
      <c r="AR439" s="97" t="n"/>
      <c r="AS439" s="97" t="n"/>
      <c r="AT439" s="97" t="n"/>
      <c r="AU439" s="97" t="n"/>
      <c r="AV439" s="97" t="n"/>
      <c r="AW439" s="97" t="n"/>
      <c r="AX439" s="97" t="n"/>
      <c r="AY439" s="97" t="n"/>
    </row>
    <row r="440" s="135">
      <c r="A440" t="inlineStr">
        <is>
          <t>1955-07</t>
        </is>
      </c>
      <c r="B440" s="2" t="n">
        <v>20271</v>
      </c>
      <c r="C440" s="96" t="n">
        <v>440</v>
      </c>
      <c r="E440" s="2">
        <f>B440</f>
        <v/>
      </c>
      <c r="F440" s="3">
        <f>B440</f>
        <v/>
      </c>
      <c r="G440" s="96" t="n">
        <v>438</v>
      </c>
      <c r="H440" s="97" t="n"/>
      <c r="I440" s="97" t="n"/>
      <c r="J440" s="97" t="n">
        <v>20.54624</v>
      </c>
      <c r="K440" s="97" t="n"/>
      <c r="L440" s="97" t="n"/>
      <c r="M440" s="97" t="n"/>
      <c r="N440" s="97" t="n"/>
      <c r="O440" s="97" t="n"/>
      <c r="P440" s="97" t="n"/>
      <c r="Q440" s="97" t="n"/>
      <c r="R440" s="97" t="n"/>
      <c r="S440" s="97" t="n"/>
      <c r="T440" s="97" t="n"/>
      <c r="U440" s="97" t="n"/>
      <c r="V440" s="97" t="n"/>
      <c r="W440" s="97" t="n"/>
      <c r="X440" s="97" t="n"/>
      <c r="Y440" s="97" t="n"/>
      <c r="Z440" s="97" t="n">
        <v>22.94998</v>
      </c>
      <c r="AA440" s="97" t="n">
        <v>6.225543</v>
      </c>
      <c r="AB440" s="97" t="n"/>
      <c r="AC440" s="97" t="n">
        <v>33.69846</v>
      </c>
      <c r="AD440" s="97" t="n"/>
      <c r="AE440" s="97" t="n"/>
      <c r="AF440" s="97" t="n"/>
      <c r="AG440" s="97" t="n">
        <v>16.24441</v>
      </c>
      <c r="AH440" s="97" t="n"/>
      <c r="AI440" s="97" t="n"/>
      <c r="AJ440" s="97" t="n">
        <v>16.32044</v>
      </c>
      <c r="AK440" s="97" t="n"/>
      <c r="AL440" s="97" t="n"/>
      <c r="AM440" s="97" t="n"/>
      <c r="AN440" s="97" t="n"/>
      <c r="AO440" s="97" t="n">
        <v>20.50793</v>
      </c>
      <c r="AP440" s="97" t="n"/>
      <c r="AQ440" s="97" t="n"/>
      <c r="AR440" s="97" t="n"/>
      <c r="AS440" s="97" t="n"/>
      <c r="AT440" s="97" t="n"/>
      <c r="AU440" s="97" t="n"/>
      <c r="AV440" s="97" t="n"/>
      <c r="AW440" s="97" t="n"/>
      <c r="AX440" s="97" t="n"/>
      <c r="AY440" s="97" t="n"/>
    </row>
    <row r="441" s="135">
      <c r="A441" t="inlineStr">
        <is>
          <t>1955-08</t>
        </is>
      </c>
      <c r="B441" s="2" t="n">
        <v>20302</v>
      </c>
      <c r="C441" s="96" t="n">
        <v>441</v>
      </c>
      <c r="E441" s="2">
        <f>B441</f>
        <v/>
      </c>
      <c r="F441" s="3">
        <f>B441</f>
        <v/>
      </c>
      <c r="G441" s="96" t="n">
        <v>439</v>
      </c>
      <c r="H441" s="97" t="n"/>
      <c r="I441" s="97" t="n"/>
      <c r="J441" s="97" t="n">
        <v>23.64245</v>
      </c>
      <c r="K441" s="97" t="n"/>
      <c r="L441" s="97" t="n"/>
      <c r="M441" s="97" t="n"/>
      <c r="N441" s="97" t="n"/>
      <c r="O441" s="97" t="n"/>
      <c r="P441" s="97" t="n"/>
      <c r="Q441" s="97" t="n"/>
      <c r="R441" s="97" t="n"/>
      <c r="S441" s="97" t="n"/>
      <c r="T441" s="97" t="n"/>
      <c r="U441" s="97" t="n"/>
      <c r="V441" s="97" t="n"/>
      <c r="W441" s="97" t="n"/>
      <c r="X441" s="97" t="n"/>
      <c r="Y441" s="97" t="n"/>
      <c r="Z441" s="97" t="n">
        <v>22.81688</v>
      </c>
      <c r="AA441" s="97" t="n">
        <v>6.393802</v>
      </c>
      <c r="AB441" s="97" t="n"/>
      <c r="AC441" s="97" t="n">
        <v>34.71261</v>
      </c>
      <c r="AD441" s="97" t="n"/>
      <c r="AE441" s="97" t="n"/>
      <c r="AF441" s="97" t="n"/>
      <c r="AG441" s="97" t="n">
        <v>16.90792</v>
      </c>
      <c r="AH441" s="97" t="n"/>
      <c r="AI441" s="97" t="n"/>
      <c r="AJ441" s="97" t="n">
        <v>15.6772</v>
      </c>
      <c r="AK441" s="97" t="n"/>
      <c r="AL441" s="97" t="n"/>
      <c r="AM441" s="97" t="n"/>
      <c r="AN441" s="97" t="n"/>
      <c r="AO441" s="97" t="n">
        <v>20.48133</v>
      </c>
      <c r="AP441" s="97" t="n"/>
      <c r="AQ441" s="97" t="n"/>
      <c r="AR441" s="97" t="n"/>
      <c r="AS441" s="97" t="n"/>
      <c r="AT441" s="97" t="n"/>
      <c r="AU441" s="97" t="n"/>
      <c r="AV441" s="97" t="n"/>
      <c r="AW441" s="97" t="n"/>
      <c r="AX441" s="97" t="n"/>
      <c r="AY441" s="97" t="n"/>
    </row>
    <row r="442" s="135">
      <c r="A442" t="inlineStr">
        <is>
          <t>1955-09</t>
        </is>
      </c>
      <c r="B442" s="2" t="n">
        <v>20333</v>
      </c>
      <c r="C442" s="96" t="n">
        <v>442</v>
      </c>
      <c r="E442" s="2">
        <f>B442</f>
        <v/>
      </c>
      <c r="F442" s="3">
        <f>B442</f>
        <v/>
      </c>
      <c r="G442" s="96" t="n">
        <v>440</v>
      </c>
      <c r="H442" s="97" t="n"/>
      <c r="I442" s="97" t="n"/>
      <c r="J442" s="97" t="n">
        <v>23.82137</v>
      </c>
      <c r="K442" s="97" t="n"/>
      <c r="L442" s="97" t="n"/>
      <c r="M442" s="97" t="n"/>
      <c r="N442" s="97" t="n"/>
      <c r="O442" s="97" t="n"/>
      <c r="P442" s="97" t="n"/>
      <c r="Q442" s="97" t="n"/>
      <c r="R442" s="97" t="n"/>
      <c r="S442" s="97" t="n"/>
      <c r="T442" s="97" t="n"/>
      <c r="U442" s="97" t="n"/>
      <c r="V442" s="97" t="n"/>
      <c r="W442" s="97" t="n"/>
      <c r="X442" s="97" t="n"/>
      <c r="Y442" s="97" t="n"/>
      <c r="Z442" s="97" t="n">
        <v>22.91195</v>
      </c>
      <c r="AA442" s="97" t="n">
        <v>6.562059</v>
      </c>
      <c r="AB442" s="97" t="n"/>
      <c r="AC442" s="97" t="n">
        <v>34.99715</v>
      </c>
      <c r="AD442" s="97" t="n"/>
      <c r="AE442" s="97" t="n"/>
      <c r="AF442" s="97" t="n"/>
      <c r="AG442" s="97" t="n">
        <v>17.22823</v>
      </c>
      <c r="AH442" s="97" t="n"/>
      <c r="AI442" s="97" t="n"/>
      <c r="AJ442" s="97" t="n">
        <v>16.84093</v>
      </c>
      <c r="AK442" s="97" t="n"/>
      <c r="AL442" s="97" t="n"/>
      <c r="AM442" s="97" t="n"/>
      <c r="AN442" s="97" t="n"/>
      <c r="AO442" s="97" t="n">
        <v>20.61436</v>
      </c>
      <c r="AP442" s="97" t="n"/>
      <c r="AQ442" s="97" t="n"/>
      <c r="AR442" s="97" t="n"/>
      <c r="AS442" s="97" t="n"/>
      <c r="AT442" s="97" t="n"/>
      <c r="AU442" s="97" t="n"/>
      <c r="AV442" s="97" t="n"/>
      <c r="AW442" s="97" t="n"/>
      <c r="AX442" s="97" t="n"/>
      <c r="AY442" s="97" t="n"/>
    </row>
    <row r="443" s="135">
      <c r="A443" t="inlineStr">
        <is>
          <t>1955-10</t>
        </is>
      </c>
      <c r="B443" s="2" t="n">
        <v>20363</v>
      </c>
      <c r="C443" s="96" t="n">
        <v>443</v>
      </c>
      <c r="E443" s="2">
        <f>B443</f>
        <v/>
      </c>
      <c r="F443" s="3">
        <f>B443</f>
        <v/>
      </c>
      <c r="G443" s="96" t="n">
        <v>441</v>
      </c>
      <c r="H443" s="97" t="n"/>
      <c r="I443" s="97" t="n"/>
      <c r="J443" s="97" t="n">
        <v>23.79873</v>
      </c>
      <c r="K443" s="97" t="n"/>
      <c r="L443" s="97" t="n"/>
      <c r="M443" s="97" t="n"/>
      <c r="N443" s="97" t="n"/>
      <c r="O443" s="97" t="n"/>
      <c r="P443" s="97" t="n"/>
      <c r="Q443" s="97" t="n"/>
      <c r="R443" s="97" t="n"/>
      <c r="S443" s="97" t="n"/>
      <c r="T443" s="97" t="n"/>
      <c r="U443" s="97" t="n"/>
      <c r="V443" s="97" t="n"/>
      <c r="W443" s="97" t="n"/>
      <c r="X443" s="97" t="n"/>
      <c r="Y443" s="97" t="n"/>
      <c r="Z443" s="97" t="n">
        <v>22.94998</v>
      </c>
      <c r="AA443" s="97" t="n">
        <v>6.562059</v>
      </c>
      <c r="AB443" s="97" t="n"/>
      <c r="AC443" s="97" t="n">
        <v>35.04547</v>
      </c>
      <c r="AD443" s="97" t="n"/>
      <c r="AE443" s="97" t="n"/>
      <c r="AF443" s="97" t="n"/>
      <c r="AG443" s="97" t="n">
        <v>17.09095</v>
      </c>
      <c r="AH443" s="97" t="n"/>
      <c r="AI443" s="97" t="n"/>
      <c r="AJ443" s="97" t="n">
        <v>14.75135</v>
      </c>
      <c r="AK443" s="97" t="n"/>
      <c r="AL443" s="97" t="n"/>
      <c r="AM443" s="97" t="n"/>
      <c r="AN443" s="97" t="n"/>
      <c r="AO443" s="97" t="n">
        <v>20.96014</v>
      </c>
      <c r="AP443" s="97" t="n"/>
      <c r="AQ443" s="97" t="n"/>
      <c r="AR443" s="97" t="n"/>
      <c r="AS443" s="97" t="n"/>
      <c r="AT443" s="97" t="n"/>
      <c r="AU443" s="97" t="n"/>
      <c r="AV443" s="97" t="n"/>
      <c r="AW443" s="97" t="n"/>
      <c r="AX443" s="97" t="n"/>
      <c r="AY443" s="97" t="n"/>
    </row>
    <row r="444" s="135">
      <c r="A444" t="inlineStr">
        <is>
          <t>1955-11</t>
        </is>
      </c>
      <c r="B444" s="2" t="n">
        <v>20394</v>
      </c>
      <c r="C444" s="96" t="n">
        <v>444</v>
      </c>
      <c r="E444" s="2">
        <f>B444</f>
        <v/>
      </c>
      <c r="F444" s="3">
        <f>B444</f>
        <v/>
      </c>
      <c r="G444" s="96" t="n">
        <v>442</v>
      </c>
      <c r="H444" s="97" t="n"/>
      <c r="I444" s="97" t="n"/>
      <c r="J444" s="97" t="n">
        <v>23.2654</v>
      </c>
      <c r="K444" s="97" t="n"/>
      <c r="L444" s="97" t="n"/>
      <c r="M444" s="97" t="n"/>
      <c r="N444" s="97" t="n"/>
      <c r="O444" s="97" t="n"/>
      <c r="P444" s="97" t="n"/>
      <c r="Q444" s="97" t="n"/>
      <c r="R444" s="97" t="n"/>
      <c r="S444" s="97" t="n"/>
      <c r="T444" s="97" t="n"/>
      <c r="U444" s="97" t="n"/>
      <c r="V444" s="97" t="n"/>
      <c r="W444" s="97" t="n"/>
      <c r="X444" s="97" t="n"/>
      <c r="Y444" s="97" t="n"/>
      <c r="Z444" s="97" t="n">
        <v>23.17815</v>
      </c>
      <c r="AA444" s="97" t="n">
        <v>6.646189</v>
      </c>
      <c r="AB444" s="97" t="n"/>
      <c r="AC444" s="97" t="n">
        <v>35.06318</v>
      </c>
      <c r="AD444" s="97" t="n"/>
      <c r="AE444" s="97" t="n"/>
      <c r="AF444" s="97" t="n"/>
      <c r="AG444" s="97" t="n">
        <v>17.43414</v>
      </c>
      <c r="AH444" s="97" t="n"/>
      <c r="AI444" s="97" t="n"/>
      <c r="AJ444" s="97" t="n">
        <v>15.95232</v>
      </c>
      <c r="AK444" s="97" t="n"/>
      <c r="AL444" s="97" t="n"/>
      <c r="AM444" s="97" t="n"/>
      <c r="AN444" s="97" t="n"/>
      <c r="AO444" s="97" t="n">
        <v>21.01336</v>
      </c>
      <c r="AP444" s="97" t="n"/>
      <c r="AQ444" s="97" t="n"/>
      <c r="AR444" s="97" t="n"/>
      <c r="AS444" s="97" t="n"/>
      <c r="AT444" s="97" t="n"/>
      <c r="AU444" s="97" t="n"/>
      <c r="AV444" s="97" t="n"/>
      <c r="AW444" s="97" t="n"/>
      <c r="AX444" s="97" t="n"/>
      <c r="AY444" s="97" t="n"/>
    </row>
    <row r="445" s="135">
      <c r="A445" t="inlineStr">
        <is>
          <t>1955-12</t>
        </is>
      </c>
      <c r="B445" s="2" t="n">
        <v>20424</v>
      </c>
      <c r="C445" s="96" t="n">
        <v>445</v>
      </c>
      <c r="E445" s="2">
        <f>B445</f>
        <v/>
      </c>
      <c r="F445" s="3">
        <f>B445</f>
        <v/>
      </c>
      <c r="G445" s="96" t="n">
        <v>443</v>
      </c>
      <c r="H445" s="97" t="n"/>
      <c r="I445" s="97" t="n"/>
      <c r="J445" s="97" t="n">
        <v>24.59189</v>
      </c>
      <c r="K445" s="97" t="n"/>
      <c r="L445" s="97" t="n"/>
      <c r="M445" s="97" t="n"/>
      <c r="N445" s="97" t="n"/>
      <c r="O445" s="97" t="n"/>
      <c r="P445" s="97" t="n"/>
      <c r="Q445" s="97" t="n"/>
      <c r="R445" s="97" t="n"/>
      <c r="S445" s="97" t="n"/>
      <c r="T445" s="97" t="n"/>
      <c r="U445" s="97" t="n"/>
      <c r="V445" s="97" t="n"/>
      <c r="W445" s="97" t="n"/>
      <c r="X445" s="97" t="n"/>
      <c r="Y445" s="97" t="n"/>
      <c r="Z445" s="97" t="n">
        <v>23.08308</v>
      </c>
      <c r="AA445" s="97" t="n">
        <v>6.814446</v>
      </c>
      <c r="AB445" s="97" t="n"/>
      <c r="AC445" s="97" t="n">
        <v>34.76495</v>
      </c>
      <c r="AD445" s="97" t="n"/>
      <c r="AE445" s="97" t="n"/>
      <c r="AF445" s="97" t="n"/>
      <c r="AG445" s="97" t="n">
        <v>17.31974</v>
      </c>
      <c r="AH445" s="97" t="n"/>
      <c r="AI445" s="97" t="n"/>
      <c r="AJ445" s="97" t="n">
        <v>17.82115</v>
      </c>
      <c r="AK445" s="97" t="n"/>
      <c r="AL445" s="97" t="n"/>
      <c r="AM445" s="97" t="n"/>
      <c r="AN445" s="97" t="n"/>
      <c r="AO445" s="97" t="n">
        <v>21.09317</v>
      </c>
      <c r="AP445" s="97" t="n"/>
      <c r="AQ445" s="97" t="n"/>
      <c r="AR445" s="97" t="n"/>
      <c r="AS445" s="97" t="n"/>
      <c r="AT445" s="97" t="n"/>
      <c r="AU445" s="97" t="n"/>
      <c r="AV445" s="97" t="n"/>
      <c r="AW445" s="97" t="n"/>
      <c r="AX445" s="97" t="n"/>
      <c r="AY445" s="97" t="n"/>
    </row>
    <row r="446" s="135">
      <c r="A446" t="inlineStr">
        <is>
          <t>1956-01</t>
        </is>
      </c>
      <c r="B446" s="2" t="n">
        <v>20455</v>
      </c>
      <c r="C446" s="96" t="n">
        <v>446</v>
      </c>
      <c r="E446" s="2">
        <f>B446</f>
        <v/>
      </c>
      <c r="F446" s="3">
        <f>B446</f>
        <v/>
      </c>
      <c r="G446" s="96" t="n">
        <v>444</v>
      </c>
      <c r="H446" s="97" t="n"/>
      <c r="I446" s="97" t="n"/>
      <c r="J446" s="97" t="n">
        <v>24.48857</v>
      </c>
      <c r="K446" s="97" t="n"/>
      <c r="L446" s="97" t="n"/>
      <c r="M446" s="97" t="n"/>
      <c r="N446" s="97" t="n"/>
      <c r="O446" s="97" t="n"/>
      <c r="P446" s="97" t="n"/>
      <c r="Q446" s="97" t="n"/>
      <c r="R446" s="97" t="n"/>
      <c r="S446" s="97" t="n">
        <v>27.53161</v>
      </c>
      <c r="T446" s="97" t="n">
        <v>49.49934</v>
      </c>
      <c r="U446" s="97" t="n"/>
      <c r="V446" s="97" t="n"/>
      <c r="W446" s="97" t="n"/>
      <c r="X446" s="97" t="n"/>
      <c r="Y446" s="97" t="n"/>
      <c r="Z446" s="97" t="n">
        <v>23.27322</v>
      </c>
      <c r="AA446" s="97" t="n">
        <v>6.982705</v>
      </c>
      <c r="AB446" s="97" t="n"/>
      <c r="AC446" s="97" t="n">
        <v>34.55679</v>
      </c>
      <c r="AD446" s="97" t="n"/>
      <c r="AE446" s="97" t="n"/>
      <c r="AF446" s="97" t="n">
        <v>18.5692</v>
      </c>
      <c r="AG446" s="97" t="n">
        <v>17.5943</v>
      </c>
      <c r="AH446" s="97" t="n"/>
      <c r="AI446" s="97" t="n"/>
      <c r="AJ446" s="97" t="n">
        <v>16.17211</v>
      </c>
      <c r="AK446" s="97" t="n"/>
      <c r="AL446" s="97" t="n"/>
      <c r="AM446" s="97" t="n"/>
      <c r="AN446" s="97" t="n"/>
      <c r="AO446" s="97" t="n">
        <v>21.22611</v>
      </c>
      <c r="AP446" s="97" t="n"/>
      <c r="AQ446" s="97" t="n"/>
      <c r="AR446" s="97" t="n"/>
      <c r="AS446" s="97" t="n"/>
      <c r="AT446" s="97" t="n"/>
      <c r="AU446" s="97" t="n"/>
      <c r="AV446" s="97" t="n"/>
      <c r="AW446" s="97" t="n"/>
      <c r="AX446" s="97" t="n"/>
      <c r="AY446" s="97" t="n"/>
    </row>
    <row r="447" s="135">
      <c r="A447" t="inlineStr">
        <is>
          <t>1956-02</t>
        </is>
      </c>
      <c r="B447" s="2" t="n">
        <v>20486</v>
      </c>
      <c r="C447" s="96" t="n">
        <v>447</v>
      </c>
      <c r="E447" s="2">
        <f>B447</f>
        <v/>
      </c>
      <c r="F447" s="3">
        <f>B447</f>
        <v/>
      </c>
      <c r="G447" s="96" t="n">
        <v>445</v>
      </c>
      <c r="H447" s="97" t="n"/>
      <c r="I447" s="97" t="n"/>
      <c r="J447" s="97" t="n">
        <v>24.00214</v>
      </c>
      <c r="K447" s="97" t="n"/>
      <c r="L447" s="97" t="n"/>
      <c r="M447" s="97" t="n"/>
      <c r="N447" s="97" t="n"/>
      <c r="O447" s="97" t="n"/>
      <c r="P447" s="97" t="n"/>
      <c r="Q447" s="97" t="n"/>
      <c r="R447" s="97" t="n"/>
      <c r="S447" s="97" t="n">
        <v>27.00089</v>
      </c>
      <c r="T447" s="97" t="n">
        <v>49.49934</v>
      </c>
      <c r="U447" s="97" t="n"/>
      <c r="V447" s="97" t="n"/>
      <c r="W447" s="97" t="n"/>
      <c r="X447" s="97" t="n"/>
      <c r="Y447" s="97" t="n"/>
      <c r="Z447" s="97" t="n">
        <v>22.53167</v>
      </c>
      <c r="AA447" s="97" t="n">
        <v>7.150962</v>
      </c>
      <c r="AB447" s="97" t="n"/>
      <c r="AC447" s="97" t="n">
        <v>34.54936</v>
      </c>
      <c r="AD447" s="97" t="n"/>
      <c r="AE447" s="97" t="n"/>
      <c r="AF447" s="97" t="n">
        <v>17.99784</v>
      </c>
      <c r="AG447" s="97" t="n">
        <v>17.31974</v>
      </c>
      <c r="AH447" s="97" t="n"/>
      <c r="AI447" s="97" t="n"/>
      <c r="AJ447" s="97" t="n">
        <v>17.01021</v>
      </c>
      <c r="AK447" s="97" t="n"/>
      <c r="AL447" s="97" t="n"/>
      <c r="AM447" s="97" t="n"/>
      <c r="AN447" s="97" t="n"/>
      <c r="AO447" s="97" t="n">
        <v>21.03996</v>
      </c>
      <c r="AP447" s="97" t="n"/>
      <c r="AQ447" s="97" t="n"/>
      <c r="AR447" s="97" t="n"/>
      <c r="AS447" s="97" t="n"/>
      <c r="AT447" s="97" t="n"/>
      <c r="AU447" s="97" t="n"/>
      <c r="AV447" s="97" t="n"/>
      <c r="AW447" s="97" t="n"/>
      <c r="AX447" s="97" t="n"/>
      <c r="AY447" s="97" t="n"/>
    </row>
    <row r="448" s="135">
      <c r="A448" t="inlineStr">
        <is>
          <t>1956-03</t>
        </is>
      </c>
      <c r="B448" s="2" t="n">
        <v>20515</v>
      </c>
      <c r="C448" s="96" t="n">
        <v>448</v>
      </c>
      <c r="E448" s="2">
        <f>B448</f>
        <v/>
      </c>
      <c r="F448" s="3">
        <f>B448</f>
        <v/>
      </c>
      <c r="G448" s="96" t="n">
        <v>446</v>
      </c>
      <c r="H448" s="97" t="n"/>
      <c r="I448" s="97" t="n"/>
      <c r="J448" s="97" t="n">
        <v>25.02577</v>
      </c>
      <c r="K448" s="97" t="n"/>
      <c r="L448" s="97" t="n"/>
      <c r="M448" s="97" t="n"/>
      <c r="N448" s="97" t="n"/>
      <c r="O448" s="97" t="n"/>
      <c r="P448" s="97" t="n"/>
      <c r="Q448" s="97" t="n"/>
      <c r="R448" s="97" t="n"/>
      <c r="S448" s="97" t="n">
        <v>27.92966</v>
      </c>
      <c r="T448" s="97" t="n">
        <v>49.03236</v>
      </c>
      <c r="U448" s="97" t="n"/>
      <c r="V448" s="97" t="n"/>
      <c r="W448" s="97" t="n"/>
      <c r="X448" s="97" t="n"/>
      <c r="Y448" s="97" t="n"/>
      <c r="Z448" s="97" t="n">
        <v>23.53942</v>
      </c>
      <c r="AA448" s="97" t="n">
        <v>6.982705</v>
      </c>
      <c r="AB448" s="97" t="n"/>
      <c r="AC448" s="97" t="n">
        <v>35.19674</v>
      </c>
      <c r="AD448" s="97" t="n"/>
      <c r="AE448" s="97" t="n"/>
      <c r="AF448" s="97" t="n">
        <v>18.85488</v>
      </c>
      <c r="AG448" s="97" t="n">
        <v>17.02231</v>
      </c>
      <c r="AH448" s="97" t="n"/>
      <c r="AI448" s="97" t="n"/>
      <c r="AJ448" s="97" t="n">
        <v>16.90836</v>
      </c>
      <c r="AK448" s="97" t="n"/>
      <c r="AL448" s="97" t="n"/>
      <c r="AM448" s="97" t="n"/>
      <c r="AN448" s="97" t="n"/>
      <c r="AO448" s="97" t="n">
        <v>21.03996</v>
      </c>
      <c r="AP448" s="97" t="n"/>
      <c r="AQ448" s="97" t="n"/>
      <c r="AR448" s="97" t="n"/>
      <c r="AS448" s="97" t="n"/>
      <c r="AT448" s="97" t="n"/>
      <c r="AU448" s="97" t="n"/>
      <c r="AV448" s="97" t="n"/>
      <c r="AW448" s="97" t="n"/>
      <c r="AX448" s="97" t="n"/>
      <c r="AY448" s="97" t="n"/>
    </row>
    <row r="449" s="135">
      <c r="A449" t="inlineStr">
        <is>
          <t>1956-04</t>
        </is>
      </c>
      <c r="B449" s="2" t="n">
        <v>20546</v>
      </c>
      <c r="C449" s="96" t="n">
        <v>449</v>
      </c>
      <c r="E449" s="2">
        <f>B449</f>
        <v/>
      </c>
      <c r="F449" s="3">
        <f>B449</f>
        <v/>
      </c>
      <c r="G449" s="96" t="n">
        <v>447</v>
      </c>
      <c r="H449" s="97" t="n"/>
      <c r="I449" s="97" t="n"/>
      <c r="J449" s="97" t="n">
        <v>22.75912</v>
      </c>
      <c r="K449" s="97" t="n"/>
      <c r="L449" s="97" t="n"/>
      <c r="M449" s="97" t="n"/>
      <c r="N449" s="97" t="n"/>
      <c r="O449" s="97" t="n"/>
      <c r="P449" s="97" t="n"/>
      <c r="Q449" s="97" t="n"/>
      <c r="R449" s="97" t="n"/>
      <c r="S449" s="97" t="n">
        <v>28.36088</v>
      </c>
      <c r="T449" s="97" t="n">
        <v>49.49934</v>
      </c>
      <c r="U449" s="97" t="n"/>
      <c r="V449" s="97" t="n"/>
      <c r="W449" s="97" t="n"/>
      <c r="X449" s="97" t="n"/>
      <c r="Y449" s="97" t="n"/>
      <c r="Z449" s="97" t="n">
        <v>24.22392</v>
      </c>
      <c r="AA449" s="97" t="n">
        <v>7.235091</v>
      </c>
      <c r="AB449" s="97" t="n"/>
      <c r="AC449" s="97" t="n">
        <v>35.75748</v>
      </c>
      <c r="AD449" s="97" t="n"/>
      <c r="AE449" s="97" t="n"/>
      <c r="AF449" s="97" t="n">
        <v>19.14056</v>
      </c>
      <c r="AG449" s="97" t="n">
        <v>17.93749</v>
      </c>
      <c r="AH449" s="97" t="n"/>
      <c r="AI449" s="97" t="n"/>
      <c r="AJ449" s="97" t="n">
        <v>16.44013</v>
      </c>
      <c r="AK449" s="97" t="n"/>
      <c r="AL449" s="97" t="n"/>
      <c r="AM449" s="97" t="n"/>
      <c r="AN449" s="97" t="n"/>
      <c r="AO449" s="97" t="n">
        <v>21.1996</v>
      </c>
      <c r="AP449" s="97" t="n"/>
      <c r="AQ449" s="97" t="n"/>
      <c r="AR449" s="97" t="n"/>
      <c r="AS449" s="97" t="n"/>
      <c r="AT449" s="97" t="n"/>
      <c r="AU449" s="97" t="n"/>
      <c r="AV449" s="97" t="n"/>
      <c r="AW449" s="97" t="n"/>
      <c r="AX449" s="97" t="n"/>
      <c r="AY449" s="97" t="n"/>
    </row>
    <row r="450" s="135">
      <c r="A450" t="inlineStr">
        <is>
          <t>1956-05</t>
        </is>
      </c>
      <c r="B450" s="2" t="n">
        <v>20576</v>
      </c>
      <c r="C450" s="96" t="n">
        <v>450</v>
      </c>
      <c r="E450" s="2">
        <f>B450</f>
        <v/>
      </c>
      <c r="F450" s="3">
        <f>B450</f>
        <v/>
      </c>
      <c r="G450" s="96" t="n">
        <v>448</v>
      </c>
      <c r="H450" s="97" t="n"/>
      <c r="I450" s="97" t="n"/>
      <c r="J450" s="97" t="n">
        <v>24.78076</v>
      </c>
      <c r="K450" s="97" t="n"/>
      <c r="L450" s="97" t="n"/>
      <c r="M450" s="97" t="n"/>
      <c r="N450" s="97" t="n"/>
      <c r="O450" s="97" t="n"/>
      <c r="P450" s="97" t="n"/>
      <c r="Q450" s="97" t="n"/>
      <c r="R450" s="97" t="n"/>
      <c r="S450" s="97" t="n">
        <v>28.82527</v>
      </c>
      <c r="T450" s="97" t="n">
        <v>48.56538</v>
      </c>
      <c r="U450" s="97" t="n"/>
      <c r="V450" s="97" t="n"/>
      <c r="W450" s="97" t="n"/>
      <c r="X450" s="97" t="n"/>
      <c r="Y450" s="97" t="n"/>
      <c r="Z450" s="97" t="n">
        <v>24.47111</v>
      </c>
      <c r="AA450" s="97" t="n">
        <v>7.403349</v>
      </c>
      <c r="AB450" s="97" t="n"/>
      <c r="AC450" s="97" t="n">
        <v>36.28104</v>
      </c>
      <c r="AD450" s="97" t="n"/>
      <c r="AE450" s="97" t="n"/>
      <c r="AF450" s="97" t="n">
        <v>19.42624</v>
      </c>
      <c r="AG450" s="97" t="n">
        <v>17.18247</v>
      </c>
      <c r="AH450" s="97" t="n"/>
      <c r="AI450" s="97" t="n"/>
      <c r="AJ450" s="97" t="n">
        <v>16.66842</v>
      </c>
      <c r="AK450" s="97" t="n"/>
      <c r="AL450" s="97" t="n"/>
      <c r="AM450" s="97" t="n"/>
      <c r="AN450" s="97" t="n"/>
      <c r="AO450" s="97" t="n">
        <v>21.01336</v>
      </c>
      <c r="AP450" s="97" t="n"/>
      <c r="AQ450" s="97" t="n"/>
      <c r="AR450" s="97" t="n"/>
      <c r="AS450" s="97" t="n"/>
      <c r="AT450" s="97" t="n"/>
      <c r="AU450" s="97" t="n"/>
      <c r="AV450" s="97" t="n"/>
      <c r="AW450" s="97" t="n"/>
      <c r="AX450" s="97" t="n"/>
      <c r="AY450" s="97" t="n"/>
    </row>
    <row r="451" s="135">
      <c r="A451" t="inlineStr">
        <is>
          <t>1956-06</t>
        </is>
      </c>
      <c r="B451" s="2" t="n">
        <v>20607</v>
      </c>
      <c r="C451" s="96" t="n">
        <v>451</v>
      </c>
      <c r="E451" s="2">
        <f>B451</f>
        <v/>
      </c>
      <c r="F451" s="3">
        <f>B451</f>
        <v/>
      </c>
      <c r="G451" s="96" t="n">
        <v>449</v>
      </c>
      <c r="H451" s="97" t="n"/>
      <c r="I451" s="97" t="n"/>
      <c r="J451" s="97" t="n">
        <v>25.02744</v>
      </c>
      <c r="K451" s="97" t="n"/>
      <c r="L451" s="97" t="n"/>
      <c r="M451" s="97" t="n"/>
      <c r="N451" s="97" t="n"/>
      <c r="O451" s="97" t="n"/>
      <c r="P451" s="97" t="n"/>
      <c r="Q451" s="97" t="n"/>
      <c r="R451" s="97" t="n"/>
      <c r="S451" s="97" t="n">
        <v>28.95795</v>
      </c>
      <c r="T451" s="97" t="n">
        <v>49.49934</v>
      </c>
      <c r="U451" s="97" t="n"/>
      <c r="V451" s="97" t="n"/>
      <c r="W451" s="97" t="n"/>
      <c r="X451" s="97" t="n"/>
      <c r="Y451" s="97" t="n"/>
      <c r="Z451" s="97" t="n">
        <v>24.50913</v>
      </c>
      <c r="AA451" s="97" t="n">
        <v>7.571607</v>
      </c>
      <c r="AB451" s="97" t="n"/>
      <c r="AC451" s="97" t="n">
        <v>36.01044</v>
      </c>
      <c r="AD451" s="97" t="n"/>
      <c r="AE451" s="97" t="n"/>
      <c r="AF451" s="97" t="n">
        <v>19.71192</v>
      </c>
      <c r="AG451" s="97" t="n">
        <v>17.80021</v>
      </c>
      <c r="AH451" s="97" t="n"/>
      <c r="AI451" s="97" t="n"/>
      <c r="AJ451" s="97" t="n">
        <v>17.41673</v>
      </c>
      <c r="AK451" s="97" t="n"/>
      <c r="AL451" s="97" t="n"/>
      <c r="AM451" s="97" t="n"/>
      <c r="AN451" s="97" t="n"/>
      <c r="AO451" s="97" t="n">
        <v>20.82721</v>
      </c>
      <c r="AP451" s="97" t="n"/>
      <c r="AQ451" s="97" t="n"/>
      <c r="AR451" s="97" t="n"/>
      <c r="AS451" s="97" t="n"/>
      <c r="AT451" s="97" t="n"/>
      <c r="AU451" s="97" t="n"/>
      <c r="AV451" s="97" t="n"/>
      <c r="AW451" s="97" t="n"/>
      <c r="AX451" s="97" t="n"/>
      <c r="AY451" s="97" t="n"/>
    </row>
    <row r="452" s="135">
      <c r="A452" t="inlineStr">
        <is>
          <t>1956-07</t>
        </is>
      </c>
      <c r="B452" s="2" t="n">
        <v>20637</v>
      </c>
      <c r="C452" s="96" t="n">
        <v>452</v>
      </c>
      <c r="E452" s="2">
        <f>B452</f>
        <v/>
      </c>
      <c r="F452" s="3">
        <f>B452</f>
        <v/>
      </c>
      <c r="G452" s="96" t="n">
        <v>450</v>
      </c>
      <c r="H452" s="97" t="n"/>
      <c r="I452" s="97" t="n"/>
      <c r="J452" s="97" t="n">
        <v>24.40772</v>
      </c>
      <c r="K452" s="97" t="n"/>
      <c r="L452" s="97" t="n"/>
      <c r="M452" s="97" t="n"/>
      <c r="N452" s="97" t="n"/>
      <c r="O452" s="97" t="n"/>
      <c r="P452" s="97" t="n"/>
      <c r="Q452" s="97" t="n"/>
      <c r="R452" s="97" t="n"/>
      <c r="S452" s="97" t="n">
        <v>29.38917</v>
      </c>
      <c r="T452" s="97" t="n">
        <v>49.03236</v>
      </c>
      <c r="U452" s="97" t="n"/>
      <c r="V452" s="97" t="n"/>
      <c r="W452" s="97" t="n"/>
      <c r="X452" s="97" t="n"/>
      <c r="Y452" s="97" t="n"/>
      <c r="Z452" s="97" t="n">
        <v>24.8704</v>
      </c>
      <c r="AA452" s="97" t="n">
        <v>7.823994</v>
      </c>
      <c r="AB452" s="97" t="n"/>
      <c r="AC452" s="97" t="n">
        <v>36.45901</v>
      </c>
      <c r="AD452" s="97" t="n"/>
      <c r="AE452" s="97" t="n"/>
      <c r="AF452" s="97" t="n">
        <v>19.71192</v>
      </c>
      <c r="AG452" s="97" t="n">
        <v>16.86216</v>
      </c>
      <c r="AH452" s="97" t="n"/>
      <c r="AI452" s="97" t="n"/>
      <c r="AJ452" s="97" t="n">
        <v>17.00024</v>
      </c>
      <c r="AK452" s="97" t="n"/>
      <c r="AL452" s="97" t="n"/>
      <c r="AM452" s="97" t="n"/>
      <c r="AN452" s="97" t="n"/>
      <c r="AO452" s="97" t="n">
        <v>20.18876</v>
      </c>
      <c r="AP452" s="97" t="n"/>
      <c r="AQ452" s="97" t="n"/>
      <c r="AR452" s="97" t="n"/>
      <c r="AS452" s="97" t="n"/>
      <c r="AT452" s="97" t="n"/>
      <c r="AU452" s="97" t="n"/>
      <c r="AV452" s="97" t="n"/>
      <c r="AW452" s="97" t="n"/>
      <c r="AX452" s="97" t="n"/>
      <c r="AY452" s="97" t="n"/>
    </row>
    <row r="453" s="135">
      <c r="A453" t="inlineStr">
        <is>
          <t>1956-08</t>
        </is>
      </c>
      <c r="B453" s="2" t="n">
        <v>20668</v>
      </c>
      <c r="C453" s="96" t="n">
        <v>453</v>
      </c>
      <c r="E453" s="2">
        <f>B453</f>
        <v/>
      </c>
      <c r="F453" s="3">
        <f>B453</f>
        <v/>
      </c>
      <c r="G453" s="96" t="n">
        <v>451</v>
      </c>
      <c r="H453" s="97" t="n"/>
      <c r="I453" s="97" t="n"/>
      <c r="J453" s="97" t="n">
        <v>24.48835</v>
      </c>
      <c r="K453" s="97" t="n"/>
      <c r="L453" s="97" t="n"/>
      <c r="M453" s="97" t="n"/>
      <c r="N453" s="97" t="n"/>
      <c r="O453" s="97" t="n"/>
      <c r="P453" s="97" t="n"/>
      <c r="Q453" s="97" t="n"/>
      <c r="R453" s="97" t="n"/>
      <c r="S453" s="97" t="n">
        <v>29.38917</v>
      </c>
      <c r="T453" s="97" t="n">
        <v>48.56538</v>
      </c>
      <c r="U453" s="97" t="n"/>
      <c r="V453" s="97" t="n"/>
      <c r="W453" s="97" t="n"/>
      <c r="X453" s="97" t="n"/>
      <c r="Y453" s="97" t="n"/>
      <c r="Z453" s="97" t="n">
        <v>24.52815</v>
      </c>
      <c r="AA453" s="97" t="n">
        <v>7.908123</v>
      </c>
      <c r="AB453" s="97" t="n"/>
      <c r="AC453" s="97" t="n">
        <v>35.35748</v>
      </c>
      <c r="AD453" s="97" t="n"/>
      <c r="AE453" s="97" t="n"/>
      <c r="AF453" s="97" t="n">
        <v>19.71192</v>
      </c>
      <c r="AG453" s="97" t="n">
        <v>17.68582</v>
      </c>
      <c r="AH453" s="97" t="n"/>
      <c r="AI453" s="97" t="n"/>
      <c r="AJ453" s="97" t="n">
        <v>17.44883</v>
      </c>
      <c r="AK453" s="97" t="n"/>
      <c r="AL453" s="97" t="n"/>
      <c r="AM453" s="97" t="n"/>
      <c r="AN453" s="97" t="n"/>
      <c r="AO453" s="97" t="n">
        <v>21.01336</v>
      </c>
      <c r="AP453" s="97" t="n"/>
      <c r="AQ453" s="97" t="n"/>
      <c r="AR453" s="97" t="n"/>
      <c r="AS453" s="97" t="n"/>
      <c r="AT453" s="97" t="n"/>
      <c r="AU453" s="97" t="n"/>
      <c r="AV453" s="97" t="n"/>
      <c r="AW453" s="97" t="n"/>
      <c r="AX453" s="97" t="n"/>
      <c r="AY453" s="97" t="n"/>
    </row>
    <row r="454" s="135">
      <c r="A454" t="inlineStr">
        <is>
          <t>1956-09</t>
        </is>
      </c>
      <c r="B454" s="2" t="n">
        <v>20699</v>
      </c>
      <c r="C454" s="96" t="n">
        <v>454</v>
      </c>
      <c r="E454" s="2">
        <f>B454</f>
        <v/>
      </c>
      <c r="F454" s="3">
        <f>B454</f>
        <v/>
      </c>
      <c r="G454" s="96" t="n">
        <v>452</v>
      </c>
      <c r="H454" s="97" t="n"/>
      <c r="I454" s="97" t="n"/>
      <c r="J454" s="97" t="n">
        <v>21.86708</v>
      </c>
      <c r="K454" s="97" t="n"/>
      <c r="L454" s="97" t="n"/>
      <c r="M454" s="97" t="n"/>
      <c r="N454" s="97" t="n"/>
      <c r="O454" s="97" t="n"/>
      <c r="P454" s="97" t="n"/>
      <c r="Q454" s="97" t="n"/>
      <c r="R454" s="97" t="n"/>
      <c r="S454" s="97" t="n">
        <v>29.62136</v>
      </c>
      <c r="T454" s="97" t="n">
        <v>49.49934</v>
      </c>
      <c r="U454" s="97" t="n"/>
      <c r="V454" s="97" t="n"/>
      <c r="W454" s="97" t="n"/>
      <c r="X454" s="97" t="n"/>
      <c r="Y454" s="97" t="n"/>
      <c r="Z454" s="97" t="n">
        <v>25.17463</v>
      </c>
      <c r="AA454" s="97" t="n">
        <v>8.076381</v>
      </c>
      <c r="AB454" s="97" t="n"/>
      <c r="AC454" s="97" t="n">
        <v>36.38752</v>
      </c>
      <c r="AD454" s="97" t="n"/>
      <c r="AE454" s="97" t="n"/>
      <c r="AF454" s="97" t="n">
        <v>19.9976</v>
      </c>
      <c r="AG454" s="97" t="n">
        <v>17.86885</v>
      </c>
      <c r="AH454" s="97" t="n"/>
      <c r="AI454" s="97" t="n"/>
      <c r="AJ454" s="97" t="n">
        <v>17.6386</v>
      </c>
      <c r="AK454" s="97" t="n"/>
      <c r="AL454" s="97" t="n"/>
      <c r="AM454" s="97" t="n"/>
      <c r="AN454" s="97" t="n"/>
      <c r="AO454" s="97" t="n">
        <v>21.49217</v>
      </c>
      <c r="AP454" s="97" t="n"/>
      <c r="AQ454" s="97" t="n"/>
      <c r="AR454" s="97" t="n"/>
      <c r="AS454" s="97" t="n"/>
      <c r="AT454" s="97" t="n"/>
      <c r="AU454" s="97" t="n"/>
      <c r="AV454" s="97" t="n"/>
      <c r="AW454" s="97" t="n"/>
      <c r="AX454" s="97" t="n"/>
      <c r="AY454" s="97" t="n"/>
    </row>
    <row r="455" s="135">
      <c r="A455" t="inlineStr">
        <is>
          <t>1956-10</t>
        </is>
      </c>
      <c r="B455" s="2" t="n">
        <v>20729</v>
      </c>
      <c r="C455" s="96" t="n">
        <v>455</v>
      </c>
      <c r="E455" s="2">
        <f>B455</f>
        <v/>
      </c>
      <c r="F455" s="3">
        <f>B455</f>
        <v/>
      </c>
      <c r="G455" s="96" t="n">
        <v>453</v>
      </c>
      <c r="H455" s="97" t="n"/>
      <c r="I455" s="97" t="n"/>
      <c r="J455" s="97" t="n">
        <v>27.93714</v>
      </c>
      <c r="K455" s="97" t="n"/>
      <c r="L455" s="97" t="n"/>
      <c r="M455" s="97" t="n"/>
      <c r="N455" s="97" t="n"/>
      <c r="O455" s="97" t="n"/>
      <c r="P455" s="97" t="n"/>
      <c r="Q455" s="97" t="n"/>
      <c r="R455" s="97" t="n"/>
      <c r="S455" s="97" t="n">
        <v>29.98624</v>
      </c>
      <c r="T455" s="97" t="n">
        <v>49.03236</v>
      </c>
      <c r="U455" s="97" t="n"/>
      <c r="V455" s="97" t="n"/>
      <c r="W455" s="97" t="n"/>
      <c r="X455" s="97" t="n"/>
      <c r="Y455" s="97" t="n"/>
      <c r="Z455" s="97" t="n">
        <v>25.19364</v>
      </c>
      <c r="AA455" s="97" t="n">
        <v>8.412896999999999</v>
      </c>
      <c r="AB455" s="97" t="n"/>
      <c r="AC455" s="97" t="n">
        <v>37.02474</v>
      </c>
      <c r="AD455" s="97" t="n"/>
      <c r="AE455" s="97" t="n"/>
      <c r="AF455" s="97" t="n">
        <v>19.9976</v>
      </c>
      <c r="AG455" s="97" t="n">
        <v>18.00613</v>
      </c>
      <c r="AH455" s="97" t="n"/>
      <c r="AI455" s="97" t="n"/>
      <c r="AJ455" s="97" t="n">
        <v>17.52058</v>
      </c>
      <c r="AK455" s="97" t="n"/>
      <c r="AL455" s="97" t="n"/>
      <c r="AM455" s="97" t="n"/>
      <c r="AN455" s="97" t="n"/>
      <c r="AO455" s="97" t="n">
        <v>21.67832</v>
      </c>
      <c r="AP455" s="97" t="n"/>
      <c r="AQ455" s="97" t="n"/>
      <c r="AR455" s="97" t="n"/>
      <c r="AS455" s="97" t="n"/>
      <c r="AT455" s="97" t="n"/>
      <c r="AU455" s="97" t="n"/>
      <c r="AV455" s="97" t="n"/>
      <c r="AW455" s="97" t="n"/>
      <c r="AX455" s="97" t="n"/>
      <c r="AY455" s="97" t="n"/>
    </row>
    <row r="456" s="135">
      <c r="A456" t="inlineStr">
        <is>
          <t>1956-11</t>
        </is>
      </c>
      <c r="B456" s="2" t="n">
        <v>20760</v>
      </c>
      <c r="C456" s="96" t="n">
        <v>456</v>
      </c>
      <c r="E456" s="2">
        <f>B456</f>
        <v/>
      </c>
      <c r="F456" s="3">
        <f>B456</f>
        <v/>
      </c>
      <c r="G456" s="96" t="n">
        <v>454</v>
      </c>
      <c r="H456" s="97" t="n"/>
      <c r="I456" s="97" t="n"/>
      <c r="J456" s="97" t="n">
        <v>25.73115</v>
      </c>
      <c r="K456" s="97" t="n"/>
      <c r="L456" s="97" t="n"/>
      <c r="M456" s="97" t="n"/>
      <c r="N456" s="97" t="n"/>
      <c r="O456" s="97" t="n"/>
      <c r="P456" s="97" t="n"/>
      <c r="Q456" s="97" t="n"/>
      <c r="R456" s="97" t="n"/>
      <c r="S456" s="97" t="n">
        <v>30.05258</v>
      </c>
      <c r="T456" s="97" t="n">
        <v>49.49934</v>
      </c>
      <c r="U456" s="97" t="n"/>
      <c r="V456" s="97" t="n"/>
      <c r="W456" s="97" t="n"/>
      <c r="X456" s="97" t="n"/>
      <c r="Y456" s="97" t="n"/>
      <c r="Z456" s="97" t="n">
        <v>24.8704</v>
      </c>
      <c r="AA456" s="97" t="n">
        <v>8.412896999999999</v>
      </c>
      <c r="AB456" s="97" t="n"/>
      <c r="AC456" s="97" t="n">
        <v>36.5749</v>
      </c>
      <c r="AD456" s="97" t="n"/>
      <c r="AE456" s="97" t="n"/>
      <c r="AF456" s="97" t="n">
        <v>20.28328</v>
      </c>
      <c r="AG456" s="97" t="n">
        <v>18.12053</v>
      </c>
      <c r="AH456" s="97" t="n"/>
      <c r="AI456" s="97" t="n"/>
      <c r="AJ456" s="97" t="n">
        <v>17.56392</v>
      </c>
      <c r="AK456" s="97" t="n"/>
      <c r="AL456" s="97" t="n"/>
      <c r="AM456" s="97" t="n"/>
      <c r="AN456" s="97" t="n"/>
      <c r="AO456" s="97" t="n">
        <v>21.49217</v>
      </c>
      <c r="AP456" s="97" t="n"/>
      <c r="AQ456" s="97" t="n"/>
      <c r="AR456" s="97" t="n"/>
      <c r="AS456" s="97" t="n"/>
      <c r="AT456" s="97" t="n"/>
      <c r="AU456" s="97" t="n"/>
      <c r="AV456" s="97" t="n"/>
      <c r="AW456" s="97" t="n"/>
      <c r="AX456" s="97" t="n"/>
      <c r="AY456" s="97" t="n"/>
    </row>
    <row r="457" s="135">
      <c r="A457" t="inlineStr">
        <is>
          <t>1956-12</t>
        </is>
      </c>
      <c r="B457" s="2" t="n">
        <v>20790</v>
      </c>
      <c r="C457" s="96" t="n">
        <v>457</v>
      </c>
      <c r="E457" s="2">
        <f>B457</f>
        <v/>
      </c>
      <c r="F457" s="3">
        <f>B457</f>
        <v/>
      </c>
      <c r="G457" s="96" t="n">
        <v>455</v>
      </c>
      <c r="H457" s="97" t="n"/>
      <c r="I457" s="97" t="n"/>
      <c r="J457" s="97" t="n">
        <v>22.28409</v>
      </c>
      <c r="K457" s="97" t="n"/>
      <c r="L457" s="97" t="n"/>
      <c r="M457" s="97" t="n"/>
      <c r="N457" s="97" t="n"/>
      <c r="O457" s="97" t="n"/>
      <c r="P457" s="97" t="n"/>
      <c r="Q457" s="97" t="n"/>
      <c r="R457" s="97" t="n"/>
      <c r="S457" s="97" t="n">
        <v>30.11892</v>
      </c>
      <c r="T457" s="97" t="n">
        <v>49.03236</v>
      </c>
      <c r="U457" s="97" t="n"/>
      <c r="V457" s="97" t="n"/>
      <c r="W457" s="97" t="n"/>
      <c r="X457" s="97" t="n"/>
      <c r="Y457" s="97" t="n"/>
      <c r="Z457" s="97" t="n">
        <v>25.34575</v>
      </c>
      <c r="AA457" s="97" t="n">
        <v>8.412896999999999</v>
      </c>
      <c r="AB457" s="97" t="n"/>
      <c r="AC457" s="97" t="n">
        <v>37.53133</v>
      </c>
      <c r="AD457" s="97" t="n"/>
      <c r="AE457" s="97" t="n"/>
      <c r="AF457" s="97" t="n">
        <v>20.56896</v>
      </c>
      <c r="AG457" s="97" t="n">
        <v>18.02901</v>
      </c>
      <c r="AH457" s="97" t="n"/>
      <c r="AI457" s="97" t="n"/>
      <c r="AJ457" s="97" t="n">
        <v>18.4018</v>
      </c>
      <c r="AK457" s="97" t="n"/>
      <c r="AL457" s="97" t="n"/>
      <c r="AM457" s="97" t="n"/>
      <c r="AN457" s="97" t="n"/>
      <c r="AO457" s="97" t="n">
        <v>21.81135</v>
      </c>
      <c r="AP457" s="97" t="n"/>
      <c r="AQ457" s="97" t="n"/>
      <c r="AR457" s="97" t="n"/>
      <c r="AS457" s="97" t="n"/>
      <c r="AT457" s="97" t="n"/>
      <c r="AU457" s="97" t="n"/>
      <c r="AV457" s="97" t="n"/>
      <c r="AW457" s="97" t="n"/>
      <c r="AX457" s="97" t="n"/>
      <c r="AY457" s="97" t="n"/>
    </row>
    <row r="458" s="135">
      <c r="A458" t="inlineStr">
        <is>
          <t>1957-01</t>
        </is>
      </c>
      <c r="B458" s="2" t="n">
        <v>20821</v>
      </c>
      <c r="C458" s="96" t="n">
        <v>458</v>
      </c>
      <c r="E458" s="2">
        <f>B458</f>
        <v/>
      </c>
      <c r="F458" s="3">
        <f>B458</f>
        <v/>
      </c>
      <c r="G458" s="96" t="n">
        <v>456</v>
      </c>
      <c r="H458" s="97" t="n"/>
      <c r="I458" s="97" t="n"/>
      <c r="J458" s="97" t="n">
        <v>25.68772</v>
      </c>
      <c r="K458" s="97" t="n"/>
      <c r="L458" s="97" t="n"/>
      <c r="M458" s="97" t="n"/>
      <c r="N458" s="97" t="n"/>
      <c r="O458" s="97" t="n"/>
      <c r="P458" s="97" t="n"/>
      <c r="Q458" s="97" t="n"/>
      <c r="R458" s="97" t="n"/>
      <c r="S458" s="97" t="n">
        <v>30.51697</v>
      </c>
      <c r="T458" s="97" t="n">
        <v>49.49934</v>
      </c>
      <c r="U458" s="97" t="n"/>
      <c r="V458" s="97" t="n"/>
      <c r="W458" s="97" t="n"/>
      <c r="X458" s="97" t="n"/>
      <c r="Y458" s="97" t="n"/>
      <c r="Z458" s="97" t="n">
        <v>25.44082</v>
      </c>
      <c r="AA458" s="97" t="n">
        <v>8.497025000000001</v>
      </c>
      <c r="AB458" s="97" t="n"/>
      <c r="AC458" s="97" t="n">
        <v>37.22334</v>
      </c>
      <c r="AD458" s="97" t="n"/>
      <c r="AE458" s="97" t="n"/>
      <c r="AF458" s="97" t="n">
        <v>20.56896</v>
      </c>
      <c r="AG458" s="97" t="n">
        <v>18.09765</v>
      </c>
      <c r="AH458" s="97" t="n"/>
      <c r="AI458" s="97" t="n"/>
      <c r="AJ458" s="97" t="n">
        <v>17.8101</v>
      </c>
      <c r="AK458" s="97" t="n"/>
      <c r="AL458" s="97" t="n"/>
      <c r="AM458" s="97" t="n"/>
      <c r="AN458" s="97" t="n"/>
      <c r="AO458" s="97" t="n">
        <v>21.73153</v>
      </c>
      <c r="AP458" s="97" t="n"/>
      <c r="AQ458" s="97" t="n"/>
      <c r="AR458" s="97" t="n"/>
      <c r="AS458" s="97" t="n"/>
      <c r="AT458" s="97" t="n"/>
      <c r="AU458" s="97" t="n"/>
      <c r="AV458" s="97" t="n"/>
      <c r="AW458" s="97" t="n"/>
      <c r="AX458" s="97" t="n"/>
      <c r="AY458" s="97" t="n"/>
    </row>
    <row r="459" s="135">
      <c r="A459" t="inlineStr">
        <is>
          <t>1957-02</t>
        </is>
      </c>
      <c r="B459" s="2" t="n">
        <v>20852</v>
      </c>
      <c r="C459" s="96" t="n">
        <v>459</v>
      </c>
      <c r="E459" s="2">
        <f>B459</f>
        <v/>
      </c>
      <c r="F459" s="3">
        <f>B459</f>
        <v/>
      </c>
      <c r="G459" s="96" t="n">
        <v>457</v>
      </c>
      <c r="H459" s="97" t="n"/>
      <c r="I459" s="97" t="n"/>
      <c r="J459" s="97" t="n">
        <v>24.85456</v>
      </c>
      <c r="K459" s="97" t="n"/>
      <c r="L459" s="97" t="n"/>
      <c r="M459" s="97" t="n"/>
      <c r="N459" s="97" t="n"/>
      <c r="O459" s="97" t="n"/>
      <c r="P459" s="97" t="n"/>
      <c r="Q459" s="97" t="n"/>
      <c r="R459" s="97" t="n"/>
      <c r="S459" s="97" t="n">
        <v>30.68282</v>
      </c>
      <c r="T459" s="97" t="n">
        <v>50.43328</v>
      </c>
      <c r="U459" s="97" t="n"/>
      <c r="V459" s="97" t="n"/>
      <c r="W459" s="97" t="n"/>
      <c r="X459" s="97" t="n"/>
      <c r="Y459" s="97" t="n"/>
      <c r="Z459" s="97" t="n">
        <v>25.9542</v>
      </c>
      <c r="AA459" s="97" t="n">
        <v>8.665284</v>
      </c>
      <c r="AB459" s="97" t="n"/>
      <c r="AC459" s="97" t="n">
        <v>37.55572</v>
      </c>
      <c r="AD459" s="97" t="n"/>
      <c r="AE459" s="97" t="n"/>
      <c r="AF459" s="97" t="n">
        <v>20.56896</v>
      </c>
      <c r="AG459" s="97" t="n">
        <v>18.3722</v>
      </c>
      <c r="AH459" s="97" t="n"/>
      <c r="AI459" s="97" t="n"/>
      <c r="AJ459" s="97" t="n">
        <v>17.72108</v>
      </c>
      <c r="AK459" s="97" t="n"/>
      <c r="AL459" s="97" t="n"/>
      <c r="AM459" s="97" t="n"/>
      <c r="AN459" s="97" t="n"/>
      <c r="AO459" s="97" t="n">
        <v>21.94438</v>
      </c>
      <c r="AP459" s="97" t="n"/>
      <c r="AQ459" s="97" t="n"/>
      <c r="AR459" s="97" t="n"/>
      <c r="AS459" s="97" t="n"/>
      <c r="AT459" s="97" t="n"/>
      <c r="AU459" s="97" t="n"/>
      <c r="AV459" s="97" t="n"/>
      <c r="AW459" s="97" t="n"/>
      <c r="AX459" s="97" t="n"/>
      <c r="AY459" s="97" t="n"/>
    </row>
    <row r="460" s="135">
      <c r="A460" t="inlineStr">
        <is>
          <t>1957-03</t>
        </is>
      </c>
      <c r="B460" s="2" t="n">
        <v>20880</v>
      </c>
      <c r="C460" s="96" t="n">
        <v>460</v>
      </c>
      <c r="E460" s="2">
        <f>B460</f>
        <v/>
      </c>
      <c r="F460" s="3">
        <f>B460</f>
        <v/>
      </c>
      <c r="G460" s="96" t="n">
        <v>458</v>
      </c>
      <c r="H460" s="97" t="n"/>
      <c r="I460" s="97" t="n"/>
      <c r="J460" s="97" t="n">
        <v>24.74462</v>
      </c>
      <c r="K460" s="97" t="n"/>
      <c r="L460" s="97" t="n"/>
      <c r="M460" s="97" t="n"/>
      <c r="N460" s="97" t="n"/>
      <c r="O460" s="97" t="n"/>
      <c r="P460" s="97" t="n"/>
      <c r="Q460" s="97" t="n"/>
      <c r="R460" s="97" t="n"/>
      <c r="S460" s="97" t="n">
        <v>30.94819</v>
      </c>
      <c r="T460" s="97" t="n">
        <v>49.49934</v>
      </c>
      <c r="U460" s="97" t="n"/>
      <c r="V460" s="97" t="n"/>
      <c r="W460" s="97" t="n"/>
      <c r="X460" s="97" t="n"/>
      <c r="Y460" s="97" t="n"/>
      <c r="Z460" s="97" t="n">
        <v>25.9542</v>
      </c>
      <c r="AA460" s="97" t="n">
        <v>8.749413000000001</v>
      </c>
      <c r="AB460" s="97" t="n"/>
      <c r="AC460" s="97" t="n">
        <v>37.27578</v>
      </c>
      <c r="AD460" s="97" t="n"/>
      <c r="AE460" s="97" t="n"/>
      <c r="AF460" s="97" t="n">
        <v>20.28328</v>
      </c>
      <c r="AG460" s="97" t="n">
        <v>18.34932</v>
      </c>
      <c r="AH460" s="97" t="n"/>
      <c r="AI460" s="97" t="n"/>
      <c r="AJ460" s="97" t="n">
        <v>17.86251</v>
      </c>
      <c r="AK460" s="97" t="n"/>
      <c r="AL460" s="97" t="n"/>
      <c r="AM460" s="97" t="n"/>
      <c r="AN460" s="97" t="n"/>
      <c r="AO460" s="97" t="n">
        <v>21.91777</v>
      </c>
      <c r="AP460" s="97" t="n"/>
      <c r="AQ460" s="97" t="n"/>
      <c r="AR460" s="97" t="n"/>
      <c r="AS460" s="97" t="n"/>
      <c r="AT460" s="97" t="n"/>
      <c r="AU460" s="97" t="n"/>
      <c r="AV460" s="97" t="n"/>
      <c r="AW460" s="97" t="n"/>
      <c r="AX460" s="97" t="n"/>
      <c r="AY460" s="97" t="n"/>
    </row>
    <row r="461" s="135">
      <c r="A461" t="inlineStr">
        <is>
          <t>1957-04</t>
        </is>
      </c>
      <c r="B461" s="2" t="n">
        <v>20911</v>
      </c>
      <c r="C461" s="96" t="n">
        <v>461</v>
      </c>
      <c r="E461" s="2">
        <f>B461</f>
        <v/>
      </c>
      <c r="F461" s="3">
        <f>B461</f>
        <v/>
      </c>
      <c r="G461" s="96" t="n">
        <v>459</v>
      </c>
      <c r="H461" s="97" t="n"/>
      <c r="I461" s="97" t="n"/>
      <c r="J461" s="97" t="n">
        <v>25.51392</v>
      </c>
      <c r="K461" s="97" t="n"/>
      <c r="L461" s="97" t="n"/>
      <c r="M461" s="97" t="n"/>
      <c r="N461" s="97" t="n"/>
      <c r="O461" s="97" t="n"/>
      <c r="P461" s="97" t="n"/>
      <c r="Q461" s="97" t="n"/>
      <c r="R461" s="97" t="n"/>
      <c r="S461" s="97" t="n">
        <v>30.64965</v>
      </c>
      <c r="T461" s="97" t="n">
        <v>49.49934</v>
      </c>
      <c r="U461" s="97" t="n"/>
      <c r="V461" s="97" t="n"/>
      <c r="W461" s="97" t="n"/>
      <c r="X461" s="97" t="n"/>
      <c r="Y461" s="97" t="n"/>
      <c r="Z461" s="97" t="n">
        <v>26.3535</v>
      </c>
      <c r="AA461" s="97" t="n">
        <v>9.085929</v>
      </c>
      <c r="AB461" s="97" t="n"/>
      <c r="AC461" s="97" t="n">
        <v>36.90703</v>
      </c>
      <c r="AD461" s="97" t="n"/>
      <c r="AE461" s="97" t="n"/>
      <c r="AF461" s="97" t="n">
        <v>20.28328</v>
      </c>
      <c r="AG461" s="97" t="n">
        <v>17.96037</v>
      </c>
      <c r="AH461" s="97" t="n"/>
      <c r="AI461" s="97" t="n"/>
      <c r="AJ461" s="97" t="n">
        <v>18.80815</v>
      </c>
      <c r="AK461" s="97" t="n"/>
      <c r="AL461" s="97" t="n"/>
      <c r="AM461" s="97" t="n"/>
      <c r="AN461" s="97" t="n"/>
      <c r="AO461" s="97" t="n">
        <v>21.6251</v>
      </c>
      <c r="AP461" s="97" t="n"/>
      <c r="AQ461" s="97" t="n"/>
      <c r="AR461" s="97" t="n"/>
      <c r="AS461" s="97" t="n"/>
      <c r="AT461" s="97" t="n"/>
      <c r="AU461" s="97" t="n"/>
      <c r="AV461" s="97" t="n"/>
      <c r="AW461" s="97" t="n"/>
      <c r="AX461" s="97" t="n"/>
      <c r="AY461" s="97" t="n"/>
    </row>
    <row r="462" s="135">
      <c r="A462" t="inlineStr">
        <is>
          <t>1957-05</t>
        </is>
      </c>
      <c r="B462" s="2" t="n">
        <v>20941</v>
      </c>
      <c r="C462" s="96" t="n">
        <v>462</v>
      </c>
      <c r="E462" s="2">
        <f>B462</f>
        <v/>
      </c>
      <c r="F462" s="3">
        <f>B462</f>
        <v/>
      </c>
      <c r="G462" s="96" t="n">
        <v>460</v>
      </c>
      <c r="H462" s="97" t="n"/>
      <c r="I462" s="97" t="n"/>
      <c r="J462" s="97" t="n">
        <v>25.92994</v>
      </c>
      <c r="K462" s="97" t="n"/>
      <c r="L462" s="97" t="n"/>
      <c r="M462" s="97" t="n"/>
      <c r="N462" s="97" t="n"/>
      <c r="O462" s="97" t="n"/>
      <c r="P462" s="97" t="n"/>
      <c r="Q462" s="97" t="n"/>
      <c r="R462" s="97" t="n"/>
      <c r="S462" s="97" t="n">
        <v>31.21355</v>
      </c>
      <c r="T462" s="97" t="n">
        <v>50.43328</v>
      </c>
      <c r="U462" s="97" t="n"/>
      <c r="V462" s="97" t="n"/>
      <c r="W462" s="97" t="n"/>
      <c r="X462" s="97" t="n"/>
      <c r="Y462" s="97" t="n"/>
      <c r="Z462" s="97" t="n">
        <v>26.06829</v>
      </c>
      <c r="AA462" s="97" t="n">
        <v>9.590702</v>
      </c>
      <c r="AB462" s="97" t="n"/>
      <c r="AC462" s="97" t="n">
        <v>36.86877</v>
      </c>
      <c r="AD462" s="97" t="n"/>
      <c r="AE462" s="97" t="n"/>
      <c r="AF462" s="97" t="n">
        <v>20.28328</v>
      </c>
      <c r="AG462" s="97" t="n">
        <v>18.89843</v>
      </c>
      <c r="AH462" s="97" t="n"/>
      <c r="AI462" s="97" t="n"/>
      <c r="AJ462" s="97" t="n">
        <v>18.41729</v>
      </c>
      <c r="AK462" s="97" t="n"/>
      <c r="AL462" s="97" t="n"/>
      <c r="AM462" s="97" t="n"/>
      <c r="AN462" s="97" t="n"/>
      <c r="AO462" s="97" t="n">
        <v>21.54538</v>
      </c>
      <c r="AP462" s="97" t="n"/>
      <c r="AQ462" s="97" t="n"/>
      <c r="AR462" s="97" t="n"/>
      <c r="AS462" s="97" t="n"/>
      <c r="AT462" s="97" t="n"/>
      <c r="AU462" s="97" t="n"/>
      <c r="AV462" s="97" t="n"/>
      <c r="AW462" s="97" t="n"/>
      <c r="AX462" s="97" t="n"/>
      <c r="AY462" s="97" t="n"/>
    </row>
    <row r="463" s="135">
      <c r="A463" t="inlineStr">
        <is>
          <t>1957-06</t>
        </is>
      </c>
      <c r="B463" s="2" t="n">
        <v>20972</v>
      </c>
      <c r="C463" s="96" t="n">
        <v>463</v>
      </c>
      <c r="E463" s="2">
        <f>B463</f>
        <v/>
      </c>
      <c r="F463" s="3">
        <f>B463</f>
        <v/>
      </c>
      <c r="G463" s="96" t="n">
        <v>461</v>
      </c>
      <c r="H463" s="97" t="n"/>
      <c r="I463" s="97" t="n"/>
      <c r="J463" s="97" t="n">
        <v>22.09527</v>
      </c>
      <c r="K463" s="97" t="n"/>
      <c r="L463" s="97" t="n"/>
      <c r="M463" s="97" t="n"/>
      <c r="N463" s="97" t="n"/>
      <c r="O463" s="97" t="n"/>
      <c r="P463" s="97" t="n"/>
      <c r="Q463" s="97" t="n"/>
      <c r="R463" s="97" t="n"/>
      <c r="S463" s="97" t="n">
        <v>31.18038</v>
      </c>
      <c r="T463" s="97" t="n">
        <v>50.90026</v>
      </c>
      <c r="U463" s="97" t="n"/>
      <c r="V463" s="97" t="n"/>
      <c r="W463" s="97" t="n"/>
      <c r="X463" s="97" t="n"/>
      <c r="Y463" s="97" t="n"/>
      <c r="Z463" s="97" t="n">
        <v>26.31547</v>
      </c>
      <c r="AA463" s="97" t="n">
        <v>9.338316000000001</v>
      </c>
      <c r="AB463" s="97" t="n"/>
      <c r="AC463" s="97" t="n">
        <v>37.03079</v>
      </c>
      <c r="AD463" s="97" t="n"/>
      <c r="AE463" s="97" t="n"/>
      <c r="AF463" s="97" t="n">
        <v>20.56896</v>
      </c>
      <c r="AG463" s="97" t="n">
        <v>17.82309</v>
      </c>
      <c r="AH463" s="97" t="n"/>
      <c r="AI463" s="97" t="n"/>
      <c r="AJ463" s="97" t="n">
        <v>18.34064</v>
      </c>
      <c r="AK463" s="97" t="n"/>
      <c r="AL463" s="97" t="n"/>
      <c r="AM463" s="97" t="n"/>
      <c r="AN463" s="97" t="n"/>
      <c r="AO463" s="97" t="n">
        <v>21.59859</v>
      </c>
      <c r="AP463" s="97" t="n"/>
      <c r="AQ463" s="97" t="n"/>
      <c r="AR463" s="97" t="n"/>
      <c r="AS463" s="97" t="n"/>
      <c r="AT463" s="97" t="n"/>
      <c r="AU463" s="97" t="n"/>
      <c r="AV463" s="97" t="n"/>
      <c r="AW463" s="97" t="n"/>
      <c r="AX463" s="97" t="n"/>
      <c r="AY463" s="97" t="n"/>
    </row>
    <row r="464" s="135">
      <c r="A464" t="inlineStr">
        <is>
          <t>1957-07</t>
        </is>
      </c>
      <c r="B464" s="2" t="n">
        <v>21002</v>
      </c>
      <c r="C464" s="96" t="n">
        <v>464</v>
      </c>
      <c r="E464" s="2">
        <f>B464</f>
        <v/>
      </c>
      <c r="F464" s="3">
        <f>B464</f>
        <v/>
      </c>
      <c r="G464" s="96" t="n">
        <v>462</v>
      </c>
      <c r="H464" s="97" t="n"/>
      <c r="I464" s="97" t="n"/>
      <c r="J464" s="97" t="n">
        <v>22.92584</v>
      </c>
      <c r="K464" s="97" t="n"/>
      <c r="L464" s="97" t="n"/>
      <c r="M464" s="97" t="n"/>
      <c r="N464" s="97" t="n"/>
      <c r="O464" s="97" t="n"/>
      <c r="P464" s="97" t="n"/>
      <c r="Q464" s="97" t="n"/>
      <c r="R464" s="97" t="n"/>
      <c r="S464" s="97" t="n">
        <v>31.94331</v>
      </c>
      <c r="T464" s="97" t="n">
        <v>50.90026</v>
      </c>
      <c r="U464" s="97" t="n"/>
      <c r="V464" s="97" t="n"/>
      <c r="W464" s="97" t="n"/>
      <c r="X464" s="97" t="n"/>
      <c r="Y464" s="97" t="n"/>
      <c r="Z464" s="97" t="n">
        <v>26.58167</v>
      </c>
      <c r="AA464" s="97" t="n">
        <v>9.506574000000001</v>
      </c>
      <c r="AB464" s="97" t="n"/>
      <c r="AC464" s="97" t="n">
        <v>36.31758</v>
      </c>
      <c r="AD464" s="97" t="n"/>
      <c r="AE464" s="97" t="n"/>
      <c r="AF464" s="97" t="n">
        <v>20.56896</v>
      </c>
      <c r="AG464" s="97" t="n">
        <v>18.30356</v>
      </c>
      <c r="AH464" s="97" t="n"/>
      <c r="AI464" s="97" t="n"/>
      <c r="AJ464" s="97" t="n">
        <v>18.50366</v>
      </c>
      <c r="AK464" s="97" t="n"/>
      <c r="AL464" s="97" t="n"/>
      <c r="AM464" s="97" t="n"/>
      <c r="AN464" s="97" t="n"/>
      <c r="AO464" s="97" t="n">
        <v>21.73153</v>
      </c>
      <c r="AP464" s="97" t="n"/>
      <c r="AQ464" s="97" t="n"/>
      <c r="AR464" s="97" t="n"/>
      <c r="AS464" s="97" t="n"/>
      <c r="AT464" s="97" t="n"/>
      <c r="AU464" s="97" t="n"/>
      <c r="AV464" s="97" t="n"/>
      <c r="AW464" s="97" t="n"/>
      <c r="AX464" s="97" t="n"/>
      <c r="AY464" s="97" t="n"/>
    </row>
    <row r="465" s="135">
      <c r="A465" t="inlineStr">
        <is>
          <t>1957-08</t>
        </is>
      </c>
      <c r="B465" s="2" t="n">
        <v>21033</v>
      </c>
      <c r="C465" s="96" t="n">
        <v>465</v>
      </c>
      <c r="E465" s="2">
        <f>B465</f>
        <v/>
      </c>
      <c r="F465" s="3">
        <f>B465</f>
        <v/>
      </c>
      <c r="G465" s="96" t="n">
        <v>463</v>
      </c>
      <c r="H465" s="97" t="n"/>
      <c r="I465" s="97" t="n"/>
      <c r="J465" s="97" t="n">
        <v>23.68114</v>
      </c>
      <c r="K465" s="97" t="n"/>
      <c r="L465" s="97" t="n"/>
      <c r="M465" s="97" t="n"/>
      <c r="N465" s="97" t="n"/>
      <c r="O465" s="97" t="n"/>
      <c r="P465" s="97" t="n"/>
      <c r="Q465" s="97" t="n"/>
      <c r="R465" s="97" t="n"/>
      <c r="S465" s="97" t="n">
        <v>31.94331</v>
      </c>
      <c r="T465" s="97" t="n">
        <v>50.90026</v>
      </c>
      <c r="U465" s="97" t="n"/>
      <c r="V465" s="97" t="n"/>
      <c r="W465" s="97" t="n"/>
      <c r="X465" s="97" t="n"/>
      <c r="Y465" s="97" t="n"/>
      <c r="Z465" s="97" t="n">
        <v>26.67674</v>
      </c>
      <c r="AA465" s="97" t="n">
        <v>9.170057</v>
      </c>
      <c r="AB465" s="97" t="n"/>
      <c r="AC465" s="97" t="n">
        <v>36.22205</v>
      </c>
      <c r="AD465" s="97" t="n"/>
      <c r="AE465" s="97" t="n"/>
      <c r="AF465" s="97" t="n">
        <v>20.56896</v>
      </c>
      <c r="AG465" s="97" t="n">
        <v>18.55523</v>
      </c>
      <c r="AH465" s="97" t="n"/>
      <c r="AI465" s="97" t="n"/>
      <c r="AJ465" s="97" t="n">
        <v>18.2059</v>
      </c>
      <c r="AK465" s="97" t="n"/>
      <c r="AL465" s="97" t="n"/>
      <c r="AM465" s="97" t="n"/>
      <c r="AN465" s="97" t="n"/>
      <c r="AO465" s="97" t="n">
        <v>21.73153</v>
      </c>
      <c r="AP465" s="97" t="n"/>
      <c r="AQ465" s="97" t="n"/>
      <c r="AR465" s="97" t="n"/>
      <c r="AS465" s="97" t="n"/>
      <c r="AT465" s="97" t="n"/>
      <c r="AU465" s="97" t="n"/>
      <c r="AV465" s="97" t="n"/>
      <c r="AW465" s="97" t="n"/>
      <c r="AX465" s="97" t="n"/>
      <c r="AY465" s="97" t="n"/>
    </row>
    <row r="466" s="135">
      <c r="A466" t="inlineStr">
        <is>
          <t>1957-09</t>
        </is>
      </c>
      <c r="B466" s="2" t="n">
        <v>21064</v>
      </c>
      <c r="C466" s="96" t="n">
        <v>466</v>
      </c>
      <c r="E466" s="2">
        <f>B466</f>
        <v/>
      </c>
      <c r="F466" s="3">
        <f>B466</f>
        <v/>
      </c>
      <c r="G466" s="96" t="n">
        <v>464</v>
      </c>
      <c r="H466" s="97" t="n"/>
      <c r="I466" s="97" t="n"/>
      <c r="J466" s="97" t="n">
        <v>23.04484</v>
      </c>
      <c r="K466" s="97" t="n"/>
      <c r="L466" s="97" t="n"/>
      <c r="M466" s="97" t="n"/>
      <c r="N466" s="97" t="n"/>
      <c r="O466" s="97" t="n"/>
      <c r="P466" s="97" t="n"/>
      <c r="Q466" s="97" t="n"/>
      <c r="R466" s="97" t="n"/>
      <c r="S466" s="97" t="n">
        <v>32.27501</v>
      </c>
      <c r="T466" s="97" t="n">
        <v>50.90026</v>
      </c>
      <c r="U466" s="97" t="n"/>
      <c r="V466" s="97" t="n"/>
      <c r="W466" s="97" t="n"/>
      <c r="X466" s="97" t="n"/>
      <c r="Y466" s="97" t="n"/>
      <c r="Z466" s="97" t="n">
        <v>26.99998</v>
      </c>
      <c r="AA466" s="97" t="n">
        <v>9.170057</v>
      </c>
      <c r="AB466" s="97" t="n"/>
      <c r="AC466" s="97" t="n">
        <v>36.19732</v>
      </c>
      <c r="AD466" s="97" t="n"/>
      <c r="AE466" s="97" t="n"/>
      <c r="AF466" s="97" t="n">
        <v>20.28328</v>
      </c>
      <c r="AG466" s="97" t="n">
        <v>18.44084</v>
      </c>
      <c r="AH466" s="97" t="n"/>
      <c r="AI466" s="97" t="n"/>
      <c r="AJ466" s="97" t="n">
        <v>17.87212</v>
      </c>
      <c r="AK466" s="97" t="n"/>
      <c r="AL466" s="97" t="n"/>
      <c r="AM466" s="97" t="n"/>
      <c r="AN466" s="97" t="n"/>
      <c r="AO466" s="97" t="n">
        <v>21.54538</v>
      </c>
      <c r="AP466" s="97" t="n"/>
      <c r="AQ466" s="97" t="n"/>
      <c r="AR466" s="97" t="n"/>
      <c r="AS466" s="97" t="n"/>
      <c r="AT466" s="97" t="n"/>
      <c r="AU466" s="97" t="n"/>
      <c r="AV466" s="97" t="n"/>
      <c r="AW466" s="97" t="n"/>
      <c r="AX466" s="97" t="n"/>
      <c r="AY466" s="97" t="n"/>
    </row>
    <row r="467" s="135">
      <c r="A467" t="inlineStr">
        <is>
          <t>1957-10</t>
        </is>
      </c>
      <c r="B467" s="2" t="n">
        <v>21094</v>
      </c>
      <c r="C467" s="96" t="n">
        <v>467</v>
      </c>
      <c r="E467" s="2">
        <f>B467</f>
        <v/>
      </c>
      <c r="F467" s="3">
        <f>B467</f>
        <v/>
      </c>
      <c r="G467" s="96" t="n">
        <v>465</v>
      </c>
      <c r="H467" s="97" t="n"/>
      <c r="I467" s="97" t="n"/>
      <c r="J467" s="97" t="n">
        <v>27.83169</v>
      </c>
      <c r="K467" s="97" t="n"/>
      <c r="L467" s="97" t="n"/>
      <c r="M467" s="97" t="n"/>
      <c r="N467" s="97" t="n"/>
      <c r="O467" s="97" t="n"/>
      <c r="P467" s="97" t="n"/>
      <c r="Q467" s="97" t="n"/>
      <c r="R467" s="97" t="n"/>
      <c r="S467" s="97" t="n">
        <v>31.91014</v>
      </c>
      <c r="T467" s="97" t="n">
        <v>49.96631</v>
      </c>
      <c r="U467" s="97" t="n"/>
      <c r="V467" s="97" t="n"/>
      <c r="W467" s="97" t="n"/>
      <c r="X467" s="97" t="n"/>
      <c r="Y467" s="97" t="n"/>
      <c r="Z467" s="97" t="n">
        <v>25.9542</v>
      </c>
      <c r="AA467" s="97" t="n">
        <v>9.085929</v>
      </c>
      <c r="AB467" s="97" t="n"/>
      <c r="AC467" s="97" t="n">
        <v>35.92432</v>
      </c>
      <c r="AD467" s="97" t="n"/>
      <c r="AE467" s="97" t="n"/>
      <c r="AF467" s="97" t="n">
        <v>19.71192</v>
      </c>
      <c r="AG467" s="97" t="n">
        <v>18.34932</v>
      </c>
      <c r="AH467" s="97" t="n"/>
      <c r="AI467" s="97" t="n"/>
      <c r="AJ467" s="97" t="n">
        <v>18.13737</v>
      </c>
      <c r="AK467" s="97" t="n"/>
      <c r="AL467" s="97" t="n"/>
      <c r="AM467" s="97" t="n"/>
      <c r="AN467" s="97" t="n"/>
      <c r="AO467" s="97" t="n">
        <v>21.22611</v>
      </c>
      <c r="AP467" s="97" t="n"/>
      <c r="AQ467" s="97" t="n"/>
      <c r="AR467" s="97" t="n"/>
      <c r="AS467" s="97" t="n"/>
      <c r="AT467" s="97" t="n"/>
      <c r="AU467" s="97" t="n"/>
      <c r="AV467" s="97" t="n"/>
      <c r="AW467" s="97" t="n"/>
      <c r="AX467" s="97" t="n"/>
      <c r="AY467" s="97" t="n"/>
    </row>
    <row r="468" s="135">
      <c r="A468" t="inlineStr">
        <is>
          <t>1957-11</t>
        </is>
      </c>
      <c r="B468" s="2" t="n">
        <v>21125</v>
      </c>
      <c r="C468" s="96" t="n">
        <v>468</v>
      </c>
      <c r="E468" s="2">
        <f>B468</f>
        <v/>
      </c>
      <c r="F468" s="3">
        <f>B468</f>
        <v/>
      </c>
      <c r="G468" s="96" t="n">
        <v>466</v>
      </c>
      <c r="H468" s="97" t="n"/>
      <c r="I468" s="97" t="n"/>
      <c r="J468" s="97" t="n">
        <v>22.23341</v>
      </c>
      <c r="K468" s="97" t="n"/>
      <c r="L468" s="97" t="n"/>
      <c r="M468" s="97" t="n"/>
      <c r="N468" s="97" t="n"/>
      <c r="O468" s="97" t="n"/>
      <c r="P468" s="97" t="n"/>
      <c r="Q468" s="97" t="n"/>
      <c r="R468" s="97" t="n"/>
      <c r="S468" s="97" t="n">
        <v>32.57355</v>
      </c>
      <c r="T468" s="97" t="n">
        <v>50.90026</v>
      </c>
      <c r="U468" s="97" t="n"/>
      <c r="V468" s="97" t="n"/>
      <c r="W468" s="97" t="n"/>
      <c r="X468" s="97" t="n"/>
      <c r="Y468" s="97" t="n"/>
      <c r="Z468" s="97" t="n">
        <v>26.27744</v>
      </c>
      <c r="AA468" s="97" t="n">
        <v>9.085929</v>
      </c>
      <c r="AB468" s="97" t="n"/>
      <c r="AC468" s="97" t="n">
        <v>35.73736</v>
      </c>
      <c r="AD468" s="97" t="n"/>
      <c r="AE468" s="97" t="n"/>
      <c r="AF468" s="97" t="n">
        <v>19.9976</v>
      </c>
      <c r="AG468" s="97" t="n">
        <v>18.05189</v>
      </c>
      <c r="AH468" s="97" t="n"/>
      <c r="AI468" s="97" t="n"/>
      <c r="AJ468" s="97" t="n">
        <v>18.49334</v>
      </c>
      <c r="AK468" s="97" t="n"/>
      <c r="AL468" s="97" t="n"/>
      <c r="AM468" s="97" t="n"/>
      <c r="AN468" s="97" t="n"/>
      <c r="AO468" s="97" t="n">
        <v>20.72078</v>
      </c>
      <c r="AP468" s="97" t="n"/>
      <c r="AQ468" s="97" t="n"/>
      <c r="AR468" s="97" t="n"/>
      <c r="AS468" s="97" t="n"/>
      <c r="AT468" s="97" t="n"/>
      <c r="AU468" s="97" t="n"/>
      <c r="AV468" s="97" t="n"/>
      <c r="AW468" s="97" t="n"/>
      <c r="AX468" s="97" t="n"/>
      <c r="AY468" s="97" t="n"/>
    </row>
    <row r="469" s="135">
      <c r="A469" t="inlineStr">
        <is>
          <t>1957-12</t>
        </is>
      </c>
      <c r="B469" s="2" t="n">
        <v>21155</v>
      </c>
      <c r="C469" s="96" t="n">
        <v>469</v>
      </c>
      <c r="E469" s="2">
        <f>B469</f>
        <v/>
      </c>
      <c r="F469" s="3">
        <f>B469</f>
        <v/>
      </c>
      <c r="G469" s="96" t="n">
        <v>467</v>
      </c>
      <c r="H469" s="97" t="n"/>
      <c r="I469" s="97" t="n"/>
      <c r="J469" s="97" t="n">
        <v>23.16896</v>
      </c>
      <c r="K469" s="97" t="n"/>
      <c r="L469" s="97" t="n"/>
      <c r="M469" s="97" t="n"/>
      <c r="N469" s="97" t="n"/>
      <c r="O469" s="97" t="n"/>
      <c r="P469" s="97" t="n"/>
      <c r="Q469" s="97" t="n"/>
      <c r="R469" s="97" t="n"/>
      <c r="S469" s="97" t="n">
        <v>32.9716</v>
      </c>
      <c r="T469" s="97" t="n">
        <v>49.49934</v>
      </c>
      <c r="U469" s="97" t="n"/>
      <c r="V469" s="97" t="n"/>
      <c r="W469" s="97" t="n"/>
      <c r="X469" s="97" t="n"/>
      <c r="Y469" s="97" t="n"/>
      <c r="Z469" s="97" t="n">
        <v>26.56265</v>
      </c>
      <c r="AA469" s="97" t="n">
        <v>8.917669999999999</v>
      </c>
      <c r="AB469" s="97" t="n"/>
      <c r="AC469" s="97" t="n">
        <v>35.6613</v>
      </c>
      <c r="AD469" s="97" t="n"/>
      <c r="AE469" s="97" t="n"/>
      <c r="AF469" s="97" t="n">
        <v>19.9976</v>
      </c>
      <c r="AG469" s="97" t="n">
        <v>18.07477</v>
      </c>
      <c r="AH469" s="97" t="n"/>
      <c r="AI469" s="97" t="n"/>
      <c r="AJ469" s="97" t="n">
        <v>18.02988</v>
      </c>
      <c r="AK469" s="97" t="n"/>
      <c r="AL469" s="97" t="n"/>
      <c r="AM469" s="97" t="n"/>
      <c r="AN469" s="97" t="n"/>
      <c r="AO469" s="97" t="n">
        <v>20.32179</v>
      </c>
      <c r="AP469" s="97" t="n"/>
      <c r="AQ469" s="97" t="n"/>
      <c r="AR469" s="97" t="n"/>
      <c r="AS469" s="97" t="n"/>
      <c r="AT469" s="97" t="n"/>
      <c r="AU469" s="97" t="n"/>
      <c r="AV469" s="97" t="n"/>
      <c r="AW469" s="97" t="n"/>
      <c r="AX469" s="97" t="n"/>
      <c r="AY469" s="97" t="n"/>
    </row>
    <row r="470" s="135">
      <c r="A470" t="inlineStr">
        <is>
          <t>1958-01</t>
        </is>
      </c>
      <c r="B470" s="2" t="n">
        <v>21186</v>
      </c>
      <c r="C470" s="96" t="n">
        <v>470</v>
      </c>
      <c r="E470" s="2">
        <f>B470</f>
        <v/>
      </c>
      <c r="F470" s="3">
        <f>B470</f>
        <v/>
      </c>
      <c r="G470" s="96" t="n">
        <v>468</v>
      </c>
      <c r="H470" s="97" t="n"/>
      <c r="I470" s="97" t="n"/>
      <c r="J470" s="97" t="n">
        <v>23.76754</v>
      </c>
      <c r="K470" s="97" t="n"/>
      <c r="L470" s="97" t="n"/>
      <c r="M470" s="97" t="n"/>
      <c r="N470" s="97" t="n">
        <v>23.59779</v>
      </c>
      <c r="O470" s="97" t="n"/>
      <c r="P470" s="97" t="n"/>
      <c r="Q470" s="97" t="n"/>
      <c r="R470" s="97" t="n">
        <v>12.97948</v>
      </c>
      <c r="S470" s="97" t="n">
        <v>33.3033</v>
      </c>
      <c r="T470" s="97" t="n">
        <v>49.96631</v>
      </c>
      <c r="U470" s="97" t="n"/>
      <c r="V470" s="97" t="n"/>
      <c r="W470" s="97" t="n"/>
      <c r="X470" s="97" t="n"/>
      <c r="Y470" s="97" t="n"/>
      <c r="Z470" s="97" t="n">
        <v>26.96195</v>
      </c>
      <c r="AA470" s="97" t="n">
        <v>8.833542</v>
      </c>
      <c r="AB470" s="97" t="n"/>
      <c r="AC470" s="97" t="n">
        <v>36.04277</v>
      </c>
      <c r="AD470" s="97" t="n"/>
      <c r="AE470" s="97" t="n"/>
      <c r="AF470" s="97" t="n">
        <v>19.9976</v>
      </c>
      <c r="AG470" s="97" t="n">
        <v>18.30356</v>
      </c>
      <c r="AH470" s="97" t="n"/>
      <c r="AI470" s="97" t="n"/>
      <c r="AJ470" s="97" t="n">
        <v>18.81609</v>
      </c>
      <c r="AK470" s="97" t="n"/>
      <c r="AL470" s="97" t="n"/>
      <c r="AM470" s="97" t="n"/>
      <c r="AN470" s="97" t="n"/>
      <c r="AO470" s="97" t="n">
        <v>19.9494</v>
      </c>
      <c r="AP470" s="97" t="n"/>
      <c r="AQ470" s="97" t="n"/>
      <c r="AR470" s="97" t="n"/>
      <c r="AS470" s="97" t="n"/>
      <c r="AT470" s="97" t="n"/>
      <c r="AU470" s="97" t="n"/>
      <c r="AV470" s="97" t="n"/>
      <c r="AW470" s="97" t="n"/>
      <c r="AX470" s="97" t="n"/>
      <c r="AY470" s="97" t="n"/>
    </row>
    <row r="471" s="135">
      <c r="A471" t="inlineStr">
        <is>
          <t>1958-02</t>
        </is>
      </c>
      <c r="B471" s="2" t="n">
        <v>21217</v>
      </c>
      <c r="C471" s="96" t="n">
        <v>471</v>
      </c>
      <c r="E471" s="2">
        <f>B471</f>
        <v/>
      </c>
      <c r="F471" s="3">
        <f>B471</f>
        <v/>
      </c>
      <c r="G471" s="96" t="n">
        <v>469</v>
      </c>
      <c r="H471" s="97" t="n"/>
      <c r="I471" s="97" t="n"/>
      <c r="J471" s="97" t="n">
        <v>25.80832</v>
      </c>
      <c r="K471" s="97" t="n"/>
      <c r="L471" s="97" t="n"/>
      <c r="M471" s="97" t="n"/>
      <c r="N471" s="97" t="n">
        <v>23.69698</v>
      </c>
      <c r="O471" s="97" t="n"/>
      <c r="P471" s="97" t="n"/>
      <c r="Q471" s="97" t="n"/>
      <c r="R471" s="97" t="n">
        <v>12.85488</v>
      </c>
      <c r="S471" s="97" t="n">
        <v>33.43599</v>
      </c>
      <c r="T471" s="97" t="n">
        <v>50.96564</v>
      </c>
      <c r="U471" s="97" t="n"/>
      <c r="V471" s="97" t="n"/>
      <c r="W471" s="97" t="n"/>
      <c r="X471" s="97" t="n"/>
      <c r="Y471" s="97" t="n"/>
      <c r="Z471" s="97" t="n">
        <v>26.41054</v>
      </c>
      <c r="AA471" s="97" t="n">
        <v>8.917669999999999</v>
      </c>
      <c r="AB471" s="97" t="n"/>
      <c r="AC471" s="97" t="n">
        <v>36.76693</v>
      </c>
      <c r="AD471" s="97" t="n"/>
      <c r="AE471" s="97" t="n"/>
      <c r="AF471" s="97" t="n">
        <v>19.9976</v>
      </c>
      <c r="AG471" s="97" t="n">
        <v>18.2578</v>
      </c>
      <c r="AH471" s="97" t="n"/>
      <c r="AI471" s="97" t="n"/>
      <c r="AJ471" s="97" t="n">
        <v>18.79097</v>
      </c>
      <c r="AK471" s="97" t="n"/>
      <c r="AL471" s="97" t="n"/>
      <c r="AM471" s="97" t="n"/>
      <c r="AN471" s="97" t="n"/>
      <c r="AO471" s="97" t="n">
        <v>19.5238</v>
      </c>
      <c r="AP471" s="97" t="n"/>
      <c r="AQ471" s="97" t="n"/>
      <c r="AR471" s="97" t="n"/>
      <c r="AS471" s="97" t="n"/>
      <c r="AT471" s="97" t="n"/>
      <c r="AU471" s="97" t="n"/>
      <c r="AV471" s="97" t="n"/>
      <c r="AW471" s="97" t="n"/>
      <c r="AX471" s="97" t="n"/>
      <c r="AY471" s="97" t="n"/>
    </row>
    <row r="472" s="135">
      <c r="A472" t="inlineStr">
        <is>
          <t>1958-03</t>
        </is>
      </c>
      <c r="B472" s="2" t="n">
        <v>21245</v>
      </c>
      <c r="C472" s="96" t="n">
        <v>472</v>
      </c>
      <c r="E472" s="2">
        <f>B472</f>
        <v/>
      </c>
      <c r="F472" s="3">
        <f>B472</f>
        <v/>
      </c>
      <c r="G472" s="96" t="n">
        <v>470</v>
      </c>
      <c r="H472" s="97" t="n"/>
      <c r="I472" s="97" t="n"/>
      <c r="J472" s="97" t="n">
        <v>22.88271</v>
      </c>
      <c r="K472" s="97" t="n"/>
      <c r="L472" s="97" t="n"/>
      <c r="M472" s="97" t="n"/>
      <c r="N472" s="97" t="n">
        <v>24.08197</v>
      </c>
      <c r="O472" s="97" t="n"/>
      <c r="P472" s="97" t="n"/>
      <c r="Q472" s="97" t="n"/>
      <c r="R472" s="97" t="n">
        <v>12.5849</v>
      </c>
      <c r="S472" s="97" t="n">
        <v>33.33647</v>
      </c>
      <c r="T472" s="97" t="n">
        <v>51.4653</v>
      </c>
      <c r="U472" s="97" t="n"/>
      <c r="V472" s="97" t="n"/>
      <c r="W472" s="97" t="n"/>
      <c r="X472" s="97" t="n"/>
      <c r="Y472" s="97" t="n"/>
      <c r="Z472" s="97" t="n">
        <v>26.37251</v>
      </c>
      <c r="AA472" s="97" t="n">
        <v>8.833542</v>
      </c>
      <c r="AB472" s="97" t="n"/>
      <c r="AC472" s="97" t="n">
        <v>35.22977</v>
      </c>
      <c r="AD472" s="97" t="n"/>
      <c r="AE472" s="97" t="n"/>
      <c r="AF472" s="97" t="n">
        <v>20.28328</v>
      </c>
      <c r="AG472" s="97" t="n">
        <v>18.57811</v>
      </c>
      <c r="AH472" s="97" t="n"/>
      <c r="AI472" s="97" t="n"/>
      <c r="AJ472" s="97" t="n">
        <v>19.13179</v>
      </c>
      <c r="AK472" s="97" t="n"/>
      <c r="AL472" s="97" t="n"/>
      <c r="AM472" s="97" t="n"/>
      <c r="AN472" s="97" t="n"/>
      <c r="AO472" s="97" t="n">
        <v>19.28444</v>
      </c>
      <c r="AP472" s="97" t="n"/>
      <c r="AQ472" s="97" t="n"/>
      <c r="AR472" s="97" t="n"/>
      <c r="AS472" s="97" t="n"/>
      <c r="AT472" s="97" t="n"/>
      <c r="AU472" s="97" t="n"/>
      <c r="AV472" s="97" t="n"/>
      <c r="AW472" s="97" t="n"/>
      <c r="AX472" s="97" t="n"/>
      <c r="AY472" s="97" t="n"/>
    </row>
    <row r="473" s="135">
      <c r="A473" t="inlineStr">
        <is>
          <t>1958-04</t>
        </is>
      </c>
      <c r="B473" s="2" t="n">
        <v>21276</v>
      </c>
      <c r="C473" s="96" t="n">
        <v>473</v>
      </c>
      <c r="E473" s="2">
        <f>B473</f>
        <v/>
      </c>
      <c r="F473" s="3">
        <f>B473</f>
        <v/>
      </c>
      <c r="G473" s="96" t="n">
        <v>471</v>
      </c>
      <c r="H473" s="97" t="n"/>
      <c r="I473" s="97" t="n"/>
      <c r="J473" s="97" t="n">
        <v>22.99221</v>
      </c>
      <c r="K473" s="97" t="n"/>
      <c r="L473" s="97" t="n"/>
      <c r="M473" s="97" t="n"/>
      <c r="N473" s="97" t="n">
        <v>23.32515</v>
      </c>
      <c r="O473" s="97" t="n"/>
      <c r="P473" s="97" t="n"/>
      <c r="Q473" s="97" t="n"/>
      <c r="R473" s="97" t="n">
        <v>12.77181</v>
      </c>
      <c r="S473" s="97" t="n">
        <v>33.03794</v>
      </c>
      <c r="T473" s="97" t="n">
        <v>49.46665</v>
      </c>
      <c r="U473" s="97" t="n"/>
      <c r="V473" s="97" t="n"/>
      <c r="W473" s="97" t="n"/>
      <c r="X473" s="97" t="n"/>
      <c r="Y473" s="97" t="n"/>
      <c r="Z473" s="97" t="n">
        <v>26.27744</v>
      </c>
      <c r="AA473" s="97" t="n">
        <v>8.833542</v>
      </c>
      <c r="AB473" s="97" t="n"/>
      <c r="AC473" s="97" t="n">
        <v>35.42977</v>
      </c>
      <c r="AD473" s="97" t="n"/>
      <c r="AE473" s="97" t="n"/>
      <c r="AF473" s="97" t="n">
        <v>19.9976</v>
      </c>
      <c r="AG473" s="97" t="n">
        <v>18.00613</v>
      </c>
      <c r="AH473" s="97" t="n"/>
      <c r="AI473" s="97" t="n"/>
      <c r="AJ473" s="97" t="n">
        <v>18.967</v>
      </c>
      <c r="AK473" s="97" t="n"/>
      <c r="AL473" s="97" t="n"/>
      <c r="AM473" s="97" t="n"/>
      <c r="AN473" s="97" t="n"/>
      <c r="AO473" s="97" t="n">
        <v>18.96526</v>
      </c>
      <c r="AP473" s="97" t="n"/>
      <c r="AQ473" s="97" t="n"/>
      <c r="AR473" s="97" t="n"/>
      <c r="AS473" s="97" t="n"/>
      <c r="AT473" s="97" t="n"/>
      <c r="AU473" s="97" t="n"/>
      <c r="AV473" s="97" t="n"/>
      <c r="AW473" s="97" t="n"/>
      <c r="AX473" s="97" t="n"/>
      <c r="AY473" s="97" t="n"/>
    </row>
    <row r="474" s="135">
      <c r="A474" t="inlineStr">
        <is>
          <t>1958-05</t>
        </is>
      </c>
      <c r="B474" s="2" t="n">
        <v>21306</v>
      </c>
      <c r="C474" s="96" t="n">
        <v>474</v>
      </c>
      <c r="E474" s="2">
        <f>B474</f>
        <v/>
      </c>
      <c r="F474" s="3">
        <f>B474</f>
        <v/>
      </c>
      <c r="G474" s="96" t="n">
        <v>472</v>
      </c>
      <c r="H474" s="97" t="n"/>
      <c r="I474" s="97" t="n"/>
      <c r="J474" s="97" t="n">
        <v>23.02984</v>
      </c>
      <c r="K474" s="97" t="n"/>
      <c r="L474" s="97" t="n"/>
      <c r="M474" s="97" t="n"/>
      <c r="N474" s="97" t="n">
        <v>23.6102</v>
      </c>
      <c r="O474" s="97" t="n"/>
      <c r="P474" s="97" t="n"/>
      <c r="Q474" s="97" t="n"/>
      <c r="R474" s="97" t="n">
        <v>12.73028</v>
      </c>
      <c r="S474" s="97" t="n">
        <v>32.80574</v>
      </c>
      <c r="T474" s="97" t="n">
        <v>49.96631</v>
      </c>
      <c r="U474" s="97" t="n"/>
      <c r="V474" s="97" t="n"/>
      <c r="W474" s="97" t="n"/>
      <c r="X474" s="97" t="n"/>
      <c r="Y474" s="97" t="n"/>
      <c r="Z474" s="97" t="n">
        <v>26.33449</v>
      </c>
      <c r="AA474" s="97" t="n">
        <v>8.581155000000001</v>
      </c>
      <c r="AB474" s="97" t="n"/>
      <c r="AC474" s="97" t="n">
        <v>35.03017</v>
      </c>
      <c r="AD474" s="97" t="n"/>
      <c r="AE474" s="97" t="n"/>
      <c r="AF474" s="97" t="n">
        <v>20.28328</v>
      </c>
      <c r="AG474" s="97" t="n">
        <v>17.93749</v>
      </c>
      <c r="AH474" s="97" t="n"/>
      <c r="AI474" s="97" t="n"/>
      <c r="AJ474" s="97" t="n">
        <v>19.72248</v>
      </c>
      <c r="AK474" s="97" t="n"/>
      <c r="AL474" s="97" t="n"/>
      <c r="AM474" s="97" t="n"/>
      <c r="AN474" s="97" t="n"/>
      <c r="AO474" s="97" t="n">
        <v>19.15141</v>
      </c>
      <c r="AP474" s="97" t="n"/>
      <c r="AQ474" s="97" t="n"/>
      <c r="AR474" s="97" t="n"/>
      <c r="AS474" s="97" t="n"/>
      <c r="AT474" s="97" t="n"/>
      <c r="AU474" s="97" t="n"/>
      <c r="AV474" s="97" t="n"/>
      <c r="AW474" s="97" t="n"/>
      <c r="AX474" s="97" t="n"/>
      <c r="AY474" s="97" t="n"/>
    </row>
    <row r="475" s="135">
      <c r="A475" t="inlineStr">
        <is>
          <t>1958-06</t>
        </is>
      </c>
      <c r="B475" s="2" t="n">
        <v>21337</v>
      </c>
      <c r="C475" s="96" t="n">
        <v>475</v>
      </c>
      <c r="E475" s="2">
        <f>B475</f>
        <v/>
      </c>
      <c r="F475" s="3">
        <f>B475</f>
        <v/>
      </c>
      <c r="G475" s="96" t="n">
        <v>473</v>
      </c>
      <c r="H475" s="97" t="n"/>
      <c r="I475" s="97" t="n"/>
      <c r="J475" s="97" t="n">
        <v>22.88933</v>
      </c>
      <c r="K475" s="97" t="n"/>
      <c r="L475" s="97" t="n"/>
      <c r="M475" s="97" t="n"/>
      <c r="N475" s="97" t="n">
        <v>23.8987</v>
      </c>
      <c r="O475" s="97" t="n"/>
      <c r="P475" s="97" t="n"/>
      <c r="Q475" s="97" t="n"/>
      <c r="R475" s="97" t="n">
        <v>12.64721</v>
      </c>
      <c r="S475" s="97" t="n">
        <v>33.03794</v>
      </c>
      <c r="T475" s="97" t="n">
        <v>49.96631</v>
      </c>
      <c r="U475" s="97" t="n"/>
      <c r="V475" s="97" t="n"/>
      <c r="W475" s="97" t="n"/>
      <c r="X475" s="97" t="n"/>
      <c r="Y475" s="97" t="n"/>
      <c r="Z475" s="97" t="n">
        <v>26.98096</v>
      </c>
      <c r="AA475" s="97" t="n">
        <v>8.497025000000001</v>
      </c>
      <c r="AB475" s="97" t="n"/>
      <c r="AC475" s="97" t="n">
        <v>34.62072</v>
      </c>
      <c r="AD475" s="97" t="n"/>
      <c r="AE475" s="97" t="n"/>
      <c r="AF475" s="97" t="n">
        <v>20.28328</v>
      </c>
      <c r="AG475" s="97" t="n">
        <v>18.80691</v>
      </c>
      <c r="AH475" s="97" t="n"/>
      <c r="AI475" s="97" t="n"/>
      <c r="AJ475" s="97" t="n">
        <v>18.54823</v>
      </c>
      <c r="AK475" s="97" t="n"/>
      <c r="AL475" s="97" t="n"/>
      <c r="AM475" s="97" t="n"/>
      <c r="AN475" s="97" t="n"/>
      <c r="AO475" s="97" t="n">
        <v>19.65683</v>
      </c>
      <c r="AP475" s="97" t="n"/>
      <c r="AQ475" s="97" t="n"/>
      <c r="AR475" s="97" t="n"/>
      <c r="AS475" s="97" t="n"/>
      <c r="AT475" s="97" t="n"/>
      <c r="AU475" s="97" t="n"/>
      <c r="AV475" s="97" t="n"/>
      <c r="AW475" s="97" t="n"/>
      <c r="AX475" s="97" t="n"/>
      <c r="AY475" s="97" t="n"/>
    </row>
    <row r="476" s="135">
      <c r="A476" t="inlineStr">
        <is>
          <t>1958-07</t>
        </is>
      </c>
      <c r="B476" s="2" t="n">
        <v>21367</v>
      </c>
      <c r="C476" s="96" t="n">
        <v>476</v>
      </c>
      <c r="E476" s="2">
        <f>B476</f>
        <v/>
      </c>
      <c r="F476" s="3">
        <f>B476</f>
        <v/>
      </c>
      <c r="G476" s="96" t="n">
        <v>474</v>
      </c>
      <c r="H476" s="97" t="n"/>
      <c r="I476" s="97" t="n"/>
      <c r="J476" s="97" t="n">
        <v>23.31387</v>
      </c>
      <c r="K476" s="97" t="n"/>
      <c r="L476" s="97" t="n"/>
      <c r="M476" s="97" t="n"/>
      <c r="N476" s="97" t="n">
        <v>23.49029</v>
      </c>
      <c r="O476" s="97" t="n"/>
      <c r="P476" s="97" t="n"/>
      <c r="Q476" s="97" t="n"/>
      <c r="R476" s="97" t="n">
        <v>12.60567</v>
      </c>
      <c r="S476" s="97" t="n">
        <v>32.77257</v>
      </c>
      <c r="T476" s="97" t="n">
        <v>49.46665</v>
      </c>
      <c r="U476" s="97" t="n"/>
      <c r="V476" s="97" t="n"/>
      <c r="W476" s="97" t="n"/>
      <c r="X476" s="97" t="n"/>
      <c r="Y476" s="97" t="n"/>
      <c r="Z476" s="97" t="n">
        <v>27.22815</v>
      </c>
      <c r="AA476" s="97" t="n">
        <v>8.833542</v>
      </c>
      <c r="AB476" s="97" t="n"/>
      <c r="AC476" s="97" t="n">
        <v>34.31942</v>
      </c>
      <c r="AD476" s="97" t="n"/>
      <c r="AE476" s="97" t="n"/>
      <c r="AF476" s="97" t="n">
        <v>20.28328</v>
      </c>
      <c r="AG476" s="97" t="n">
        <v>18.46372</v>
      </c>
      <c r="AH476" s="97" t="n"/>
      <c r="AI476" s="97" t="n"/>
      <c r="AJ476" s="97" t="n">
        <v>19.1988</v>
      </c>
      <c r="AK476" s="97" t="n"/>
      <c r="AL476" s="97" t="n"/>
      <c r="AM476" s="97" t="n"/>
      <c r="AN476" s="97" t="n"/>
      <c r="AO476" s="97" t="n">
        <v>19.9494</v>
      </c>
      <c r="AP476" s="97" t="n"/>
      <c r="AQ476" s="97" t="n"/>
      <c r="AR476" s="97" t="n"/>
      <c r="AS476" s="97" t="n"/>
      <c r="AT476" s="97" t="n"/>
      <c r="AU476" s="97" t="n"/>
      <c r="AV476" s="97" t="n"/>
      <c r="AW476" s="97" t="n"/>
      <c r="AX476" s="97" t="n"/>
      <c r="AY476" s="97" t="n"/>
    </row>
    <row r="477" s="135">
      <c r="A477" t="inlineStr">
        <is>
          <t>1958-08</t>
        </is>
      </c>
      <c r="B477" s="2" t="n">
        <v>21398</v>
      </c>
      <c r="C477" s="96" t="n">
        <v>477</v>
      </c>
      <c r="E477" s="2">
        <f>B477</f>
        <v/>
      </c>
      <c r="F477" s="3">
        <f>B477</f>
        <v/>
      </c>
      <c r="G477" s="96" t="n">
        <v>475</v>
      </c>
      <c r="H477" s="97" t="n"/>
      <c r="I477" s="97" t="n"/>
      <c r="J477" s="97" t="n">
        <v>22.81607</v>
      </c>
      <c r="K477" s="97" t="n"/>
      <c r="L477" s="97" t="n"/>
      <c r="M477" s="97" t="n"/>
      <c r="N477" s="97" t="n">
        <v>24.38654</v>
      </c>
      <c r="O477" s="97" t="n"/>
      <c r="P477" s="97" t="n"/>
      <c r="Q477" s="97" t="n"/>
      <c r="R477" s="97" t="n">
        <v>12.81334</v>
      </c>
      <c r="S477" s="97" t="n">
        <v>32.77257</v>
      </c>
      <c r="T477" s="97" t="n">
        <v>49.46665</v>
      </c>
      <c r="U477" s="97" t="n"/>
      <c r="V477" s="97" t="n"/>
      <c r="W477" s="97" t="n"/>
      <c r="X477" s="97" t="n"/>
      <c r="Y477" s="97" t="n"/>
      <c r="Z477" s="97" t="n">
        <v>27.1711</v>
      </c>
      <c r="AA477" s="97" t="n">
        <v>8.917669999999999</v>
      </c>
      <c r="AB477" s="97" t="n"/>
      <c r="AC477" s="97" t="n">
        <v>34.62078</v>
      </c>
      <c r="AD477" s="97" t="n"/>
      <c r="AE477" s="97" t="n"/>
      <c r="AF477" s="97" t="n">
        <v>20.56896</v>
      </c>
      <c r="AG477" s="97" t="n">
        <v>18.3722</v>
      </c>
      <c r="AH477" s="97" t="n"/>
      <c r="AI477" s="97" t="n"/>
      <c r="AJ477" s="97" t="n">
        <v>20.10209</v>
      </c>
      <c r="AK477" s="97" t="n"/>
      <c r="AL477" s="97" t="n"/>
      <c r="AM477" s="97" t="n"/>
      <c r="AN477" s="97" t="n"/>
      <c r="AO477" s="97" t="n">
        <v>20.34839</v>
      </c>
      <c r="AP477" s="97" t="n"/>
      <c r="AQ477" s="97" t="n"/>
      <c r="AR477" s="97" t="n"/>
      <c r="AS477" s="97" t="n"/>
      <c r="AT477" s="97" t="n"/>
      <c r="AU477" s="97" t="n"/>
      <c r="AV477" s="97" t="n"/>
      <c r="AW477" s="97" t="n"/>
      <c r="AX477" s="97" t="n"/>
      <c r="AY477" s="97" t="n"/>
    </row>
    <row r="478" s="135">
      <c r="A478" t="inlineStr">
        <is>
          <t>1958-09</t>
        </is>
      </c>
      <c r="B478" s="2" t="n">
        <v>21429</v>
      </c>
      <c r="C478" s="96" t="n">
        <v>478</v>
      </c>
      <c r="E478" s="2">
        <f>B478</f>
        <v/>
      </c>
      <c r="F478" s="3">
        <f>B478</f>
        <v/>
      </c>
      <c r="G478" s="96" t="n">
        <v>476</v>
      </c>
      <c r="H478" s="97" t="n"/>
      <c r="I478" s="97" t="n"/>
      <c r="J478" s="97" t="n">
        <v>22.85364</v>
      </c>
      <c r="K478" s="97" t="n"/>
      <c r="L478" s="97" t="n"/>
      <c r="M478" s="97" t="n"/>
      <c r="N478" s="97" t="n">
        <v>23.69487</v>
      </c>
      <c r="O478" s="97" t="n"/>
      <c r="P478" s="97" t="n"/>
      <c r="Q478" s="97" t="n"/>
      <c r="R478" s="97" t="n">
        <v>12.89641</v>
      </c>
      <c r="S478" s="97" t="n">
        <v>32.57355</v>
      </c>
      <c r="T478" s="97" t="n">
        <v>49.46665</v>
      </c>
      <c r="U478" s="97" t="n"/>
      <c r="V478" s="97" t="n"/>
      <c r="W478" s="97" t="n"/>
      <c r="X478" s="97" t="n"/>
      <c r="Y478" s="97" t="n"/>
      <c r="Z478" s="97" t="n">
        <v>27.62744</v>
      </c>
      <c r="AA478" s="97" t="n">
        <v>8.917669999999999</v>
      </c>
      <c r="AB478" s="97" t="n"/>
      <c r="AC478" s="97" t="n">
        <v>34.38958</v>
      </c>
      <c r="AD478" s="97" t="n"/>
      <c r="AE478" s="97" t="n"/>
      <c r="AF478" s="97" t="n">
        <v>20.85464</v>
      </c>
      <c r="AG478" s="97" t="n">
        <v>18.09765</v>
      </c>
      <c r="AH478" s="97" t="n"/>
      <c r="AI478" s="97" t="n"/>
      <c r="AJ478" s="97" t="n">
        <v>20.38812</v>
      </c>
      <c r="AK478" s="97" t="n"/>
      <c r="AL478" s="97" t="n"/>
      <c r="AM478" s="97" t="n"/>
      <c r="AN478" s="97" t="n"/>
      <c r="AO478" s="97" t="n">
        <v>20.53454</v>
      </c>
      <c r="AP478" s="97" t="n"/>
      <c r="AQ478" s="97" t="n"/>
      <c r="AR478" s="97" t="n"/>
      <c r="AS478" s="97" t="n"/>
      <c r="AT478" s="97" t="n"/>
      <c r="AU478" s="97" t="n"/>
      <c r="AV478" s="97" t="n"/>
      <c r="AW478" s="97" t="n"/>
      <c r="AX478" s="97" t="n"/>
      <c r="AY478" s="97" t="n"/>
    </row>
    <row r="479" s="135">
      <c r="A479" t="inlineStr">
        <is>
          <t>1958-10</t>
        </is>
      </c>
      <c r="B479" s="2" t="n">
        <v>21459</v>
      </c>
      <c r="C479" s="96" t="n">
        <v>479</v>
      </c>
      <c r="E479" s="2">
        <f>B479</f>
        <v/>
      </c>
      <c r="F479" s="3">
        <f>B479</f>
        <v/>
      </c>
      <c r="G479" s="96" t="n">
        <v>477</v>
      </c>
      <c r="H479" s="97" t="n"/>
      <c r="I479" s="97" t="n"/>
      <c r="J479" s="97" t="n">
        <v>23.02021</v>
      </c>
      <c r="K479" s="97" t="n"/>
      <c r="L479" s="97" t="n"/>
      <c r="M479" s="97" t="n"/>
      <c r="N479" s="97" t="n">
        <v>23.68651</v>
      </c>
      <c r="O479" s="97" t="n"/>
      <c r="P479" s="97" t="n"/>
      <c r="Q479" s="97" t="n"/>
      <c r="R479" s="97" t="n">
        <v>13.06255</v>
      </c>
      <c r="S479" s="97" t="n">
        <v>32.63989</v>
      </c>
      <c r="T479" s="97" t="n">
        <v>49.46665</v>
      </c>
      <c r="U479" s="97" t="n"/>
      <c r="V479" s="97" t="n"/>
      <c r="W479" s="97" t="n"/>
      <c r="X479" s="97" t="n"/>
      <c r="Y479" s="97" t="n"/>
      <c r="Z479" s="97" t="n">
        <v>27.77955</v>
      </c>
      <c r="AA479" s="97" t="n">
        <v>9.170057</v>
      </c>
      <c r="AB479" s="97" t="n"/>
      <c r="AC479" s="97" t="n">
        <v>34.41819</v>
      </c>
      <c r="AD479" s="97" t="n"/>
      <c r="AE479" s="97" t="n"/>
      <c r="AF479" s="97" t="n">
        <v>21.14032</v>
      </c>
      <c r="AG479" s="97" t="n">
        <v>18.62387</v>
      </c>
      <c r="AH479" s="97" t="n"/>
      <c r="AI479" s="97" t="n"/>
      <c r="AJ479" s="97" t="n">
        <v>20.53856</v>
      </c>
      <c r="AK479" s="97" t="n"/>
      <c r="AL479" s="97" t="n"/>
      <c r="AM479" s="97" t="n"/>
      <c r="AN479" s="97" t="n"/>
      <c r="AO479" s="97" t="n">
        <v>20.774</v>
      </c>
      <c r="AP479" s="97" t="n"/>
      <c r="AQ479" s="97" t="n"/>
      <c r="AR479" s="97" t="n"/>
      <c r="AS479" s="97" t="n"/>
      <c r="AT479" s="97" t="n"/>
      <c r="AU479" s="97" t="n"/>
      <c r="AV479" s="97" t="n"/>
      <c r="AW479" s="97" t="n"/>
      <c r="AX479" s="97" t="n"/>
      <c r="AY479" s="97" t="n"/>
    </row>
    <row r="480" s="135">
      <c r="A480" t="inlineStr">
        <is>
          <t>1958-11</t>
        </is>
      </c>
      <c r="B480" s="2" t="n">
        <v>21490</v>
      </c>
      <c r="C480" s="96" t="n">
        <v>480</v>
      </c>
      <c r="E480" s="2">
        <f>B480</f>
        <v/>
      </c>
      <c r="F480" s="3">
        <f>B480</f>
        <v/>
      </c>
      <c r="G480" s="96" t="n">
        <v>478</v>
      </c>
      <c r="H480" s="97" t="n"/>
      <c r="I480" s="97" t="n"/>
      <c r="J480" s="97" t="n">
        <v>23.26657</v>
      </c>
      <c r="K480" s="97" t="n"/>
      <c r="L480" s="97" t="n"/>
      <c r="M480" s="97" t="n"/>
      <c r="N480" s="97" t="n">
        <v>24.23789</v>
      </c>
      <c r="O480" s="97" t="n"/>
      <c r="P480" s="97" t="n"/>
      <c r="Q480" s="97" t="n"/>
      <c r="R480" s="97" t="n">
        <v>13.39482</v>
      </c>
      <c r="S480" s="97" t="n">
        <v>32.20867</v>
      </c>
      <c r="T480" s="97" t="n">
        <v>49.96631</v>
      </c>
      <c r="U480" s="97" t="n"/>
      <c r="V480" s="97" t="n"/>
      <c r="W480" s="97" t="n"/>
      <c r="X480" s="97" t="n"/>
      <c r="Y480" s="97" t="n"/>
      <c r="Z480" s="97" t="n">
        <v>27.95068</v>
      </c>
      <c r="AA480" s="97" t="n">
        <v>9.085929</v>
      </c>
      <c r="AB480" s="97" t="n"/>
      <c r="AC480" s="97" t="n">
        <v>34.87611</v>
      </c>
      <c r="AD480" s="97" t="n"/>
      <c r="AE480" s="97" t="n"/>
      <c r="AF480" s="97" t="n">
        <v>20.85464</v>
      </c>
      <c r="AG480" s="97" t="n">
        <v>18.69251</v>
      </c>
      <c r="AH480" s="97" t="n"/>
      <c r="AI480" s="97" t="n"/>
      <c r="AJ480" s="97" t="n">
        <v>20.93222</v>
      </c>
      <c r="AK480" s="97" t="n"/>
      <c r="AL480" s="97" t="n"/>
      <c r="AM480" s="97" t="n"/>
      <c r="AN480" s="97" t="n"/>
      <c r="AO480" s="97" t="n">
        <v>21.38574</v>
      </c>
      <c r="AP480" s="97" t="n"/>
      <c r="AQ480" s="97" t="n"/>
      <c r="AR480" s="97" t="n"/>
      <c r="AS480" s="97" t="n"/>
      <c r="AT480" s="97" t="n"/>
      <c r="AU480" s="97" t="n"/>
      <c r="AV480" s="97" t="n"/>
      <c r="AW480" s="97" t="n"/>
      <c r="AX480" s="97" t="n"/>
      <c r="AY480" s="97" t="n"/>
    </row>
    <row r="481" s="135">
      <c r="A481" t="inlineStr">
        <is>
          <t>1958-12</t>
        </is>
      </c>
      <c r="B481" s="2" t="n">
        <v>21520</v>
      </c>
      <c r="C481" s="96" t="n">
        <v>481</v>
      </c>
      <c r="E481" s="2">
        <f>B481</f>
        <v/>
      </c>
      <c r="F481" s="3">
        <f>B481</f>
        <v/>
      </c>
      <c r="G481" s="96" t="n">
        <v>479</v>
      </c>
      <c r="H481" s="97" t="n"/>
      <c r="I481" s="97" t="n"/>
      <c r="J481" s="97" t="n">
        <v>22.6794</v>
      </c>
      <c r="K481" s="97" t="n"/>
      <c r="L481" s="97" t="n"/>
      <c r="M481" s="97" t="n"/>
      <c r="N481" s="97" t="n">
        <v>24.33625</v>
      </c>
      <c r="O481" s="97" t="n"/>
      <c r="P481" s="97" t="n"/>
      <c r="Q481" s="97" t="n"/>
      <c r="R481" s="97" t="n">
        <v>12.97948</v>
      </c>
      <c r="S481" s="97" t="n">
        <v>31.94331</v>
      </c>
      <c r="T481" s="97" t="n">
        <v>50.46597</v>
      </c>
      <c r="U481" s="97" t="n"/>
      <c r="V481" s="97" t="n"/>
      <c r="W481" s="97" t="n"/>
      <c r="X481" s="97" t="n"/>
      <c r="Y481" s="97" t="n"/>
      <c r="Z481" s="97" t="n">
        <v>27.95068</v>
      </c>
      <c r="AA481" s="97" t="n">
        <v>9.338316000000001</v>
      </c>
      <c r="AB481" s="97" t="n"/>
      <c r="AC481" s="97" t="n">
        <v>35.05792</v>
      </c>
      <c r="AD481" s="97" t="n"/>
      <c r="AE481" s="97" t="n"/>
      <c r="AF481" s="97" t="n">
        <v>21.14032</v>
      </c>
      <c r="AG481" s="97" t="n">
        <v>18.71539</v>
      </c>
      <c r="AH481" s="97" t="n"/>
      <c r="AI481" s="97" t="n"/>
      <c r="AJ481" s="97" t="n">
        <v>20.34437</v>
      </c>
      <c r="AK481" s="97" t="n"/>
      <c r="AL481" s="97" t="n"/>
      <c r="AM481" s="97" t="n"/>
      <c r="AN481" s="97" t="n"/>
      <c r="AO481" s="97" t="n">
        <v>21.41235</v>
      </c>
      <c r="AP481" s="97" t="n"/>
      <c r="AQ481" s="97" t="n"/>
      <c r="AR481" s="97" t="n"/>
      <c r="AS481" s="97" t="n"/>
      <c r="AT481" s="97" t="n"/>
      <c r="AU481" s="97" t="n"/>
      <c r="AV481" s="97" t="n"/>
      <c r="AW481" s="97" t="n"/>
      <c r="AX481" s="97" t="n"/>
      <c r="AY481" s="97" t="n"/>
    </row>
    <row r="482" s="135">
      <c r="A482" t="inlineStr">
        <is>
          <t>1959-01</t>
        </is>
      </c>
      <c r="B482" s="2" t="n">
        <v>21551</v>
      </c>
      <c r="C482" s="96" t="n">
        <v>482</v>
      </c>
      <c r="E482" s="2">
        <f>B482</f>
        <v/>
      </c>
      <c r="F482" s="3">
        <f>B482</f>
        <v/>
      </c>
      <c r="G482" s="96" t="n">
        <v>480</v>
      </c>
      <c r="H482" s="97" t="n"/>
      <c r="I482" s="97" t="n"/>
      <c r="J482" s="97" t="n">
        <v>22.89126</v>
      </c>
      <c r="K482" s="97" t="n"/>
      <c r="L482" s="97" t="n"/>
      <c r="M482" s="97" t="n"/>
      <c r="N482" s="97" t="n">
        <v>24.12175</v>
      </c>
      <c r="O482" s="97" t="n"/>
      <c r="P482" s="97" t="n"/>
      <c r="Q482" s="97" t="n"/>
      <c r="R482" s="97" t="n">
        <v>13.02102</v>
      </c>
      <c r="S482" s="97" t="n">
        <v>31.77745</v>
      </c>
      <c r="T482" s="97" t="n">
        <v>50.46597</v>
      </c>
      <c r="U482" s="97" t="n"/>
      <c r="V482" s="97" t="n"/>
      <c r="W482" s="97" t="n"/>
      <c r="X482" s="97" t="n"/>
      <c r="Y482" s="97" t="n"/>
      <c r="Z482" s="97" t="n">
        <v>28.06477</v>
      </c>
      <c r="AA482" s="97" t="n">
        <v>9.422444</v>
      </c>
      <c r="AB482" s="97" t="n"/>
      <c r="AC482" s="97" t="n">
        <v>34.96159</v>
      </c>
      <c r="AD482" s="97" t="n"/>
      <c r="AE482" s="97" t="n"/>
      <c r="AF482" s="97" t="n">
        <v>21.426</v>
      </c>
      <c r="AG482" s="97" t="n">
        <v>18.50948</v>
      </c>
      <c r="AH482" s="97" t="n"/>
      <c r="AI482" s="97" t="n"/>
      <c r="AJ482" s="97" t="n">
        <v>21.25203</v>
      </c>
      <c r="AK482" s="97" t="n"/>
      <c r="AL482" s="97" t="n"/>
      <c r="AM482" s="97" t="n">
        <v>24.55883</v>
      </c>
      <c r="AN482" s="97" t="n"/>
      <c r="AO482" s="97" t="n">
        <v>21.73153</v>
      </c>
      <c r="AP482" s="97" t="n"/>
      <c r="AQ482" s="97" t="n"/>
      <c r="AR482" s="97" t="n"/>
      <c r="AS482" s="97" t="n"/>
      <c r="AT482" s="97" t="n"/>
      <c r="AU482" s="97" t="n"/>
      <c r="AV482" s="97" t="n"/>
      <c r="AW482" s="97" t="n"/>
      <c r="AX482" s="97" t="n"/>
      <c r="AY482" s="97" t="n"/>
    </row>
    <row r="483" s="135">
      <c r="A483" t="inlineStr">
        <is>
          <t>1959-02</t>
        </is>
      </c>
      <c r="B483" s="2" t="n">
        <v>21582</v>
      </c>
      <c r="C483" s="96" t="n">
        <v>483</v>
      </c>
      <c r="E483" s="2">
        <f>B483</f>
        <v/>
      </c>
      <c r="F483" s="3">
        <f>B483</f>
        <v/>
      </c>
      <c r="G483" s="96" t="n">
        <v>481</v>
      </c>
      <c r="H483" s="97" t="n"/>
      <c r="I483" s="97" t="n"/>
      <c r="J483" s="97" t="n">
        <v>23.56721</v>
      </c>
      <c r="K483" s="97" t="n"/>
      <c r="L483" s="97" t="n"/>
      <c r="M483" s="97" t="n"/>
      <c r="N483" s="97" t="n">
        <v>24.18709</v>
      </c>
      <c r="O483" s="97" t="n"/>
      <c r="P483" s="97" t="n"/>
      <c r="Q483" s="97" t="n"/>
      <c r="R483" s="97" t="n">
        <v>13.24945</v>
      </c>
      <c r="S483" s="97" t="n">
        <v>32.00965</v>
      </c>
      <c r="T483" s="97" t="n">
        <v>50.46597</v>
      </c>
      <c r="U483" s="97" t="n"/>
      <c r="V483" s="97" t="n"/>
      <c r="W483" s="97" t="n"/>
      <c r="X483" s="97" t="n"/>
      <c r="Y483" s="97" t="n"/>
      <c r="Z483" s="97" t="n">
        <v>28.99646</v>
      </c>
      <c r="AA483" s="97" t="n">
        <v>9.758960999999999</v>
      </c>
      <c r="AB483" s="97" t="n"/>
      <c r="AC483" s="97" t="n">
        <v>34.74866</v>
      </c>
      <c r="AD483" s="97" t="n"/>
      <c r="AE483" s="97" t="n"/>
      <c r="AF483" s="97" t="n">
        <v>21.426</v>
      </c>
      <c r="AG483" s="97" t="n">
        <v>18.94419</v>
      </c>
      <c r="AH483" s="97" t="n"/>
      <c r="AI483" s="97" t="n"/>
      <c r="AJ483" s="97" t="n">
        <v>21.0522</v>
      </c>
      <c r="AK483" s="97" t="n"/>
      <c r="AL483" s="97" t="n"/>
      <c r="AM483" s="97" t="n">
        <v>25.01362</v>
      </c>
      <c r="AN483" s="97" t="n"/>
      <c r="AO483" s="97" t="n">
        <v>22.15713</v>
      </c>
      <c r="AP483" s="97" t="n"/>
      <c r="AQ483" s="97" t="n"/>
      <c r="AR483" s="97" t="n"/>
      <c r="AS483" s="97" t="n"/>
      <c r="AT483" s="97" t="n"/>
      <c r="AU483" s="97" t="n"/>
      <c r="AV483" s="97" t="n"/>
      <c r="AW483" s="97" t="n"/>
      <c r="AX483" s="97" t="n"/>
      <c r="AY483" s="97" t="n"/>
    </row>
    <row r="484" s="135">
      <c r="A484" t="inlineStr">
        <is>
          <t>1959-03</t>
        </is>
      </c>
      <c r="B484" s="2" t="n">
        <v>21610</v>
      </c>
      <c r="C484" s="96" t="n">
        <v>484</v>
      </c>
      <c r="E484" s="2">
        <f>B484</f>
        <v/>
      </c>
      <c r="F484" s="3">
        <f>B484</f>
        <v/>
      </c>
      <c r="G484" s="96" t="n">
        <v>482</v>
      </c>
      <c r="H484" s="97" t="n"/>
      <c r="I484" s="97" t="n"/>
      <c r="J484" s="97" t="n">
        <v>23.60827</v>
      </c>
      <c r="K484" s="97" t="n"/>
      <c r="L484" s="97" t="n"/>
      <c r="M484" s="97" t="n"/>
      <c r="N484" s="97" t="n">
        <v>24.44448</v>
      </c>
      <c r="O484" s="97" t="n"/>
      <c r="P484" s="97" t="n"/>
      <c r="Q484" s="97" t="n"/>
      <c r="R484" s="97" t="n">
        <v>13.64403</v>
      </c>
      <c r="S484" s="97" t="n">
        <v>32.14233</v>
      </c>
      <c r="T484" s="97" t="n">
        <v>49.96631</v>
      </c>
      <c r="U484" s="97" t="n"/>
      <c r="V484" s="97" t="n"/>
      <c r="W484" s="97" t="n"/>
      <c r="X484" s="97" t="n"/>
      <c r="Y484" s="97" t="n"/>
      <c r="Z484" s="97" t="n">
        <v>29.11054</v>
      </c>
      <c r="AA484" s="97" t="n">
        <v>9.843089000000001</v>
      </c>
      <c r="AB484" s="97" t="n"/>
      <c r="AC484" s="97" t="n">
        <v>35.5594</v>
      </c>
      <c r="AD484" s="97" t="n"/>
      <c r="AE484" s="97" t="n"/>
      <c r="AF484" s="97" t="n">
        <v>21.71168</v>
      </c>
      <c r="AG484" s="97" t="n">
        <v>19.01282</v>
      </c>
      <c r="AH484" s="97" t="n"/>
      <c r="AI484" s="97" t="n"/>
      <c r="AJ484" s="97" t="n">
        <v>20.5423</v>
      </c>
      <c r="AK484" s="97" t="n"/>
      <c r="AL484" s="97" t="n"/>
      <c r="AM484" s="97" t="n">
        <v>25.92321</v>
      </c>
      <c r="AN484" s="97" t="n"/>
      <c r="AO484" s="97" t="n">
        <v>22.47631</v>
      </c>
      <c r="AP484" s="97" t="n"/>
      <c r="AQ484" s="97" t="n"/>
      <c r="AR484" s="97" t="n"/>
      <c r="AS484" s="97" t="n"/>
      <c r="AT484" s="97" t="n"/>
      <c r="AU484" s="97" t="n"/>
      <c r="AV484" s="97" t="n"/>
      <c r="AW484" s="97" t="n"/>
      <c r="AX484" s="97" t="n"/>
      <c r="AY484" s="97" t="n"/>
    </row>
    <row r="485" s="135">
      <c r="A485" t="inlineStr">
        <is>
          <t>1959-04</t>
        </is>
      </c>
      <c r="B485" s="2" t="n">
        <v>21641</v>
      </c>
      <c r="C485" s="96" t="n">
        <v>485</v>
      </c>
      <c r="E485" s="2">
        <f>B485</f>
        <v/>
      </c>
      <c r="F485" s="3">
        <f>B485</f>
        <v/>
      </c>
      <c r="G485" s="96" t="n">
        <v>483</v>
      </c>
      <c r="H485" s="97" t="n"/>
      <c r="I485" s="97" t="n"/>
      <c r="J485" s="97" t="n">
        <v>24.25231</v>
      </c>
      <c r="K485" s="97" t="n"/>
      <c r="L485" s="97" t="n"/>
      <c r="M485" s="97" t="n"/>
      <c r="N485" s="97" t="n">
        <v>24.38694</v>
      </c>
      <c r="O485" s="97" t="n"/>
      <c r="P485" s="97" t="n"/>
      <c r="Q485" s="97" t="n"/>
      <c r="R485" s="97" t="n">
        <v>13.51943</v>
      </c>
      <c r="S485" s="97" t="n">
        <v>33.00477</v>
      </c>
      <c r="T485" s="97" t="n">
        <v>51.96496</v>
      </c>
      <c r="U485" s="97" t="n"/>
      <c r="V485" s="97" t="n"/>
      <c r="W485" s="97" t="n"/>
      <c r="X485" s="97" t="n"/>
      <c r="Y485" s="97" t="n"/>
      <c r="Z485" s="97" t="n">
        <v>29.14857</v>
      </c>
      <c r="AA485" s="97" t="n">
        <v>10.01135</v>
      </c>
      <c r="AB485" s="97" t="n"/>
      <c r="AC485" s="97" t="n">
        <v>35.63749</v>
      </c>
      <c r="AD485" s="97" t="n"/>
      <c r="AE485" s="97" t="n"/>
      <c r="AF485" s="97" t="n">
        <v>21.71168</v>
      </c>
      <c r="AG485" s="97" t="n">
        <v>18.94419</v>
      </c>
      <c r="AH485" s="97" t="n"/>
      <c r="AI485" s="97" t="n"/>
      <c r="AJ485" s="97" t="n">
        <v>20.40832</v>
      </c>
      <c r="AK485" s="97" t="n"/>
      <c r="AL485" s="97" t="n"/>
      <c r="AM485" s="97" t="n">
        <v>25.46842</v>
      </c>
      <c r="AN485" s="97" t="n"/>
      <c r="AO485" s="97" t="n">
        <v>22.95512</v>
      </c>
      <c r="AP485" s="97" t="n"/>
      <c r="AQ485" s="97" t="n"/>
      <c r="AR485" s="97" t="n"/>
      <c r="AS485" s="97" t="n"/>
      <c r="AT485" s="97" t="n"/>
      <c r="AU485" s="97" t="n"/>
      <c r="AV485" s="97" t="n"/>
      <c r="AW485" s="97" t="n"/>
      <c r="AX485" s="97" t="n"/>
      <c r="AY485" s="97" t="n"/>
    </row>
    <row r="486" s="135">
      <c r="A486" t="inlineStr">
        <is>
          <t>1959-05</t>
        </is>
      </c>
      <c r="B486" s="2" t="n">
        <v>21671</v>
      </c>
      <c r="C486" s="96" t="n">
        <v>486</v>
      </c>
      <c r="E486" s="2">
        <f>B486</f>
        <v/>
      </c>
      <c r="F486" s="3">
        <f>B486</f>
        <v/>
      </c>
      <c r="G486" s="96" t="n">
        <v>484</v>
      </c>
      <c r="H486" s="97" t="n"/>
      <c r="I486" s="97" t="n"/>
      <c r="J486" s="97" t="n">
        <v>23.97152</v>
      </c>
      <c r="K486" s="97" t="n"/>
      <c r="L486" s="97" t="n"/>
      <c r="M486" s="97" t="n"/>
      <c r="N486" s="97" t="n">
        <v>25.39415</v>
      </c>
      <c r="O486" s="97" t="n"/>
      <c r="P486" s="97" t="n"/>
      <c r="Q486" s="97" t="n"/>
      <c r="R486" s="97" t="n">
        <v>14.22551</v>
      </c>
      <c r="S486" s="97" t="n">
        <v>32.77257</v>
      </c>
      <c r="T486" s="97" t="n">
        <v>51.96496</v>
      </c>
      <c r="U486" s="97" t="n"/>
      <c r="V486" s="97" t="n"/>
      <c r="W486" s="97" t="n"/>
      <c r="X486" s="97" t="n"/>
      <c r="Y486" s="97" t="n"/>
      <c r="Z486" s="97" t="n">
        <v>29.1866</v>
      </c>
      <c r="AA486" s="97" t="n">
        <v>10.34786</v>
      </c>
      <c r="AB486" s="97" t="n"/>
      <c r="AC486" s="97" t="n">
        <v>36.9642</v>
      </c>
      <c r="AD486" s="97" t="n"/>
      <c r="AE486" s="97" t="n"/>
      <c r="AF486" s="97" t="n">
        <v>22.28304</v>
      </c>
      <c r="AG486" s="97" t="n">
        <v>19.05858</v>
      </c>
      <c r="AH486" s="97" t="n"/>
      <c r="AI486" s="97" t="n"/>
      <c r="AJ486" s="97" t="n">
        <v>20.41673</v>
      </c>
      <c r="AK486" s="97" t="n"/>
      <c r="AL486" s="97" t="n"/>
      <c r="AM486" s="97" t="n">
        <v>25.46842</v>
      </c>
      <c r="AN486" s="97" t="n"/>
      <c r="AO486" s="97" t="n">
        <v>23.30091</v>
      </c>
      <c r="AP486" s="97" t="n"/>
      <c r="AQ486" s="97" t="n"/>
      <c r="AR486" s="97" t="n"/>
      <c r="AS486" s="97" t="n"/>
      <c r="AT486" s="97" t="n"/>
      <c r="AU486" s="97" t="n"/>
      <c r="AV486" s="97" t="n"/>
      <c r="AW486" s="97" t="n"/>
      <c r="AX486" s="97" t="n"/>
      <c r="AY486" s="97" t="n"/>
    </row>
    <row r="487" s="135">
      <c r="A487" t="inlineStr">
        <is>
          <t>1959-06</t>
        </is>
      </c>
      <c r="B487" s="2" t="n">
        <v>21702</v>
      </c>
      <c r="C487" s="96" t="n">
        <v>487</v>
      </c>
      <c r="E487" s="2">
        <f>B487</f>
        <v/>
      </c>
      <c r="F487" s="3">
        <f>B487</f>
        <v/>
      </c>
      <c r="G487" s="96" t="n">
        <v>485</v>
      </c>
      <c r="H487" s="97" t="n"/>
      <c r="I487" s="97" t="n"/>
      <c r="J487" s="97" t="n">
        <v>24.33302</v>
      </c>
      <c r="K487" s="97" t="n"/>
      <c r="L487" s="97" t="n"/>
      <c r="M487" s="97" t="n"/>
      <c r="N487" s="97" t="n">
        <v>25.2644</v>
      </c>
      <c r="O487" s="97" t="n"/>
      <c r="P487" s="97" t="n"/>
      <c r="Q487" s="97" t="n"/>
      <c r="R487" s="97" t="n">
        <v>13.8517</v>
      </c>
      <c r="S487" s="97" t="n">
        <v>33.10428</v>
      </c>
      <c r="T487" s="97" t="n">
        <v>51.96496</v>
      </c>
      <c r="U487" s="97" t="n"/>
      <c r="V487" s="97" t="n"/>
      <c r="W487" s="97" t="n"/>
      <c r="X487" s="97" t="n"/>
      <c r="Y487" s="97" t="n"/>
      <c r="Z487" s="97" t="n">
        <v>29.01547</v>
      </c>
      <c r="AA487" s="97" t="n">
        <v>10.68438</v>
      </c>
      <c r="AB487" s="97" t="n"/>
      <c r="AC487" s="97" t="n">
        <v>36.40124</v>
      </c>
      <c r="AD487" s="97" t="n"/>
      <c r="AE487" s="97" t="n"/>
      <c r="AF487" s="97" t="n">
        <v>21.99736</v>
      </c>
      <c r="AG487" s="97" t="n">
        <v>19.76785</v>
      </c>
      <c r="AH487" s="97" t="n"/>
      <c r="AI487" s="97" t="n"/>
      <c r="AJ487" s="97" t="n">
        <v>21.69473</v>
      </c>
      <c r="AK487" s="97" t="n"/>
      <c r="AL487" s="97" t="n"/>
      <c r="AM487" s="97" t="n">
        <v>25.92321</v>
      </c>
      <c r="AN487" s="97" t="n"/>
      <c r="AO487" s="97" t="n">
        <v>23.32751</v>
      </c>
      <c r="AP487" s="97" t="n"/>
      <c r="AQ487" s="97" t="n"/>
      <c r="AR487" s="97" t="n"/>
      <c r="AS487" s="97" t="n"/>
      <c r="AT487" s="97" t="n"/>
      <c r="AU487" s="97" t="n"/>
      <c r="AV487" s="97" t="n"/>
      <c r="AW487" s="97" t="n"/>
      <c r="AX487" s="97" t="n"/>
      <c r="AY487" s="97" t="n"/>
    </row>
    <row r="488" s="135">
      <c r="A488" t="inlineStr">
        <is>
          <t>1959-07</t>
        </is>
      </c>
      <c r="B488" s="2" t="n">
        <v>21732</v>
      </c>
      <c r="C488" s="96" t="n">
        <v>488</v>
      </c>
      <c r="E488" s="2">
        <f>B488</f>
        <v/>
      </c>
      <c r="F488" s="3">
        <f>B488</f>
        <v/>
      </c>
      <c r="G488" s="96" t="n">
        <v>486</v>
      </c>
      <c r="H488" s="97" t="n"/>
      <c r="I488" s="97" t="n"/>
      <c r="J488" s="97" t="n">
        <v>24.21875</v>
      </c>
      <c r="K488" s="97" t="n"/>
      <c r="L488" s="97" t="n"/>
      <c r="M488" s="97" t="n"/>
      <c r="N488" s="97" t="n">
        <v>24.901</v>
      </c>
      <c r="O488" s="97" t="n"/>
      <c r="P488" s="97" t="n"/>
      <c r="Q488" s="97" t="n"/>
      <c r="R488" s="97" t="n">
        <v>14.03861</v>
      </c>
      <c r="S488" s="97" t="n">
        <v>33.07111</v>
      </c>
      <c r="T488" s="97" t="n">
        <v>52.46463</v>
      </c>
      <c r="U488" s="97" t="n"/>
      <c r="V488" s="97" t="n"/>
      <c r="W488" s="97" t="n"/>
      <c r="X488" s="97" t="n"/>
      <c r="Y488" s="97" t="n"/>
      <c r="Z488" s="97" t="n">
        <v>29.22462</v>
      </c>
      <c r="AA488" s="97" t="n">
        <v>10.76851</v>
      </c>
      <c r="AB488" s="97" t="n"/>
      <c r="AC488" s="97" t="n">
        <v>36.85418</v>
      </c>
      <c r="AD488" s="97" t="n"/>
      <c r="AE488" s="97" t="n"/>
      <c r="AF488" s="97" t="n">
        <v>22.8544</v>
      </c>
      <c r="AG488" s="97" t="n">
        <v>20.1568</v>
      </c>
      <c r="AH488" s="97" t="n"/>
      <c r="AI488" s="97" t="n"/>
      <c r="AJ488" s="97" t="n">
        <v>22.15693</v>
      </c>
      <c r="AK488" s="97" t="n"/>
      <c r="AL488" s="97" t="n"/>
      <c r="AM488" s="97" t="n">
        <v>29.56155</v>
      </c>
      <c r="AN488" s="97" t="n"/>
      <c r="AO488" s="97" t="n">
        <v>22.76888</v>
      </c>
      <c r="AP488" s="97" t="n"/>
      <c r="AQ488" s="97" t="n"/>
      <c r="AR488" s="97" t="n"/>
      <c r="AS488" s="97" t="n"/>
      <c r="AT488" s="97" t="n"/>
      <c r="AU488" s="97" t="n"/>
      <c r="AV488" s="97" t="n"/>
      <c r="AW488" s="97" t="n"/>
      <c r="AX488" s="97" t="n"/>
      <c r="AY488" s="97" t="n"/>
    </row>
    <row r="489" s="135">
      <c r="A489" t="inlineStr">
        <is>
          <t>1959-08</t>
        </is>
      </c>
      <c r="B489" s="2" t="n">
        <v>21763</v>
      </c>
      <c r="C489" s="96" t="n">
        <v>489</v>
      </c>
      <c r="E489" s="2">
        <f>B489</f>
        <v/>
      </c>
      <c r="F489" s="3">
        <f>B489</f>
        <v/>
      </c>
      <c r="G489" s="96" t="n">
        <v>487</v>
      </c>
      <c r="H489" s="97" t="n"/>
      <c r="I489" s="97" t="n"/>
      <c r="J489" s="97" t="n">
        <v>24.03924</v>
      </c>
      <c r="K489" s="97" t="n"/>
      <c r="L489" s="97" t="n"/>
      <c r="M489" s="97" t="n"/>
      <c r="N489" s="97" t="n">
        <v>26.37444</v>
      </c>
      <c r="O489" s="97" t="n"/>
      <c r="P489" s="97" t="n"/>
      <c r="Q489" s="97" t="n"/>
      <c r="R489" s="97" t="n">
        <v>14.26705</v>
      </c>
      <c r="S489" s="97" t="n">
        <v>33.07111</v>
      </c>
      <c r="T489" s="97" t="n">
        <v>52.46463</v>
      </c>
      <c r="U489" s="97" t="n"/>
      <c r="V489" s="97" t="n"/>
      <c r="W489" s="97" t="n"/>
      <c r="X489" s="97" t="n"/>
      <c r="Y489" s="97" t="n"/>
      <c r="Z489" s="97" t="n">
        <v>30.28941</v>
      </c>
      <c r="AA489" s="97" t="n">
        <v>10.93677</v>
      </c>
      <c r="AB489" s="97" t="n"/>
      <c r="AC489" s="97" t="n">
        <v>36.8373</v>
      </c>
      <c r="AD489" s="97" t="n"/>
      <c r="AE489" s="97" t="n"/>
      <c r="AF489" s="97" t="n">
        <v>22.8544</v>
      </c>
      <c r="AG489" s="97" t="n">
        <v>19.53905</v>
      </c>
      <c r="AH489" s="97" t="n"/>
      <c r="AI489" s="97" t="n"/>
      <c r="AJ489" s="97" t="n">
        <v>22.25181</v>
      </c>
      <c r="AK489" s="97" t="n"/>
      <c r="AL489" s="97" t="n"/>
      <c r="AM489" s="97" t="n">
        <v>27.28759</v>
      </c>
      <c r="AN489" s="97" t="n"/>
      <c r="AO489" s="97" t="n">
        <v>21.99749</v>
      </c>
      <c r="AP489" s="97" t="n"/>
      <c r="AQ489" s="97" t="n"/>
      <c r="AR489" s="97" t="n"/>
      <c r="AS489" s="97" t="n"/>
      <c r="AT489" s="97" t="n"/>
      <c r="AU489" s="97" t="n"/>
      <c r="AV489" s="97" t="n"/>
      <c r="AW489" s="97" t="n"/>
      <c r="AX489" s="97" t="n"/>
      <c r="AY489" s="97" t="n"/>
    </row>
    <row r="490" s="135">
      <c r="A490" t="inlineStr">
        <is>
          <t>1959-09</t>
        </is>
      </c>
      <c r="B490" s="2" t="n">
        <v>21794</v>
      </c>
      <c r="C490" s="96" t="n">
        <v>490</v>
      </c>
      <c r="E490" s="2">
        <f>B490</f>
        <v/>
      </c>
      <c r="F490" s="3">
        <f>B490</f>
        <v/>
      </c>
      <c r="G490" s="96" t="n">
        <v>488</v>
      </c>
      <c r="H490" s="97" t="n"/>
      <c r="I490" s="97" t="n"/>
      <c r="J490" s="97" t="n">
        <v>24.65948</v>
      </c>
      <c r="K490" s="97" t="n"/>
      <c r="L490" s="97" t="n"/>
      <c r="M490" s="97" t="n"/>
      <c r="N490" s="97" t="n">
        <v>26.00444</v>
      </c>
      <c r="O490" s="97" t="n"/>
      <c r="P490" s="97" t="n"/>
      <c r="Q490" s="97" t="n"/>
      <c r="R490" s="97" t="n">
        <v>14.39165</v>
      </c>
      <c r="S490" s="97" t="n">
        <v>33.70135</v>
      </c>
      <c r="T490" s="97" t="n">
        <v>53.46395</v>
      </c>
      <c r="U490" s="97" t="n"/>
      <c r="V490" s="97" t="n"/>
      <c r="W490" s="97" t="n"/>
      <c r="X490" s="97" t="n"/>
      <c r="Y490" s="97" t="n"/>
      <c r="Z490" s="97" t="n">
        <v>30.9549</v>
      </c>
      <c r="AA490" s="97" t="n">
        <v>11.18915</v>
      </c>
      <c r="AB490" s="97" t="n"/>
      <c r="AC490" s="97" t="n">
        <v>36.65637</v>
      </c>
      <c r="AD490" s="97" t="n"/>
      <c r="AE490" s="97" t="n"/>
      <c r="AF490" s="97" t="n">
        <v>23.14008</v>
      </c>
      <c r="AG490" s="97" t="n">
        <v>19.74497</v>
      </c>
      <c r="AH490" s="97" t="n"/>
      <c r="AI490" s="97" t="n"/>
      <c r="AJ490" s="97" t="n">
        <v>22.35808</v>
      </c>
      <c r="AK490" s="97" t="n"/>
      <c r="AL490" s="97" t="n"/>
      <c r="AM490" s="97" t="n">
        <v>26.8328</v>
      </c>
      <c r="AN490" s="97" t="n"/>
      <c r="AO490" s="97" t="n">
        <v>21.97098</v>
      </c>
      <c r="AP490" s="97" t="n"/>
      <c r="AQ490" s="97" t="n"/>
      <c r="AR490" s="97" t="n"/>
      <c r="AS490" s="97" t="n"/>
      <c r="AT490" s="97" t="n"/>
      <c r="AU490" s="97" t="n"/>
      <c r="AV490" s="97" t="n"/>
      <c r="AW490" s="97" t="n"/>
      <c r="AX490" s="97" t="n"/>
      <c r="AY490" s="97" t="n"/>
    </row>
    <row r="491" s="135">
      <c r="A491" t="inlineStr">
        <is>
          <t>1959-10</t>
        </is>
      </c>
      <c r="B491" s="2" t="n">
        <v>21824</v>
      </c>
      <c r="C491" s="96" t="n">
        <v>491</v>
      </c>
      <c r="E491" s="2">
        <f>B491</f>
        <v/>
      </c>
      <c r="F491" s="3">
        <f>B491</f>
        <v/>
      </c>
      <c r="G491" s="96" t="n">
        <v>489</v>
      </c>
      <c r="H491" s="97" t="n"/>
      <c r="I491" s="97" t="n"/>
      <c r="J491" s="97" t="n">
        <v>24.90663</v>
      </c>
      <c r="K491" s="97" t="n"/>
      <c r="L491" s="97" t="n"/>
      <c r="M491" s="97" t="n"/>
      <c r="N491" s="97" t="n">
        <v>26.98293</v>
      </c>
      <c r="O491" s="97" t="n"/>
      <c r="P491" s="97" t="n"/>
      <c r="Q491" s="97" t="n"/>
      <c r="R491" s="97" t="n">
        <v>14.59932</v>
      </c>
      <c r="S491" s="97" t="n">
        <v>34.23208</v>
      </c>
      <c r="T491" s="97" t="n">
        <v>54.46328</v>
      </c>
      <c r="U491" s="97" t="n"/>
      <c r="V491" s="97" t="n"/>
      <c r="W491" s="97" t="n"/>
      <c r="X491" s="97" t="n"/>
      <c r="Y491" s="97" t="n"/>
      <c r="Z491" s="97" t="n">
        <v>31.50631</v>
      </c>
      <c r="AA491" s="97" t="n">
        <v>11.44154</v>
      </c>
      <c r="AB491" s="97" t="n"/>
      <c r="AC491" s="97" t="n">
        <v>37.15224</v>
      </c>
      <c r="AD491" s="97" t="n"/>
      <c r="AE491" s="97" t="n"/>
      <c r="AF491" s="97" t="n">
        <v>23.42576</v>
      </c>
      <c r="AG491" s="97" t="n">
        <v>19.90512</v>
      </c>
      <c r="AH491" s="97" t="n"/>
      <c r="AI491" s="97" t="n"/>
      <c r="AJ491" s="97" t="n">
        <v>23.02894</v>
      </c>
      <c r="AK491" s="97" t="n"/>
      <c r="AL491" s="97" t="n"/>
      <c r="AM491" s="97" t="n">
        <v>27.28759</v>
      </c>
      <c r="AN491" s="97" t="n"/>
      <c r="AO491" s="97" t="n">
        <v>21.81135</v>
      </c>
      <c r="AP491" s="97" t="n"/>
      <c r="AQ491" s="97" t="n"/>
      <c r="AR491" s="97" t="n"/>
      <c r="AS491" s="97" t="n"/>
      <c r="AT491" s="97" t="n"/>
      <c r="AU491" s="97" t="n"/>
      <c r="AV491" s="97" t="n"/>
      <c r="AW491" s="97" t="n"/>
      <c r="AX491" s="97" t="n"/>
      <c r="AY491" s="97" t="n"/>
    </row>
    <row r="492" s="135">
      <c r="A492" t="inlineStr">
        <is>
          <t>1959-11</t>
        </is>
      </c>
      <c r="B492" s="2" t="n">
        <v>21855</v>
      </c>
      <c r="C492" s="96" t="n">
        <v>492</v>
      </c>
      <c r="E492" s="2">
        <f>B492</f>
        <v/>
      </c>
      <c r="F492" s="3">
        <f>B492</f>
        <v/>
      </c>
      <c r="G492" s="96" t="n">
        <v>490</v>
      </c>
      <c r="H492" s="97" t="n"/>
      <c r="I492" s="97" t="n"/>
      <c r="J492" s="97" t="n">
        <v>25.8055</v>
      </c>
      <c r="K492" s="97" t="n"/>
      <c r="L492" s="97" t="n"/>
      <c r="M492" s="97" t="n"/>
      <c r="N492" s="97" t="n">
        <v>26.72246</v>
      </c>
      <c r="O492" s="97" t="n"/>
      <c r="P492" s="97" t="n"/>
      <c r="Q492" s="97" t="n"/>
      <c r="R492" s="97" t="n">
        <v>14.72392</v>
      </c>
      <c r="S492" s="97" t="n">
        <v>34.46428</v>
      </c>
      <c r="T492" s="97" t="n">
        <v>54.96294</v>
      </c>
      <c r="U492" s="97" t="n"/>
      <c r="V492" s="97" t="n"/>
      <c r="W492" s="97" t="n"/>
      <c r="X492" s="97" t="n"/>
      <c r="Y492" s="97" t="n"/>
      <c r="Z492" s="97" t="n">
        <v>32.26688</v>
      </c>
      <c r="AA492" s="97" t="n">
        <v>11.6098</v>
      </c>
      <c r="AB492" s="97" t="n"/>
      <c r="AC492" s="97" t="n">
        <v>39.03835</v>
      </c>
      <c r="AD492" s="97" t="n"/>
      <c r="AE492" s="97" t="n"/>
      <c r="AF492" s="97" t="n">
        <v>23.42576</v>
      </c>
      <c r="AG492" s="97" t="n">
        <v>19.69921</v>
      </c>
      <c r="AH492" s="97" t="n"/>
      <c r="AI492" s="97" t="n"/>
      <c r="AJ492" s="97" t="n">
        <v>22.55449</v>
      </c>
      <c r="AK492" s="97" t="n"/>
      <c r="AL492" s="97" t="n"/>
      <c r="AM492" s="97" t="n">
        <v>27.28759</v>
      </c>
      <c r="AN492" s="97" t="n"/>
      <c r="AO492" s="97" t="n">
        <v>21.94438</v>
      </c>
      <c r="AP492" s="97" t="n"/>
      <c r="AQ492" s="97" t="n"/>
      <c r="AR492" s="97" t="n"/>
      <c r="AS492" s="97" t="n"/>
      <c r="AT492" s="97" t="n"/>
      <c r="AU492" s="97" t="n"/>
      <c r="AV492" s="97" t="n"/>
      <c r="AW492" s="97" t="n"/>
      <c r="AX492" s="97" t="n"/>
      <c r="AY492" s="97" t="n"/>
    </row>
    <row r="493" s="135">
      <c r="A493" t="inlineStr">
        <is>
          <t>1959-12</t>
        </is>
      </c>
      <c r="B493" s="2" t="n">
        <v>21885</v>
      </c>
      <c r="C493" s="96" t="n">
        <v>493</v>
      </c>
      <c r="E493" s="2">
        <f>B493</f>
        <v/>
      </c>
      <c r="F493" s="3">
        <f>B493</f>
        <v/>
      </c>
      <c r="G493" s="96" t="n">
        <v>491</v>
      </c>
      <c r="H493" s="97" t="n"/>
      <c r="I493" s="97" t="n"/>
      <c r="J493" s="97" t="n">
        <v>25.2612</v>
      </c>
      <c r="K493" s="97" t="n"/>
      <c r="L493" s="97" t="n"/>
      <c r="M493" s="97" t="n"/>
      <c r="N493" s="97" t="n">
        <v>26.83316</v>
      </c>
      <c r="O493" s="97" t="n"/>
      <c r="P493" s="97" t="n"/>
      <c r="Q493" s="97" t="n"/>
      <c r="R493" s="97" t="n">
        <v>14.93159</v>
      </c>
      <c r="S493" s="97" t="n">
        <v>34.72964</v>
      </c>
      <c r="T493" s="97" t="n">
        <v>55.4626</v>
      </c>
      <c r="U493" s="97" t="n"/>
      <c r="V493" s="97" t="n"/>
      <c r="W493" s="97" t="n"/>
      <c r="X493" s="97" t="n"/>
      <c r="Y493" s="97" t="n"/>
      <c r="Z493" s="97" t="n">
        <v>32.66617</v>
      </c>
      <c r="AA493" s="97" t="n">
        <v>12.11457</v>
      </c>
      <c r="AB493" s="97" t="n"/>
      <c r="AC493" s="97" t="n">
        <v>40.18851</v>
      </c>
      <c r="AD493" s="97" t="n"/>
      <c r="AE493" s="97" t="n"/>
      <c r="AF493" s="97" t="n">
        <v>23.42576</v>
      </c>
      <c r="AG493" s="97" t="n">
        <v>20.22544</v>
      </c>
      <c r="AH493" s="97" t="n"/>
      <c r="AI493" s="97" t="n"/>
      <c r="AJ493" s="97" t="n">
        <v>22.96994</v>
      </c>
      <c r="AK493" s="97" t="n"/>
      <c r="AL493" s="97" t="n"/>
      <c r="AM493" s="97" t="n">
        <v>27.74238</v>
      </c>
      <c r="AN493" s="97" t="n"/>
      <c r="AO493" s="97" t="n">
        <v>23.30091</v>
      </c>
      <c r="AP493" s="97" t="n"/>
      <c r="AQ493" s="97" t="n"/>
      <c r="AR493" s="97" t="n"/>
      <c r="AS493" s="97" t="n"/>
      <c r="AT493" s="97" t="n"/>
      <c r="AU493" s="97" t="n"/>
      <c r="AV493" s="97" t="n"/>
      <c r="AW493" s="97" t="n"/>
      <c r="AX493" s="97" t="n"/>
      <c r="AY493" s="97" t="n"/>
    </row>
    <row r="494" s="135">
      <c r="A494" t="inlineStr">
        <is>
          <t>1960-01</t>
        </is>
      </c>
      <c r="B494" s="2" t="n">
        <v>21916</v>
      </c>
      <c r="C494" s="96" t="n">
        <v>494</v>
      </c>
      <c r="E494" s="2">
        <f>B494</f>
        <v/>
      </c>
      <c r="F494" s="3">
        <f>B494</f>
        <v/>
      </c>
      <c r="G494" s="96" t="n">
        <v>492</v>
      </c>
      <c r="H494" s="97" t="n"/>
      <c r="I494" s="97" t="n"/>
      <c r="J494" s="97" t="n">
        <v>25.19021</v>
      </c>
      <c r="K494" s="97" t="n"/>
      <c r="L494" s="97" t="n"/>
      <c r="M494" s="97" t="n"/>
      <c r="N494" s="97" t="n">
        <v>27.27277</v>
      </c>
      <c r="O494" s="97" t="n"/>
      <c r="P494" s="97" t="n"/>
      <c r="Q494" s="97" t="n"/>
      <c r="R494" s="97" t="n">
        <v>15.01466</v>
      </c>
      <c r="S494" s="97" t="n">
        <v>34.92866</v>
      </c>
      <c r="T494" s="97" t="n">
        <v>55.96227</v>
      </c>
      <c r="U494" s="97" t="n"/>
      <c r="V494" s="97" t="n"/>
      <c r="W494" s="97" t="n"/>
      <c r="X494" s="97" t="n"/>
      <c r="Y494" s="97" t="n"/>
      <c r="Z494" s="97" t="n">
        <v>32.55209</v>
      </c>
      <c r="AA494" s="97" t="n">
        <v>12.11457</v>
      </c>
      <c r="AB494" s="97" t="n"/>
      <c r="AC494" s="97" t="n">
        <v>40.25622</v>
      </c>
      <c r="AD494" s="97" t="n"/>
      <c r="AE494" s="97" t="n"/>
      <c r="AF494" s="97" t="n">
        <v>23.71144</v>
      </c>
      <c r="AG494" s="97" t="n">
        <v>20.63726</v>
      </c>
      <c r="AH494" s="97" t="n"/>
      <c r="AI494" s="97" t="n"/>
      <c r="AJ494" s="97" t="n">
        <v>20.94593</v>
      </c>
      <c r="AK494" s="97" t="n"/>
      <c r="AL494" s="97" t="n"/>
      <c r="AM494" s="97" t="n">
        <v>27.74238</v>
      </c>
      <c r="AN494" s="97" t="n"/>
      <c r="AO494" s="97" t="n">
        <v>23.91265</v>
      </c>
      <c r="AP494" s="97" t="n"/>
      <c r="AQ494" s="97" t="n"/>
      <c r="AR494" s="97" t="n"/>
      <c r="AS494" s="97" t="n"/>
      <c r="AT494" s="97" t="n"/>
      <c r="AU494" s="97" t="n"/>
      <c r="AV494" s="97" t="n"/>
      <c r="AW494" s="97" t="n"/>
      <c r="AX494" s="97" t="n"/>
      <c r="AY494" s="97" t="n"/>
    </row>
    <row r="495" s="135">
      <c r="A495" t="inlineStr">
        <is>
          <t>1960-02</t>
        </is>
      </c>
      <c r="B495" s="2" t="n">
        <v>21947</v>
      </c>
      <c r="C495" s="96" t="n">
        <v>495</v>
      </c>
      <c r="E495" s="2">
        <f>B495</f>
        <v/>
      </c>
      <c r="F495" s="3">
        <f>B495</f>
        <v/>
      </c>
      <c r="G495" s="96" t="n">
        <v>493</v>
      </c>
      <c r="H495" s="97" t="n"/>
      <c r="I495" s="97" t="n"/>
      <c r="J495" s="97" t="n">
        <v>26.12119</v>
      </c>
      <c r="K495" s="97" t="n"/>
      <c r="L495" s="97" t="n"/>
      <c r="M495" s="97" t="n"/>
      <c r="N495" s="97" t="n">
        <v>27.11442</v>
      </c>
      <c r="O495" s="97" t="n"/>
      <c r="P495" s="97" t="n"/>
      <c r="Q495" s="97" t="n"/>
      <c r="R495" s="97" t="n">
        <v>15.07697</v>
      </c>
      <c r="S495" s="97" t="n">
        <v>35.19403</v>
      </c>
      <c r="T495" s="97" t="n">
        <v>55.96227</v>
      </c>
      <c r="U495" s="97" t="n"/>
      <c r="V495" s="97" t="n"/>
      <c r="W495" s="97" t="n"/>
      <c r="X495" s="97" t="n"/>
      <c r="Y495" s="97" t="n"/>
      <c r="Z495" s="97" t="n">
        <v>33.44575</v>
      </c>
      <c r="AA495" s="97" t="n">
        <v>12.70347</v>
      </c>
      <c r="AB495" s="97" t="n"/>
      <c r="AC495" s="97" t="n">
        <v>39.9143</v>
      </c>
      <c r="AD495" s="97" t="n"/>
      <c r="AE495" s="97" t="n"/>
      <c r="AF495" s="97" t="n">
        <v>23.71144</v>
      </c>
      <c r="AG495" s="97" t="n">
        <v>20.45423</v>
      </c>
      <c r="AH495" s="97" t="n"/>
      <c r="AI495" s="97" t="n"/>
      <c r="AJ495" s="97" t="n">
        <v>22.73429</v>
      </c>
      <c r="AK495" s="97" t="n"/>
      <c r="AL495" s="97" t="n"/>
      <c r="AM495" s="97" t="n">
        <v>27.74238</v>
      </c>
      <c r="AN495" s="97" t="n"/>
      <c r="AO495" s="97" t="n">
        <v>23.6999</v>
      </c>
      <c r="AP495" s="97" t="n"/>
      <c r="AQ495" s="97" t="n"/>
      <c r="AR495" s="97" t="n"/>
      <c r="AS495" s="97" t="n"/>
      <c r="AT495" s="97" t="n"/>
      <c r="AU495" s="97" t="n"/>
      <c r="AV495" s="97" t="n"/>
      <c r="AW495" s="97" t="n"/>
      <c r="AX495" s="97" t="n"/>
      <c r="AY495" s="97" t="n"/>
    </row>
    <row r="496" s="135">
      <c r="A496" t="inlineStr">
        <is>
          <t>1960-03</t>
        </is>
      </c>
      <c r="B496" s="2" t="n">
        <v>21976</v>
      </c>
      <c r="C496" s="96" t="n">
        <v>496</v>
      </c>
      <c r="E496" s="2">
        <f>B496</f>
        <v/>
      </c>
      <c r="F496" s="3">
        <f>B496</f>
        <v/>
      </c>
      <c r="G496" s="96" t="n">
        <v>494</v>
      </c>
      <c r="H496" s="97" t="n"/>
      <c r="I496" s="97" t="n"/>
      <c r="J496" s="97" t="n">
        <v>25.59089</v>
      </c>
      <c r="K496" s="97" t="n"/>
      <c r="L496" s="97" t="n"/>
      <c r="M496" s="97" t="n"/>
      <c r="N496" s="97" t="n">
        <v>27.49915</v>
      </c>
      <c r="O496" s="97" t="n"/>
      <c r="P496" s="97" t="n"/>
      <c r="Q496" s="97" t="n"/>
      <c r="R496" s="97" t="n">
        <v>15.38847</v>
      </c>
      <c r="S496" s="97" t="n">
        <v>35.19403</v>
      </c>
      <c r="T496" s="97" t="n">
        <v>56.46193</v>
      </c>
      <c r="U496" s="97" t="n"/>
      <c r="V496" s="97" t="n"/>
      <c r="W496" s="97" t="n"/>
      <c r="X496" s="97" t="n"/>
      <c r="Y496" s="97" t="n"/>
      <c r="Z496" s="97" t="n">
        <v>33.95913</v>
      </c>
      <c r="AA496" s="97" t="n">
        <v>12.70347</v>
      </c>
      <c r="AB496" s="97" t="n"/>
      <c r="AC496" s="97" t="n">
        <v>40.02938</v>
      </c>
      <c r="AD496" s="97" t="n"/>
      <c r="AE496" s="97" t="n"/>
      <c r="AF496" s="97" t="n">
        <v>23.99712</v>
      </c>
      <c r="AG496" s="97" t="n">
        <v>20.72878</v>
      </c>
      <c r="AH496" s="97" t="n"/>
      <c r="AI496" s="97" t="n"/>
      <c r="AJ496" s="97" t="n">
        <v>22.61633</v>
      </c>
      <c r="AK496" s="97" t="n"/>
      <c r="AL496" s="97" t="n"/>
      <c r="AM496" s="97" t="n">
        <v>27.74238</v>
      </c>
      <c r="AN496" s="97" t="n"/>
      <c r="AO496" s="97" t="n">
        <v>23.48715</v>
      </c>
      <c r="AP496" s="97" t="n"/>
      <c r="AQ496" s="97" t="n"/>
      <c r="AR496" s="97" t="n"/>
      <c r="AS496" s="97" t="n"/>
      <c r="AT496" s="97" t="n"/>
      <c r="AU496" s="97" t="n"/>
      <c r="AV496" s="97" t="n"/>
      <c r="AW496" s="97" t="n"/>
      <c r="AX496" s="97" t="n"/>
      <c r="AY496" s="97" t="n"/>
    </row>
    <row r="497" s="135">
      <c r="A497" t="inlineStr">
        <is>
          <t>1960-04</t>
        </is>
      </c>
      <c r="B497" s="2" t="n">
        <v>22007</v>
      </c>
      <c r="C497" s="96" t="n">
        <v>497</v>
      </c>
      <c r="E497" s="2">
        <f>B497</f>
        <v/>
      </c>
      <c r="F497" s="3">
        <f>B497</f>
        <v/>
      </c>
      <c r="G497" s="96" t="n">
        <v>495</v>
      </c>
      <c r="H497" s="97" t="n"/>
      <c r="I497" s="97" t="n"/>
      <c r="J497" s="97" t="n">
        <v>25.79383</v>
      </c>
      <c r="K497" s="97" t="n"/>
      <c r="L497" s="97" t="n"/>
      <c r="M497" s="97" t="n"/>
      <c r="N497" s="97" t="n">
        <v>28.11819</v>
      </c>
      <c r="O497" s="97" t="n"/>
      <c r="P497" s="97" t="n"/>
      <c r="Q497" s="97" t="n"/>
      <c r="R497" s="97" t="n">
        <v>15.61691</v>
      </c>
      <c r="S497" s="97" t="n">
        <v>35.59208</v>
      </c>
      <c r="T497" s="97" t="n">
        <v>55.96227</v>
      </c>
      <c r="U497" s="97" t="n"/>
      <c r="V497" s="97" t="n"/>
      <c r="W497" s="97" t="n"/>
      <c r="X497" s="97" t="n"/>
      <c r="Y497" s="97" t="n"/>
      <c r="Z497" s="97" t="n">
        <v>34.01617</v>
      </c>
      <c r="AA497" s="97" t="n">
        <v>12.95586</v>
      </c>
      <c r="AB497" s="97" t="n"/>
      <c r="AC497" s="97" t="n">
        <v>39.66871</v>
      </c>
      <c r="AD497" s="97" t="n"/>
      <c r="AE497" s="97" t="n"/>
      <c r="AF497" s="97" t="n">
        <v>24.56848</v>
      </c>
      <c r="AG497" s="97" t="n">
        <v>20.77454</v>
      </c>
      <c r="AH497" s="97" t="n"/>
      <c r="AI497" s="97" t="n"/>
      <c r="AJ497" s="97" t="n">
        <v>22.91101</v>
      </c>
      <c r="AK497" s="97" t="n"/>
      <c r="AL497" s="97" t="n"/>
      <c r="AM497" s="97" t="n">
        <v>27.74238</v>
      </c>
      <c r="AN497" s="97" t="n"/>
      <c r="AO497" s="97" t="n">
        <v>23.30091</v>
      </c>
      <c r="AP497" s="97" t="n"/>
      <c r="AQ497" s="97" t="n"/>
      <c r="AR497" s="97" t="n"/>
      <c r="AS497" s="97" t="n"/>
      <c r="AT497" s="97" t="n"/>
      <c r="AU497" s="97" t="n"/>
      <c r="AV497" s="97" t="n"/>
      <c r="AW497" s="97" t="n"/>
      <c r="AX497" s="97" t="n"/>
      <c r="AY497" s="97" t="n"/>
    </row>
    <row r="498" s="135">
      <c r="A498" t="inlineStr">
        <is>
          <t>1960-05</t>
        </is>
      </c>
      <c r="B498" s="2" t="n">
        <v>22037</v>
      </c>
      <c r="C498" s="96" t="n">
        <v>498</v>
      </c>
      <c r="E498" s="2">
        <f>B498</f>
        <v/>
      </c>
      <c r="F498" s="3">
        <f>B498</f>
        <v/>
      </c>
      <c r="G498" s="96" t="n">
        <v>496</v>
      </c>
      <c r="H498" s="97" t="n"/>
      <c r="I498" s="97" t="n"/>
      <c r="J498" s="97" t="n">
        <v>25.84073</v>
      </c>
      <c r="K498" s="97" t="n"/>
      <c r="L498" s="97" t="n"/>
      <c r="M498" s="97" t="n"/>
      <c r="N498" s="97" t="n">
        <v>27.76736</v>
      </c>
      <c r="O498" s="97" t="n"/>
      <c r="P498" s="97" t="n"/>
      <c r="Q498" s="97" t="n"/>
      <c r="R498" s="97" t="n">
        <v>15.65845</v>
      </c>
      <c r="S498" s="97" t="n">
        <v>35.49256</v>
      </c>
      <c r="T498" s="97" t="n">
        <v>56.46193</v>
      </c>
      <c r="U498" s="97" t="n"/>
      <c r="V498" s="97" t="n"/>
      <c r="W498" s="97" t="n"/>
      <c r="X498" s="97" t="n"/>
      <c r="Y498" s="97" t="n"/>
      <c r="Z498" s="97" t="n">
        <v>34.47251</v>
      </c>
      <c r="AA498" s="97" t="n">
        <v>13.03999</v>
      </c>
      <c r="AB498" s="97" t="n"/>
      <c r="AC498" s="97" t="n">
        <v>39.43251</v>
      </c>
      <c r="AD498" s="97" t="n"/>
      <c r="AE498" s="97" t="n"/>
      <c r="AF498" s="97" t="n">
        <v>24.56848</v>
      </c>
      <c r="AG498" s="97" t="n">
        <v>22.03291</v>
      </c>
      <c r="AH498" s="97" t="n"/>
      <c r="AI498" s="97" t="n"/>
      <c r="AJ498" s="97" t="n">
        <v>22.10576</v>
      </c>
      <c r="AK498" s="97" t="n"/>
      <c r="AL498" s="97" t="n"/>
      <c r="AM498" s="97" t="n">
        <v>27.28759</v>
      </c>
      <c r="AN498" s="97" t="n"/>
      <c r="AO498" s="97" t="n">
        <v>23.2743</v>
      </c>
      <c r="AP498" s="97" t="n"/>
      <c r="AQ498" s="97" t="n"/>
      <c r="AR498" s="97" t="n"/>
      <c r="AS498" s="97" t="n"/>
      <c r="AT498" s="97" t="n"/>
      <c r="AU498" s="97" t="n"/>
      <c r="AV498" s="97" t="n"/>
      <c r="AW498" s="97" t="n"/>
      <c r="AX498" s="97" t="n"/>
      <c r="AY498" s="97" t="n"/>
    </row>
    <row r="499" s="135">
      <c r="A499" t="inlineStr">
        <is>
          <t>1960-06</t>
        </is>
      </c>
      <c r="B499" s="2" t="n">
        <v>22068</v>
      </c>
      <c r="C499" s="96" t="n">
        <v>499</v>
      </c>
      <c r="E499" s="2">
        <f>B499</f>
        <v/>
      </c>
      <c r="F499" s="3">
        <f>B499</f>
        <v/>
      </c>
      <c r="G499" s="96" t="n">
        <v>497</v>
      </c>
      <c r="H499" s="97" t="n"/>
      <c r="I499" s="97" t="n"/>
      <c r="J499" s="97" t="n">
        <v>25.70366</v>
      </c>
      <c r="K499" s="97" t="n"/>
      <c r="L499" s="97" t="n"/>
      <c r="M499" s="97" t="n"/>
      <c r="N499" s="97" t="n">
        <v>27.91236</v>
      </c>
      <c r="O499" s="97" t="n"/>
      <c r="P499" s="97" t="n"/>
      <c r="Q499" s="97" t="n"/>
      <c r="R499" s="97" t="n">
        <v>16.01149</v>
      </c>
      <c r="S499" s="97" t="n">
        <v>36.02329</v>
      </c>
      <c r="T499" s="97" t="n">
        <v>55.96227</v>
      </c>
      <c r="U499" s="97" t="n"/>
      <c r="V499" s="97" t="n"/>
      <c r="W499" s="97" t="n"/>
      <c r="X499" s="97" t="n"/>
      <c r="Y499" s="97" t="n"/>
      <c r="Z499" s="97" t="n">
        <v>35.25208</v>
      </c>
      <c r="AA499" s="97" t="n">
        <v>13.03999</v>
      </c>
      <c r="AB499" s="97" t="n"/>
      <c r="AC499" s="97" t="n">
        <v>39.81158</v>
      </c>
      <c r="AD499" s="97" t="n"/>
      <c r="AE499" s="97" t="n"/>
      <c r="AF499" s="97" t="n">
        <v>24.85416</v>
      </c>
      <c r="AG499" s="97" t="n">
        <v>21.23213</v>
      </c>
      <c r="AH499" s="97" t="n"/>
      <c r="AI499" s="97" t="n"/>
      <c r="AJ499" s="97" t="n">
        <v>23.05699</v>
      </c>
      <c r="AK499" s="97" t="n"/>
      <c r="AL499" s="97" t="n"/>
      <c r="AM499" s="97" t="n">
        <v>28.19717</v>
      </c>
      <c r="AN499" s="97" t="n"/>
      <c r="AO499" s="97" t="n">
        <v>22.98173</v>
      </c>
      <c r="AP499" s="97" t="n"/>
      <c r="AQ499" s="97" t="n"/>
      <c r="AR499" s="97" t="n"/>
      <c r="AS499" s="97" t="n"/>
      <c r="AT499" s="97" t="n"/>
      <c r="AU499" s="97" t="n"/>
      <c r="AV499" s="97" t="n"/>
      <c r="AW499" s="97" t="n"/>
      <c r="AX499" s="97" t="n"/>
      <c r="AY499" s="97" t="n"/>
    </row>
    <row r="500" s="135">
      <c r="A500" t="inlineStr">
        <is>
          <t>1960-07</t>
        </is>
      </c>
      <c r="B500" s="2" t="n">
        <v>22098</v>
      </c>
      <c r="C500" s="96" t="n">
        <v>500</v>
      </c>
      <c r="E500" s="2">
        <f>B500</f>
        <v/>
      </c>
      <c r="F500" s="3">
        <f>B500</f>
        <v/>
      </c>
      <c r="G500" s="96" t="n">
        <v>498</v>
      </c>
      <c r="H500" s="97" t="n"/>
      <c r="I500" s="97" t="n"/>
      <c r="J500" s="97" t="n">
        <v>26.5057</v>
      </c>
      <c r="K500" s="97" t="n"/>
      <c r="L500" s="97" t="n"/>
      <c r="M500" s="97" t="n"/>
      <c r="N500" s="97" t="n">
        <v>28.94061</v>
      </c>
      <c r="O500" s="97" t="n"/>
      <c r="P500" s="97" t="n"/>
      <c r="Q500" s="97" t="n"/>
      <c r="R500" s="97" t="n">
        <v>16.09456</v>
      </c>
      <c r="S500" s="97" t="n">
        <v>36.32183</v>
      </c>
      <c r="T500" s="97" t="n">
        <v>55.96227</v>
      </c>
      <c r="U500" s="97" t="n"/>
      <c r="V500" s="97" t="n"/>
      <c r="W500" s="97" t="n"/>
      <c r="X500" s="97" t="n"/>
      <c r="Y500" s="97" t="n"/>
      <c r="Z500" s="97" t="n">
        <v>35.15701</v>
      </c>
      <c r="AA500" s="97" t="n">
        <v>13.37651</v>
      </c>
      <c r="AB500" s="97" t="n"/>
      <c r="AC500" s="97" t="n">
        <v>40.31416</v>
      </c>
      <c r="AD500" s="97" t="n"/>
      <c r="AE500" s="97" t="n"/>
      <c r="AF500" s="97" t="n">
        <v>24.56848</v>
      </c>
      <c r="AG500" s="97" t="n">
        <v>21.62108</v>
      </c>
      <c r="AH500" s="97" t="n"/>
      <c r="AI500" s="97" t="n"/>
      <c r="AJ500" s="97" t="n">
        <v>23.34696</v>
      </c>
      <c r="AK500" s="97" t="n"/>
      <c r="AL500" s="97" t="n"/>
      <c r="AM500" s="97" t="n">
        <v>30.92593</v>
      </c>
      <c r="AN500" s="97" t="n"/>
      <c r="AO500" s="97" t="n">
        <v>22.90191</v>
      </c>
      <c r="AP500" s="97" t="n"/>
      <c r="AQ500" s="97" t="n"/>
      <c r="AR500" s="97" t="n"/>
      <c r="AS500" s="97" t="n"/>
      <c r="AT500" s="97" t="n"/>
      <c r="AU500" s="97" t="n"/>
      <c r="AV500" s="97" t="n"/>
      <c r="AW500" s="97" t="n"/>
      <c r="AX500" s="97" t="n"/>
      <c r="AY500" s="97" t="n"/>
    </row>
    <row r="501" s="135">
      <c r="A501" t="inlineStr">
        <is>
          <t>1960-08</t>
        </is>
      </c>
      <c r="B501" s="2" t="n">
        <v>22129</v>
      </c>
      <c r="C501" s="96" t="n">
        <v>501</v>
      </c>
      <c r="E501" s="2">
        <f>B501</f>
        <v/>
      </c>
      <c r="F501" s="3">
        <f>B501</f>
        <v/>
      </c>
      <c r="G501" s="96" t="n">
        <v>499</v>
      </c>
      <c r="H501" s="97" t="n"/>
      <c r="I501" s="97" t="n"/>
      <c r="J501" s="97" t="n">
        <v>26.47005</v>
      </c>
      <c r="K501" s="97" t="n"/>
      <c r="L501" s="97" t="n"/>
      <c r="M501" s="97" t="n"/>
      <c r="N501" s="97" t="n">
        <v>28.38375</v>
      </c>
      <c r="O501" s="97" t="n"/>
      <c r="P501" s="97" t="n"/>
      <c r="Q501" s="97" t="n"/>
      <c r="R501" s="97" t="n">
        <v>15.40924</v>
      </c>
      <c r="S501" s="97" t="n">
        <v>36.32183</v>
      </c>
      <c r="T501" s="97" t="n">
        <v>56.46193</v>
      </c>
      <c r="U501" s="97" t="n"/>
      <c r="V501" s="97" t="n"/>
      <c r="W501" s="97" t="n"/>
      <c r="X501" s="97" t="n"/>
      <c r="Y501" s="97" t="n"/>
      <c r="Z501" s="97" t="n">
        <v>35.30913</v>
      </c>
      <c r="AA501" s="97" t="n">
        <v>13.54476</v>
      </c>
      <c r="AB501" s="97" t="n"/>
      <c r="AC501" s="97" t="n">
        <v>40.24287</v>
      </c>
      <c r="AD501" s="97" t="n"/>
      <c r="AE501" s="97" t="n"/>
      <c r="AF501" s="97" t="n">
        <v>24.85416</v>
      </c>
      <c r="AG501" s="97" t="n">
        <v>21.62108</v>
      </c>
      <c r="AH501" s="97" t="n"/>
      <c r="AI501" s="97" t="n"/>
      <c r="AJ501" s="97" t="n">
        <v>23.81856</v>
      </c>
      <c r="AK501" s="97" t="n"/>
      <c r="AL501" s="97" t="n"/>
      <c r="AM501" s="97" t="n">
        <v>29.10676</v>
      </c>
      <c r="AN501" s="97" t="n"/>
      <c r="AO501" s="97" t="n">
        <v>22.8753</v>
      </c>
      <c r="AP501" s="97" t="n"/>
      <c r="AQ501" s="97" t="n"/>
      <c r="AR501" s="97" t="n"/>
      <c r="AS501" s="97" t="n"/>
      <c r="AT501" s="97" t="n"/>
      <c r="AU501" s="97" t="n"/>
      <c r="AV501" s="97" t="n"/>
      <c r="AW501" s="97" t="n"/>
      <c r="AX501" s="97" t="n"/>
      <c r="AY501" s="97" t="n"/>
    </row>
    <row r="502" s="135">
      <c r="A502" t="inlineStr">
        <is>
          <t>1960-09</t>
        </is>
      </c>
      <c r="B502" s="2" t="n">
        <v>22160</v>
      </c>
      <c r="C502" s="96" t="n">
        <v>502</v>
      </c>
      <c r="E502" s="2">
        <f>B502</f>
        <v/>
      </c>
      <c r="F502" s="3">
        <f>B502</f>
        <v/>
      </c>
      <c r="G502" s="96" t="n">
        <v>500</v>
      </c>
      <c r="H502" s="97" t="n"/>
      <c r="I502" s="97" t="n"/>
      <c r="J502" s="97" t="n">
        <v>26.47972</v>
      </c>
      <c r="K502" s="97" t="n"/>
      <c r="L502" s="97" t="n"/>
      <c r="M502" s="97" t="n"/>
      <c r="N502" s="97" t="n">
        <v>28.87144</v>
      </c>
      <c r="O502" s="97" t="n"/>
      <c r="P502" s="97" t="n"/>
      <c r="Q502" s="97" t="n"/>
      <c r="R502" s="97" t="n">
        <v>16.05302</v>
      </c>
      <c r="S502" s="97" t="n">
        <v>37.21743</v>
      </c>
      <c r="T502" s="97" t="n">
        <v>56.46193</v>
      </c>
      <c r="U502" s="97" t="n"/>
      <c r="V502" s="97" t="n"/>
      <c r="W502" s="97" t="n"/>
      <c r="X502" s="97" t="n"/>
      <c r="Y502" s="97" t="n"/>
      <c r="Z502" s="97" t="n">
        <v>35.76546</v>
      </c>
      <c r="AA502" s="97" t="n">
        <v>13.79715</v>
      </c>
      <c r="AB502" s="97" t="n"/>
      <c r="AC502" s="97" t="n">
        <v>40.22362</v>
      </c>
      <c r="AD502" s="97" t="n"/>
      <c r="AE502" s="97" t="n"/>
      <c r="AF502" s="97" t="n">
        <v>25.13984</v>
      </c>
      <c r="AG502" s="97" t="n">
        <v>21.5982</v>
      </c>
      <c r="AH502" s="97" t="n"/>
      <c r="AI502" s="97" t="n"/>
      <c r="AJ502" s="97" t="n">
        <v>23.85654</v>
      </c>
      <c r="AK502" s="97" t="n"/>
      <c r="AL502" s="97" t="n"/>
      <c r="AM502" s="97" t="n">
        <v>28.19717</v>
      </c>
      <c r="AN502" s="97" t="n"/>
      <c r="AO502" s="97" t="n">
        <v>22.63594</v>
      </c>
      <c r="AP502" s="97" t="n"/>
      <c r="AQ502" s="97" t="n"/>
      <c r="AR502" s="97" t="n"/>
      <c r="AS502" s="97" t="n"/>
      <c r="AT502" s="97" t="n"/>
      <c r="AU502" s="97" t="n"/>
      <c r="AV502" s="97" t="n"/>
      <c r="AW502" s="97" t="n"/>
      <c r="AX502" s="97" t="n"/>
      <c r="AY502" s="97" t="n"/>
    </row>
    <row r="503" s="135">
      <c r="A503" t="inlineStr">
        <is>
          <t>1960-10</t>
        </is>
      </c>
      <c r="B503" s="2" t="n">
        <v>22190</v>
      </c>
      <c r="C503" s="96" t="n">
        <v>503</v>
      </c>
      <c r="E503" s="2">
        <f>B503</f>
        <v/>
      </c>
      <c r="F503" s="3">
        <f>B503</f>
        <v/>
      </c>
      <c r="G503" s="96" t="n">
        <v>501</v>
      </c>
      <c r="H503" s="97" t="n"/>
      <c r="I503" s="97" t="n"/>
      <c r="J503" s="97" t="n">
        <v>27.12926</v>
      </c>
      <c r="K503" s="97" t="n"/>
      <c r="L503" s="97" t="n"/>
      <c r="M503" s="97" t="n"/>
      <c r="N503" s="97" t="n">
        <v>29.48956</v>
      </c>
      <c r="O503" s="97" t="n"/>
      <c r="P503" s="97" t="n"/>
      <c r="Q503" s="97" t="n"/>
      <c r="R503" s="97" t="n">
        <v>16.17763</v>
      </c>
      <c r="S503" s="97" t="n">
        <v>36.95207</v>
      </c>
      <c r="T503" s="97" t="n">
        <v>56.96159</v>
      </c>
      <c r="U503" s="97" t="n"/>
      <c r="V503" s="97" t="n"/>
      <c r="W503" s="97" t="n"/>
      <c r="X503" s="97" t="n"/>
      <c r="Y503" s="97" t="n"/>
      <c r="Z503" s="97" t="n">
        <v>35.32814</v>
      </c>
      <c r="AA503" s="97" t="n">
        <v>13.96541</v>
      </c>
      <c r="AB503" s="97" t="n"/>
      <c r="AC503" s="97" t="n">
        <v>40.07911</v>
      </c>
      <c r="AD503" s="97" t="n"/>
      <c r="AE503" s="97" t="n"/>
      <c r="AF503" s="97" t="n">
        <v>25.42552</v>
      </c>
      <c r="AG503" s="97" t="n">
        <v>22.03291</v>
      </c>
      <c r="AH503" s="97" t="n"/>
      <c r="AI503" s="97" t="n"/>
      <c r="AJ503" s="97" t="n">
        <v>23.67059</v>
      </c>
      <c r="AK503" s="97" t="n"/>
      <c r="AL503" s="97" t="n"/>
      <c r="AM503" s="97" t="n">
        <v>29.56155</v>
      </c>
      <c r="AN503" s="97" t="n"/>
      <c r="AO503" s="97" t="n">
        <v>22.60934</v>
      </c>
      <c r="AP503" s="97" t="n"/>
      <c r="AQ503" s="97" t="n"/>
      <c r="AR503" s="97" t="n"/>
      <c r="AS503" s="97" t="n"/>
      <c r="AT503" s="97" t="n"/>
      <c r="AU503" s="97" t="n"/>
      <c r="AV503" s="97" t="n"/>
      <c r="AW503" s="97" t="n"/>
      <c r="AX503" s="97" t="n"/>
      <c r="AY503" s="97" t="n"/>
    </row>
    <row r="504" s="135">
      <c r="A504" t="inlineStr">
        <is>
          <t>1960-11</t>
        </is>
      </c>
      <c r="B504" s="2" t="n">
        <v>22221</v>
      </c>
      <c r="C504" s="96" t="n">
        <v>504</v>
      </c>
      <c r="E504" s="2">
        <f>B504</f>
        <v/>
      </c>
      <c r="F504" s="3">
        <f>B504</f>
        <v/>
      </c>
      <c r="G504" s="96" t="n">
        <v>502</v>
      </c>
      <c r="H504" s="97" t="n"/>
      <c r="I504" s="97" t="n"/>
      <c r="J504" s="97" t="n">
        <v>27.38779</v>
      </c>
      <c r="K504" s="97" t="n"/>
      <c r="L504" s="97" t="n"/>
      <c r="M504" s="97" t="n"/>
      <c r="N504" s="97" t="n">
        <v>29.25906</v>
      </c>
      <c r="O504" s="97" t="n"/>
      <c r="P504" s="97" t="n"/>
      <c r="Q504" s="97" t="n"/>
      <c r="R504" s="97" t="n">
        <v>16.36453</v>
      </c>
      <c r="S504" s="97" t="n">
        <v>37.35012</v>
      </c>
      <c r="T504" s="97" t="n">
        <v>56.46193</v>
      </c>
      <c r="U504" s="97" t="n"/>
      <c r="V504" s="97" t="n"/>
      <c r="W504" s="97" t="n"/>
      <c r="X504" s="97" t="n"/>
      <c r="Y504" s="97" t="n"/>
      <c r="Z504" s="97" t="n">
        <v>35.44223</v>
      </c>
      <c r="AA504" s="97" t="n">
        <v>14.30192</v>
      </c>
      <c r="AB504" s="97" t="n"/>
      <c r="AC504" s="97" t="n">
        <v>40.16914</v>
      </c>
      <c r="AD504" s="97" t="n"/>
      <c r="AE504" s="97" t="n"/>
      <c r="AF504" s="97" t="n">
        <v>25.42552</v>
      </c>
      <c r="AG504" s="97" t="n">
        <v>22.12443</v>
      </c>
      <c r="AH504" s="97" t="n"/>
      <c r="AI504" s="97" t="n"/>
      <c r="AJ504" s="97" t="n">
        <v>22.47641</v>
      </c>
      <c r="AK504" s="97" t="n"/>
      <c r="AL504" s="97" t="n"/>
      <c r="AM504" s="97" t="n">
        <v>29.56155</v>
      </c>
      <c r="AN504" s="97" t="n"/>
      <c r="AO504" s="97" t="n">
        <v>22.29016</v>
      </c>
      <c r="AP504" s="97" t="n"/>
      <c r="AQ504" s="97" t="n"/>
      <c r="AR504" s="97" t="n"/>
      <c r="AS504" s="97" t="n"/>
      <c r="AT504" s="97" t="n"/>
      <c r="AU504" s="97" t="n"/>
      <c r="AV504" s="97" t="n"/>
      <c r="AW504" s="97" t="n"/>
      <c r="AX504" s="97" t="n"/>
      <c r="AY504" s="97" t="n"/>
    </row>
    <row r="505" s="135">
      <c r="A505" t="inlineStr">
        <is>
          <t>1960-12</t>
        </is>
      </c>
      <c r="B505" s="2" t="n">
        <v>22251</v>
      </c>
      <c r="C505" s="96" t="n">
        <v>505</v>
      </c>
      <c r="E505" s="2">
        <f>B505</f>
        <v/>
      </c>
      <c r="F505" s="3">
        <f>B505</f>
        <v/>
      </c>
      <c r="G505" s="96" t="n">
        <v>503</v>
      </c>
      <c r="H505" s="97" t="n"/>
      <c r="I505" s="97" t="n"/>
      <c r="J505" s="97" t="n">
        <v>23.44347</v>
      </c>
      <c r="K505" s="97" t="n"/>
      <c r="L505" s="97" t="n"/>
      <c r="M505" s="97" t="n"/>
      <c r="N505" s="97" t="n">
        <v>29.66966</v>
      </c>
      <c r="O505" s="97" t="n"/>
      <c r="P505" s="97" t="n"/>
      <c r="Q505" s="97" t="n"/>
      <c r="R505" s="97" t="n">
        <v>16.65527</v>
      </c>
      <c r="S505" s="97" t="n">
        <v>37.31695</v>
      </c>
      <c r="T505" s="97" t="n">
        <v>56.46193</v>
      </c>
      <c r="U505" s="97" t="n"/>
      <c r="V505" s="97" t="n"/>
      <c r="W505" s="97" t="n"/>
      <c r="X505" s="97" t="n"/>
      <c r="Y505" s="97" t="n"/>
      <c r="Z505" s="97" t="n">
        <v>35.51828</v>
      </c>
      <c r="AA505" s="97" t="n">
        <v>14.38605</v>
      </c>
      <c r="AB505" s="97" t="n"/>
      <c r="AC505" s="97" t="n">
        <v>39.9535</v>
      </c>
      <c r="AD505" s="97" t="n"/>
      <c r="AE505" s="97" t="n"/>
      <c r="AF505" s="97" t="n">
        <v>25.99688</v>
      </c>
      <c r="AG505" s="97" t="n">
        <v>22.55914</v>
      </c>
      <c r="AH505" s="97" t="n"/>
      <c r="AI505" s="97" t="n"/>
      <c r="AJ505" s="97" t="n">
        <v>24.38059</v>
      </c>
      <c r="AK505" s="97" t="n"/>
      <c r="AL505" s="97" t="n"/>
      <c r="AM505" s="97" t="n">
        <v>29.56155</v>
      </c>
      <c r="AN505" s="97" t="n"/>
      <c r="AO505" s="97" t="n">
        <v>21.86456</v>
      </c>
      <c r="AP505" s="97" t="n"/>
      <c r="AQ505" s="97" t="n"/>
      <c r="AR505" s="97" t="n"/>
      <c r="AS505" s="97" t="n"/>
      <c r="AT505" s="97" t="n"/>
      <c r="AU505" s="97" t="n"/>
      <c r="AV505" s="97" t="n"/>
      <c r="AW505" s="97" t="n"/>
      <c r="AX505" s="97" t="n"/>
      <c r="AY505" s="97" t="n"/>
    </row>
    <row r="506" s="135">
      <c r="A506" t="inlineStr">
        <is>
          <t>1961-01</t>
        </is>
      </c>
      <c r="B506" s="2" t="n">
        <v>22282</v>
      </c>
      <c r="C506" s="96" t="n">
        <v>506</v>
      </c>
      <c r="E506" s="2">
        <f>B506</f>
        <v/>
      </c>
      <c r="F506" s="3">
        <f>B506</f>
        <v/>
      </c>
      <c r="G506" s="96" t="n">
        <v>504</v>
      </c>
      <c r="H506" s="97" t="n"/>
      <c r="I506" s="97" t="n"/>
      <c r="J506" s="97" t="n">
        <v>20.98592</v>
      </c>
      <c r="K506" s="97" t="n">
        <v>21.93254</v>
      </c>
      <c r="L506" s="97" t="n"/>
      <c r="M506" s="97" t="n"/>
      <c r="N506" s="97" t="n">
        <v>30.068</v>
      </c>
      <c r="O506" s="97" t="n"/>
      <c r="P506" s="97" t="n"/>
      <c r="Q506" s="97" t="n"/>
      <c r="R506" s="97" t="n">
        <v>16.82141</v>
      </c>
      <c r="S506" s="97" t="n">
        <v>37.4828</v>
      </c>
      <c r="T506" s="97" t="n">
        <v>56.46193</v>
      </c>
      <c r="U506" s="97" t="n"/>
      <c r="V506" s="97" t="n"/>
      <c r="W506" s="97" t="n"/>
      <c r="X506" s="97" t="n"/>
      <c r="Y506" s="97" t="n"/>
      <c r="Z506" s="97" t="n">
        <v>36.0887</v>
      </c>
      <c r="AA506" s="97" t="n">
        <v>14.8067</v>
      </c>
      <c r="AB506" s="97" t="n"/>
      <c r="AC506" s="97" t="n">
        <v>40.83119</v>
      </c>
      <c r="AD506" s="97" t="n"/>
      <c r="AE506" s="97" t="n"/>
      <c r="AF506" s="97" t="n">
        <v>25.42552</v>
      </c>
      <c r="AG506" s="97" t="n">
        <v>22.55914</v>
      </c>
      <c r="AH506" s="97" t="n"/>
      <c r="AI506" s="97" t="n"/>
      <c r="AJ506" s="97" t="n">
        <v>24.02475</v>
      </c>
      <c r="AK506" s="97" t="n"/>
      <c r="AL506" s="97" t="n"/>
      <c r="AM506" s="97" t="n">
        <v>30.01635</v>
      </c>
      <c r="AN506" s="97" t="n"/>
      <c r="AO506" s="97" t="n">
        <v>21.89116</v>
      </c>
      <c r="AP506" s="97" t="n"/>
      <c r="AQ506" s="97" t="n"/>
      <c r="AR506" s="97" t="n"/>
      <c r="AS506" s="97" t="n"/>
      <c r="AT506" s="97" t="n"/>
      <c r="AU506" s="97" t="n"/>
      <c r="AV506" s="97" t="n"/>
      <c r="AW506" s="97" t="n"/>
      <c r="AX506" s="97" t="n"/>
      <c r="AY506" s="97" t="n"/>
    </row>
    <row r="507" s="135">
      <c r="A507" t="inlineStr">
        <is>
          <t>1961-02</t>
        </is>
      </c>
      <c r="B507" s="2" t="n">
        <v>22313</v>
      </c>
      <c r="C507" s="96" t="n">
        <v>507</v>
      </c>
      <c r="E507" s="2">
        <f>B507</f>
        <v/>
      </c>
      <c r="F507" s="3">
        <f>B507</f>
        <v/>
      </c>
      <c r="G507" s="96" t="n">
        <v>505</v>
      </c>
      <c r="H507" s="97" t="n"/>
      <c r="I507" s="97" t="n"/>
      <c r="J507" s="97" t="n">
        <v>28.17089</v>
      </c>
      <c r="K507" s="97" t="n">
        <v>21.95463</v>
      </c>
      <c r="L507" s="97" t="n"/>
      <c r="M507" s="97" t="n"/>
      <c r="N507" s="97" t="n">
        <v>30.24594</v>
      </c>
      <c r="O507" s="97" t="n"/>
      <c r="P507" s="97" t="n"/>
      <c r="Q507" s="97" t="n"/>
      <c r="R507" s="97" t="n">
        <v>17.04985</v>
      </c>
      <c r="S507" s="97" t="n">
        <v>37.78133</v>
      </c>
      <c r="T507" s="97" t="n">
        <v>56.46193</v>
      </c>
      <c r="U507" s="97" t="n"/>
      <c r="V507" s="97" t="n"/>
      <c r="W507" s="97" t="n"/>
      <c r="X507" s="97" t="n"/>
      <c r="Y507" s="97" t="n"/>
      <c r="Z507" s="97" t="n">
        <v>36.90631</v>
      </c>
      <c r="AA507" s="97" t="n">
        <v>14.89083</v>
      </c>
      <c r="AB507" s="97" t="n"/>
      <c r="AC507" s="97" t="n">
        <v>41.13757</v>
      </c>
      <c r="AD507" s="97" t="n"/>
      <c r="AE507" s="97" t="n"/>
      <c r="AF507" s="97" t="n">
        <v>25.42552</v>
      </c>
      <c r="AG507" s="97" t="n">
        <v>22.53626</v>
      </c>
      <c r="AH507" s="97" t="n"/>
      <c r="AI507" s="97" t="n"/>
      <c r="AJ507" s="97" t="n">
        <v>24.22592</v>
      </c>
      <c r="AK507" s="97" t="n"/>
      <c r="AL507" s="97" t="n"/>
      <c r="AM507" s="97" t="n">
        <v>30.47114</v>
      </c>
      <c r="AN507" s="97" t="n"/>
      <c r="AO507" s="97" t="n">
        <v>21.86456</v>
      </c>
      <c r="AP507" s="97" t="n"/>
      <c r="AQ507" s="97" t="n"/>
      <c r="AR507" s="97" t="n"/>
      <c r="AS507" s="97" t="n"/>
      <c r="AT507" s="97" t="n"/>
      <c r="AU507" s="97" t="n"/>
      <c r="AV507" s="97" t="n"/>
      <c r="AW507" s="97" t="n"/>
      <c r="AX507" s="97" t="n"/>
      <c r="AY507" s="97" t="n"/>
    </row>
    <row r="508" s="135">
      <c r="A508" t="inlineStr">
        <is>
          <t>1961-03</t>
        </is>
      </c>
      <c r="B508" s="2" t="n">
        <v>22341</v>
      </c>
      <c r="C508" s="96" t="n">
        <v>508</v>
      </c>
      <c r="E508" s="2">
        <f>B508</f>
        <v/>
      </c>
      <c r="F508" s="3">
        <f>B508</f>
        <v/>
      </c>
      <c r="G508" s="96" t="n">
        <v>506</v>
      </c>
      <c r="H508" s="97" t="n"/>
      <c r="I508" s="97" t="n"/>
      <c r="J508" s="97" t="n">
        <v>27.94259</v>
      </c>
      <c r="K508" s="97" t="n">
        <v>21.86957</v>
      </c>
      <c r="L508" s="97" t="n"/>
      <c r="M508" s="97" t="n"/>
      <c r="N508" s="97" t="n">
        <v>30.53597</v>
      </c>
      <c r="O508" s="97" t="n"/>
      <c r="P508" s="97" t="n"/>
      <c r="Q508" s="97" t="n"/>
      <c r="R508" s="97" t="n">
        <v>17.34059</v>
      </c>
      <c r="S508" s="97" t="n">
        <v>38.11304</v>
      </c>
      <c r="T508" s="97" t="n">
        <v>56.46193</v>
      </c>
      <c r="U508" s="97" t="n"/>
      <c r="V508" s="97" t="n"/>
      <c r="W508" s="97" t="n"/>
      <c r="X508" s="97" t="n"/>
      <c r="Y508" s="97" t="n"/>
      <c r="Z508" s="97" t="n">
        <v>36.86828</v>
      </c>
      <c r="AA508" s="97" t="n">
        <v>15.31147</v>
      </c>
      <c r="AB508" s="97" t="n"/>
      <c r="AC508" s="97" t="n">
        <v>41.59993</v>
      </c>
      <c r="AD508" s="97" t="n"/>
      <c r="AE508" s="97" t="n"/>
      <c r="AF508" s="97" t="n">
        <v>25.42552</v>
      </c>
      <c r="AG508" s="97" t="n">
        <v>22.51338</v>
      </c>
      <c r="AH508" s="97" t="n"/>
      <c r="AI508" s="97" t="n"/>
      <c r="AJ508" s="97" t="n">
        <v>26.35935</v>
      </c>
      <c r="AK508" s="97" t="n"/>
      <c r="AL508" s="97" t="n"/>
      <c r="AM508" s="97" t="n">
        <v>30.92593</v>
      </c>
      <c r="AN508" s="97" t="n"/>
      <c r="AO508" s="97" t="n">
        <v>21.99759</v>
      </c>
      <c r="AP508" s="97" t="n"/>
      <c r="AQ508" s="97" t="n"/>
      <c r="AR508" s="97" t="n"/>
      <c r="AS508" s="97" t="n"/>
      <c r="AT508" s="97" t="n"/>
      <c r="AU508" s="97" t="n"/>
      <c r="AV508" s="97" t="n"/>
      <c r="AW508" s="97" t="n"/>
      <c r="AX508" s="97" t="n"/>
      <c r="AY508" s="97" t="n"/>
    </row>
    <row r="509" s="135">
      <c r="A509" t="inlineStr">
        <is>
          <t>1961-04</t>
        </is>
      </c>
      <c r="B509" s="2" t="n">
        <v>22372</v>
      </c>
      <c r="C509" s="96" t="n">
        <v>509</v>
      </c>
      <c r="E509" s="2">
        <f>B509</f>
        <v/>
      </c>
      <c r="F509" s="3">
        <f>B509</f>
        <v/>
      </c>
      <c r="G509" s="96" t="n">
        <v>507</v>
      </c>
      <c r="H509" s="97" t="n"/>
      <c r="I509" s="97" t="n"/>
      <c r="J509" s="97" t="n">
        <v>28.02988</v>
      </c>
      <c r="K509" s="97" t="n">
        <v>22.32821</v>
      </c>
      <c r="L509" s="97" t="n"/>
      <c r="M509" s="97" t="n"/>
      <c r="N509" s="97" t="n">
        <v>30.52579</v>
      </c>
      <c r="O509" s="97" t="n"/>
      <c r="P509" s="97" t="n"/>
      <c r="Q509" s="97" t="n"/>
      <c r="R509" s="97" t="n">
        <v>17.07061</v>
      </c>
      <c r="S509" s="97" t="n">
        <v>37.84768</v>
      </c>
      <c r="T509" s="97" t="n">
        <v>56.96159</v>
      </c>
      <c r="U509" s="97" t="n"/>
      <c r="V509" s="97" t="n"/>
      <c r="W509" s="97" t="n"/>
      <c r="X509" s="97" t="n"/>
      <c r="Y509" s="97" t="n"/>
      <c r="Z509" s="97" t="n">
        <v>37.22955</v>
      </c>
      <c r="AA509" s="97" t="n">
        <v>15.31147</v>
      </c>
      <c r="AB509" s="97" t="n"/>
      <c r="AC509" s="97" t="n">
        <v>41.55384</v>
      </c>
      <c r="AD509" s="97" t="n"/>
      <c r="AE509" s="97" t="n"/>
      <c r="AF509" s="97" t="n">
        <v>25.99688</v>
      </c>
      <c r="AG509" s="97" t="n">
        <v>22.4905</v>
      </c>
      <c r="AH509" s="97" t="n"/>
      <c r="AI509" s="97" t="n"/>
      <c r="AJ509" s="97" t="n">
        <v>25.35746</v>
      </c>
      <c r="AK509" s="97" t="n"/>
      <c r="AL509" s="97" t="n"/>
      <c r="AM509" s="97" t="n">
        <v>30.92593</v>
      </c>
      <c r="AN509" s="97" t="n"/>
      <c r="AO509" s="97" t="n">
        <v>22.4497</v>
      </c>
      <c r="AP509" s="97" t="n"/>
      <c r="AQ509" s="97" t="n"/>
      <c r="AR509" s="97" t="n"/>
      <c r="AS509" s="97" t="n"/>
      <c r="AT509" s="97" t="n"/>
      <c r="AU509" s="97" t="n"/>
      <c r="AV509" s="97" t="n"/>
      <c r="AW509" s="97" t="n"/>
      <c r="AX509" s="97" t="n"/>
      <c r="AY509" s="97" t="n"/>
    </row>
    <row r="510" s="135">
      <c r="A510" t="inlineStr">
        <is>
          <t>1961-05</t>
        </is>
      </c>
      <c r="B510" s="2" t="n">
        <v>22402</v>
      </c>
      <c r="C510" s="96" t="n">
        <v>510</v>
      </c>
      <c r="E510" s="2">
        <f>B510</f>
        <v/>
      </c>
      <c r="F510" s="3">
        <f>B510</f>
        <v/>
      </c>
      <c r="G510" s="96" t="n">
        <v>508</v>
      </c>
      <c r="H510" s="97" t="n"/>
      <c r="I510" s="97" t="n"/>
      <c r="J510" s="97" t="n">
        <v>27.9185</v>
      </c>
      <c r="K510" s="97" t="n">
        <v>22.44098</v>
      </c>
      <c r="L510" s="97" t="n"/>
      <c r="M510" s="97" t="n"/>
      <c r="N510" s="97" t="n">
        <v>29.87958</v>
      </c>
      <c r="O510" s="97" t="n"/>
      <c r="P510" s="97" t="n"/>
      <c r="Q510" s="97" t="n"/>
      <c r="R510" s="97" t="n">
        <v>17.38212</v>
      </c>
      <c r="S510" s="97" t="n">
        <v>37.94719</v>
      </c>
      <c r="T510" s="97" t="n">
        <v>55.96227</v>
      </c>
      <c r="U510" s="97" t="n"/>
      <c r="V510" s="97" t="n"/>
      <c r="W510" s="97" t="n"/>
      <c r="X510" s="97" t="n"/>
      <c r="Y510" s="97" t="n"/>
      <c r="Z510" s="97" t="n">
        <v>37.64786</v>
      </c>
      <c r="AA510" s="97" t="n">
        <v>15.64799</v>
      </c>
      <c r="AB510" s="97" t="n"/>
      <c r="AC510" s="97" t="n">
        <v>42.02602</v>
      </c>
      <c r="AD510" s="97" t="n"/>
      <c r="AE510" s="97" t="n"/>
      <c r="AF510" s="97" t="n">
        <v>25.13984</v>
      </c>
      <c r="AG510" s="97" t="n">
        <v>21.89564</v>
      </c>
      <c r="AH510" s="97" t="n"/>
      <c r="AI510" s="97" t="n"/>
      <c r="AJ510" s="97" t="n">
        <v>25.57165</v>
      </c>
      <c r="AK510" s="97" t="n"/>
      <c r="AL510" s="97" t="n"/>
      <c r="AM510" s="97" t="n">
        <v>30.47114</v>
      </c>
      <c r="AN510" s="97" t="n"/>
      <c r="AO510" s="97" t="n">
        <v>22.79548</v>
      </c>
      <c r="AP510" s="97" t="n"/>
      <c r="AQ510" s="97" t="n"/>
      <c r="AR510" s="97" t="n"/>
      <c r="AS510" s="97" t="n"/>
      <c r="AT510" s="97" t="n"/>
      <c r="AU510" s="97" t="n"/>
      <c r="AV510" s="97" t="n"/>
      <c r="AW510" s="97" t="n"/>
      <c r="AX510" s="97" t="n"/>
      <c r="AY510" s="97" t="n"/>
    </row>
    <row r="511" s="135">
      <c r="A511" t="inlineStr">
        <is>
          <t>1961-06</t>
        </is>
      </c>
      <c r="B511" s="2" t="n">
        <v>22433</v>
      </c>
      <c r="C511" s="96" t="n">
        <v>511</v>
      </c>
      <c r="E511" s="2">
        <f>B511</f>
        <v/>
      </c>
      <c r="F511" s="3">
        <f>B511</f>
        <v/>
      </c>
      <c r="G511" s="96" t="n">
        <v>509</v>
      </c>
      <c r="H511" s="97" t="n"/>
      <c r="I511" s="97" t="n"/>
      <c r="J511" s="97" t="n">
        <v>28.04</v>
      </c>
      <c r="K511" s="97" t="n">
        <v>22.81127</v>
      </c>
      <c r="L511" s="97" t="n"/>
      <c r="M511" s="97" t="n"/>
      <c r="N511" s="97" t="n">
        <v>29.8812</v>
      </c>
      <c r="O511" s="97" t="n"/>
      <c r="P511" s="97" t="n"/>
      <c r="Q511" s="97" t="n"/>
      <c r="R511" s="97" t="n">
        <v>17.58979</v>
      </c>
      <c r="S511" s="97" t="n">
        <v>38.17938</v>
      </c>
      <c r="T511" s="97" t="n">
        <v>56.96159</v>
      </c>
      <c r="U511" s="97" t="n"/>
      <c r="V511" s="97" t="n"/>
      <c r="W511" s="97" t="n"/>
      <c r="X511" s="97" t="n"/>
      <c r="Y511" s="97" t="n"/>
      <c r="Z511" s="97" t="n">
        <v>38.21828</v>
      </c>
      <c r="AA511" s="97" t="n">
        <v>15.81625</v>
      </c>
      <c r="AB511" s="97" t="n"/>
      <c r="AC511" s="97" t="n">
        <v>41.22808</v>
      </c>
      <c r="AD511" s="97" t="n"/>
      <c r="AE511" s="97" t="n"/>
      <c r="AF511" s="97" t="n">
        <v>25.42552</v>
      </c>
      <c r="AG511" s="97" t="n">
        <v>23.24552</v>
      </c>
      <c r="AH511" s="97" t="n"/>
      <c r="AI511" s="97" t="n"/>
      <c r="AJ511" s="97" t="n">
        <v>24.93919</v>
      </c>
      <c r="AK511" s="97" t="n"/>
      <c r="AL511" s="97" t="n"/>
      <c r="AM511" s="97" t="n">
        <v>30.47114</v>
      </c>
      <c r="AN511" s="97" t="n"/>
      <c r="AO511" s="97" t="n">
        <v>23.11466</v>
      </c>
      <c r="AP511" s="97" t="n"/>
      <c r="AQ511" s="97" t="n"/>
      <c r="AR511" s="97" t="n"/>
      <c r="AS511" s="97" t="n"/>
      <c r="AT511" s="97" t="n"/>
      <c r="AU511" s="97" t="n"/>
      <c r="AV511" s="97" t="n"/>
      <c r="AW511" s="97" t="n"/>
      <c r="AX511" s="97" t="n"/>
      <c r="AY511" s="97" t="n"/>
    </row>
    <row r="512" s="135">
      <c r="A512" t="inlineStr">
        <is>
          <t>1961-07</t>
        </is>
      </c>
      <c r="B512" s="2" t="n">
        <v>22463</v>
      </c>
      <c r="C512" s="96" t="n">
        <v>512</v>
      </c>
      <c r="E512" s="2">
        <f>B512</f>
        <v/>
      </c>
      <c r="F512" s="3">
        <f>B512</f>
        <v/>
      </c>
      <c r="G512" s="96" t="n">
        <v>510</v>
      </c>
      <c r="H512" s="97" t="n"/>
      <c r="I512" s="97" t="n"/>
      <c r="J512" s="97" t="n">
        <v>28.60753</v>
      </c>
      <c r="K512" s="97" t="n">
        <v>23.03542</v>
      </c>
      <c r="L512" s="97" t="n"/>
      <c r="M512" s="97" t="n"/>
      <c r="N512" s="97" t="n">
        <v>30.43866</v>
      </c>
      <c r="O512" s="97" t="n"/>
      <c r="P512" s="97" t="n"/>
      <c r="Q512" s="97" t="n"/>
      <c r="R512" s="97" t="n">
        <v>18.0259</v>
      </c>
      <c r="S512" s="97" t="n">
        <v>38.6106</v>
      </c>
      <c r="T512" s="97" t="n">
        <v>57.46126</v>
      </c>
      <c r="U512" s="97" t="n"/>
      <c r="V512" s="97" t="n"/>
      <c r="W512" s="97" t="n"/>
      <c r="X512" s="97" t="n"/>
      <c r="Y512" s="97" t="n"/>
      <c r="Z512" s="97" t="n">
        <v>38.84574</v>
      </c>
      <c r="AA512" s="97" t="n">
        <v>16.15276</v>
      </c>
      <c r="AB512" s="97" t="n"/>
      <c r="AC512" s="97" t="n">
        <v>41.85826</v>
      </c>
      <c r="AD512" s="97" t="n"/>
      <c r="AE512" s="97" t="n"/>
      <c r="AF512" s="97" t="n">
        <v>25.7112</v>
      </c>
      <c r="AG512" s="97" t="n">
        <v>22.7193</v>
      </c>
      <c r="AH512" s="97" t="n"/>
      <c r="AI512" s="97" t="n"/>
      <c r="AJ512" s="97" t="n">
        <v>24.6382</v>
      </c>
      <c r="AK512" s="97" t="n"/>
      <c r="AL512" s="97" t="n"/>
      <c r="AM512" s="97" t="n">
        <v>31.83552</v>
      </c>
      <c r="AN512" s="97" t="n"/>
      <c r="AO512" s="97" t="n">
        <v>23.38072</v>
      </c>
      <c r="AP512" s="97" t="n"/>
      <c r="AQ512" s="97" t="n"/>
      <c r="AR512" s="97" t="n"/>
      <c r="AS512" s="97" t="n"/>
      <c r="AT512" s="97" t="n"/>
      <c r="AU512" s="97" t="n"/>
      <c r="AV512" s="97" t="n"/>
      <c r="AW512" s="97" t="n"/>
      <c r="AX512" s="97" t="n"/>
      <c r="AY512" s="97" t="n"/>
    </row>
    <row r="513" s="135">
      <c r="A513" t="inlineStr">
        <is>
          <t>1961-08</t>
        </is>
      </c>
      <c r="B513" s="2" t="n">
        <v>22494</v>
      </c>
      <c r="C513" s="96" t="n">
        <v>513</v>
      </c>
      <c r="E513" s="2">
        <f>B513</f>
        <v/>
      </c>
      <c r="F513" s="3">
        <f>B513</f>
        <v/>
      </c>
      <c r="G513" s="96" t="n">
        <v>511</v>
      </c>
      <c r="H513" s="97" t="n"/>
      <c r="I513" s="97" t="n"/>
      <c r="J513" s="97" t="n">
        <v>28.28081</v>
      </c>
      <c r="K513" s="97" t="n">
        <v>22.91089</v>
      </c>
      <c r="L513" s="97" t="n"/>
      <c r="M513" s="97" t="n"/>
      <c r="N513" s="97" t="n">
        <v>30.20854</v>
      </c>
      <c r="O513" s="97" t="n"/>
      <c r="P513" s="97" t="n"/>
      <c r="Q513" s="97" t="n"/>
      <c r="R513" s="97" t="n">
        <v>17.79746</v>
      </c>
      <c r="S513" s="97" t="n">
        <v>38.6106</v>
      </c>
      <c r="T513" s="97" t="n">
        <v>56.46193</v>
      </c>
      <c r="U513" s="97" t="n"/>
      <c r="V513" s="97" t="n"/>
      <c r="W513" s="97" t="n"/>
      <c r="X513" s="97" t="n"/>
      <c r="Y513" s="97" t="n"/>
      <c r="Z513" s="97" t="n">
        <v>38.9218</v>
      </c>
      <c r="AA513" s="97" t="n">
        <v>16.40515</v>
      </c>
      <c r="AB513" s="97" t="n"/>
      <c r="AC513" s="97" t="n">
        <v>42.23763</v>
      </c>
      <c r="AD513" s="97" t="n"/>
      <c r="AE513" s="97" t="n"/>
      <c r="AF513" s="97" t="n">
        <v>25.99688</v>
      </c>
      <c r="AG513" s="97" t="n">
        <v>23.31416</v>
      </c>
      <c r="AH513" s="97" t="n"/>
      <c r="AI513" s="97" t="n"/>
      <c r="AJ513" s="97" t="n">
        <v>24.05606</v>
      </c>
      <c r="AK513" s="97" t="n"/>
      <c r="AL513" s="97" t="n"/>
      <c r="AM513" s="97" t="n">
        <v>31.38073</v>
      </c>
      <c r="AN513" s="97" t="n"/>
      <c r="AO513" s="97" t="n">
        <v>23.59348</v>
      </c>
      <c r="AP513" s="97" t="n"/>
      <c r="AQ513" s="97" t="n"/>
      <c r="AR513" s="97" t="n"/>
      <c r="AS513" s="97" t="n"/>
      <c r="AT513" s="97" t="n"/>
      <c r="AU513" s="97" t="n"/>
      <c r="AV513" s="97" t="n"/>
      <c r="AW513" s="97" t="n"/>
      <c r="AX513" s="97" t="n"/>
      <c r="AY513" s="97" t="n"/>
    </row>
    <row r="514" s="135">
      <c r="A514" t="inlineStr">
        <is>
          <t>1961-09</t>
        </is>
      </c>
      <c r="B514" s="2" t="n">
        <v>22525</v>
      </c>
      <c r="C514" s="96" t="n">
        <v>514</v>
      </c>
      <c r="E514" s="2">
        <f>B514</f>
        <v/>
      </c>
      <c r="F514" s="3">
        <f>B514</f>
        <v/>
      </c>
      <c r="G514" s="96" t="n">
        <v>512</v>
      </c>
      <c r="H514" s="97" t="n"/>
      <c r="I514" s="97" t="n"/>
      <c r="J514" s="97" t="n">
        <v>28.11038</v>
      </c>
      <c r="K514" s="97" t="n">
        <v>23.45505</v>
      </c>
      <c r="L514" s="97" t="n"/>
      <c r="M514" s="97" t="n"/>
      <c r="N514" s="97" t="n">
        <v>30.45791</v>
      </c>
      <c r="O514" s="97" t="n"/>
      <c r="P514" s="97" t="n"/>
      <c r="Q514" s="97" t="n"/>
      <c r="R514" s="97" t="n">
        <v>17.58979</v>
      </c>
      <c r="S514" s="97" t="n">
        <v>38.74328</v>
      </c>
      <c r="T514" s="97" t="n">
        <v>55.96227</v>
      </c>
      <c r="U514" s="97" t="n"/>
      <c r="V514" s="97" t="n"/>
      <c r="W514" s="97" t="n"/>
      <c r="X514" s="97" t="n"/>
      <c r="Y514" s="97" t="n"/>
      <c r="Z514" s="97" t="n">
        <v>39.30208</v>
      </c>
      <c r="AA514" s="97" t="n">
        <v>16.32102</v>
      </c>
      <c r="AB514" s="97" t="n"/>
      <c r="AC514" s="97" t="n">
        <v>40.87567</v>
      </c>
      <c r="AD514" s="97" t="n"/>
      <c r="AE514" s="97" t="n"/>
      <c r="AF514" s="97" t="n">
        <v>25.99688</v>
      </c>
      <c r="AG514" s="97" t="n">
        <v>23.08537</v>
      </c>
      <c r="AH514" s="97" t="n"/>
      <c r="AI514" s="97" t="n"/>
      <c r="AJ514" s="97" t="n">
        <v>25.03679</v>
      </c>
      <c r="AK514" s="97" t="n"/>
      <c r="AL514" s="97" t="n"/>
      <c r="AM514" s="97" t="n">
        <v>30.92593</v>
      </c>
      <c r="AN514" s="97" t="n"/>
      <c r="AO514" s="97" t="n">
        <v>23.56687</v>
      </c>
      <c r="AP514" s="97" t="n"/>
      <c r="AQ514" s="97" t="n"/>
      <c r="AR514" s="97" t="n"/>
      <c r="AS514" s="97" t="n"/>
      <c r="AT514" s="97" t="n"/>
      <c r="AU514" s="97" t="n"/>
      <c r="AV514" s="97" t="n"/>
      <c r="AW514" s="97" t="n"/>
      <c r="AX514" s="97" t="n"/>
      <c r="AY514" s="97" t="n"/>
    </row>
    <row r="515" s="135">
      <c r="A515" t="inlineStr">
        <is>
          <t>1961-10</t>
        </is>
      </c>
      <c r="B515" s="2" t="n">
        <v>22555</v>
      </c>
      <c r="C515" s="96" t="n">
        <v>515</v>
      </c>
      <c r="E515" s="2">
        <f>B515</f>
        <v/>
      </c>
      <c r="F515" s="3">
        <f>B515</f>
        <v/>
      </c>
      <c r="G515" s="96" t="n">
        <v>513</v>
      </c>
      <c r="H515" s="97" t="n"/>
      <c r="I515" s="97" t="n"/>
      <c r="J515" s="97" t="n">
        <v>28.26441</v>
      </c>
      <c r="K515" s="97" t="n">
        <v>23.66275</v>
      </c>
      <c r="L515" s="97" t="n"/>
      <c r="M515" s="97" t="n"/>
      <c r="N515" s="97" t="n">
        <v>30.22322</v>
      </c>
      <c r="O515" s="97" t="n"/>
      <c r="P515" s="97" t="n"/>
      <c r="Q515" s="97" t="n"/>
      <c r="R515" s="97" t="n">
        <v>17.7144</v>
      </c>
      <c r="S515" s="97" t="n">
        <v>38.6106</v>
      </c>
      <c r="T515" s="97" t="n">
        <v>56.46193</v>
      </c>
      <c r="U515" s="97" t="n"/>
      <c r="V515" s="97" t="n"/>
      <c r="W515" s="97" t="n"/>
      <c r="X515" s="97" t="n"/>
      <c r="Y515" s="97" t="n"/>
      <c r="Z515" s="97" t="n">
        <v>40.0056</v>
      </c>
      <c r="AA515" s="97" t="n">
        <v>16.65754</v>
      </c>
      <c r="AB515" s="97" t="n"/>
      <c r="AC515" s="97" t="n">
        <v>40.826</v>
      </c>
      <c r="AD515" s="97" t="n"/>
      <c r="AE515" s="97" t="n"/>
      <c r="AF515" s="97" t="n">
        <v>25.99688</v>
      </c>
      <c r="AG515" s="97" t="n">
        <v>23.22264</v>
      </c>
      <c r="AH515" s="97" t="n"/>
      <c r="AI515" s="97" t="n"/>
      <c r="AJ515" s="97" t="n">
        <v>24.92331</v>
      </c>
      <c r="AK515" s="97" t="n"/>
      <c r="AL515" s="97" t="n"/>
      <c r="AM515" s="97" t="n">
        <v>31.83552</v>
      </c>
      <c r="AN515" s="97" t="n"/>
      <c r="AO515" s="97" t="n">
        <v>24.01908</v>
      </c>
      <c r="AP515" s="97" t="n"/>
      <c r="AQ515" s="97" t="n"/>
      <c r="AR515" s="97" t="n"/>
      <c r="AS515" s="97" t="n"/>
      <c r="AT515" s="97" t="n"/>
      <c r="AU515" s="97" t="n"/>
      <c r="AV515" s="97" t="n"/>
      <c r="AW515" s="97" t="n"/>
      <c r="AX515" s="97" t="n"/>
      <c r="AY515" s="97" t="n"/>
    </row>
    <row r="516" s="135">
      <c r="A516" t="inlineStr">
        <is>
          <t>1961-11</t>
        </is>
      </c>
      <c r="B516" s="2" t="n">
        <v>22586</v>
      </c>
      <c r="C516" s="96" t="n">
        <v>516</v>
      </c>
      <c r="E516" s="2">
        <f>B516</f>
        <v/>
      </c>
      <c r="F516" s="3">
        <f>B516</f>
        <v/>
      </c>
      <c r="G516" s="96" t="n">
        <v>514</v>
      </c>
      <c r="H516" s="97" t="n"/>
      <c r="I516" s="97" t="n"/>
      <c r="J516" s="97" t="n">
        <v>28.33935</v>
      </c>
      <c r="K516" s="97" t="n">
        <v>23.76002</v>
      </c>
      <c r="L516" s="97" t="n"/>
      <c r="M516" s="97" t="n"/>
      <c r="N516" s="97" t="n">
        <v>30.31125</v>
      </c>
      <c r="O516" s="97" t="n"/>
      <c r="P516" s="97" t="n"/>
      <c r="Q516" s="97" t="n"/>
      <c r="R516" s="97" t="n">
        <v>18.15051</v>
      </c>
      <c r="S516" s="97" t="n">
        <v>38.80962</v>
      </c>
      <c r="T516" s="97" t="n">
        <v>55.96227</v>
      </c>
      <c r="U516" s="97" t="n"/>
      <c r="V516" s="97" t="n"/>
      <c r="W516" s="97" t="n"/>
      <c r="X516" s="97" t="n"/>
      <c r="Y516" s="97" t="n"/>
      <c r="Z516" s="97" t="n">
        <v>40.55701</v>
      </c>
      <c r="AA516" s="97" t="n">
        <v>16.82579</v>
      </c>
      <c r="AB516" s="97" t="n"/>
      <c r="AC516" s="97" t="n">
        <v>40.46818</v>
      </c>
      <c r="AD516" s="97" t="n"/>
      <c r="AE516" s="97" t="n"/>
      <c r="AF516" s="97" t="n">
        <v>26.28256</v>
      </c>
      <c r="AG516" s="97" t="n">
        <v>23.93191</v>
      </c>
      <c r="AH516" s="97" t="n"/>
      <c r="AI516" s="97" t="n"/>
      <c r="AJ516" s="97" t="n">
        <v>24.551</v>
      </c>
      <c r="AK516" s="97" t="n"/>
      <c r="AL516" s="97" t="n"/>
      <c r="AM516" s="97" t="n">
        <v>31.83552</v>
      </c>
      <c r="AN516" s="97" t="n"/>
      <c r="AO516" s="97" t="n">
        <v>24.39147</v>
      </c>
      <c r="AP516" s="97" t="n"/>
      <c r="AQ516" s="97" t="n"/>
      <c r="AR516" s="97" t="n"/>
      <c r="AS516" s="97" t="n"/>
      <c r="AT516" s="97" t="n"/>
      <c r="AU516" s="97" t="n"/>
      <c r="AV516" s="97" t="n"/>
      <c r="AW516" s="97" t="n"/>
      <c r="AX516" s="97" t="n"/>
      <c r="AY516" s="97" t="n"/>
    </row>
    <row r="517" s="135">
      <c r="A517" t="inlineStr">
        <is>
          <t>1961-12</t>
        </is>
      </c>
      <c r="B517" s="2" t="n">
        <v>22616</v>
      </c>
      <c r="C517" s="96" t="n">
        <v>517</v>
      </c>
      <c r="E517" s="2">
        <f>B517</f>
        <v/>
      </c>
      <c r="F517" s="3">
        <f>B517</f>
        <v/>
      </c>
      <c r="G517" s="96" t="n">
        <v>515</v>
      </c>
      <c r="H517" s="97" t="n"/>
      <c r="I517" s="97" t="n"/>
      <c r="J517" s="97" t="n">
        <v>28.37006</v>
      </c>
      <c r="K517" s="97" t="n">
        <v>23.90663</v>
      </c>
      <c r="L517" s="97" t="n"/>
      <c r="M517" s="97" t="n"/>
      <c r="N517" s="97" t="n">
        <v>30.98845</v>
      </c>
      <c r="O517" s="97" t="n"/>
      <c r="P517" s="97" t="n"/>
      <c r="Q517" s="97" t="n"/>
      <c r="R517" s="97" t="n">
        <v>18.12974</v>
      </c>
      <c r="S517" s="97" t="n">
        <v>39.93743</v>
      </c>
      <c r="T517" s="97" t="n">
        <v>56.46193</v>
      </c>
      <c r="U517" s="97" t="n"/>
      <c r="V517" s="97" t="n"/>
      <c r="W517" s="97" t="n"/>
      <c r="X517" s="97" t="n"/>
      <c r="Y517" s="97" t="n"/>
      <c r="Z517" s="97" t="n">
        <v>40.88025</v>
      </c>
      <c r="AA517" s="97" t="n">
        <v>17.07818</v>
      </c>
      <c r="AB517" s="97" t="n"/>
      <c r="AC517" s="97" t="n">
        <v>39.42538</v>
      </c>
      <c r="AD517" s="97" t="n"/>
      <c r="AE517" s="97" t="n"/>
      <c r="AF517" s="97" t="n">
        <v>26.85392</v>
      </c>
      <c r="AG517" s="97" t="n">
        <v>23.4972</v>
      </c>
      <c r="AH517" s="97" t="n"/>
      <c r="AI517" s="97" t="n"/>
      <c r="AJ517" s="97" t="n">
        <v>24.55097</v>
      </c>
      <c r="AK517" s="97" t="n"/>
      <c r="AL517" s="97" t="n"/>
      <c r="AM517" s="97" t="n">
        <v>31.38073</v>
      </c>
      <c r="AN517" s="97" t="n"/>
      <c r="AO517" s="97" t="n">
        <v>24.60422</v>
      </c>
      <c r="AP517" s="97" t="n"/>
      <c r="AQ517" s="97" t="n"/>
      <c r="AR517" s="97" t="n"/>
      <c r="AS517" s="97" t="n"/>
      <c r="AT517" s="97" t="n"/>
      <c r="AU517" s="97" t="n"/>
      <c r="AV517" s="97" t="n"/>
      <c r="AW517" s="97" t="n"/>
      <c r="AX517" s="97" t="n"/>
      <c r="AY517" s="97" t="n"/>
    </row>
    <row r="518" s="135">
      <c r="A518" t="inlineStr">
        <is>
          <t>1962-01</t>
        </is>
      </c>
      <c r="B518" s="2" t="n">
        <v>22647</v>
      </c>
      <c r="C518" s="96" t="n">
        <v>518</v>
      </c>
      <c r="E518" s="2">
        <f>B518</f>
        <v/>
      </c>
      <c r="F518" s="3">
        <f>B518</f>
        <v/>
      </c>
      <c r="G518" s="96" t="n">
        <v>516</v>
      </c>
      <c r="H518" s="97" t="n"/>
      <c r="I518" s="97" t="n"/>
      <c r="J518" s="97" t="n">
        <v>28.70617</v>
      </c>
      <c r="K518" s="97" t="n">
        <v>24.00531</v>
      </c>
      <c r="L518" s="97" t="n"/>
      <c r="M518" s="97" t="n"/>
      <c r="N518" s="97" t="n">
        <v>32.33999</v>
      </c>
      <c r="O518" s="97" t="n"/>
      <c r="P518" s="97" t="n"/>
      <c r="Q518" s="97" t="n"/>
      <c r="R518" s="97" t="n">
        <v>18.48278</v>
      </c>
      <c r="S518" s="97" t="n">
        <v>39.60572</v>
      </c>
      <c r="T518" s="97" t="n">
        <v>55.96227</v>
      </c>
      <c r="U518" s="97" t="n">
        <v>27.182</v>
      </c>
      <c r="V518" s="97" t="n"/>
      <c r="W518" s="97" t="n"/>
      <c r="X518" s="97" t="n"/>
      <c r="Y518" s="97" t="n"/>
      <c r="Z518" s="97" t="n">
        <v>41.50771</v>
      </c>
      <c r="AA518" s="97" t="n">
        <v>17.33057</v>
      </c>
      <c r="AB518" s="97" t="n"/>
      <c r="AC518" s="97" t="n">
        <v>38.99731</v>
      </c>
      <c r="AD518" s="97" t="n"/>
      <c r="AE518" s="97" t="n"/>
      <c r="AF518" s="97" t="n">
        <v>26.56824</v>
      </c>
      <c r="AG518" s="97" t="n">
        <v>23.08537</v>
      </c>
      <c r="AH518" s="97" t="n"/>
      <c r="AI518" s="97" t="n"/>
      <c r="AJ518" s="97" t="n">
        <v>25.75877</v>
      </c>
      <c r="AK518" s="97" t="n"/>
      <c r="AL518" s="97" t="n"/>
      <c r="AM518" s="97" t="n">
        <v>31.38073</v>
      </c>
      <c r="AN518" s="97" t="n"/>
      <c r="AO518" s="97" t="n">
        <v>24.39147</v>
      </c>
      <c r="AP518" s="97" t="n"/>
      <c r="AQ518" s="97" t="n"/>
      <c r="AR518" s="97" t="n"/>
      <c r="AS518" s="97" t="n"/>
      <c r="AT518" s="97" t="n"/>
      <c r="AU518" s="97" t="n"/>
      <c r="AV518" s="97" t="n"/>
      <c r="AW518" s="97" t="n"/>
      <c r="AX518" s="97" t="n"/>
      <c r="AY518" s="97" t="n"/>
    </row>
    <row r="519" s="135">
      <c r="A519" t="inlineStr">
        <is>
          <t>1962-02</t>
        </is>
      </c>
      <c r="B519" s="2" t="n">
        <v>22678</v>
      </c>
      <c r="C519" s="96" t="n">
        <v>519</v>
      </c>
      <c r="E519" s="2">
        <f>B519</f>
        <v/>
      </c>
      <c r="F519" s="3">
        <f>B519</f>
        <v/>
      </c>
      <c r="G519" s="96" t="n">
        <v>517</v>
      </c>
      <c r="H519" s="97" t="n"/>
      <c r="I519" s="97" t="n"/>
      <c r="J519" s="97" t="n">
        <v>28.86582</v>
      </c>
      <c r="K519" s="97" t="n">
        <v>24.23698</v>
      </c>
      <c r="L519" s="97" t="n"/>
      <c r="M519" s="97" t="n"/>
      <c r="N519" s="97" t="n">
        <v>32.27827</v>
      </c>
      <c r="O519" s="97" t="n"/>
      <c r="P519" s="97" t="n"/>
      <c r="Q519" s="97" t="n"/>
      <c r="R519" s="97" t="n">
        <v>18.42048</v>
      </c>
      <c r="S519" s="97" t="n">
        <v>39.93743</v>
      </c>
      <c r="T519" s="97" t="n">
        <v>56.46193</v>
      </c>
      <c r="U519" s="97" t="n">
        <v>26.98185</v>
      </c>
      <c r="V519" s="97" t="n"/>
      <c r="W519" s="97" t="n"/>
      <c r="X519" s="97" t="n"/>
      <c r="Y519" s="97" t="n"/>
      <c r="Z519" s="97" t="n">
        <v>41.6218</v>
      </c>
      <c r="AA519" s="97" t="n">
        <v>17.33057</v>
      </c>
      <c r="AB519" s="97" t="n"/>
      <c r="AC519" s="97" t="n">
        <v>39.98238</v>
      </c>
      <c r="AD519" s="97" t="n"/>
      <c r="AE519" s="97" t="n"/>
      <c r="AF519" s="97" t="n">
        <v>26.85392</v>
      </c>
      <c r="AG519" s="97" t="n">
        <v>23.52007</v>
      </c>
      <c r="AH519" s="97" t="n"/>
      <c r="AI519" s="97" t="n"/>
      <c r="AJ519" s="97" t="n">
        <v>25.42728</v>
      </c>
      <c r="AK519" s="97" t="n"/>
      <c r="AL519" s="97" t="n"/>
      <c r="AM519" s="97" t="n">
        <v>32.29031</v>
      </c>
      <c r="AN519" s="97" t="n"/>
      <c r="AO519" s="97" t="n">
        <v>24.79046</v>
      </c>
      <c r="AP519" s="97" t="n"/>
      <c r="AQ519" s="97" t="n"/>
      <c r="AR519" s="97" t="n"/>
      <c r="AS519" s="97" t="n"/>
      <c r="AT519" s="97" t="n"/>
      <c r="AU519" s="97" t="n"/>
      <c r="AV519" s="97" t="n"/>
      <c r="AW519" s="97" t="n"/>
      <c r="AX519" s="97" t="n"/>
      <c r="AY519" s="97" t="n"/>
    </row>
    <row r="520" s="135">
      <c r="A520" t="inlineStr">
        <is>
          <t>1962-03</t>
        </is>
      </c>
      <c r="B520" s="2" t="n">
        <v>22706</v>
      </c>
      <c r="C520" s="96" t="n">
        <v>520</v>
      </c>
      <c r="E520" s="2">
        <f>B520</f>
        <v/>
      </c>
      <c r="F520" s="3">
        <f>B520</f>
        <v/>
      </c>
      <c r="G520" s="96" t="n">
        <v>518</v>
      </c>
      <c r="H520" s="97" t="n"/>
      <c r="I520" s="97" t="n"/>
      <c r="J520" s="97" t="n">
        <v>28.28421</v>
      </c>
      <c r="K520" s="97" t="n">
        <v>24.57484</v>
      </c>
      <c r="L520" s="97" t="n"/>
      <c r="M520" s="97" t="n"/>
      <c r="N520" s="97" t="n">
        <v>32.27827</v>
      </c>
      <c r="O520" s="97" t="n"/>
      <c r="P520" s="97" t="n"/>
      <c r="Q520" s="97" t="n"/>
      <c r="R520" s="97" t="n">
        <v>18.21281</v>
      </c>
      <c r="S520" s="97" t="n">
        <v>40.23596</v>
      </c>
      <c r="T520" s="97" t="n">
        <v>56.96159</v>
      </c>
      <c r="U520" s="97" t="n">
        <v>26.82468</v>
      </c>
      <c r="V520" s="97" t="n"/>
      <c r="W520" s="97" t="n"/>
      <c r="X520" s="97" t="n"/>
      <c r="Y520" s="97" t="n"/>
      <c r="Z520" s="97" t="n">
        <v>41.27954</v>
      </c>
      <c r="AA520" s="97" t="n">
        <v>17.58295</v>
      </c>
      <c r="AB520" s="97" t="n"/>
      <c r="AC520" s="97" t="n">
        <v>39.10129</v>
      </c>
      <c r="AD520" s="97" t="n"/>
      <c r="AE520" s="97" t="n"/>
      <c r="AF520" s="97" t="n">
        <v>26.56824</v>
      </c>
      <c r="AG520" s="97" t="n">
        <v>23.22264</v>
      </c>
      <c r="AH520" s="97" t="n"/>
      <c r="AI520" s="97" t="n"/>
      <c r="AJ520" s="97" t="n">
        <v>24.69208</v>
      </c>
      <c r="AK520" s="97" t="n"/>
      <c r="AL520" s="97" t="n"/>
      <c r="AM520" s="97" t="n">
        <v>32.29031</v>
      </c>
      <c r="AN520" s="97" t="n"/>
      <c r="AO520" s="97" t="n">
        <v>24.92349</v>
      </c>
      <c r="AP520" s="97" t="n"/>
      <c r="AQ520" s="97" t="n"/>
      <c r="AR520" s="97" t="n"/>
      <c r="AS520" s="97" t="n"/>
      <c r="AT520" s="97" t="n"/>
      <c r="AU520" s="97" t="n"/>
      <c r="AV520" s="97" t="n"/>
      <c r="AW520" s="97" t="n"/>
      <c r="AX520" s="97" t="n"/>
      <c r="AY520" s="97" t="n"/>
    </row>
    <row r="521" s="135">
      <c r="A521" t="inlineStr">
        <is>
          <t>1962-04</t>
        </is>
      </c>
      <c r="B521" s="2" t="n">
        <v>22737</v>
      </c>
      <c r="C521" s="96" t="n">
        <v>521</v>
      </c>
      <c r="E521" s="2">
        <f>B521</f>
        <v/>
      </c>
      <c r="F521" s="3">
        <f>B521</f>
        <v/>
      </c>
      <c r="G521" s="96" t="n">
        <v>519</v>
      </c>
      <c r="H521" s="97" t="n"/>
      <c r="I521" s="97" t="n"/>
      <c r="J521" s="97" t="n">
        <v>28.46362</v>
      </c>
      <c r="K521" s="97" t="n">
        <v>24.66319</v>
      </c>
      <c r="L521" s="97" t="n"/>
      <c r="M521" s="97" t="n"/>
      <c r="N521" s="97" t="n">
        <v>31.78453</v>
      </c>
      <c r="O521" s="97" t="n"/>
      <c r="P521" s="97" t="n"/>
      <c r="Q521" s="97" t="n"/>
      <c r="R521" s="97" t="n">
        <v>19.02273</v>
      </c>
      <c r="S521" s="97" t="n">
        <v>40.07011</v>
      </c>
      <c r="T521" s="97" t="n">
        <v>56.96159</v>
      </c>
      <c r="U521" s="97" t="n">
        <v>27.25394</v>
      </c>
      <c r="V521" s="97" t="n"/>
      <c r="W521" s="97" t="n"/>
      <c r="X521" s="97" t="n"/>
      <c r="Y521" s="97" t="n"/>
      <c r="Z521" s="97" t="n">
        <v>41.58377</v>
      </c>
      <c r="AA521" s="97" t="n">
        <v>17.33057</v>
      </c>
      <c r="AB521" s="97" t="n"/>
      <c r="AC521" s="97" t="n">
        <v>39.23385</v>
      </c>
      <c r="AD521" s="97" t="n"/>
      <c r="AE521" s="97" t="n"/>
      <c r="AF521" s="97" t="n">
        <v>26.56824</v>
      </c>
      <c r="AG521" s="97" t="n">
        <v>23.86327</v>
      </c>
      <c r="AH521" s="97" t="n"/>
      <c r="AI521" s="97" t="n"/>
      <c r="AJ521" s="97" t="n">
        <v>23.71066</v>
      </c>
      <c r="AK521" s="97" t="n"/>
      <c r="AL521" s="97" t="n"/>
      <c r="AM521" s="97" t="n">
        <v>32.29031</v>
      </c>
      <c r="AN521" s="97" t="n"/>
      <c r="AO521" s="97" t="n">
        <v>24.97661</v>
      </c>
      <c r="AP521" s="97" t="n"/>
      <c r="AQ521" s="97" t="n"/>
      <c r="AR521" s="97" t="n"/>
      <c r="AS521" s="97" t="n"/>
      <c r="AT521" s="97" t="n"/>
      <c r="AU521" s="97" t="n"/>
      <c r="AV521" s="97" t="n"/>
      <c r="AW521" s="97" t="n"/>
      <c r="AX521" s="97" t="n"/>
      <c r="AY521" s="97" t="n"/>
    </row>
    <row r="522" s="135">
      <c r="A522" t="inlineStr">
        <is>
          <t>1962-05</t>
        </is>
      </c>
      <c r="B522" s="2" t="n">
        <v>22767</v>
      </c>
      <c r="C522" s="96" t="n">
        <v>522</v>
      </c>
      <c r="E522" s="2">
        <f>B522</f>
        <v/>
      </c>
      <c r="F522" s="3">
        <f>B522</f>
        <v/>
      </c>
      <c r="G522" s="96" t="n">
        <v>520</v>
      </c>
      <c r="H522" s="97" t="n"/>
      <c r="I522" s="97" t="n"/>
      <c r="J522" s="97" t="n">
        <v>29.17792</v>
      </c>
      <c r="K522" s="97" t="n">
        <v>25.07342</v>
      </c>
      <c r="L522" s="97" t="n"/>
      <c r="M522" s="97" t="n"/>
      <c r="N522" s="97" t="n">
        <v>32.77201</v>
      </c>
      <c r="O522" s="97" t="n"/>
      <c r="P522" s="97" t="n"/>
      <c r="Q522" s="97" t="n"/>
      <c r="R522" s="97" t="n">
        <v>18.71122</v>
      </c>
      <c r="S522" s="97" t="n">
        <v>40.36864</v>
      </c>
      <c r="T522" s="97" t="n">
        <v>57.46126</v>
      </c>
      <c r="U522" s="97" t="n">
        <v>27.15898</v>
      </c>
      <c r="V522" s="97" t="n"/>
      <c r="W522" s="97" t="n"/>
      <c r="X522" s="97" t="n"/>
      <c r="Y522" s="97" t="n"/>
      <c r="Z522" s="97" t="n">
        <v>42.13518</v>
      </c>
      <c r="AA522" s="97" t="n">
        <v>17.58295</v>
      </c>
      <c r="AB522" s="97" t="n"/>
      <c r="AC522" s="97" t="n">
        <v>37.75923</v>
      </c>
      <c r="AD522" s="97" t="n"/>
      <c r="AE522" s="97" t="n"/>
      <c r="AF522" s="97" t="n">
        <v>26.85392</v>
      </c>
      <c r="AG522" s="97" t="n">
        <v>23.77175</v>
      </c>
      <c r="AH522" s="97" t="n"/>
      <c r="AI522" s="97" t="n"/>
      <c r="AJ522" s="97" t="n">
        <v>24.94221</v>
      </c>
      <c r="AK522" s="97" t="n"/>
      <c r="AL522" s="97" t="n"/>
      <c r="AM522" s="97" t="n">
        <v>32.29031</v>
      </c>
      <c r="AN522" s="97" t="n"/>
      <c r="AO522" s="97" t="n">
        <v>24.95</v>
      </c>
      <c r="AP522" s="97" t="n"/>
      <c r="AQ522" s="97" t="n"/>
      <c r="AR522" s="97" t="n"/>
      <c r="AS522" s="97" t="n"/>
      <c r="AT522" s="97" t="n"/>
      <c r="AU522" s="97" t="n"/>
      <c r="AV522" s="97" t="n"/>
      <c r="AW522" s="97" t="n"/>
      <c r="AX522" s="97" t="n"/>
      <c r="AY522" s="97" t="n"/>
    </row>
    <row r="523" s="135">
      <c r="A523" t="inlineStr">
        <is>
          <t>1962-06</t>
        </is>
      </c>
      <c r="B523" s="2" t="n">
        <v>22798</v>
      </c>
      <c r="C523" s="96" t="n">
        <v>523</v>
      </c>
      <c r="E523" s="2">
        <f>B523</f>
        <v/>
      </c>
      <c r="F523" s="3">
        <f>B523</f>
        <v/>
      </c>
      <c r="G523" s="96" t="n">
        <v>521</v>
      </c>
      <c r="H523" s="97" t="n"/>
      <c r="I523" s="97" t="n"/>
      <c r="J523" s="97" t="n">
        <v>29.33312</v>
      </c>
      <c r="K523" s="97" t="n">
        <v>25.36523</v>
      </c>
      <c r="L523" s="97" t="n"/>
      <c r="M523" s="97" t="n"/>
      <c r="N523" s="97" t="n">
        <v>32.77201</v>
      </c>
      <c r="O523" s="97" t="n"/>
      <c r="P523" s="97" t="n"/>
      <c r="Q523" s="97" t="n"/>
      <c r="R523" s="97" t="n">
        <v>18.58662</v>
      </c>
      <c r="S523" s="97" t="n">
        <v>40.10328</v>
      </c>
      <c r="T523" s="97" t="n">
        <v>57.46126</v>
      </c>
      <c r="U523" s="97" t="n">
        <v>27.9032</v>
      </c>
      <c r="V523" s="97" t="n"/>
      <c r="W523" s="97" t="n"/>
      <c r="X523" s="97" t="n"/>
      <c r="Y523" s="97" t="n"/>
      <c r="Z523" s="97" t="n">
        <v>40.95631</v>
      </c>
      <c r="AA523" s="97" t="n">
        <v>17.33057</v>
      </c>
      <c r="AB523" s="97" t="n"/>
      <c r="AC523" s="97" t="n">
        <v>38.96405</v>
      </c>
      <c r="AD523" s="97" t="n"/>
      <c r="AE523" s="97" t="n"/>
      <c r="AF523" s="97" t="n">
        <v>27.1396</v>
      </c>
      <c r="AG523" s="97" t="n">
        <v>23.4972</v>
      </c>
      <c r="AH523" s="97" t="n"/>
      <c r="AI523" s="97" t="n"/>
      <c r="AJ523" s="97" t="n">
        <v>26.05305</v>
      </c>
      <c r="AK523" s="97" t="n"/>
      <c r="AL523" s="97" t="n"/>
      <c r="AM523" s="97" t="n">
        <v>32.74511</v>
      </c>
      <c r="AN523" s="97" t="n"/>
      <c r="AO523" s="97" t="n">
        <v>24.89689</v>
      </c>
      <c r="AP523" s="97" t="n"/>
      <c r="AQ523" s="97" t="n"/>
      <c r="AR523" s="97" t="n"/>
      <c r="AS523" s="97" t="n"/>
      <c r="AT523" s="97" t="n"/>
      <c r="AU523" s="97" t="n"/>
      <c r="AV523" s="97" t="n"/>
      <c r="AW523" s="97" t="n"/>
      <c r="AX523" s="97" t="n"/>
      <c r="AY523" s="97" t="n"/>
    </row>
    <row r="524" s="135">
      <c r="A524" t="inlineStr">
        <is>
          <t>1962-07</t>
        </is>
      </c>
      <c r="B524" s="2" t="n">
        <v>22828</v>
      </c>
      <c r="C524" s="96" t="n">
        <v>524</v>
      </c>
      <c r="E524" s="2">
        <f>B524</f>
        <v/>
      </c>
      <c r="F524" s="3">
        <f>B524</f>
        <v/>
      </c>
      <c r="G524" s="96" t="n">
        <v>522</v>
      </c>
      <c r="H524" s="97" t="n"/>
      <c r="I524" s="97" t="n"/>
      <c r="J524" s="97" t="n">
        <v>29.33736</v>
      </c>
      <c r="K524" s="97" t="n">
        <v>25.66738</v>
      </c>
      <c r="L524" s="97" t="n"/>
      <c r="M524" s="97" t="n"/>
      <c r="N524" s="97" t="n">
        <v>32.83373</v>
      </c>
      <c r="O524" s="97" t="n"/>
      <c r="P524" s="97" t="n"/>
      <c r="Q524" s="97" t="n"/>
      <c r="R524" s="97" t="n">
        <v>18.39971</v>
      </c>
      <c r="S524" s="97" t="n">
        <v>40.73352</v>
      </c>
      <c r="T524" s="97" t="n">
        <v>57.46126</v>
      </c>
      <c r="U524" s="97" t="n">
        <v>27.21054</v>
      </c>
      <c r="V524" s="97" t="n"/>
      <c r="W524" s="97" t="n"/>
      <c r="X524" s="97" t="n"/>
      <c r="Y524" s="97" t="n"/>
      <c r="Z524" s="97" t="n">
        <v>42.45842</v>
      </c>
      <c r="AA524" s="97" t="n">
        <v>16.99405</v>
      </c>
      <c r="AB524" s="97" t="n"/>
      <c r="AC524" s="97" t="n">
        <v>38.64236</v>
      </c>
      <c r="AD524" s="97" t="n"/>
      <c r="AE524" s="97" t="n"/>
      <c r="AF524" s="97" t="n">
        <v>27.42528</v>
      </c>
      <c r="AG524" s="97" t="n">
        <v>23.86327</v>
      </c>
      <c r="AH524" s="97" t="n"/>
      <c r="AI524" s="97" t="n"/>
      <c r="AJ524" s="97" t="n">
        <v>25.08605</v>
      </c>
      <c r="AK524" s="97" t="n"/>
      <c r="AL524" s="97" t="n"/>
      <c r="AM524" s="97" t="n">
        <v>33.65469</v>
      </c>
      <c r="AN524" s="97" t="n"/>
      <c r="AO524" s="97" t="n">
        <v>25.13625</v>
      </c>
      <c r="AP524" s="97" t="n"/>
      <c r="AQ524" s="97" t="n"/>
      <c r="AR524" s="97" t="n"/>
      <c r="AS524" s="97" t="n"/>
      <c r="AT524" s="97" t="n"/>
      <c r="AU524" s="97" t="n"/>
      <c r="AV524" s="97" t="n"/>
      <c r="AW524" s="97" t="n"/>
      <c r="AX524" s="97" t="n"/>
      <c r="AY524" s="97" t="n"/>
    </row>
    <row r="525" s="135">
      <c r="A525" t="inlineStr">
        <is>
          <t>1962-08</t>
        </is>
      </c>
      <c r="B525" s="2" t="n">
        <v>22859</v>
      </c>
      <c r="C525" s="96" t="n">
        <v>525</v>
      </c>
      <c r="E525" s="2">
        <f>B525</f>
        <v/>
      </c>
      <c r="F525" s="3">
        <f>B525</f>
        <v/>
      </c>
      <c r="G525" s="96" t="n">
        <v>523</v>
      </c>
      <c r="H525" s="97" t="n"/>
      <c r="I525" s="97" t="n"/>
      <c r="J525" s="97" t="n">
        <v>29.70955</v>
      </c>
      <c r="K525" s="97" t="n">
        <v>25.15236</v>
      </c>
      <c r="L525" s="97" t="n"/>
      <c r="M525" s="97" t="n"/>
      <c r="N525" s="97" t="n">
        <v>34.25323</v>
      </c>
      <c r="O525" s="97" t="n"/>
      <c r="P525" s="97" t="n"/>
      <c r="Q525" s="97" t="n"/>
      <c r="R525" s="97" t="n">
        <v>18.58662</v>
      </c>
      <c r="S525" s="97" t="n">
        <v>40.73352</v>
      </c>
      <c r="T525" s="97" t="n">
        <v>57.46126</v>
      </c>
      <c r="U525" s="97" t="n">
        <v>27.04476</v>
      </c>
      <c r="V525" s="97" t="n"/>
      <c r="W525" s="97" t="n"/>
      <c r="X525" s="97" t="n"/>
      <c r="Y525" s="97" t="n"/>
      <c r="Z525" s="97" t="n">
        <v>42.53447</v>
      </c>
      <c r="AA525" s="97" t="n">
        <v>17.33057</v>
      </c>
      <c r="AB525" s="97" t="n"/>
      <c r="AC525" s="97" t="n">
        <v>38.65822</v>
      </c>
      <c r="AD525" s="97" t="n"/>
      <c r="AE525" s="97" t="n"/>
      <c r="AF525" s="97" t="n">
        <v>27.42528</v>
      </c>
      <c r="AG525" s="97" t="n">
        <v>24.00054</v>
      </c>
      <c r="AH525" s="97" t="n"/>
      <c r="AI525" s="97" t="n"/>
      <c r="AJ525" s="97" t="n">
        <v>25.9226</v>
      </c>
      <c r="AK525" s="97" t="n"/>
      <c r="AL525" s="97" t="n"/>
      <c r="AM525" s="97" t="n">
        <v>33.65469</v>
      </c>
      <c r="AN525" s="97" t="n"/>
      <c r="AO525" s="97" t="n">
        <v>25.16285</v>
      </c>
      <c r="AP525" s="97" t="n"/>
      <c r="AQ525" s="97" t="n"/>
      <c r="AR525" s="97" t="n"/>
      <c r="AS525" s="97" t="n"/>
      <c r="AT525" s="97" t="n"/>
      <c r="AU525" s="97" t="n"/>
      <c r="AV525" s="97" t="n"/>
      <c r="AW525" s="97" t="n"/>
      <c r="AX525" s="97" t="n"/>
      <c r="AY525" s="97" t="n"/>
    </row>
    <row r="526" s="135">
      <c r="A526" t="inlineStr">
        <is>
          <t>1962-09</t>
        </is>
      </c>
      <c r="B526" s="2" t="n">
        <v>22890</v>
      </c>
      <c r="C526" s="96" t="n">
        <v>526</v>
      </c>
      <c r="E526" s="2">
        <f>B526</f>
        <v/>
      </c>
      <c r="F526" s="3">
        <f>B526</f>
        <v/>
      </c>
      <c r="G526" s="96" t="n">
        <v>524</v>
      </c>
      <c r="H526" s="97" t="n"/>
      <c r="I526" s="97" t="n"/>
      <c r="J526" s="97" t="n">
        <v>29.68764</v>
      </c>
      <c r="K526" s="97" t="n">
        <v>25.74538</v>
      </c>
      <c r="L526" s="97" t="n"/>
      <c r="M526" s="97" t="n"/>
      <c r="N526" s="97" t="n">
        <v>33.45091</v>
      </c>
      <c r="O526" s="97" t="n"/>
      <c r="P526" s="97" t="n"/>
      <c r="Q526" s="97" t="n"/>
      <c r="R526" s="97" t="n">
        <v>19.06426</v>
      </c>
      <c r="S526" s="97" t="n">
        <v>41.03205</v>
      </c>
      <c r="T526" s="97" t="n">
        <v>57.96092</v>
      </c>
      <c r="U526" s="97" t="n">
        <v>27.63672</v>
      </c>
      <c r="V526" s="97" t="n"/>
      <c r="W526" s="97" t="n"/>
      <c r="X526" s="97" t="n"/>
      <c r="Y526" s="97" t="n"/>
      <c r="Z526" s="97" t="n">
        <v>41.83095</v>
      </c>
      <c r="AA526" s="97" t="n">
        <v>17.07818</v>
      </c>
      <c r="AB526" s="97" t="n"/>
      <c r="AC526" s="97" t="n">
        <v>40.4188</v>
      </c>
      <c r="AD526" s="97" t="n"/>
      <c r="AE526" s="97" t="n"/>
      <c r="AF526" s="97" t="n">
        <v>27.42528</v>
      </c>
      <c r="AG526" s="97" t="n">
        <v>24.18358</v>
      </c>
      <c r="AH526" s="97" t="n"/>
      <c r="AI526" s="97" t="n"/>
      <c r="AJ526" s="97" t="n">
        <v>24.94842</v>
      </c>
      <c r="AK526" s="97" t="n"/>
      <c r="AL526" s="97" t="n"/>
      <c r="AM526" s="97" t="n">
        <v>33.65469</v>
      </c>
      <c r="AN526" s="97" t="n"/>
      <c r="AO526" s="97" t="n">
        <v>25.32239</v>
      </c>
      <c r="AP526" s="97" t="n"/>
      <c r="AQ526" s="97" t="n"/>
      <c r="AR526" s="97" t="n"/>
      <c r="AS526" s="97" t="n"/>
      <c r="AT526" s="97" t="n"/>
      <c r="AU526" s="97" t="n"/>
      <c r="AV526" s="97" t="n"/>
      <c r="AW526" s="97" t="n"/>
      <c r="AX526" s="97" t="n"/>
      <c r="AY526" s="97" t="n"/>
    </row>
    <row r="527" s="135">
      <c r="A527" t="inlineStr">
        <is>
          <t>1962-10</t>
        </is>
      </c>
      <c r="B527" s="2" t="n">
        <v>22920</v>
      </c>
      <c r="C527" s="96" t="n">
        <v>527</v>
      </c>
      <c r="E527" s="2">
        <f>B527</f>
        <v/>
      </c>
      <c r="F527" s="3">
        <f>B527</f>
        <v/>
      </c>
      <c r="G527" s="96" t="n">
        <v>525</v>
      </c>
      <c r="H527" s="97" t="n"/>
      <c r="I527" s="97" t="n"/>
      <c r="J527" s="97" t="n">
        <v>29.44437</v>
      </c>
      <c r="K527" s="97" t="n">
        <v>25.57669</v>
      </c>
      <c r="L527" s="97" t="n"/>
      <c r="M527" s="97" t="n"/>
      <c r="N527" s="97" t="n">
        <v>32.89545</v>
      </c>
      <c r="O527" s="97" t="n"/>
      <c r="P527" s="97" t="n"/>
      <c r="Q527" s="97" t="n"/>
      <c r="R527" s="97" t="n">
        <v>18.75275</v>
      </c>
      <c r="S527" s="97" t="n">
        <v>41.16474</v>
      </c>
      <c r="T527" s="97" t="n">
        <v>56.96159</v>
      </c>
      <c r="U527" s="97" t="n">
        <v>27.90868</v>
      </c>
      <c r="V527" s="97" t="n"/>
      <c r="W527" s="97" t="n"/>
      <c r="X527" s="97" t="n"/>
      <c r="Y527" s="97" t="n"/>
      <c r="Z527" s="97" t="n">
        <v>42.40137</v>
      </c>
      <c r="AA527" s="97" t="n">
        <v>16.99405</v>
      </c>
      <c r="AB527" s="97" t="n"/>
      <c r="AC527" s="97" t="n">
        <v>39.46128</v>
      </c>
      <c r="AD527" s="97" t="n"/>
      <c r="AE527" s="97" t="n"/>
      <c r="AF527" s="97" t="n">
        <v>27.42528</v>
      </c>
      <c r="AG527" s="97" t="n">
        <v>24.70981</v>
      </c>
      <c r="AH527" s="97" t="n"/>
      <c r="AI527" s="97" t="n"/>
      <c r="AJ527" s="97" t="n">
        <v>24.64943</v>
      </c>
      <c r="AK527" s="97" t="n"/>
      <c r="AL527" s="97" t="n"/>
      <c r="AM527" s="97" t="n">
        <v>33.65469</v>
      </c>
      <c r="AN527" s="97" t="n"/>
      <c r="AO527" s="97" t="n">
        <v>25.349</v>
      </c>
      <c r="AP527" s="97" t="n"/>
      <c r="AQ527" s="97" t="n"/>
      <c r="AR527" s="97" t="n"/>
      <c r="AS527" s="97" t="n"/>
      <c r="AT527" s="97" t="n"/>
      <c r="AU527" s="97" t="n"/>
      <c r="AV527" s="97" t="n"/>
      <c r="AW527" s="97" t="n"/>
      <c r="AX527" s="97" t="n"/>
      <c r="AY527" s="97" t="n"/>
    </row>
    <row r="528" s="135">
      <c r="A528" t="inlineStr">
        <is>
          <t>1962-11</t>
        </is>
      </c>
      <c r="B528" s="2" t="n">
        <v>22951</v>
      </c>
      <c r="C528" s="96" t="n">
        <v>528</v>
      </c>
      <c r="E528" s="2">
        <f>B528</f>
        <v/>
      </c>
      <c r="F528" s="3">
        <f>B528</f>
        <v/>
      </c>
      <c r="G528" s="96" t="n">
        <v>526</v>
      </c>
      <c r="H528" s="97" t="n"/>
      <c r="I528" s="97" t="n"/>
      <c r="J528" s="97" t="n">
        <v>29.50554</v>
      </c>
      <c r="K528" s="97" t="n">
        <v>25.59877</v>
      </c>
      <c r="L528" s="97" t="n"/>
      <c r="M528" s="97" t="n"/>
      <c r="N528" s="97" t="n">
        <v>33.57434</v>
      </c>
      <c r="O528" s="97" t="n"/>
      <c r="P528" s="97" t="n"/>
      <c r="Q528" s="97" t="n"/>
      <c r="R528" s="97" t="n">
        <v>19.00196</v>
      </c>
      <c r="S528" s="97" t="n">
        <v>41.36376</v>
      </c>
      <c r="T528" s="97" t="n">
        <v>56.96159</v>
      </c>
      <c r="U528" s="97" t="n">
        <v>27.94533</v>
      </c>
      <c r="V528" s="97" t="n"/>
      <c r="W528" s="97" t="n"/>
      <c r="X528" s="97" t="n"/>
      <c r="Y528" s="97" t="n"/>
      <c r="Z528" s="97" t="n">
        <v>43.31405</v>
      </c>
      <c r="AA528" s="97" t="n">
        <v>17.07818</v>
      </c>
      <c r="AB528" s="97" t="n"/>
      <c r="AC528" s="97" t="n">
        <v>41.37086</v>
      </c>
      <c r="AD528" s="97" t="n"/>
      <c r="AE528" s="97" t="n"/>
      <c r="AF528" s="97" t="n">
        <v>27.71096</v>
      </c>
      <c r="AG528" s="97" t="n">
        <v>24.68693</v>
      </c>
      <c r="AH528" s="97" t="n"/>
      <c r="AI528" s="97" t="n"/>
      <c r="AJ528" s="97" t="n">
        <v>25.5647</v>
      </c>
      <c r="AK528" s="97" t="n"/>
      <c r="AL528" s="97" t="n"/>
      <c r="AM528" s="97" t="n">
        <v>34.10949</v>
      </c>
      <c r="AN528" s="97" t="n"/>
      <c r="AO528" s="97" t="n">
        <v>25.45542</v>
      </c>
      <c r="AP528" s="97" t="n"/>
      <c r="AQ528" s="97" t="n"/>
      <c r="AR528" s="97" t="n"/>
      <c r="AS528" s="97" t="n"/>
      <c r="AT528" s="97" t="n"/>
      <c r="AU528" s="97" t="n"/>
      <c r="AV528" s="97" t="n"/>
      <c r="AW528" s="97" t="n"/>
      <c r="AX528" s="97" t="n"/>
      <c r="AY528" s="97" t="n"/>
    </row>
    <row r="529" s="135">
      <c r="A529" t="inlineStr">
        <is>
          <t>1962-12</t>
        </is>
      </c>
      <c r="B529" s="2" t="n">
        <v>22981</v>
      </c>
      <c r="C529" s="96" t="n">
        <v>529</v>
      </c>
      <c r="E529" s="2">
        <f>B529</f>
        <v/>
      </c>
      <c r="F529" s="3">
        <f>B529</f>
        <v/>
      </c>
      <c r="G529" s="96" t="n">
        <v>527</v>
      </c>
      <c r="H529" s="97" t="n"/>
      <c r="I529" s="97" t="n"/>
      <c r="J529" s="97" t="n">
        <v>29.68004</v>
      </c>
      <c r="K529" s="97" t="n">
        <v>25.57669</v>
      </c>
      <c r="L529" s="97" t="n"/>
      <c r="M529" s="97" t="n"/>
      <c r="N529" s="97" t="n">
        <v>32.7103</v>
      </c>
      <c r="O529" s="97" t="n"/>
      <c r="P529" s="97" t="n"/>
      <c r="Q529" s="97" t="n"/>
      <c r="R529" s="97" t="n">
        <v>19.2927</v>
      </c>
      <c r="S529" s="97" t="n">
        <v>40.99889</v>
      </c>
      <c r="T529" s="97" t="n">
        <v>56.96159</v>
      </c>
      <c r="U529" s="97" t="n">
        <v>27.74281</v>
      </c>
      <c r="V529" s="97" t="n"/>
      <c r="W529" s="97" t="n"/>
      <c r="X529" s="97" t="n"/>
      <c r="Y529" s="97" t="n"/>
      <c r="Z529" s="97" t="n">
        <v>44.24574</v>
      </c>
      <c r="AA529" s="97" t="n">
        <v>16.99405</v>
      </c>
      <c r="AB529" s="97" t="n"/>
      <c r="AC529" s="97" t="n">
        <v>39.22179</v>
      </c>
      <c r="AD529" s="97" t="n"/>
      <c r="AE529" s="97" t="n"/>
      <c r="AF529" s="97" t="n">
        <v>26.85392</v>
      </c>
      <c r="AG529" s="97" t="n">
        <v>24.0463</v>
      </c>
      <c r="AH529" s="97" t="n"/>
      <c r="AI529" s="97" t="n"/>
      <c r="AJ529" s="97" t="n">
        <v>24.36543</v>
      </c>
      <c r="AK529" s="97" t="n"/>
      <c r="AL529" s="97" t="n"/>
      <c r="AM529" s="97" t="n">
        <v>34.56428</v>
      </c>
      <c r="AN529" s="97" t="n"/>
      <c r="AO529" s="97" t="n">
        <v>25.45542</v>
      </c>
      <c r="AP529" s="97" t="n"/>
      <c r="AQ529" s="97" t="n"/>
      <c r="AR529" s="97" t="n"/>
      <c r="AS529" s="97" t="n"/>
      <c r="AT529" s="97" t="n"/>
      <c r="AU529" s="97" t="n"/>
      <c r="AV529" s="97" t="n"/>
      <c r="AW529" s="97" t="n"/>
      <c r="AX529" s="97" t="n"/>
      <c r="AY529" s="97" t="n"/>
    </row>
    <row r="530" s="135">
      <c r="A530" t="inlineStr">
        <is>
          <t>1963-01</t>
        </is>
      </c>
      <c r="B530" s="2" t="n">
        <v>23012</v>
      </c>
      <c r="C530" s="96" t="n">
        <v>530</v>
      </c>
      <c r="E530" s="2">
        <f>B530</f>
        <v/>
      </c>
      <c r="F530" s="3">
        <f>B530</f>
        <v/>
      </c>
      <c r="G530" s="96" t="n">
        <v>528</v>
      </c>
      <c r="H530" s="97" t="n"/>
      <c r="I530" s="97" t="n"/>
      <c r="J530" s="97" t="n">
        <v>29.2761</v>
      </c>
      <c r="K530" s="97" t="n">
        <v>25.60018</v>
      </c>
      <c r="L530" s="97" t="n"/>
      <c r="M530" s="97" t="n"/>
      <c r="N530" s="97" t="n">
        <v>32.83373</v>
      </c>
      <c r="O530" s="97" t="n"/>
      <c r="P530" s="97" t="n"/>
      <c r="Q530" s="97" t="n"/>
      <c r="R530" s="97" t="n">
        <v>19.1058</v>
      </c>
      <c r="S530" s="97" t="n">
        <v>41.09978</v>
      </c>
      <c r="T530" s="97" t="n">
        <v>55.96227</v>
      </c>
      <c r="U530" s="97" t="n">
        <v>28.05904</v>
      </c>
      <c r="V530" s="97" t="n"/>
      <c r="W530" s="97" t="n"/>
      <c r="X530" s="97" t="n"/>
      <c r="Y530" s="97" t="n"/>
      <c r="Z530" s="97" t="n">
        <v>44.22672</v>
      </c>
      <c r="AA530" s="97" t="n">
        <v>17.33057</v>
      </c>
      <c r="AB530" s="97" t="n"/>
      <c r="AC530" s="97" t="n">
        <v>38.83787</v>
      </c>
      <c r="AD530" s="97" t="n"/>
      <c r="AE530" s="97" t="n"/>
      <c r="AF530" s="97" t="n">
        <v>26.85392</v>
      </c>
      <c r="AG530" s="97" t="n">
        <v>24.20646</v>
      </c>
      <c r="AH530" s="97" t="n"/>
      <c r="AI530" s="97" t="n"/>
      <c r="AJ530" s="97" t="n">
        <v>25.03936</v>
      </c>
      <c r="AK530" s="97" t="n"/>
      <c r="AL530" s="97" t="n"/>
      <c r="AM530" s="97" t="n">
        <v>33.1999</v>
      </c>
      <c r="AN530" s="97" t="n"/>
      <c r="AO530" s="97" t="n">
        <v>25.64157</v>
      </c>
      <c r="AP530" s="97" t="n"/>
      <c r="AQ530" s="97" t="n"/>
      <c r="AR530" s="97" t="n"/>
      <c r="AS530" s="97" t="n"/>
      <c r="AT530" s="97" t="n"/>
      <c r="AU530" s="97" t="n"/>
      <c r="AV530" s="97" t="n"/>
      <c r="AW530" s="97" t="n"/>
      <c r="AX530" s="97" t="n"/>
      <c r="AY530" s="97" t="n"/>
    </row>
    <row r="531" s="135">
      <c r="A531" t="inlineStr">
        <is>
          <t>1963-02</t>
        </is>
      </c>
      <c r="B531" s="2" t="n">
        <v>23043</v>
      </c>
      <c r="C531" s="96" t="n">
        <v>531</v>
      </c>
      <c r="E531" s="2">
        <f>B531</f>
        <v/>
      </c>
      <c r="F531" s="3">
        <f>B531</f>
        <v/>
      </c>
      <c r="G531" s="96" t="n">
        <v>529</v>
      </c>
      <c r="H531" s="97" t="n"/>
      <c r="I531" s="97" t="n"/>
      <c r="J531" s="97" t="n">
        <v>29.64637</v>
      </c>
      <c r="K531" s="97" t="n">
        <v>25.81352</v>
      </c>
      <c r="L531" s="97" t="n"/>
      <c r="M531" s="97" t="n"/>
      <c r="N531" s="97" t="n">
        <v>32.46343</v>
      </c>
      <c r="O531" s="97" t="n"/>
      <c r="P531" s="97" t="n"/>
      <c r="Q531" s="97" t="n"/>
      <c r="R531" s="97" t="n">
        <v>19.00196</v>
      </c>
      <c r="S531" s="97" t="n">
        <v>40.48908</v>
      </c>
      <c r="T531" s="97" t="n">
        <v>56.96159</v>
      </c>
      <c r="U531" s="97" t="n">
        <v>29.19199</v>
      </c>
      <c r="V531" s="97" t="n"/>
      <c r="W531" s="97" t="n"/>
      <c r="X531" s="97" t="n"/>
      <c r="Y531" s="97" t="n"/>
      <c r="Z531" s="97" t="n">
        <v>43.18095</v>
      </c>
      <c r="AA531" s="97" t="n">
        <v>17.83534</v>
      </c>
      <c r="AB531" s="97" t="n"/>
      <c r="AC531" s="97" t="n">
        <v>38.35259</v>
      </c>
      <c r="AD531" s="97" t="n"/>
      <c r="AE531" s="97" t="n"/>
      <c r="AF531" s="97" t="n">
        <v>26.85392</v>
      </c>
      <c r="AG531" s="97" t="n">
        <v>24.57253</v>
      </c>
      <c r="AH531" s="97" t="n"/>
      <c r="AI531" s="97" t="n"/>
      <c r="AJ531" s="97" t="n">
        <v>25.24794</v>
      </c>
      <c r="AK531" s="97" t="n"/>
      <c r="AL531" s="97" t="n"/>
      <c r="AM531" s="97" t="n">
        <v>33.65469</v>
      </c>
      <c r="AN531" s="97" t="n"/>
      <c r="AO531" s="97" t="n">
        <v>25.93424</v>
      </c>
      <c r="AP531" s="97" t="n"/>
      <c r="AQ531" s="97" t="n"/>
      <c r="AR531" s="97" t="n"/>
      <c r="AS531" s="97" t="n"/>
      <c r="AT531" s="97" t="n"/>
      <c r="AU531" s="97" t="n"/>
      <c r="AV531" s="97" t="n"/>
      <c r="AW531" s="97" t="n"/>
      <c r="AX531" s="97" t="n"/>
      <c r="AY531" s="97" t="n"/>
    </row>
    <row r="532" s="135">
      <c r="A532" t="inlineStr">
        <is>
          <t>1963-03</t>
        </is>
      </c>
      <c r="B532" s="2" t="n">
        <v>23071</v>
      </c>
      <c r="C532" s="96" t="n">
        <v>532</v>
      </c>
      <c r="E532" s="2">
        <f>B532</f>
        <v/>
      </c>
      <c r="F532" s="3">
        <f>B532</f>
        <v/>
      </c>
      <c r="G532" s="96" t="n">
        <v>530</v>
      </c>
      <c r="H532" s="97" t="n"/>
      <c r="I532" s="97" t="n"/>
      <c r="J532" s="97" t="n">
        <v>30.50237</v>
      </c>
      <c r="K532" s="97" t="n">
        <v>26.09876</v>
      </c>
      <c r="L532" s="97" t="n"/>
      <c r="M532" s="97" t="n"/>
      <c r="N532" s="97" t="n">
        <v>33.26575</v>
      </c>
      <c r="O532" s="97" t="n"/>
      <c r="P532" s="97" t="n"/>
      <c r="Q532" s="97" t="n"/>
      <c r="R532" s="97" t="n">
        <v>18.10897</v>
      </c>
      <c r="S532" s="97" t="n">
        <v>36.39743</v>
      </c>
      <c r="T532" s="97" t="n">
        <v>57.96092</v>
      </c>
      <c r="U532" s="97" t="n">
        <v>29.21167</v>
      </c>
      <c r="V532" s="97" t="n"/>
      <c r="W532" s="97" t="n"/>
      <c r="X532" s="97" t="n"/>
      <c r="Y532" s="97" t="n"/>
      <c r="Z532" s="97" t="n">
        <v>44.39785</v>
      </c>
      <c r="AA532" s="97" t="n">
        <v>17.91947</v>
      </c>
      <c r="AB532" s="97" t="n"/>
      <c r="AC532" s="97" t="n">
        <v>38.37523</v>
      </c>
      <c r="AD532" s="97" t="n"/>
      <c r="AE532" s="97" t="n"/>
      <c r="AF532" s="97" t="n">
        <v>27.71096</v>
      </c>
      <c r="AG532" s="97" t="n">
        <v>24.25222</v>
      </c>
      <c r="AH532" s="97" t="n"/>
      <c r="AI532" s="97" t="n"/>
      <c r="AJ532" s="97" t="n">
        <v>25.33383</v>
      </c>
      <c r="AK532" s="97" t="n"/>
      <c r="AL532" s="97" t="n"/>
      <c r="AM532" s="97" t="n">
        <v>33.1999</v>
      </c>
      <c r="AN532" s="97" t="n"/>
      <c r="AO532" s="97" t="n">
        <v>26.09378</v>
      </c>
      <c r="AP532" s="97" t="n"/>
      <c r="AQ532" s="97" t="n"/>
      <c r="AR532" s="97" t="n"/>
      <c r="AS532" s="97" t="n"/>
      <c r="AT532" s="97" t="n"/>
      <c r="AU532" s="97" t="n"/>
      <c r="AV532" s="97" t="n"/>
      <c r="AW532" s="97" t="n"/>
      <c r="AX532" s="97" t="n"/>
      <c r="AY532" s="97" t="n"/>
    </row>
    <row r="533" s="135">
      <c r="A533" t="inlineStr">
        <is>
          <t>1963-04</t>
        </is>
      </c>
      <c r="B533" s="2" t="n">
        <v>23102</v>
      </c>
      <c r="C533" s="96" t="n">
        <v>533</v>
      </c>
      <c r="E533" s="2">
        <f>B533</f>
        <v/>
      </c>
      <c r="F533" s="3">
        <f>B533</f>
        <v/>
      </c>
      <c r="G533" s="96" t="n">
        <v>531</v>
      </c>
      <c r="H533" s="97" t="n"/>
      <c r="I533" s="97" t="n"/>
      <c r="J533" s="97" t="n">
        <v>31.35038</v>
      </c>
      <c r="K533" s="97" t="n">
        <v>26.13964</v>
      </c>
      <c r="L533" s="97" t="n"/>
      <c r="M533" s="97" t="n"/>
      <c r="N533" s="97" t="n">
        <v>33.57434</v>
      </c>
      <c r="O533" s="97" t="n"/>
      <c r="P533" s="97" t="n"/>
      <c r="Q533" s="97" t="n"/>
      <c r="R533" s="97" t="n">
        <v>19.2304</v>
      </c>
      <c r="S533" s="97" t="n">
        <v>41.4662</v>
      </c>
      <c r="T533" s="97" t="n">
        <v>57.46126</v>
      </c>
      <c r="U533" s="97" t="n">
        <v>28.82527</v>
      </c>
      <c r="V533" s="97" t="n"/>
      <c r="W533" s="97" t="n"/>
      <c r="X533" s="97" t="n"/>
      <c r="Y533" s="97" t="n"/>
      <c r="Z533" s="97" t="n">
        <v>45.51968</v>
      </c>
      <c r="AA533" s="97" t="n">
        <v>18.5925</v>
      </c>
      <c r="AB533" s="97" t="n"/>
      <c r="AC533" s="97" t="n">
        <v>38.99416</v>
      </c>
      <c r="AD533" s="97" t="n"/>
      <c r="AE533" s="97" t="n"/>
      <c r="AF533" s="97" t="n">
        <v>28.28232</v>
      </c>
      <c r="AG533" s="97" t="n">
        <v>24.61829</v>
      </c>
      <c r="AH533" s="97" t="n"/>
      <c r="AI533" s="97" t="n"/>
      <c r="AJ533" s="97" t="n">
        <v>25.58804</v>
      </c>
      <c r="AK533" s="97" t="n"/>
      <c r="AL533" s="97" t="n"/>
      <c r="AM533" s="97" t="n">
        <v>34.10949</v>
      </c>
      <c r="AN533" s="97" t="n"/>
      <c r="AO533" s="97" t="n">
        <v>26.33323</v>
      </c>
      <c r="AP533" s="97" t="n"/>
      <c r="AQ533" s="97" t="n"/>
      <c r="AR533" s="97" t="n"/>
      <c r="AS533" s="97" t="n"/>
      <c r="AT533" s="97" t="n"/>
      <c r="AU533" s="97" t="n"/>
      <c r="AV533" s="97" t="n"/>
      <c r="AW533" s="97" t="n"/>
      <c r="AX533" s="97" t="n"/>
      <c r="AY533" s="97" t="n"/>
    </row>
    <row r="534" s="135">
      <c r="A534" t="inlineStr">
        <is>
          <t>1963-05</t>
        </is>
      </c>
      <c r="B534" s="2" t="n">
        <v>23132</v>
      </c>
      <c r="C534" s="96" t="n">
        <v>534</v>
      </c>
      <c r="E534" s="2">
        <f>B534</f>
        <v/>
      </c>
      <c r="F534" s="3">
        <f>B534</f>
        <v/>
      </c>
      <c r="G534" s="96" t="n">
        <v>532</v>
      </c>
      <c r="H534" s="97" t="n"/>
      <c r="I534" s="97" t="n"/>
      <c r="J534" s="97" t="n">
        <v>31.63778</v>
      </c>
      <c r="K534" s="97" t="n">
        <v>26.49724</v>
      </c>
      <c r="L534" s="97" t="n"/>
      <c r="M534" s="97" t="n"/>
      <c r="N534" s="97" t="n">
        <v>33.82121</v>
      </c>
      <c r="O534" s="97" t="n"/>
      <c r="P534" s="97" t="n"/>
      <c r="Q534" s="97" t="n"/>
      <c r="R534" s="97" t="n">
        <v>19.4796</v>
      </c>
      <c r="S534" s="97" t="n">
        <v>43.17614</v>
      </c>
      <c r="T534" s="97" t="n">
        <v>58.46058</v>
      </c>
      <c r="U534" s="97" t="n">
        <v>29.17453</v>
      </c>
      <c r="V534" s="97" t="n"/>
      <c r="W534" s="97" t="n"/>
      <c r="X534" s="97" t="n"/>
      <c r="Y534" s="97" t="n"/>
      <c r="Z534" s="97" t="n">
        <v>45.46264</v>
      </c>
      <c r="AA534" s="97" t="n">
        <v>18.84489</v>
      </c>
      <c r="AB534" s="97" t="n"/>
      <c r="AC534" s="97" t="n">
        <v>39.48996</v>
      </c>
      <c r="AD534" s="97" t="n"/>
      <c r="AE534" s="97" t="n"/>
      <c r="AF534" s="97" t="n">
        <v>28.28232</v>
      </c>
      <c r="AG534" s="97" t="n">
        <v>25.23603</v>
      </c>
      <c r="AH534" s="97" t="n"/>
      <c r="AI534" s="97" t="n"/>
      <c r="AJ534" s="97" t="n">
        <v>26.29048</v>
      </c>
      <c r="AK534" s="97" t="n"/>
      <c r="AL534" s="97" t="n"/>
      <c r="AM534" s="97" t="n">
        <v>34.56428</v>
      </c>
      <c r="AN534" s="97" t="n"/>
      <c r="AO534" s="97" t="n">
        <v>26.65241</v>
      </c>
      <c r="AP534" s="97" t="n"/>
      <c r="AQ534" s="97" t="n"/>
      <c r="AR534" s="97" t="n"/>
      <c r="AS534" s="97" t="n"/>
      <c r="AT534" s="97" t="n"/>
      <c r="AU534" s="97" t="n"/>
      <c r="AV534" s="97" t="n"/>
      <c r="AW534" s="97" t="n"/>
      <c r="AX534" s="97" t="n"/>
      <c r="AY534" s="97" t="n"/>
    </row>
    <row r="535" s="135">
      <c r="A535" t="inlineStr">
        <is>
          <t>1963-06</t>
        </is>
      </c>
      <c r="B535" s="2" t="n">
        <v>23163</v>
      </c>
      <c r="C535" s="96" t="n">
        <v>535</v>
      </c>
      <c r="E535" s="2">
        <f>B535</f>
        <v/>
      </c>
      <c r="F535" s="3">
        <f>B535</f>
        <v/>
      </c>
      <c r="G535" s="96" t="n">
        <v>533</v>
      </c>
      <c r="H535" s="97" t="n"/>
      <c r="I535" s="97" t="n"/>
      <c r="J535" s="97" t="n">
        <v>31.54674</v>
      </c>
      <c r="K535" s="97" t="n">
        <v>26.86283</v>
      </c>
      <c r="L535" s="97" t="n"/>
      <c r="M535" s="97" t="n"/>
      <c r="N535" s="97" t="n">
        <v>33.51263</v>
      </c>
      <c r="O535" s="97" t="n"/>
      <c r="P535" s="97" t="n"/>
      <c r="Q535" s="97" t="n"/>
      <c r="R535" s="97" t="n">
        <v>20.31029</v>
      </c>
      <c r="S535" s="97" t="n">
        <v>43.17614</v>
      </c>
      <c r="T535" s="97" t="n">
        <v>59.45991</v>
      </c>
      <c r="U535" s="97" t="n">
        <v>29.14403</v>
      </c>
      <c r="V535" s="97" t="n"/>
      <c r="W535" s="97" t="n"/>
      <c r="X535" s="97" t="n"/>
      <c r="Y535" s="97" t="n"/>
      <c r="Z535" s="97" t="n">
        <v>46.26123</v>
      </c>
      <c r="AA535" s="97" t="n">
        <v>18.67663</v>
      </c>
      <c r="AB535" s="97" t="n"/>
      <c r="AC535" s="97" t="n">
        <v>40.09475</v>
      </c>
      <c r="AD535" s="97" t="n"/>
      <c r="AE535" s="97" t="n"/>
      <c r="AF535" s="97" t="n">
        <v>28.85368</v>
      </c>
      <c r="AG535" s="97" t="n">
        <v>24.59541</v>
      </c>
      <c r="AH535" s="97" t="n"/>
      <c r="AI535" s="97" t="n"/>
      <c r="AJ535" s="97" t="n">
        <v>24.94151</v>
      </c>
      <c r="AK535" s="97" t="n"/>
      <c r="AL535" s="97" t="n"/>
      <c r="AM535" s="97" t="n">
        <v>35.47387</v>
      </c>
      <c r="AN535" s="97" t="n"/>
      <c r="AO535" s="97" t="n">
        <v>26.73223</v>
      </c>
      <c r="AP535" s="97" t="n"/>
      <c r="AQ535" s="97" t="n"/>
      <c r="AR535" s="97" t="n"/>
      <c r="AS535" s="97" t="n"/>
      <c r="AT535" s="97" t="n"/>
      <c r="AU535" s="97" t="n"/>
      <c r="AV535" s="97" t="n"/>
      <c r="AW535" s="97" t="n"/>
      <c r="AX535" s="97" t="n"/>
      <c r="AY535" s="97" t="n"/>
    </row>
    <row r="536" s="135">
      <c r="A536" t="inlineStr">
        <is>
          <t>1963-07</t>
        </is>
      </c>
      <c r="B536" s="2" t="n">
        <v>23193</v>
      </c>
      <c r="C536" s="96" t="n">
        <v>536</v>
      </c>
      <c r="E536" s="2">
        <f>B536</f>
        <v/>
      </c>
      <c r="F536" s="3">
        <f>B536</f>
        <v/>
      </c>
      <c r="G536" s="96" t="n">
        <v>534</v>
      </c>
      <c r="H536" s="97" t="n"/>
      <c r="I536" s="97" t="n"/>
      <c r="J536" s="97" t="n">
        <v>31.24831</v>
      </c>
      <c r="K536" s="97" t="n">
        <v>26.34076</v>
      </c>
      <c r="L536" s="97" t="n"/>
      <c r="M536" s="97" t="n"/>
      <c r="N536" s="97" t="n">
        <v>34.06808</v>
      </c>
      <c r="O536" s="97" t="n"/>
      <c r="P536" s="97" t="n"/>
      <c r="Q536" s="97" t="n"/>
      <c r="R536" s="97" t="n">
        <v>19.37577</v>
      </c>
      <c r="S536" s="97" t="n">
        <v>44.33646</v>
      </c>
      <c r="T536" s="97" t="n">
        <v>59.95957</v>
      </c>
      <c r="U536" s="97" t="n">
        <v>29.28992</v>
      </c>
      <c r="V536" s="97" t="n"/>
      <c r="W536" s="97" t="n"/>
      <c r="X536" s="97" t="n"/>
      <c r="Y536" s="97" t="n"/>
      <c r="Z536" s="97" t="n">
        <v>45.86193</v>
      </c>
      <c r="AA536" s="97" t="n">
        <v>19.34966</v>
      </c>
      <c r="AB536" s="97" t="n"/>
      <c r="AC536" s="97" t="n">
        <v>40.62732</v>
      </c>
      <c r="AD536" s="97" t="n"/>
      <c r="AE536" s="97" t="n"/>
      <c r="AF536" s="97" t="n">
        <v>29.13936</v>
      </c>
      <c r="AG536" s="97" t="n">
        <v>25.9453</v>
      </c>
      <c r="AH536" s="97" t="n"/>
      <c r="AI536" s="97" t="n"/>
      <c r="AJ536" s="97" t="n">
        <v>25.60228</v>
      </c>
      <c r="AK536" s="97" t="n"/>
      <c r="AL536" s="97" t="n"/>
      <c r="AM536" s="97" t="n">
        <v>35.01907</v>
      </c>
      <c r="AN536" s="97" t="n"/>
      <c r="AO536" s="97" t="n">
        <v>26.6258</v>
      </c>
      <c r="AP536" s="97" t="n"/>
      <c r="AQ536" s="97" t="n"/>
      <c r="AR536" s="97" t="n"/>
      <c r="AS536" s="97" t="n"/>
      <c r="AT536" s="97" t="n"/>
      <c r="AU536" s="97" t="n"/>
      <c r="AV536" s="97" t="n"/>
      <c r="AW536" s="97" t="n"/>
      <c r="AX536" s="97" t="n"/>
      <c r="AY536" s="97" t="n"/>
    </row>
    <row r="537" s="135">
      <c r="A537" t="inlineStr">
        <is>
          <t>1963-08</t>
        </is>
      </c>
      <c r="B537" s="2" t="n">
        <v>23224</v>
      </c>
      <c r="C537" s="96" t="n">
        <v>537</v>
      </c>
      <c r="E537" s="2">
        <f>B537</f>
        <v/>
      </c>
      <c r="F537" s="3">
        <f>B537</f>
        <v/>
      </c>
      <c r="G537" s="96" t="n">
        <v>535</v>
      </c>
      <c r="H537" s="97" t="n"/>
      <c r="I537" s="97" t="n"/>
      <c r="J537" s="97" t="n">
        <v>32.27091</v>
      </c>
      <c r="K537" s="97" t="n">
        <v>26.3511</v>
      </c>
      <c r="L537" s="97" t="n"/>
      <c r="M537" s="97" t="n"/>
      <c r="N537" s="97" t="n">
        <v>35.30243</v>
      </c>
      <c r="O537" s="97" t="n"/>
      <c r="P537" s="97" t="n"/>
      <c r="Q537" s="97" t="n"/>
      <c r="R537" s="97" t="n">
        <v>19.79111</v>
      </c>
      <c r="S537" s="97" t="n">
        <v>44.33646</v>
      </c>
      <c r="T537" s="97" t="n">
        <v>60.45924</v>
      </c>
      <c r="U537" s="97" t="n">
        <v>31.41847</v>
      </c>
      <c r="V537" s="97" t="n"/>
      <c r="W537" s="97" t="n"/>
      <c r="X537" s="97" t="n"/>
      <c r="Y537" s="97" t="n"/>
      <c r="Z537" s="97" t="n">
        <v>46.54644</v>
      </c>
      <c r="AA537" s="97" t="n">
        <v>19.85444</v>
      </c>
      <c r="AB537" s="97" t="n"/>
      <c r="AC537" s="97" t="n">
        <v>40.45453</v>
      </c>
      <c r="AD537" s="97" t="n"/>
      <c r="AE537" s="97" t="n"/>
      <c r="AF537" s="97" t="n">
        <v>29.13936</v>
      </c>
      <c r="AG537" s="97" t="n">
        <v>25.37331</v>
      </c>
      <c r="AH537" s="97" t="n"/>
      <c r="AI537" s="97" t="n"/>
      <c r="AJ537" s="97" t="n">
        <v>26.04644</v>
      </c>
      <c r="AK537" s="97" t="n"/>
      <c r="AL537" s="97" t="n"/>
      <c r="AM537" s="97" t="n">
        <v>35.92866</v>
      </c>
      <c r="AN537" s="97" t="n"/>
      <c r="AO537" s="97" t="n">
        <v>26.67902</v>
      </c>
      <c r="AP537" s="97" t="n"/>
      <c r="AQ537" s="97" t="n"/>
      <c r="AR537" s="97" t="n"/>
      <c r="AS537" s="97" t="n"/>
      <c r="AT537" s="97" t="n"/>
      <c r="AU537" s="97" t="n"/>
      <c r="AV537" s="97" t="n"/>
      <c r="AW537" s="97" t="n"/>
      <c r="AX537" s="97" t="n"/>
      <c r="AY537" s="97" t="n"/>
    </row>
    <row r="538" s="135">
      <c r="A538" t="inlineStr">
        <is>
          <t>1963-09</t>
        </is>
      </c>
      <c r="B538" s="2" t="n">
        <v>23255</v>
      </c>
      <c r="C538" s="96" t="n">
        <v>538</v>
      </c>
      <c r="E538" s="2">
        <f>B538</f>
        <v/>
      </c>
      <c r="F538" s="3">
        <f>B538</f>
        <v/>
      </c>
      <c r="G538" s="96" t="n">
        <v>536</v>
      </c>
      <c r="H538" s="97" t="n"/>
      <c r="I538" s="97" t="n"/>
      <c r="J538" s="97" t="n">
        <v>32.33328</v>
      </c>
      <c r="K538" s="97" t="n">
        <v>27.44035</v>
      </c>
      <c r="L538" s="97" t="n"/>
      <c r="M538" s="97" t="n"/>
      <c r="N538" s="97" t="n">
        <v>34.31495</v>
      </c>
      <c r="O538" s="97" t="n"/>
      <c r="P538" s="97" t="n"/>
      <c r="Q538" s="97" t="n"/>
      <c r="R538" s="97" t="n">
        <v>19.97802</v>
      </c>
      <c r="S538" s="97" t="n">
        <v>43.84791</v>
      </c>
      <c r="T538" s="97" t="n">
        <v>60.45924</v>
      </c>
      <c r="U538" s="97" t="n">
        <v>32.3376</v>
      </c>
      <c r="V538" s="97" t="n"/>
      <c r="W538" s="97" t="n"/>
      <c r="X538" s="97" t="n"/>
      <c r="Y538" s="97" t="n"/>
      <c r="Z538" s="97" t="n">
        <v>47.45912</v>
      </c>
      <c r="AA538" s="97" t="n">
        <v>19.85444</v>
      </c>
      <c r="AB538" s="97" t="n"/>
      <c r="AC538" s="97" t="n">
        <v>40.5955</v>
      </c>
      <c r="AD538" s="97" t="n"/>
      <c r="AE538" s="97" t="n"/>
      <c r="AF538" s="97" t="n">
        <v>29.13936</v>
      </c>
      <c r="AG538" s="97" t="n">
        <v>25.92242</v>
      </c>
      <c r="AH538" s="97" t="n"/>
      <c r="AI538" s="97" t="n"/>
      <c r="AJ538" s="97" t="n">
        <v>26.55354</v>
      </c>
      <c r="AK538" s="97" t="n"/>
      <c r="AL538" s="97" t="n"/>
      <c r="AM538" s="97" t="n">
        <v>35.92866</v>
      </c>
      <c r="AN538" s="97" t="n"/>
      <c r="AO538" s="97" t="n">
        <v>26.94498</v>
      </c>
      <c r="AP538" s="97" t="n"/>
      <c r="AQ538" s="97" t="n"/>
      <c r="AR538" s="97" t="n"/>
      <c r="AS538" s="97" t="n"/>
      <c r="AT538" s="97" t="n"/>
      <c r="AU538" s="97" t="n"/>
      <c r="AV538" s="97" t="n"/>
      <c r="AW538" s="97" t="n"/>
      <c r="AX538" s="97" t="n"/>
      <c r="AY538" s="97" t="n"/>
    </row>
    <row r="539" s="135">
      <c r="A539" t="inlineStr">
        <is>
          <t>1963-10</t>
        </is>
      </c>
      <c r="B539" s="2" t="n">
        <v>23285</v>
      </c>
      <c r="C539" s="96" t="n">
        <v>539</v>
      </c>
      <c r="E539" s="2">
        <f>B539</f>
        <v/>
      </c>
      <c r="F539" s="3">
        <f>B539</f>
        <v/>
      </c>
      <c r="G539" s="96" t="n">
        <v>537</v>
      </c>
      <c r="H539" s="97" t="n"/>
      <c r="I539" s="97" t="n"/>
      <c r="J539" s="97" t="n">
        <v>32.30461</v>
      </c>
      <c r="K539" s="97" t="n">
        <v>27.42155</v>
      </c>
      <c r="L539" s="97" t="n"/>
      <c r="M539" s="97" t="n"/>
      <c r="N539" s="97" t="n">
        <v>34.87041</v>
      </c>
      <c r="O539" s="97" t="n"/>
      <c r="P539" s="97" t="n"/>
      <c r="Q539" s="97" t="n"/>
      <c r="R539" s="97" t="n">
        <v>20.41413</v>
      </c>
      <c r="S539" s="97" t="n">
        <v>44.09219</v>
      </c>
      <c r="T539" s="97" t="n">
        <v>60.9589</v>
      </c>
      <c r="U539" s="97" t="n">
        <v>31.57038</v>
      </c>
      <c r="V539" s="97" t="n"/>
      <c r="W539" s="97" t="n"/>
      <c r="X539" s="97" t="n"/>
      <c r="Y539" s="97" t="n"/>
      <c r="Z539" s="97" t="n">
        <v>47.49714</v>
      </c>
      <c r="AA539" s="97" t="n">
        <v>20.44334</v>
      </c>
      <c r="AB539" s="97" t="n"/>
      <c r="AC539" s="97" t="n">
        <v>39.24673</v>
      </c>
      <c r="AD539" s="97" t="n"/>
      <c r="AE539" s="97" t="n"/>
      <c r="AF539" s="97" t="n">
        <v>29.13936</v>
      </c>
      <c r="AG539" s="97" t="n">
        <v>25.87666</v>
      </c>
      <c r="AH539" s="97" t="n"/>
      <c r="AI539" s="97" t="n"/>
      <c r="AJ539" s="97" t="n">
        <v>26.89009</v>
      </c>
      <c r="AK539" s="97" t="n"/>
      <c r="AL539" s="97" t="n"/>
      <c r="AM539" s="97" t="n">
        <v>35.92866</v>
      </c>
      <c r="AN539" s="97" t="n"/>
      <c r="AO539" s="97" t="n">
        <v>27.13113</v>
      </c>
      <c r="AP539" s="97" t="n"/>
      <c r="AQ539" s="97" t="n"/>
      <c r="AR539" s="97" t="n"/>
      <c r="AS539" s="97" t="n"/>
      <c r="AT539" s="97" t="n"/>
      <c r="AU539" s="97" t="n"/>
      <c r="AV539" s="97" t="n"/>
      <c r="AW539" s="97" t="n"/>
      <c r="AX539" s="97" t="n"/>
      <c r="AY539" s="97" t="n"/>
    </row>
    <row r="540" s="135">
      <c r="A540" t="inlineStr">
        <is>
          <t>1963-11</t>
        </is>
      </c>
      <c r="B540" s="2" t="n">
        <v>23316</v>
      </c>
      <c r="C540" s="96" t="n">
        <v>540</v>
      </c>
      <c r="E540" s="2">
        <f>B540</f>
        <v/>
      </c>
      <c r="F540" s="3">
        <f>B540</f>
        <v/>
      </c>
      <c r="G540" s="96" t="n">
        <v>538</v>
      </c>
      <c r="H540" s="97" t="n"/>
      <c r="I540" s="97" t="n"/>
      <c r="J540" s="97" t="n">
        <v>32.86445</v>
      </c>
      <c r="K540" s="97" t="n">
        <v>27.89005</v>
      </c>
      <c r="L540" s="97" t="n"/>
      <c r="M540" s="97" t="n"/>
      <c r="N540" s="97" t="n">
        <v>35.11728</v>
      </c>
      <c r="O540" s="97" t="n"/>
      <c r="P540" s="97" t="n"/>
      <c r="Q540" s="97" t="n"/>
      <c r="R540" s="97" t="n">
        <v>20.10262</v>
      </c>
      <c r="S540" s="97" t="n">
        <v>44.09219</v>
      </c>
      <c r="T540" s="97" t="n">
        <v>61.95823</v>
      </c>
      <c r="U540" s="97" t="n">
        <v>31.64688</v>
      </c>
      <c r="V540" s="97" t="n"/>
      <c r="W540" s="97" t="n"/>
      <c r="X540" s="97" t="n"/>
      <c r="Y540" s="97" t="n"/>
      <c r="Z540" s="97" t="n">
        <v>47.24996</v>
      </c>
      <c r="AA540" s="97" t="n">
        <v>20.77986</v>
      </c>
      <c r="AB540" s="97" t="n"/>
      <c r="AC540" s="97" t="n">
        <v>40.33051</v>
      </c>
      <c r="AD540" s="97" t="n"/>
      <c r="AE540" s="97" t="n"/>
      <c r="AF540" s="97" t="n">
        <v>29.71072</v>
      </c>
      <c r="AG540" s="97" t="n">
        <v>25.8309</v>
      </c>
      <c r="AH540" s="97" t="n"/>
      <c r="AI540" s="97" t="n"/>
      <c r="AJ540" s="97" t="n">
        <v>26.76618</v>
      </c>
      <c r="AK540" s="97" t="n"/>
      <c r="AL540" s="97" t="n"/>
      <c r="AM540" s="97" t="n">
        <v>36.38345</v>
      </c>
      <c r="AN540" s="97" t="n"/>
      <c r="AO540" s="97" t="n">
        <v>27.26416</v>
      </c>
      <c r="AP540" s="97" t="n"/>
      <c r="AQ540" s="97" t="n"/>
      <c r="AR540" s="97" t="n"/>
      <c r="AS540" s="97" t="n"/>
      <c r="AT540" s="97" t="n"/>
      <c r="AU540" s="97" t="n"/>
      <c r="AV540" s="97" t="n"/>
      <c r="AW540" s="97" t="n"/>
      <c r="AX540" s="97" t="n"/>
      <c r="AY540" s="97" t="n"/>
    </row>
    <row r="541" s="135">
      <c r="A541" t="inlineStr">
        <is>
          <t>1963-12</t>
        </is>
      </c>
      <c r="B541" s="2" t="n">
        <v>23346</v>
      </c>
      <c r="C541" s="96" t="n">
        <v>541</v>
      </c>
      <c r="E541" s="2">
        <f>B541</f>
        <v/>
      </c>
      <c r="F541" s="3">
        <f>B541</f>
        <v/>
      </c>
      <c r="G541" s="96" t="n">
        <v>539</v>
      </c>
      <c r="H541" s="97" t="n"/>
      <c r="I541" s="97" t="n"/>
      <c r="J541" s="97" t="n">
        <v>32.68628</v>
      </c>
      <c r="K541" s="97" t="n">
        <v>28.18374</v>
      </c>
      <c r="L541" s="97" t="n"/>
      <c r="M541" s="97" t="n"/>
      <c r="N541" s="97" t="n">
        <v>34.06808</v>
      </c>
      <c r="O541" s="97" t="n"/>
      <c r="P541" s="97" t="n"/>
      <c r="Q541" s="97" t="n"/>
      <c r="R541" s="97" t="n">
        <v>20.37259</v>
      </c>
      <c r="S541" s="97" t="n">
        <v>44.70288</v>
      </c>
      <c r="T541" s="97" t="n">
        <v>61.95823</v>
      </c>
      <c r="U541" s="97" t="n">
        <v>32.13017</v>
      </c>
      <c r="V541" s="97" t="n"/>
      <c r="W541" s="97" t="n"/>
      <c r="X541" s="97" t="n"/>
      <c r="Y541" s="97" t="n"/>
      <c r="Z541" s="97" t="n">
        <v>46.88869</v>
      </c>
      <c r="AA541" s="97" t="n">
        <v>20.86399</v>
      </c>
      <c r="AB541" s="97" t="n"/>
      <c r="AC541" s="97" t="n">
        <v>41.75418</v>
      </c>
      <c r="AD541" s="97" t="n"/>
      <c r="AE541" s="97" t="n"/>
      <c r="AF541" s="97" t="n">
        <v>29.42504</v>
      </c>
      <c r="AG541" s="97" t="n">
        <v>26.19697</v>
      </c>
      <c r="AH541" s="97" t="n"/>
      <c r="AI541" s="97" t="n"/>
      <c r="AJ541" s="97" t="n">
        <v>27.90258</v>
      </c>
      <c r="AK541" s="97" t="n"/>
      <c r="AL541" s="97" t="n"/>
      <c r="AM541" s="97" t="n">
        <v>36.38345</v>
      </c>
      <c r="AN541" s="97" t="n"/>
      <c r="AO541" s="97" t="n">
        <v>27.21095</v>
      </c>
      <c r="AP541" s="97" t="n"/>
      <c r="AQ541" s="97" t="n"/>
      <c r="AR541" s="97" t="n"/>
      <c r="AS541" s="97" t="n"/>
      <c r="AT541" s="97" t="n"/>
      <c r="AU541" s="97" t="n"/>
      <c r="AV541" s="97" t="n"/>
      <c r="AW541" s="97" t="n"/>
      <c r="AX541" s="97" t="n"/>
      <c r="AY541" s="97" t="n"/>
    </row>
    <row r="542" s="135">
      <c r="A542" t="inlineStr">
        <is>
          <t>1964-01</t>
        </is>
      </c>
      <c r="B542" s="2" t="n">
        <v>23377</v>
      </c>
      <c r="C542" s="96" t="n">
        <v>542</v>
      </c>
      <c r="E542" s="2">
        <f>B542</f>
        <v/>
      </c>
      <c r="F542" s="3">
        <f>B542</f>
        <v/>
      </c>
      <c r="G542" s="96" t="n">
        <v>540</v>
      </c>
      <c r="H542" s="97" t="n"/>
      <c r="I542" s="97" t="n"/>
      <c r="J542" s="97" t="n">
        <v>33.19432</v>
      </c>
      <c r="K542" s="97" t="n">
        <v>28.40366</v>
      </c>
      <c r="L542" s="97" t="n"/>
      <c r="M542" s="97" t="n"/>
      <c r="N542" s="97" t="n">
        <v>35.67274</v>
      </c>
      <c r="O542" s="97" t="n"/>
      <c r="P542" s="97" t="n"/>
      <c r="Q542" s="97" t="n"/>
      <c r="R542" s="97" t="n">
        <v>19.94695</v>
      </c>
      <c r="S542" s="97" t="n">
        <v>45.61892</v>
      </c>
      <c r="T542" s="97" t="n">
        <v>62.45789</v>
      </c>
      <c r="U542" s="97" t="n">
        <v>31.95435</v>
      </c>
      <c r="V542" s="97" t="n"/>
      <c r="W542" s="97" t="n"/>
      <c r="X542" s="97" t="n"/>
      <c r="Y542" s="97" t="n"/>
      <c r="Z542" s="97" t="n">
        <v>48.14362</v>
      </c>
      <c r="AA542" s="97" t="n">
        <v>21.11637</v>
      </c>
      <c r="AB542" s="97" t="n"/>
      <c r="AC542" s="97" t="n">
        <v>41.10101</v>
      </c>
      <c r="AD542" s="97" t="n"/>
      <c r="AE542" s="97" t="n"/>
      <c r="AF542" s="97" t="n">
        <v>30.56775</v>
      </c>
      <c r="AG542" s="97" t="n">
        <v>26.03682</v>
      </c>
      <c r="AH542" s="97" t="n"/>
      <c r="AI542" s="97" t="n"/>
      <c r="AJ542" s="97" t="n">
        <v>27.69554</v>
      </c>
      <c r="AK542" s="97" t="n"/>
      <c r="AL542" s="97" t="n"/>
      <c r="AM542" s="97" t="n">
        <v>37.29304</v>
      </c>
      <c r="AN542" s="97" t="n"/>
      <c r="AO542" s="97" t="n">
        <v>27.4504</v>
      </c>
      <c r="AP542" s="97" t="n"/>
      <c r="AQ542" s="97" t="n"/>
      <c r="AR542" s="97" t="n"/>
      <c r="AS542" s="97" t="n"/>
      <c r="AT542" s="97" t="n"/>
      <c r="AU542" s="97" t="n"/>
      <c r="AV542" s="97" t="n"/>
      <c r="AW542" s="97" t="n"/>
      <c r="AX542" s="97" t="n"/>
      <c r="AY542" s="97" t="n"/>
    </row>
    <row r="543" s="135">
      <c r="A543" t="inlineStr">
        <is>
          <t>1964-02</t>
        </is>
      </c>
      <c r="B543" s="2" t="n">
        <v>23408</v>
      </c>
      <c r="C543" s="96" t="n">
        <v>543</v>
      </c>
      <c r="E543" s="2">
        <f>B543</f>
        <v/>
      </c>
      <c r="F543" s="3">
        <f>B543</f>
        <v/>
      </c>
      <c r="G543" s="96" t="n">
        <v>541</v>
      </c>
      <c r="H543" s="97" t="n"/>
      <c r="I543" s="97" t="n"/>
      <c r="J543" s="97" t="n">
        <v>33.1845</v>
      </c>
      <c r="K543" s="97" t="n">
        <v>28.88391</v>
      </c>
      <c r="L543" s="97" t="n"/>
      <c r="M543" s="97" t="n"/>
      <c r="N543" s="97" t="n">
        <v>36.53679</v>
      </c>
      <c r="O543" s="97" t="n"/>
      <c r="P543" s="97" t="n"/>
      <c r="Q543" s="97" t="n"/>
      <c r="R543" s="97" t="n">
        <v>19.9991</v>
      </c>
      <c r="S543" s="97" t="n">
        <v>45.37465</v>
      </c>
      <c r="T543" s="97" t="n">
        <v>62.95755</v>
      </c>
      <c r="U543" s="97" t="n">
        <v>31.35724</v>
      </c>
      <c r="V543" s="97" t="n"/>
      <c r="W543" s="97" t="n"/>
      <c r="X543" s="97" t="n"/>
      <c r="Y543" s="97" t="n"/>
      <c r="Z543" s="97" t="n">
        <v>46.60349</v>
      </c>
      <c r="AA543" s="97" t="n">
        <v>21.62115</v>
      </c>
      <c r="AB543" s="97" t="n"/>
      <c r="AC543" s="97" t="n">
        <v>41.89222</v>
      </c>
      <c r="AD543" s="97" t="n"/>
      <c r="AE543" s="97" t="n"/>
      <c r="AF543" s="97" t="n">
        <v>30.85344</v>
      </c>
      <c r="AG543" s="97" t="n">
        <v>25.85378</v>
      </c>
      <c r="AH543" s="97" t="n"/>
      <c r="AI543" s="97" t="n"/>
      <c r="AJ543" s="97" t="n">
        <v>27.01629</v>
      </c>
      <c r="AK543" s="97" t="n"/>
      <c r="AL543" s="97" t="n"/>
      <c r="AM543" s="97" t="n">
        <v>37.29304</v>
      </c>
      <c r="AN543" s="97" t="n"/>
      <c r="AO543" s="97" t="n">
        <v>27.63655</v>
      </c>
      <c r="AP543" s="97" t="n"/>
      <c r="AQ543" s="97" t="n"/>
      <c r="AR543" s="97" t="n"/>
      <c r="AS543" s="97" t="n"/>
      <c r="AT543" s="97" t="n"/>
      <c r="AU543" s="97" t="n"/>
      <c r="AV543" s="97" t="n"/>
      <c r="AW543" s="97" t="n"/>
      <c r="AX543" s="97" t="n"/>
      <c r="AY543" s="97" t="n"/>
    </row>
    <row r="544" s="135">
      <c r="A544" t="inlineStr">
        <is>
          <t>1964-03</t>
        </is>
      </c>
      <c r="B544" s="2" t="n">
        <v>23437</v>
      </c>
      <c r="C544" s="96" t="n">
        <v>544</v>
      </c>
      <c r="E544" s="2">
        <f>B544</f>
        <v/>
      </c>
      <c r="F544" s="3">
        <f>B544</f>
        <v/>
      </c>
      <c r="G544" s="96" t="n">
        <v>542</v>
      </c>
      <c r="H544" s="97" t="n"/>
      <c r="I544" s="97" t="n"/>
      <c r="J544" s="97" t="n">
        <v>33.61338</v>
      </c>
      <c r="K544" s="97" t="n">
        <v>28.70581</v>
      </c>
      <c r="L544" s="97" t="n"/>
      <c r="M544" s="97" t="n"/>
      <c r="N544" s="97" t="n">
        <v>35.91961</v>
      </c>
      <c r="O544" s="97" t="n"/>
      <c r="P544" s="97" t="n"/>
      <c r="Q544" s="97" t="n"/>
      <c r="R544" s="97" t="n">
        <v>20.53363</v>
      </c>
      <c r="S544" s="97" t="n">
        <v>45.43571</v>
      </c>
      <c r="T544" s="97" t="n">
        <v>62.95755</v>
      </c>
      <c r="U544" s="97" t="n">
        <v>31.90368</v>
      </c>
      <c r="V544" s="97" t="n"/>
      <c r="W544" s="97" t="n"/>
      <c r="X544" s="97" t="n"/>
      <c r="Y544" s="97" t="n"/>
      <c r="Z544" s="97" t="n">
        <v>47.61123</v>
      </c>
      <c r="AA544" s="97" t="n">
        <v>21.36876</v>
      </c>
      <c r="AB544" s="97" t="n"/>
      <c r="AC544" s="97" t="n">
        <v>43.69881</v>
      </c>
      <c r="AD544" s="97" t="n"/>
      <c r="AE544" s="97" t="n"/>
      <c r="AF544" s="97" t="n">
        <v>31.4248</v>
      </c>
      <c r="AG544" s="97" t="n">
        <v>26.6088</v>
      </c>
      <c r="AH544" s="97" t="n"/>
      <c r="AI544" s="97" t="n"/>
      <c r="AJ544" s="97" t="n">
        <v>26.28548</v>
      </c>
      <c r="AK544" s="97" t="n"/>
      <c r="AL544" s="97" t="n"/>
      <c r="AM544" s="97" t="n">
        <v>37.29304</v>
      </c>
      <c r="AN544" s="97" t="n"/>
      <c r="AO544" s="97" t="n">
        <v>27.63655</v>
      </c>
      <c r="AP544" s="97" t="n"/>
      <c r="AQ544" s="97" t="n"/>
      <c r="AR544" s="97" t="n"/>
      <c r="AS544" s="97" t="n"/>
      <c r="AT544" s="97" t="n"/>
      <c r="AU544" s="97" t="n"/>
      <c r="AV544" s="97" t="n"/>
      <c r="AW544" s="97" t="n"/>
      <c r="AX544" s="97" t="n"/>
      <c r="AY544" s="97" t="n"/>
    </row>
    <row r="545" s="135">
      <c r="A545" t="inlineStr">
        <is>
          <t>1964-04</t>
        </is>
      </c>
      <c r="B545" s="2" t="n">
        <v>23468</v>
      </c>
      <c r="C545" s="96" t="n">
        <v>545</v>
      </c>
      <c r="E545" s="2">
        <f>B545</f>
        <v/>
      </c>
      <c r="F545" s="3">
        <f>B545</f>
        <v/>
      </c>
      <c r="G545" s="96" t="n">
        <v>543</v>
      </c>
      <c r="H545" s="97" t="n"/>
      <c r="I545" s="97" t="n"/>
      <c r="J545" s="97" t="n">
        <v>33.08824</v>
      </c>
      <c r="K545" s="97" t="n">
        <v>28.91257</v>
      </c>
      <c r="L545" s="97" t="n"/>
      <c r="M545" s="97" t="n"/>
      <c r="N545" s="97" t="n">
        <v>35.98133</v>
      </c>
      <c r="O545" s="97" t="n"/>
      <c r="P545" s="97" t="n"/>
      <c r="Q545" s="97" t="n"/>
      <c r="R545" s="97" t="n">
        <v>20.26962</v>
      </c>
      <c r="S545" s="97" t="n">
        <v>45.8632</v>
      </c>
      <c r="T545" s="97" t="n">
        <v>62.95755</v>
      </c>
      <c r="U545" s="97" t="n">
        <v>33.34805</v>
      </c>
      <c r="V545" s="97" t="n"/>
      <c r="W545" s="97" t="n"/>
      <c r="X545" s="97" t="n"/>
      <c r="Y545" s="97" t="n"/>
      <c r="Z545" s="97" t="n">
        <v>47.00278</v>
      </c>
      <c r="AA545" s="97" t="n">
        <v>21.70527</v>
      </c>
      <c r="AB545" s="97" t="n"/>
      <c r="AC545" s="97" t="n">
        <v>43.51652</v>
      </c>
      <c r="AD545" s="97" t="n"/>
      <c r="AE545" s="97" t="n"/>
      <c r="AF545" s="97" t="n">
        <v>30.85344</v>
      </c>
      <c r="AG545" s="97" t="n">
        <v>27.34094</v>
      </c>
      <c r="AH545" s="97" t="n"/>
      <c r="AI545" s="97" t="n"/>
      <c r="AJ545" s="97" t="n">
        <v>27.35048</v>
      </c>
      <c r="AK545" s="97" t="n"/>
      <c r="AL545" s="97" t="n"/>
      <c r="AM545" s="97" t="n">
        <v>36.83825</v>
      </c>
      <c r="AN545" s="97" t="n"/>
      <c r="AO545" s="97" t="n">
        <v>28.08876</v>
      </c>
      <c r="AP545" s="97" t="n"/>
      <c r="AQ545" s="97" t="n"/>
      <c r="AR545" s="97" t="n"/>
      <c r="AS545" s="97" t="n"/>
      <c r="AT545" s="97" t="n"/>
      <c r="AU545" s="97" t="n"/>
      <c r="AV545" s="97" t="n"/>
      <c r="AW545" s="97" t="n"/>
      <c r="AX545" s="97" t="n"/>
      <c r="AY545" s="97" t="n"/>
    </row>
    <row r="546" s="135">
      <c r="A546" t="inlineStr">
        <is>
          <t>1964-05</t>
        </is>
      </c>
      <c r="B546" s="2" t="n">
        <v>23498</v>
      </c>
      <c r="C546" s="96" t="n">
        <v>546</v>
      </c>
      <c r="E546" s="2">
        <f>B546</f>
        <v/>
      </c>
      <c r="F546" s="3">
        <f>B546</f>
        <v/>
      </c>
      <c r="G546" s="96" t="n">
        <v>544</v>
      </c>
      <c r="H546" s="97" t="n"/>
      <c r="I546" s="97" t="n"/>
      <c r="J546" s="97" t="n">
        <v>32.7124</v>
      </c>
      <c r="K546" s="97" t="n">
        <v>29.2448</v>
      </c>
      <c r="L546" s="97" t="n"/>
      <c r="M546" s="97" t="n"/>
      <c r="N546" s="97" t="n">
        <v>35.91961</v>
      </c>
      <c r="O546" s="97" t="n"/>
      <c r="P546" s="97" t="n"/>
      <c r="Q546" s="97" t="n"/>
      <c r="R546" s="97" t="n">
        <v>20.62163</v>
      </c>
      <c r="S546" s="97" t="n">
        <v>45.74106</v>
      </c>
      <c r="T546" s="97" t="n">
        <v>62.95755</v>
      </c>
      <c r="U546" s="97" t="n">
        <v>31.49891</v>
      </c>
      <c r="V546" s="97" t="n"/>
      <c r="W546" s="97" t="n"/>
      <c r="X546" s="97" t="n"/>
      <c r="Y546" s="97" t="n"/>
      <c r="Z546" s="97" t="n">
        <v>46.47039</v>
      </c>
      <c r="AA546" s="97" t="n">
        <v>21.95766</v>
      </c>
      <c r="AB546" s="97" t="n"/>
      <c r="AC546" s="97" t="n">
        <v>43.7846</v>
      </c>
      <c r="AD546" s="97" t="n"/>
      <c r="AE546" s="97" t="n"/>
      <c r="AF546" s="97" t="n">
        <v>31.71048</v>
      </c>
      <c r="AG546" s="97" t="n">
        <v>26.92911</v>
      </c>
      <c r="AH546" s="97" t="n"/>
      <c r="AI546" s="97" t="n"/>
      <c r="AJ546" s="97" t="n">
        <v>27.43751</v>
      </c>
      <c r="AK546" s="97" t="n"/>
      <c r="AL546" s="97" t="n"/>
      <c r="AM546" s="97" t="n">
        <v>37.74783</v>
      </c>
      <c r="AN546" s="97" t="n"/>
      <c r="AO546" s="97" t="n">
        <v>28.24839</v>
      </c>
      <c r="AP546" s="97" t="n"/>
      <c r="AQ546" s="97" t="n"/>
      <c r="AR546" s="97" t="n"/>
      <c r="AS546" s="97" t="n"/>
      <c r="AT546" s="97" t="n"/>
      <c r="AU546" s="97" t="n"/>
      <c r="AV546" s="97" t="n"/>
      <c r="AW546" s="97" t="n"/>
      <c r="AX546" s="97" t="n"/>
      <c r="AY546" s="97" t="n"/>
    </row>
    <row r="547" s="135">
      <c r="A547" t="inlineStr">
        <is>
          <t>1964-06</t>
        </is>
      </c>
      <c r="B547" s="2" t="n">
        <v>23529</v>
      </c>
      <c r="C547" s="96" t="n">
        <v>547</v>
      </c>
      <c r="E547" s="2">
        <f>B547</f>
        <v/>
      </c>
      <c r="F547" s="3">
        <f>B547</f>
        <v/>
      </c>
      <c r="G547" s="96" t="n">
        <v>545</v>
      </c>
      <c r="H547" s="97" t="n"/>
      <c r="I547" s="97" t="n"/>
      <c r="J547" s="97" t="n">
        <v>33.35785</v>
      </c>
      <c r="K547" s="97" t="n">
        <v>29.27158</v>
      </c>
      <c r="L547" s="97" t="n"/>
      <c r="M547" s="97" t="n"/>
      <c r="N547" s="97" t="n">
        <v>36.53679</v>
      </c>
      <c r="O547" s="97" t="n"/>
      <c r="P547" s="97" t="n"/>
      <c r="Q547" s="97" t="n"/>
      <c r="R547" s="97" t="n">
        <v>20.61185</v>
      </c>
      <c r="S547" s="97" t="n">
        <v>45.31358</v>
      </c>
      <c r="T547" s="97" t="n">
        <v>63.45721</v>
      </c>
      <c r="U547" s="97" t="n">
        <v>32.14186</v>
      </c>
      <c r="V547" s="97" t="n"/>
      <c r="W547" s="97" t="n"/>
      <c r="X547" s="97" t="n"/>
      <c r="Y547" s="97" t="n"/>
      <c r="Z547" s="97" t="n">
        <v>45.65278</v>
      </c>
      <c r="AA547" s="97" t="n">
        <v>22.37831</v>
      </c>
      <c r="AB547" s="97" t="n"/>
      <c r="AC547" s="97" t="n">
        <v>43.71238</v>
      </c>
      <c r="AD547" s="97" t="n"/>
      <c r="AE547" s="97" t="n"/>
      <c r="AF547" s="97" t="n">
        <v>30.85344</v>
      </c>
      <c r="AG547" s="97" t="n">
        <v>27.5011</v>
      </c>
      <c r="AH547" s="97" t="n"/>
      <c r="AI547" s="97" t="n"/>
      <c r="AJ547" s="97" t="n">
        <v>29.27408</v>
      </c>
      <c r="AK547" s="97" t="n"/>
      <c r="AL547" s="97" t="n"/>
      <c r="AM547" s="97" t="n">
        <v>37.74783</v>
      </c>
      <c r="AN547" s="97" t="n"/>
      <c r="AO547" s="97" t="n">
        <v>28.32812</v>
      </c>
      <c r="AP547" s="97" t="n"/>
      <c r="AQ547" s="97" t="n"/>
      <c r="AR547" s="97" t="n"/>
      <c r="AS547" s="97" t="n"/>
      <c r="AT547" s="97" t="n"/>
      <c r="AU547" s="97" t="n"/>
      <c r="AV547" s="97" t="n"/>
      <c r="AW547" s="97" t="n"/>
      <c r="AX547" s="97" t="n"/>
      <c r="AY547" s="97" t="n"/>
    </row>
    <row r="548" s="135">
      <c r="A548" t="inlineStr">
        <is>
          <t>1964-07</t>
        </is>
      </c>
      <c r="B548" s="2" t="n">
        <v>23559</v>
      </c>
      <c r="C548" s="96" t="n">
        <v>548</v>
      </c>
      <c r="E548" s="2">
        <f>B548</f>
        <v/>
      </c>
      <c r="F548" s="3">
        <f>B548</f>
        <v/>
      </c>
      <c r="G548" s="96" t="n">
        <v>546</v>
      </c>
      <c r="H548" s="97" t="n"/>
      <c r="I548" s="97" t="n"/>
      <c r="J548" s="97" t="n">
        <v>34.06382</v>
      </c>
      <c r="K548" s="97" t="n">
        <v>29.06247</v>
      </c>
      <c r="L548" s="97" t="n"/>
      <c r="M548" s="97" t="n"/>
      <c r="N548" s="97" t="n">
        <v>37.2774</v>
      </c>
      <c r="O548" s="97" t="n"/>
      <c r="P548" s="97" t="n"/>
      <c r="Q548" s="97" t="n"/>
      <c r="R548" s="97" t="n">
        <v>21.08445</v>
      </c>
      <c r="S548" s="97" t="n">
        <v>44.51967</v>
      </c>
      <c r="T548" s="97" t="n">
        <v>62.95755</v>
      </c>
      <c r="U548" s="97" t="n">
        <v>33.83772</v>
      </c>
      <c r="V548" s="97" t="n"/>
      <c r="W548" s="97" t="n"/>
      <c r="X548" s="97" t="n"/>
      <c r="Y548" s="97" t="n"/>
      <c r="Z548" s="97" t="n">
        <v>46.52743</v>
      </c>
      <c r="AA548" s="97" t="n">
        <v>22.37831</v>
      </c>
      <c r="AB548" s="97" t="n"/>
      <c r="AC548" s="97" t="n">
        <v>43.57838</v>
      </c>
      <c r="AD548" s="97" t="n"/>
      <c r="AE548" s="97" t="n"/>
      <c r="AF548" s="97" t="n">
        <v>31.13912</v>
      </c>
      <c r="AG548" s="97" t="n">
        <v>28.00445</v>
      </c>
      <c r="AH548" s="97" t="n"/>
      <c r="AI548" s="97" t="n"/>
      <c r="AJ548" s="97" t="n">
        <v>29.21227</v>
      </c>
      <c r="AK548" s="97" t="n"/>
      <c r="AL548" s="97" t="n"/>
      <c r="AM548" s="97" t="n">
        <v>37.29304</v>
      </c>
      <c r="AN548" s="97" t="n"/>
      <c r="AO548" s="97" t="n">
        <v>28.51436</v>
      </c>
      <c r="AP548" s="97" t="n"/>
      <c r="AQ548" s="97" t="n"/>
      <c r="AR548" s="97" t="n"/>
      <c r="AS548" s="97" t="n"/>
      <c r="AT548" s="97" t="n"/>
      <c r="AU548" s="97" t="n"/>
      <c r="AV548" s="97" t="n"/>
      <c r="AW548" s="97" t="n"/>
      <c r="AX548" s="97" t="n"/>
      <c r="AY548" s="97" t="n"/>
    </row>
    <row r="549" s="135">
      <c r="A549" t="inlineStr">
        <is>
          <t>1964-08</t>
        </is>
      </c>
      <c r="B549" s="2" t="n">
        <v>23590</v>
      </c>
      <c r="C549" s="96" t="n">
        <v>549</v>
      </c>
      <c r="E549" s="2">
        <f>B549</f>
        <v/>
      </c>
      <c r="F549" s="3">
        <f>B549</f>
        <v/>
      </c>
      <c r="G549" s="96" t="n">
        <v>547</v>
      </c>
      <c r="H549" s="97" t="n"/>
      <c r="I549" s="97" t="n"/>
      <c r="J549" s="97" t="n">
        <v>33.07314</v>
      </c>
      <c r="K549" s="97" t="n">
        <v>29.31247</v>
      </c>
      <c r="L549" s="97" t="n"/>
      <c r="M549" s="97" t="n"/>
      <c r="N549" s="97" t="n">
        <v>36.96881</v>
      </c>
      <c r="O549" s="97" t="n"/>
      <c r="P549" s="97" t="n"/>
      <c r="Q549" s="97" t="n"/>
      <c r="R549" s="97" t="n">
        <v>21.15941</v>
      </c>
      <c r="S549" s="97" t="n">
        <v>44.51967</v>
      </c>
      <c r="T549" s="97" t="n">
        <v>63.95687</v>
      </c>
      <c r="U549" s="97" t="n">
        <v>35.39554</v>
      </c>
      <c r="V549" s="97" t="n"/>
      <c r="W549" s="97" t="n"/>
      <c r="X549" s="97" t="n"/>
      <c r="Y549" s="97" t="n"/>
      <c r="Z549" s="97" t="n">
        <v>43.67532</v>
      </c>
      <c r="AA549" s="97" t="n">
        <v>22.37831</v>
      </c>
      <c r="AB549" s="97" t="n"/>
      <c r="AC549" s="97" t="n">
        <v>44.83802</v>
      </c>
      <c r="AD549" s="97" t="n"/>
      <c r="AE549" s="97" t="n"/>
      <c r="AF549" s="97" t="n">
        <v>31.13912</v>
      </c>
      <c r="AG549" s="97" t="n">
        <v>27.36382</v>
      </c>
      <c r="AH549" s="97" t="n"/>
      <c r="AI549" s="97" t="n"/>
      <c r="AJ549" s="97" t="n">
        <v>28.00334</v>
      </c>
      <c r="AK549" s="97" t="n"/>
      <c r="AL549" s="97" t="n"/>
      <c r="AM549" s="97" t="n">
        <v>39.11221</v>
      </c>
      <c r="AN549" s="97" t="n"/>
      <c r="AO549" s="97" t="n">
        <v>28.7005</v>
      </c>
      <c r="AP549" s="97" t="n"/>
      <c r="AQ549" s="97" t="n"/>
      <c r="AR549" s="97" t="n"/>
      <c r="AS549" s="97" t="n"/>
      <c r="AT549" s="97" t="n"/>
      <c r="AU549" s="97" t="n"/>
      <c r="AV549" s="97" t="n"/>
      <c r="AW549" s="97" t="n"/>
      <c r="AX549" s="97" t="n"/>
      <c r="AY549" s="97" t="n"/>
    </row>
    <row r="550" s="135">
      <c r="A550" t="inlineStr">
        <is>
          <t>1964-09</t>
        </is>
      </c>
      <c r="B550" s="2" t="n">
        <v>23621</v>
      </c>
      <c r="C550" s="96" t="n">
        <v>550</v>
      </c>
      <c r="E550" s="2">
        <f>B550</f>
        <v/>
      </c>
      <c r="F550" s="3">
        <f>B550</f>
        <v/>
      </c>
      <c r="G550" s="96" t="n">
        <v>548</v>
      </c>
      <c r="H550" s="97" t="n"/>
      <c r="I550" s="97" t="n"/>
      <c r="J550" s="97" t="n">
        <v>33.29557</v>
      </c>
      <c r="K550" s="97" t="n">
        <v>29.96047</v>
      </c>
      <c r="L550" s="97" t="n"/>
      <c r="M550" s="97" t="n"/>
      <c r="N550" s="97" t="n">
        <v>37.03053</v>
      </c>
      <c r="O550" s="97" t="n"/>
      <c r="P550" s="97" t="n"/>
      <c r="Q550" s="97" t="n"/>
      <c r="R550" s="97" t="n">
        <v>21.19852</v>
      </c>
      <c r="S550" s="97" t="n">
        <v>45.43571</v>
      </c>
      <c r="T550" s="97" t="n">
        <v>63.45721</v>
      </c>
      <c r="U550" s="97" t="n">
        <v>34.0744</v>
      </c>
      <c r="V550" s="97" t="n"/>
      <c r="W550" s="97" t="n"/>
      <c r="X550" s="97" t="n"/>
      <c r="Y550" s="97" t="n"/>
      <c r="Z550" s="97" t="n">
        <v>46.0901</v>
      </c>
      <c r="AA550" s="97" t="n">
        <v>23.05134</v>
      </c>
      <c r="AB550" s="97" t="n"/>
      <c r="AC550" s="97" t="n">
        <v>43.72643</v>
      </c>
      <c r="AD550" s="97" t="n"/>
      <c r="AE550" s="97" t="n"/>
      <c r="AF550" s="97" t="n">
        <v>31.4248</v>
      </c>
      <c r="AG550" s="97" t="n">
        <v>27.6155</v>
      </c>
      <c r="AH550" s="97" t="n"/>
      <c r="AI550" s="97" t="n"/>
      <c r="AJ550" s="97" t="n">
        <v>28.55529</v>
      </c>
      <c r="AK550" s="97" t="n"/>
      <c r="AL550" s="97" t="n"/>
      <c r="AM550" s="97" t="n">
        <v>38.65742</v>
      </c>
      <c r="AN550" s="97" t="n"/>
      <c r="AO550" s="97" t="n">
        <v>28.80693</v>
      </c>
      <c r="AP550" s="97" t="n"/>
      <c r="AQ550" s="97" t="n"/>
      <c r="AR550" s="97" t="n"/>
      <c r="AS550" s="97" t="n"/>
      <c r="AT550" s="97" t="n"/>
      <c r="AU550" s="97" t="n"/>
      <c r="AV550" s="97" t="n"/>
      <c r="AW550" s="97" t="n"/>
      <c r="AX550" s="97" t="n"/>
      <c r="AY550" s="97" t="n"/>
    </row>
    <row r="551" s="135">
      <c r="A551" t="inlineStr">
        <is>
          <t>1964-10</t>
        </is>
      </c>
      <c r="B551" s="2" t="n">
        <v>23651</v>
      </c>
      <c r="C551" s="96" t="n">
        <v>551</v>
      </c>
      <c r="E551" s="2">
        <f>B551</f>
        <v/>
      </c>
      <c r="F551" s="3">
        <f>B551</f>
        <v/>
      </c>
      <c r="G551" s="96" t="n">
        <v>549</v>
      </c>
      <c r="H551" s="97" t="n"/>
      <c r="I551" s="97" t="n"/>
      <c r="J551" s="97" t="n">
        <v>34.07156</v>
      </c>
      <c r="K551" s="97" t="n">
        <v>29.90784</v>
      </c>
      <c r="L551" s="97" t="n"/>
      <c r="M551" s="97" t="n"/>
      <c r="N551" s="97" t="n">
        <v>37.52427</v>
      </c>
      <c r="O551" s="97" t="n"/>
      <c r="P551" s="97" t="n"/>
      <c r="Q551" s="97" t="n"/>
      <c r="R551" s="97" t="n">
        <v>21.47882</v>
      </c>
      <c r="S551" s="97" t="n">
        <v>45.49678</v>
      </c>
      <c r="T551" s="97" t="n">
        <v>63.95687</v>
      </c>
      <c r="U551" s="97" t="n">
        <v>34.36831</v>
      </c>
      <c r="V551" s="97" t="n"/>
      <c r="W551" s="97" t="n"/>
      <c r="X551" s="97" t="n"/>
      <c r="Y551" s="97" t="n"/>
      <c r="Z551" s="97" t="n">
        <v>45.957</v>
      </c>
      <c r="AA551" s="97" t="n">
        <v>22.96721</v>
      </c>
      <c r="AB551" s="97" t="n"/>
      <c r="AC551" s="97" t="n">
        <v>44.52157</v>
      </c>
      <c r="AD551" s="97" t="n"/>
      <c r="AE551" s="97" t="n"/>
      <c r="AF551" s="97" t="n">
        <v>31.99615</v>
      </c>
      <c r="AG551" s="97" t="n">
        <v>27.29519</v>
      </c>
      <c r="AH551" s="97" t="n"/>
      <c r="AI551" s="97" t="n"/>
      <c r="AJ551" s="97" t="n">
        <v>29.30945</v>
      </c>
      <c r="AK551" s="97" t="n"/>
      <c r="AL551" s="97" t="n"/>
      <c r="AM551" s="97" t="n">
        <v>39.11221</v>
      </c>
      <c r="AN551" s="97" t="n"/>
      <c r="AO551" s="97" t="n">
        <v>28.40793</v>
      </c>
      <c r="AP551" s="97" t="n"/>
      <c r="AQ551" s="97" t="n"/>
      <c r="AR551" s="97" t="n"/>
      <c r="AS551" s="97" t="n"/>
      <c r="AT551" s="97" t="n"/>
      <c r="AU551" s="97" t="n"/>
      <c r="AV551" s="97" t="n"/>
      <c r="AW551" s="97" t="n"/>
      <c r="AX551" s="97" t="n"/>
      <c r="AY551" s="97" t="n"/>
    </row>
    <row r="552" s="135">
      <c r="A552" t="inlineStr">
        <is>
          <t>1964-11</t>
        </is>
      </c>
      <c r="B552" s="2" t="n">
        <v>23682</v>
      </c>
      <c r="C552" s="96" t="n">
        <v>552</v>
      </c>
      <c r="E552" s="2">
        <f>B552</f>
        <v/>
      </c>
      <c r="F552" s="3">
        <f>B552</f>
        <v/>
      </c>
      <c r="G552" s="96" t="n">
        <v>550</v>
      </c>
      <c r="H552" s="97" t="n"/>
      <c r="I552" s="97" t="n"/>
      <c r="J552" s="97" t="n">
        <v>33.51586</v>
      </c>
      <c r="K552" s="97" t="n">
        <v>30.43602</v>
      </c>
      <c r="L552" s="97" t="n"/>
      <c r="M552" s="97" t="n"/>
      <c r="N552" s="97" t="n">
        <v>37.46255</v>
      </c>
      <c r="O552" s="97" t="n"/>
      <c r="P552" s="97" t="n"/>
      <c r="Q552" s="97" t="n"/>
      <c r="R552" s="97" t="n">
        <v>21.45275</v>
      </c>
      <c r="S552" s="97" t="n">
        <v>45.43571</v>
      </c>
      <c r="T552" s="97" t="n">
        <v>64.45654</v>
      </c>
      <c r="U552" s="97" t="n">
        <v>34.83109</v>
      </c>
      <c r="V552" s="97" t="n"/>
      <c r="W552" s="97" t="n"/>
      <c r="X552" s="97" t="n"/>
      <c r="Y552" s="97" t="n"/>
      <c r="Z552" s="97" t="n">
        <v>46.29926</v>
      </c>
      <c r="AA552" s="97" t="n">
        <v>22.71482</v>
      </c>
      <c r="AB552" s="97" t="n"/>
      <c r="AC552" s="97" t="n">
        <v>43.54799</v>
      </c>
      <c r="AD552" s="97" t="n"/>
      <c r="AE552" s="97" t="n"/>
      <c r="AF552" s="97" t="n">
        <v>32.28183</v>
      </c>
      <c r="AG552" s="97" t="n">
        <v>28.05021</v>
      </c>
      <c r="AH552" s="97" t="n"/>
      <c r="AI552" s="97" t="n"/>
      <c r="AJ552" s="97" t="n">
        <v>29.49174</v>
      </c>
      <c r="AK552" s="97" t="n"/>
      <c r="AL552" s="97" t="n"/>
      <c r="AM552" s="97" t="n">
        <v>39.567</v>
      </c>
      <c r="AN552" s="97" t="n"/>
      <c r="AO552" s="97" t="n">
        <v>29.28574</v>
      </c>
      <c r="AP552" s="97" t="n"/>
      <c r="AQ552" s="97" t="n"/>
      <c r="AR552" s="97" t="n"/>
      <c r="AS552" s="97" t="n"/>
      <c r="AT552" s="97" t="n"/>
      <c r="AU552" s="97" t="n"/>
      <c r="AV552" s="97" t="n"/>
      <c r="AW552" s="97" t="n"/>
      <c r="AX552" s="97" t="n"/>
      <c r="AY552" s="97" t="n"/>
    </row>
    <row r="553" s="135">
      <c r="A553" t="inlineStr">
        <is>
          <t>1964-12</t>
        </is>
      </c>
      <c r="B553" s="2" t="n">
        <v>23712</v>
      </c>
      <c r="C553" s="96" t="n">
        <v>553</v>
      </c>
      <c r="E553" s="2">
        <f>B553</f>
        <v/>
      </c>
      <c r="F553" s="3">
        <f>B553</f>
        <v/>
      </c>
      <c r="G553" s="96" t="n">
        <v>551</v>
      </c>
      <c r="H553" s="97" t="n"/>
      <c r="I553" s="97" t="n"/>
      <c r="J553" s="97" t="n">
        <v>33.49558</v>
      </c>
      <c r="K553" s="97" t="n">
        <v>30.44307</v>
      </c>
      <c r="L553" s="97" t="n"/>
      <c r="M553" s="97" t="n"/>
      <c r="N553" s="97" t="n">
        <v>37.89457</v>
      </c>
      <c r="O553" s="97" t="n"/>
      <c r="P553" s="97" t="n"/>
      <c r="Q553" s="97" t="n"/>
      <c r="R553" s="97" t="n">
        <v>21.47231</v>
      </c>
      <c r="S553" s="97" t="n">
        <v>44.58074</v>
      </c>
      <c r="T553" s="97" t="n">
        <v>65.45586</v>
      </c>
      <c r="U553" s="97" t="n">
        <v>35.41269</v>
      </c>
      <c r="V553" s="97" t="n"/>
      <c r="W553" s="97" t="n"/>
      <c r="X553" s="97" t="n"/>
      <c r="Y553" s="97" t="n"/>
      <c r="Z553" s="97" t="n">
        <v>46.43236</v>
      </c>
      <c r="AA553" s="97" t="n">
        <v>23.30372</v>
      </c>
      <c r="AB553" s="97" t="n"/>
      <c r="AC553" s="97" t="n">
        <v>44.27697</v>
      </c>
      <c r="AD553" s="97" t="n"/>
      <c r="AE553" s="97" t="n"/>
      <c r="AF553" s="97" t="n">
        <v>32.28183</v>
      </c>
      <c r="AG553" s="97" t="n">
        <v>28.32476</v>
      </c>
      <c r="AH553" s="97" t="n"/>
      <c r="AI553" s="97" t="n"/>
      <c r="AJ553" s="97" t="n">
        <v>29.31458</v>
      </c>
      <c r="AK553" s="97" t="n"/>
      <c r="AL553" s="97" t="n"/>
      <c r="AM553" s="97" t="n">
        <v>40.0218</v>
      </c>
      <c r="AN553" s="97" t="n"/>
      <c r="AO553" s="97" t="n">
        <v>29.63153</v>
      </c>
      <c r="AP553" s="97" t="n"/>
      <c r="AQ553" s="97" t="n"/>
      <c r="AR553" s="97" t="n"/>
      <c r="AS553" s="97" t="n"/>
      <c r="AT553" s="97" t="n"/>
      <c r="AU553" s="97" t="n"/>
      <c r="AV553" s="97" t="n"/>
      <c r="AW553" s="97" t="n"/>
      <c r="AX553" s="97" t="n"/>
      <c r="AY553" s="97" t="n"/>
    </row>
    <row r="554" s="135">
      <c r="A554" t="inlineStr">
        <is>
          <t>1965-01</t>
        </is>
      </c>
      <c r="B554" s="2" t="n">
        <v>23743</v>
      </c>
      <c r="C554" s="96" t="n">
        <v>554</v>
      </c>
      <c r="E554" s="2">
        <f>B554</f>
        <v/>
      </c>
      <c r="F554" s="3">
        <f>B554</f>
        <v/>
      </c>
      <c r="G554" s="96" t="n">
        <v>552</v>
      </c>
      <c r="H554" s="97" t="n"/>
      <c r="I554" s="97" t="n"/>
      <c r="J554" s="97" t="n">
        <v>34.17621</v>
      </c>
      <c r="K554" s="97" t="n">
        <v>30.88431</v>
      </c>
      <c r="L554" s="97" t="n"/>
      <c r="M554" s="97" t="n"/>
      <c r="N554" s="97" t="n">
        <v>38.75862</v>
      </c>
      <c r="O554" s="97" t="n"/>
      <c r="P554" s="97" t="n">
        <v>29.63829</v>
      </c>
      <c r="Q554" s="97" t="n"/>
      <c r="R554" s="97" t="n">
        <v>21.73631</v>
      </c>
      <c r="S554" s="97" t="n">
        <v>44.64181</v>
      </c>
      <c r="T554" s="97" t="n">
        <v>66.45519</v>
      </c>
      <c r="U554" s="97" t="n">
        <v>35.67213</v>
      </c>
      <c r="V554" s="97" t="n"/>
      <c r="W554" s="97" t="n"/>
      <c r="X554" s="97" t="n"/>
      <c r="Y554" s="97" t="n"/>
      <c r="Z554" s="97" t="n">
        <v>46.3563</v>
      </c>
      <c r="AA554" s="97" t="n">
        <v>23.05134</v>
      </c>
      <c r="AB554" s="97" t="n"/>
      <c r="AC554" s="97" t="n">
        <v>44.92404</v>
      </c>
      <c r="AD554" s="97" t="n"/>
      <c r="AE554" s="97" t="n"/>
      <c r="AF554" s="97" t="n">
        <v>32.8532</v>
      </c>
      <c r="AG554" s="97" t="n">
        <v>27.98157</v>
      </c>
      <c r="AH554" s="97" t="n"/>
      <c r="AI554" s="97" t="n"/>
      <c r="AJ554" s="97" t="n">
        <v>28.78821</v>
      </c>
      <c r="AK554" s="97" t="n"/>
      <c r="AL554" s="97" t="n"/>
      <c r="AM554" s="97" t="n">
        <v>41.38618</v>
      </c>
      <c r="AN554" s="97" t="n"/>
      <c r="AO554" s="97" t="n">
        <v>29.9507</v>
      </c>
      <c r="AP554" s="97" t="n"/>
      <c r="AQ554" s="97" t="n"/>
      <c r="AR554" s="97" t="n"/>
      <c r="AS554" s="97" t="n"/>
      <c r="AT554" s="97" t="n"/>
      <c r="AU554" s="97" t="n"/>
      <c r="AV554" s="97" t="n"/>
      <c r="AW554" s="97" t="n"/>
      <c r="AX554" s="97" t="n"/>
      <c r="AY554" s="97" t="n"/>
    </row>
    <row r="555" s="135">
      <c r="A555" t="inlineStr">
        <is>
          <t>1965-02</t>
        </is>
      </c>
      <c r="B555" s="2" t="n">
        <v>23774</v>
      </c>
      <c r="C555" s="96" t="n">
        <v>555</v>
      </c>
      <c r="E555" s="2">
        <f>B555</f>
        <v/>
      </c>
      <c r="F555" s="3">
        <f>B555</f>
        <v/>
      </c>
      <c r="G555" s="96" t="n">
        <v>553</v>
      </c>
      <c r="H555" s="97" t="n"/>
      <c r="I555" s="97" t="n"/>
      <c r="J555" s="97" t="n">
        <v>34.05408</v>
      </c>
      <c r="K555" s="97" t="n">
        <v>30.71233</v>
      </c>
      <c r="L555" s="97" t="n"/>
      <c r="M555" s="97" t="n"/>
      <c r="N555" s="97" t="n">
        <v>38.45003</v>
      </c>
      <c r="O555" s="97" t="n"/>
      <c r="P555" s="97" t="n">
        <v>30.60046</v>
      </c>
      <c r="Q555" s="97" t="n"/>
      <c r="R555" s="97" t="n">
        <v>21.93513</v>
      </c>
      <c r="S555" s="97" t="n">
        <v>45.0693</v>
      </c>
      <c r="T555" s="97" t="n">
        <v>65.45586</v>
      </c>
      <c r="U555" s="97" t="n">
        <v>35.47431</v>
      </c>
      <c r="V555" s="97" t="n"/>
      <c r="W555" s="97" t="n"/>
      <c r="X555" s="97" t="n"/>
      <c r="Y555" s="97" t="n"/>
      <c r="Z555" s="97" t="n">
        <v>46.86968</v>
      </c>
      <c r="AA555" s="97" t="n">
        <v>22.88308</v>
      </c>
      <c r="AB555" s="97" t="n"/>
      <c r="AC555" s="97" t="n">
        <v>45.79136</v>
      </c>
      <c r="AD555" s="97" t="n"/>
      <c r="AE555" s="97" t="n"/>
      <c r="AF555" s="97" t="n">
        <v>32.56752</v>
      </c>
      <c r="AG555" s="97" t="n">
        <v>28.57644</v>
      </c>
      <c r="AH555" s="97" t="n"/>
      <c r="AI555" s="97" t="n"/>
      <c r="AJ555" s="97" t="n">
        <v>29.77995</v>
      </c>
      <c r="AK555" s="97" t="n"/>
      <c r="AL555" s="97" t="n"/>
      <c r="AM555" s="97" t="n">
        <v>40.93138</v>
      </c>
      <c r="AN555" s="97" t="n"/>
      <c r="AO555" s="97" t="n">
        <v>30.13695</v>
      </c>
      <c r="AP555" s="97" t="n"/>
      <c r="AQ555" s="97" t="n"/>
      <c r="AR555" s="97" t="n"/>
      <c r="AS555" s="97" t="n"/>
      <c r="AT555" s="97" t="n"/>
      <c r="AU555" s="97" t="n"/>
      <c r="AV555" s="97" t="n"/>
      <c r="AW555" s="97" t="n"/>
      <c r="AX555" s="97" t="n"/>
      <c r="AY555" s="97" t="n"/>
    </row>
    <row r="556" s="135">
      <c r="A556" t="inlineStr">
        <is>
          <t>1965-03</t>
        </is>
      </c>
      <c r="B556" s="2" t="n">
        <v>23802</v>
      </c>
      <c r="C556" s="96" t="n">
        <v>556</v>
      </c>
      <c r="E556" s="2">
        <f>B556</f>
        <v/>
      </c>
      <c r="F556" s="3">
        <f>B556</f>
        <v/>
      </c>
      <c r="G556" s="96" t="n">
        <v>554</v>
      </c>
      <c r="H556" s="97" t="n"/>
      <c r="I556" s="97" t="n"/>
      <c r="J556" s="97" t="n">
        <v>33.54097</v>
      </c>
      <c r="K556" s="97" t="n">
        <v>31.35469</v>
      </c>
      <c r="L556" s="97" t="n"/>
      <c r="M556" s="97" t="n"/>
      <c r="N556" s="97" t="n">
        <v>38.38831</v>
      </c>
      <c r="O556" s="97" t="n"/>
      <c r="P556" s="97" t="n">
        <v>31.16453</v>
      </c>
      <c r="Q556" s="97" t="n"/>
      <c r="R556" s="97" t="n">
        <v>21.65809</v>
      </c>
      <c r="S556" s="97" t="n">
        <v>45.0693</v>
      </c>
      <c r="T556" s="97" t="n">
        <v>64.45654</v>
      </c>
      <c r="U556" s="97" t="n">
        <v>35.72782</v>
      </c>
      <c r="V556" s="97" t="n"/>
      <c r="W556" s="97" t="n"/>
      <c r="X556" s="97" t="n"/>
      <c r="Y556" s="97" t="n"/>
      <c r="Z556" s="97" t="n">
        <v>46.2232</v>
      </c>
      <c r="AA556" s="97" t="n">
        <v>23.05134</v>
      </c>
      <c r="AB556" s="97" t="n"/>
      <c r="AC556" s="97" t="n">
        <v>42.27729</v>
      </c>
      <c r="AD556" s="97" t="n"/>
      <c r="AE556" s="97" t="n"/>
      <c r="AF556" s="97" t="n">
        <v>32.28183</v>
      </c>
      <c r="AG556" s="97" t="n">
        <v>28.5078</v>
      </c>
      <c r="AH556" s="97" t="n"/>
      <c r="AI556" s="97" t="n"/>
      <c r="AJ556" s="97" t="n">
        <v>29.13757</v>
      </c>
      <c r="AK556" s="97" t="n"/>
      <c r="AL556" s="97" t="n"/>
      <c r="AM556" s="97" t="n">
        <v>40.0218</v>
      </c>
      <c r="AN556" s="97" t="n"/>
      <c r="AO556" s="97" t="n">
        <v>30.53585</v>
      </c>
      <c r="AP556" s="97" t="n"/>
      <c r="AQ556" s="97" t="n"/>
      <c r="AR556" s="97" t="n"/>
      <c r="AS556" s="97" t="n"/>
      <c r="AT556" s="97" t="n"/>
      <c r="AU556" s="97" t="n"/>
      <c r="AV556" s="97" t="n"/>
      <c r="AW556" s="97" t="n"/>
      <c r="AX556" s="97" t="n"/>
      <c r="AY556" s="97" t="n"/>
    </row>
    <row r="557" s="135">
      <c r="A557" t="inlineStr">
        <is>
          <t>1965-04</t>
        </is>
      </c>
      <c r="B557" s="2" t="n">
        <v>23833</v>
      </c>
      <c r="C557" s="96" t="n">
        <v>557</v>
      </c>
      <c r="E557" s="2">
        <f>B557</f>
        <v/>
      </c>
      <c r="F557" s="3">
        <f>B557</f>
        <v/>
      </c>
      <c r="G557" s="96" t="n">
        <v>555</v>
      </c>
      <c r="H557" s="97" t="n"/>
      <c r="I557" s="97" t="n"/>
      <c r="J557" s="97" t="n">
        <v>34.10825</v>
      </c>
      <c r="K557" s="97" t="n">
        <v>31.32086</v>
      </c>
      <c r="L557" s="97" t="n"/>
      <c r="M557" s="97" t="n"/>
      <c r="N557" s="97" t="n">
        <v>38.57346</v>
      </c>
      <c r="O557" s="97" t="n"/>
      <c r="P557" s="97" t="n">
        <v>31.01135</v>
      </c>
      <c r="Q557" s="97" t="n"/>
      <c r="R557" s="97" t="n">
        <v>22.14372</v>
      </c>
      <c r="S557" s="97" t="n">
        <v>45.31358</v>
      </c>
      <c r="T557" s="97" t="n">
        <v>64.9562</v>
      </c>
      <c r="U557" s="97" t="n">
        <v>35.41485</v>
      </c>
      <c r="V557" s="97" t="n"/>
      <c r="W557" s="97" t="n"/>
      <c r="X557" s="97" t="n"/>
      <c r="Y557" s="97" t="n"/>
      <c r="Z557" s="97" t="n">
        <v>46.88869</v>
      </c>
      <c r="AA557" s="97" t="n">
        <v>22.88308</v>
      </c>
      <c r="AB557" s="97" t="n"/>
      <c r="AC557" s="97" t="n">
        <v>44.03191</v>
      </c>
      <c r="AD557" s="97" t="n"/>
      <c r="AE557" s="97" t="n"/>
      <c r="AF557" s="97" t="n">
        <v>32.28183</v>
      </c>
      <c r="AG557" s="97" t="n">
        <v>29.40009</v>
      </c>
      <c r="AH557" s="97" t="n"/>
      <c r="AI557" s="97" t="n"/>
      <c r="AJ557" s="97" t="n">
        <v>29.58606</v>
      </c>
      <c r="AK557" s="97" t="n"/>
      <c r="AL557" s="97" t="n"/>
      <c r="AM557" s="97" t="n">
        <v>40.0218</v>
      </c>
      <c r="AN557" s="97" t="n"/>
      <c r="AO557" s="97" t="n">
        <v>30.66888</v>
      </c>
      <c r="AP557" s="97" t="n"/>
      <c r="AQ557" s="97" t="n"/>
      <c r="AR557" s="97" t="n"/>
      <c r="AS557" s="97" t="n"/>
      <c r="AT557" s="97" t="n"/>
      <c r="AU557" s="97" t="n"/>
      <c r="AV557" s="97" t="n"/>
      <c r="AW557" s="97" t="n"/>
      <c r="AX557" s="97" t="n"/>
      <c r="AY557" s="97" t="n"/>
    </row>
    <row r="558" s="135">
      <c r="A558" t="inlineStr">
        <is>
          <t>1965-05</t>
        </is>
      </c>
      <c r="B558" s="2" t="n">
        <v>23863</v>
      </c>
      <c r="C558" s="96" t="n">
        <v>558</v>
      </c>
      <c r="E558" s="2">
        <f>B558</f>
        <v/>
      </c>
      <c r="F558" s="3">
        <f>B558</f>
        <v/>
      </c>
      <c r="G558" s="96" t="n">
        <v>556</v>
      </c>
      <c r="H558" s="97" t="n"/>
      <c r="I558" s="97" t="n"/>
      <c r="J558" s="97" t="n">
        <v>34.20399</v>
      </c>
      <c r="K558" s="97" t="n">
        <v>31.52198</v>
      </c>
      <c r="L558" s="97" t="n"/>
      <c r="M558" s="97" t="n"/>
      <c r="N558" s="97" t="n">
        <v>38.57346</v>
      </c>
      <c r="O558" s="97" t="n"/>
      <c r="P558" s="97" t="n">
        <v>31.67221</v>
      </c>
      <c r="Q558" s="97" t="n"/>
      <c r="R558" s="97" t="n">
        <v>22.22195</v>
      </c>
      <c r="S558" s="97" t="n">
        <v>45.55785</v>
      </c>
      <c r="T558" s="97" t="n">
        <v>65.45586</v>
      </c>
      <c r="U558" s="97" t="n">
        <v>35.9217</v>
      </c>
      <c r="V558" s="97" t="n"/>
      <c r="W558" s="97" t="n"/>
      <c r="X558" s="97" t="n"/>
      <c r="Y558" s="97" t="n"/>
      <c r="Z558" s="97" t="n">
        <v>48.50489</v>
      </c>
      <c r="AA558" s="97" t="n">
        <v>22.54656</v>
      </c>
      <c r="AB558" s="97" t="n"/>
      <c r="AC558" s="97" t="n">
        <v>43.60468</v>
      </c>
      <c r="AD558" s="97" t="n"/>
      <c r="AE558" s="97" t="n"/>
      <c r="AF558" s="97" t="n">
        <v>33.13887</v>
      </c>
      <c r="AG558" s="97" t="n">
        <v>29.49161</v>
      </c>
      <c r="AH558" s="97" t="n"/>
      <c r="AI558" s="97" t="n"/>
      <c r="AJ558" s="97" t="n">
        <v>29.41329</v>
      </c>
      <c r="AK558" s="97" t="n"/>
      <c r="AL558" s="97" t="n"/>
      <c r="AM558" s="97" t="n">
        <v>40.47659</v>
      </c>
      <c r="AN558" s="97" t="n"/>
      <c r="AO558" s="97" t="n">
        <v>30.90824</v>
      </c>
      <c r="AP558" s="97" t="n"/>
      <c r="AQ558" s="97" t="n"/>
      <c r="AR558" s="97" t="n"/>
      <c r="AS558" s="97" t="n"/>
      <c r="AT558" s="97" t="n"/>
      <c r="AU558" s="97" t="n"/>
      <c r="AV558" s="97" t="n"/>
      <c r="AW558" s="97" t="n"/>
      <c r="AX558" s="97" t="n"/>
      <c r="AY558" s="97" t="n"/>
    </row>
    <row r="559" s="135">
      <c r="A559" t="inlineStr">
        <is>
          <t>1965-06</t>
        </is>
      </c>
      <c r="B559" s="2" t="n">
        <v>23894</v>
      </c>
      <c r="C559" s="96" t="n">
        <v>559</v>
      </c>
      <c r="E559" s="2">
        <f>B559</f>
        <v/>
      </c>
      <c r="F559" s="3">
        <f>B559</f>
        <v/>
      </c>
      <c r="G559" s="96" t="n">
        <v>557</v>
      </c>
      <c r="H559" s="97" t="n"/>
      <c r="I559" s="97" t="n"/>
      <c r="J559" s="97" t="n">
        <v>33.92512</v>
      </c>
      <c r="K559" s="97" t="n">
        <v>31.57367</v>
      </c>
      <c r="L559" s="97" t="n"/>
      <c r="M559" s="97" t="n"/>
      <c r="N559" s="97" t="n">
        <v>38.26488</v>
      </c>
      <c r="O559" s="97" t="n"/>
      <c r="P559" s="97" t="n">
        <v>30.98421</v>
      </c>
      <c r="Q559" s="97" t="n"/>
      <c r="R559" s="97" t="n">
        <v>22.94225</v>
      </c>
      <c r="S559" s="97" t="n">
        <v>46.10748</v>
      </c>
      <c r="T559" s="97" t="n">
        <v>64.9562</v>
      </c>
      <c r="U559" s="97" t="n">
        <v>36.92907</v>
      </c>
      <c r="V559" s="97" t="n"/>
      <c r="W559" s="97" t="n"/>
      <c r="X559" s="97" t="n"/>
      <c r="Y559" s="97" t="n"/>
      <c r="Z559" s="97" t="n">
        <v>48.98024</v>
      </c>
      <c r="AA559" s="97" t="n">
        <v>22.96721</v>
      </c>
      <c r="AB559" s="97" t="n"/>
      <c r="AC559" s="97" t="n">
        <v>43.58502</v>
      </c>
      <c r="AD559" s="97" t="n"/>
      <c r="AE559" s="97" t="n"/>
      <c r="AF559" s="97" t="n">
        <v>32.8532</v>
      </c>
      <c r="AG559" s="97" t="n">
        <v>28.1646</v>
      </c>
      <c r="AH559" s="97" t="n"/>
      <c r="AI559" s="97" t="n"/>
      <c r="AJ559" s="97" t="n">
        <v>28.87982</v>
      </c>
      <c r="AK559" s="97" t="n"/>
      <c r="AL559" s="97" t="n"/>
      <c r="AM559" s="97" t="n">
        <v>40.93138</v>
      </c>
      <c r="AN559" s="97" t="n"/>
      <c r="AO559" s="97" t="n">
        <v>31.14769</v>
      </c>
      <c r="AP559" s="97" t="n"/>
      <c r="AQ559" s="97" t="n"/>
      <c r="AR559" s="97" t="n"/>
      <c r="AS559" s="97" t="n"/>
      <c r="AT559" s="97" t="n"/>
      <c r="AU559" s="97" t="n"/>
      <c r="AV559" s="97" t="n"/>
      <c r="AW559" s="97" t="n"/>
      <c r="AX559" s="97" t="n"/>
      <c r="AY559" s="97" t="n"/>
    </row>
    <row r="560" s="135">
      <c r="A560" t="inlineStr">
        <is>
          <t>1965-07</t>
        </is>
      </c>
      <c r="B560" s="2" t="n">
        <v>23924</v>
      </c>
      <c r="C560" s="96" t="n">
        <v>560</v>
      </c>
      <c r="E560" s="2">
        <f>B560</f>
        <v/>
      </c>
      <c r="F560" s="3">
        <f>B560</f>
        <v/>
      </c>
      <c r="G560" s="96" t="n">
        <v>558</v>
      </c>
      <c r="H560" s="97" t="n"/>
      <c r="I560" s="97" t="n"/>
      <c r="J560" s="97" t="n">
        <v>33.89993</v>
      </c>
      <c r="K560" s="97" t="n">
        <v>32.39648</v>
      </c>
      <c r="L560" s="97" t="n"/>
      <c r="M560" s="97" t="n"/>
      <c r="N560" s="97" t="n">
        <v>38.45003</v>
      </c>
      <c r="O560" s="97" t="n"/>
      <c r="P560" s="97" t="n">
        <v>33.50448</v>
      </c>
      <c r="Q560" s="97" t="n"/>
      <c r="R560" s="97" t="n">
        <v>22.73366</v>
      </c>
      <c r="S560" s="97" t="n">
        <v>46.04641</v>
      </c>
      <c r="T560" s="97" t="n">
        <v>65.45586</v>
      </c>
      <c r="U560" s="97" t="n">
        <v>36.70959</v>
      </c>
      <c r="V560" s="97" t="n"/>
      <c r="W560" s="97" t="n"/>
      <c r="X560" s="97" t="n"/>
      <c r="Y560" s="97" t="n"/>
      <c r="Z560" s="97" t="n">
        <v>49.34151</v>
      </c>
      <c r="AA560" s="97" t="n">
        <v>22.96721</v>
      </c>
      <c r="AB560" s="97" t="n"/>
      <c r="AC560" s="97" t="n">
        <v>43.27277</v>
      </c>
      <c r="AD560" s="97" t="n"/>
      <c r="AE560" s="97" t="n"/>
      <c r="AF560" s="97" t="n">
        <v>33.13887</v>
      </c>
      <c r="AG560" s="97" t="n">
        <v>28.62219</v>
      </c>
      <c r="AH560" s="97" t="n"/>
      <c r="AI560" s="97" t="n"/>
      <c r="AJ560" s="97" t="n">
        <v>30.25811</v>
      </c>
      <c r="AK560" s="97" t="n"/>
      <c r="AL560" s="97" t="n"/>
      <c r="AM560" s="97" t="n">
        <v>38.20263</v>
      </c>
      <c r="AN560" s="97" t="n"/>
      <c r="AO560" s="97" t="n">
        <v>31.44026</v>
      </c>
      <c r="AP560" s="97" t="n"/>
      <c r="AQ560" s="97" t="n"/>
      <c r="AR560" s="97" t="n"/>
      <c r="AS560" s="97" t="n"/>
      <c r="AT560" s="97" t="n"/>
      <c r="AU560" s="97" t="n"/>
      <c r="AV560" s="97" t="n"/>
      <c r="AW560" s="97" t="n"/>
      <c r="AX560" s="97" t="n"/>
      <c r="AY560" s="97" t="n"/>
    </row>
    <row r="561" s="135">
      <c r="A561" t="inlineStr">
        <is>
          <t>1965-08</t>
        </is>
      </c>
      <c r="B561" s="2" t="n">
        <v>23955</v>
      </c>
      <c r="C561" s="96" t="n">
        <v>561</v>
      </c>
      <c r="E561" s="2">
        <f>B561</f>
        <v/>
      </c>
      <c r="F561" s="3">
        <f>B561</f>
        <v/>
      </c>
      <c r="G561" s="96" t="n">
        <v>559</v>
      </c>
      <c r="H561" s="97" t="n"/>
      <c r="I561" s="97" t="n"/>
      <c r="J561" s="97" t="n">
        <v>33.86045</v>
      </c>
      <c r="K561" s="97" t="n">
        <v>31.67235</v>
      </c>
      <c r="L561" s="97" t="n"/>
      <c r="M561" s="97" t="n"/>
      <c r="N561" s="97" t="n">
        <v>38.82034</v>
      </c>
      <c r="O561" s="97" t="n"/>
      <c r="P561" s="97" t="n">
        <v>32.88184</v>
      </c>
      <c r="Q561" s="97" t="n"/>
      <c r="R561" s="97" t="n">
        <v>22.70107</v>
      </c>
      <c r="S561" s="97" t="n">
        <v>46.04641</v>
      </c>
      <c r="T561" s="97" t="n">
        <v>64.9562</v>
      </c>
      <c r="U561" s="97" t="n">
        <v>36.08186</v>
      </c>
      <c r="V561" s="97" t="n"/>
      <c r="W561" s="97" t="n"/>
      <c r="X561" s="97" t="n"/>
      <c r="Y561" s="97" t="n"/>
      <c r="Z561" s="97" t="n">
        <v>48.71405</v>
      </c>
      <c r="AA561" s="97" t="n">
        <v>23.05134</v>
      </c>
      <c r="AB561" s="97" t="n"/>
      <c r="AC561" s="97" t="n">
        <v>43.13638</v>
      </c>
      <c r="AD561" s="97" t="n"/>
      <c r="AE561" s="97" t="n"/>
      <c r="AF561" s="97" t="n">
        <v>32.56752</v>
      </c>
      <c r="AG561" s="97" t="n">
        <v>29.51449</v>
      </c>
      <c r="AH561" s="97" t="n"/>
      <c r="AI561" s="97" t="n"/>
      <c r="AJ561" s="97" t="n">
        <v>29.47515</v>
      </c>
      <c r="AK561" s="97" t="n"/>
      <c r="AL561" s="97" t="n"/>
      <c r="AM561" s="97" t="n">
        <v>41.38618</v>
      </c>
      <c r="AN561" s="97" t="n"/>
      <c r="AO561" s="97" t="n">
        <v>31.5732</v>
      </c>
      <c r="AP561" s="97" t="n"/>
      <c r="AQ561" s="97" t="n"/>
      <c r="AR561" s="97" t="n"/>
      <c r="AS561" s="97" t="n"/>
      <c r="AT561" s="97" t="n"/>
      <c r="AU561" s="97" t="n"/>
      <c r="AV561" s="97" t="n"/>
      <c r="AW561" s="97" t="n"/>
      <c r="AX561" s="97" t="n"/>
      <c r="AY561" s="97" t="n"/>
    </row>
    <row r="562" s="135">
      <c r="A562" t="inlineStr">
        <is>
          <t>1965-09</t>
        </is>
      </c>
      <c r="B562" s="2" t="n">
        <v>23986</v>
      </c>
      <c r="C562" s="96" t="n">
        <v>562</v>
      </c>
      <c r="E562" s="2">
        <f>B562</f>
        <v/>
      </c>
      <c r="F562" s="3">
        <f>B562</f>
        <v/>
      </c>
      <c r="G562" s="96" t="n">
        <v>560</v>
      </c>
      <c r="H562" s="97" t="n"/>
      <c r="I562" s="97" t="n"/>
      <c r="J562" s="97" t="n">
        <v>33.83659</v>
      </c>
      <c r="K562" s="97" t="n">
        <v>32.36265</v>
      </c>
      <c r="L562" s="97" t="n"/>
      <c r="M562" s="97" t="n"/>
      <c r="N562" s="97" t="n">
        <v>39.12892</v>
      </c>
      <c r="O562" s="97" t="n"/>
      <c r="P562" s="97" t="n">
        <v>32.9376</v>
      </c>
      <c r="Q562" s="97" t="n"/>
      <c r="R562" s="97" t="n">
        <v>22.78255</v>
      </c>
      <c r="S562" s="97" t="n">
        <v>46.53497</v>
      </c>
      <c r="T562" s="97" t="n">
        <v>64.9562</v>
      </c>
      <c r="U562" s="97" t="n">
        <v>37.09899</v>
      </c>
      <c r="V562" s="97" t="n"/>
      <c r="W562" s="97" t="n"/>
      <c r="X562" s="97" t="n"/>
      <c r="Y562" s="97" t="n"/>
      <c r="Z562" s="97" t="n">
        <v>49.34151</v>
      </c>
      <c r="AA562" s="97" t="n">
        <v>23.13547</v>
      </c>
      <c r="AB562" s="97" t="n"/>
      <c r="AC562" s="97" t="n">
        <v>43.54374</v>
      </c>
      <c r="AD562" s="97" t="n"/>
      <c r="AE562" s="97" t="n"/>
      <c r="AF562" s="97" t="n">
        <v>33.71024</v>
      </c>
      <c r="AG562" s="97" t="n">
        <v>29.67465</v>
      </c>
      <c r="AH562" s="97" t="n"/>
      <c r="AI562" s="97" t="n"/>
      <c r="AJ562" s="97" t="n">
        <v>29.76298</v>
      </c>
      <c r="AK562" s="97" t="n"/>
      <c r="AL562" s="97" t="n"/>
      <c r="AM562" s="97" t="n">
        <v>42.29576</v>
      </c>
      <c r="AN562" s="97" t="n"/>
      <c r="AO562" s="97" t="n">
        <v>31.65302</v>
      </c>
      <c r="AP562" s="97" t="n"/>
      <c r="AQ562" s="97" t="n"/>
      <c r="AR562" s="97" t="n"/>
      <c r="AS562" s="97" t="n"/>
      <c r="AT562" s="97" t="n"/>
      <c r="AU562" s="97" t="n"/>
      <c r="AV562" s="97" t="n"/>
      <c r="AW562" s="97" t="n"/>
      <c r="AX562" s="97" t="n"/>
      <c r="AY562" s="97" t="n"/>
    </row>
    <row r="563" s="135">
      <c r="A563" t="inlineStr">
        <is>
          <t>1965-10</t>
        </is>
      </c>
      <c r="B563" s="2" t="n">
        <v>24016</v>
      </c>
      <c r="C563" s="96" t="n">
        <v>563</v>
      </c>
      <c r="E563" s="2">
        <f>B563</f>
        <v/>
      </c>
      <c r="F563" s="3">
        <f>B563</f>
        <v/>
      </c>
      <c r="G563" s="96" t="n">
        <v>561</v>
      </c>
      <c r="H563" s="97" t="n"/>
      <c r="I563" s="97" t="n"/>
      <c r="J563" s="97" t="n">
        <v>34.48289</v>
      </c>
      <c r="K563" s="97" t="n">
        <v>33.08725</v>
      </c>
      <c r="L563" s="97" t="n"/>
      <c r="M563" s="97" t="n"/>
      <c r="N563" s="97" t="n">
        <v>38.94377</v>
      </c>
      <c r="O563" s="97" t="n"/>
      <c r="P563" s="97" t="n">
        <v>33.18572</v>
      </c>
      <c r="Q563" s="97" t="n"/>
      <c r="R563" s="97" t="n">
        <v>22.18935</v>
      </c>
      <c r="S563" s="97" t="n">
        <v>47.45101</v>
      </c>
      <c r="T563" s="97" t="n">
        <v>65.95553</v>
      </c>
      <c r="U563" s="97" t="n">
        <v>36.87552</v>
      </c>
      <c r="V563" s="97" t="n"/>
      <c r="W563" s="97" t="n"/>
      <c r="X563" s="97" t="n"/>
      <c r="Y563" s="97" t="n"/>
      <c r="Z563" s="97" t="n">
        <v>49.55066</v>
      </c>
      <c r="AA563" s="97" t="n">
        <v>23.13547</v>
      </c>
      <c r="AB563" s="97" t="n"/>
      <c r="AC563" s="97" t="n">
        <v>43.57447</v>
      </c>
      <c r="AD563" s="97" t="n"/>
      <c r="AE563" s="97" t="n"/>
      <c r="AF563" s="97" t="n">
        <v>33.99591</v>
      </c>
      <c r="AG563" s="97" t="n">
        <v>29.14842</v>
      </c>
      <c r="AH563" s="97" t="n"/>
      <c r="AI563" s="97" t="n"/>
      <c r="AJ563" s="97" t="n">
        <v>29.52378</v>
      </c>
      <c r="AK563" s="97" t="n"/>
      <c r="AL563" s="97" t="n"/>
      <c r="AM563" s="97" t="n">
        <v>41.84097</v>
      </c>
      <c r="AN563" s="97" t="n"/>
      <c r="AO563" s="97" t="n">
        <v>31.97229</v>
      </c>
      <c r="AP563" s="97" t="n"/>
      <c r="AQ563" s="97" t="n"/>
      <c r="AR563" s="97" t="n"/>
      <c r="AS563" s="97" t="n"/>
      <c r="AT563" s="97" t="n"/>
      <c r="AU563" s="97" t="n"/>
      <c r="AV563" s="97" t="n"/>
      <c r="AW563" s="97" t="n"/>
      <c r="AX563" s="97" t="n"/>
      <c r="AY563" s="97" t="n"/>
    </row>
    <row r="564" s="135">
      <c r="A564" t="inlineStr">
        <is>
          <t>1965-11</t>
        </is>
      </c>
      <c r="B564" s="2" t="n">
        <v>24047</v>
      </c>
      <c r="C564" s="96" t="n">
        <v>564</v>
      </c>
      <c r="E564" s="2">
        <f>B564</f>
        <v/>
      </c>
      <c r="F564" s="3">
        <f>B564</f>
        <v/>
      </c>
      <c r="G564" s="96" t="n">
        <v>562</v>
      </c>
      <c r="H564" s="97" t="n"/>
      <c r="I564" s="97" t="n"/>
      <c r="J564" s="97" t="n">
        <v>34.79621</v>
      </c>
      <c r="K564" s="97" t="n">
        <v>33.23997</v>
      </c>
      <c r="L564" s="97" t="n"/>
      <c r="M564" s="97" t="n"/>
      <c r="N564" s="97" t="n">
        <v>38.6969</v>
      </c>
      <c r="O564" s="97" t="n"/>
      <c r="P564" s="97" t="n">
        <v>33.82881</v>
      </c>
      <c r="Q564" s="97" t="n"/>
      <c r="R564" s="97" t="n">
        <v>22.39469</v>
      </c>
      <c r="S564" s="97" t="n">
        <v>47.45101</v>
      </c>
      <c r="T564" s="97" t="n">
        <v>65.95553</v>
      </c>
      <c r="U564" s="97" t="n">
        <v>37.63124</v>
      </c>
      <c r="V564" s="97" t="n"/>
      <c r="W564" s="97" t="n"/>
      <c r="X564" s="97" t="n"/>
      <c r="Y564" s="97" t="n"/>
      <c r="Z564" s="97" t="n">
        <v>50.82461</v>
      </c>
      <c r="AA564" s="97" t="n">
        <v>23.55611</v>
      </c>
      <c r="AB564" s="97" t="n"/>
      <c r="AC564" s="97" t="n">
        <v>44.64177</v>
      </c>
      <c r="AD564" s="97" t="n"/>
      <c r="AE564" s="97" t="n"/>
      <c r="AF564" s="97" t="n">
        <v>33.99591</v>
      </c>
      <c r="AG564" s="97" t="n">
        <v>29.58313</v>
      </c>
      <c r="AH564" s="97" t="n"/>
      <c r="AI564" s="97" t="n"/>
      <c r="AJ564" s="97" t="n">
        <v>29.88545</v>
      </c>
      <c r="AK564" s="97" t="n"/>
      <c r="AL564" s="97" t="n"/>
      <c r="AM564" s="97" t="n">
        <v>41.84097</v>
      </c>
      <c r="AN564" s="97" t="n"/>
      <c r="AO564" s="97" t="n">
        <v>32.10522</v>
      </c>
      <c r="AP564" s="97" t="n"/>
      <c r="AQ564" s="97" t="n"/>
      <c r="AR564" s="97" t="n"/>
      <c r="AS564" s="97" t="n"/>
      <c r="AT564" s="97" t="n"/>
      <c r="AU564" s="97" t="n"/>
      <c r="AV564" s="97" t="n"/>
      <c r="AW564" s="97" t="n"/>
      <c r="AX564" s="97" t="n"/>
      <c r="AY564" s="97" t="n"/>
    </row>
    <row r="565" s="135">
      <c r="A565" t="inlineStr">
        <is>
          <t>1965-12</t>
        </is>
      </c>
      <c r="B565" s="2" t="n">
        <v>24077</v>
      </c>
      <c r="C565" s="96" t="n">
        <v>565</v>
      </c>
      <c r="E565" s="2">
        <f>B565</f>
        <v/>
      </c>
      <c r="F565" s="3">
        <f>B565</f>
        <v/>
      </c>
      <c r="G565" s="96" t="n">
        <v>563</v>
      </c>
      <c r="H565" s="97" t="n"/>
      <c r="I565" s="97" t="n"/>
      <c r="J565" s="97" t="n">
        <v>35.32801</v>
      </c>
      <c r="K565" s="97" t="n">
        <v>33.73666</v>
      </c>
      <c r="L565" s="97" t="n"/>
      <c r="M565" s="97" t="n"/>
      <c r="N565" s="97" t="n">
        <v>39.62266</v>
      </c>
      <c r="O565" s="97" t="n"/>
      <c r="P565" s="97" t="n">
        <v>34.18798</v>
      </c>
      <c r="Q565" s="97" t="n"/>
      <c r="R565" s="97" t="n">
        <v>22.42402</v>
      </c>
      <c r="S565" s="97" t="n">
        <v>47.63422</v>
      </c>
      <c r="T565" s="97" t="n">
        <v>66.45519</v>
      </c>
      <c r="U565" s="97" t="n">
        <v>37.53761</v>
      </c>
      <c r="V565" s="97" t="n"/>
      <c r="W565" s="97" t="n"/>
      <c r="X565" s="97" t="n"/>
      <c r="Y565" s="97" t="n"/>
      <c r="Z565" s="97" t="n">
        <v>50.63446</v>
      </c>
      <c r="AA565" s="97" t="n">
        <v>23.55611</v>
      </c>
      <c r="AB565" s="97" t="n"/>
      <c r="AC565" s="97" t="n">
        <v>43.52945</v>
      </c>
      <c r="AD565" s="97" t="n"/>
      <c r="AE565" s="97" t="n"/>
      <c r="AF565" s="97" t="n">
        <v>33.99591</v>
      </c>
      <c r="AG565" s="97" t="n">
        <v>29.51449</v>
      </c>
      <c r="AH565" s="97" t="n"/>
      <c r="AI565" s="97" t="n"/>
      <c r="AJ565" s="97" t="n">
        <v>31.93317</v>
      </c>
      <c r="AK565" s="97" t="n"/>
      <c r="AL565" s="97" t="n"/>
      <c r="AM565" s="97" t="n">
        <v>41.38618</v>
      </c>
      <c r="AN565" s="97" t="n"/>
      <c r="AO565" s="97" t="n">
        <v>32.50422</v>
      </c>
      <c r="AP565" s="97" t="n"/>
      <c r="AQ565" s="97" t="n"/>
      <c r="AR565" s="97" t="n"/>
      <c r="AS565" s="97" t="n"/>
      <c r="AT565" s="97" t="n"/>
      <c r="AU565" s="97" t="n"/>
      <c r="AV565" s="97" t="n"/>
      <c r="AW565" s="97" t="n"/>
      <c r="AX565" s="97" t="n"/>
      <c r="AY565" s="97" t="n"/>
    </row>
    <row r="566" s="135">
      <c r="A566" t="inlineStr">
        <is>
          <t>1966-01</t>
        </is>
      </c>
      <c r="B566" s="2" t="n">
        <v>24108</v>
      </c>
      <c r="C566" s="96" t="n">
        <v>566</v>
      </c>
      <c r="E566" s="2">
        <f>B566</f>
        <v/>
      </c>
      <c r="F566" s="3">
        <f>B566</f>
        <v/>
      </c>
      <c r="G566" s="96" t="n">
        <v>564</v>
      </c>
      <c r="H566" s="97" t="n"/>
      <c r="I566" s="97" t="n"/>
      <c r="J566" s="97" t="n">
        <v>34.34013</v>
      </c>
      <c r="K566" s="97" t="n">
        <v>33.71598</v>
      </c>
      <c r="L566" s="97" t="n"/>
      <c r="M566" s="97" t="n"/>
      <c r="N566" s="97" t="n">
        <v>39.31408</v>
      </c>
      <c r="O566" s="97" t="n"/>
      <c r="P566" s="97" t="n">
        <v>34.68687</v>
      </c>
      <c r="Q566" s="97" t="n"/>
      <c r="R566" s="97" t="n">
        <v>22.17958</v>
      </c>
      <c r="S566" s="97" t="n">
        <v>46.90138</v>
      </c>
      <c r="T566" s="97" t="n">
        <v>66.95486</v>
      </c>
      <c r="U566" s="97" t="n">
        <v>38.79543</v>
      </c>
      <c r="V566" s="97" t="n"/>
      <c r="W566" s="97" t="n"/>
      <c r="X566" s="97" t="n"/>
      <c r="Y566" s="97" t="n"/>
      <c r="Z566" s="97" t="n">
        <v>51.80136</v>
      </c>
      <c r="AA566" s="97" t="n">
        <v>23.89263</v>
      </c>
      <c r="AB566" s="97" t="n"/>
      <c r="AC566" s="97" t="n">
        <v>43.29436</v>
      </c>
      <c r="AD566" s="97" t="n"/>
      <c r="AE566" s="97" t="n"/>
      <c r="AF566" s="97" t="n">
        <v>33.99591</v>
      </c>
      <c r="AG566" s="97" t="n">
        <v>29.46873</v>
      </c>
      <c r="AH566" s="97" t="n"/>
      <c r="AI566" s="97" t="n"/>
      <c r="AJ566" s="97" t="n">
        <v>31.08956</v>
      </c>
      <c r="AK566" s="97" t="n"/>
      <c r="AL566" s="97" t="n"/>
      <c r="AM566" s="97" t="n">
        <v>42.29576</v>
      </c>
      <c r="AN566" s="97" t="n"/>
      <c r="AO566" s="97" t="n">
        <v>32.82339</v>
      </c>
      <c r="AP566" s="97" t="n"/>
      <c r="AQ566" s="97" t="n"/>
      <c r="AR566" s="97" t="n"/>
      <c r="AS566" s="97" t="n"/>
      <c r="AT566" s="97" t="n"/>
      <c r="AU566" s="97" t="n"/>
      <c r="AV566" s="97" t="n"/>
      <c r="AW566" s="97" t="n"/>
      <c r="AX566" s="97" t="n"/>
      <c r="AY566" s="97" t="n"/>
    </row>
    <row r="567" s="135">
      <c r="A567" t="inlineStr">
        <is>
          <t>1966-02</t>
        </is>
      </c>
      <c r="B567" s="2" t="n">
        <v>24139</v>
      </c>
      <c r="C567" s="96" t="n">
        <v>567</v>
      </c>
      <c r="E567" s="2">
        <f>B567</f>
        <v/>
      </c>
      <c r="F567" s="3">
        <f>B567</f>
        <v/>
      </c>
      <c r="G567" s="96" t="n">
        <v>565</v>
      </c>
      <c r="H567" s="97" t="n"/>
      <c r="I567" s="97" t="n"/>
      <c r="J567" s="97" t="n">
        <v>34.78653</v>
      </c>
      <c r="K567" s="97" t="n">
        <v>33.89596</v>
      </c>
      <c r="L567" s="97" t="n"/>
      <c r="M567" s="97" t="n"/>
      <c r="N567" s="97" t="n">
        <v>39.37579</v>
      </c>
      <c r="O567" s="97" t="n"/>
      <c r="P567" s="97" t="n">
        <v>34.79665</v>
      </c>
      <c r="Q567" s="97" t="n"/>
      <c r="R567" s="97" t="n">
        <v>22.60654</v>
      </c>
      <c r="S567" s="97" t="n">
        <v>48.00063</v>
      </c>
      <c r="T567" s="97" t="n">
        <v>66.45519</v>
      </c>
      <c r="U567" s="97" t="n">
        <v>39.7964</v>
      </c>
      <c r="V567" s="97" t="n"/>
      <c r="W567" s="97" t="n"/>
      <c r="X567" s="97" t="n"/>
      <c r="Y567" s="97" t="n"/>
      <c r="Z567" s="97" t="n">
        <v>51.59661</v>
      </c>
      <c r="AA567" s="97" t="n">
        <v>23.97676</v>
      </c>
      <c r="AB567" s="97" t="n"/>
      <c r="AC567" s="97" t="n">
        <v>42.90427</v>
      </c>
      <c r="AD567" s="97" t="n"/>
      <c r="AE567" s="97" t="n"/>
      <c r="AF567" s="97" t="n">
        <v>33.99591</v>
      </c>
      <c r="AG567" s="97" t="n">
        <v>28.98826</v>
      </c>
      <c r="AH567" s="97" t="n"/>
      <c r="AI567" s="97" t="n"/>
      <c r="AJ567" s="97" t="n">
        <v>31.03011</v>
      </c>
      <c r="AK567" s="97" t="n"/>
      <c r="AL567" s="97" t="n"/>
      <c r="AM567" s="97" t="n">
        <v>41.38618</v>
      </c>
      <c r="AN567" s="97" t="n"/>
      <c r="AO567" s="97" t="n">
        <v>33.03624</v>
      </c>
      <c r="AP567" s="97" t="n"/>
      <c r="AQ567" s="97" t="n"/>
      <c r="AR567" s="97" t="n"/>
      <c r="AS567" s="97" t="n"/>
      <c r="AT567" s="97" t="n"/>
      <c r="AU567" s="97" t="n"/>
      <c r="AV567" s="97" t="n"/>
      <c r="AW567" s="97" t="n"/>
      <c r="AX567" s="97" t="n"/>
      <c r="AY567" s="97" t="n"/>
    </row>
    <row r="568" s="135">
      <c r="A568" t="inlineStr">
        <is>
          <t>1966-03</t>
        </is>
      </c>
      <c r="B568" s="2" t="n">
        <v>24167</v>
      </c>
      <c r="C568" s="96" t="n">
        <v>568</v>
      </c>
      <c r="E568" s="2">
        <f>B568</f>
        <v/>
      </c>
      <c r="F568" s="3">
        <f>B568</f>
        <v/>
      </c>
      <c r="G568" s="96" t="n">
        <v>566</v>
      </c>
      <c r="H568" s="97" t="n"/>
      <c r="I568" s="97" t="n"/>
      <c r="J568" s="97" t="n">
        <v>34.77917</v>
      </c>
      <c r="K568" s="97" t="n">
        <v>33.79117</v>
      </c>
      <c r="L568" s="97" t="n"/>
      <c r="M568" s="97" t="n"/>
      <c r="N568" s="97" t="n">
        <v>40.17812</v>
      </c>
      <c r="O568" s="97" t="n"/>
      <c r="P568" s="97" t="n">
        <v>36.61267</v>
      </c>
      <c r="Q568" s="97" t="n"/>
      <c r="R568" s="97" t="n">
        <v>22.82818</v>
      </c>
      <c r="S568" s="97" t="n">
        <v>48.24491</v>
      </c>
      <c r="T568" s="97" t="n">
        <v>67.95417999999999</v>
      </c>
      <c r="U568" s="97" t="n">
        <v>40.22405</v>
      </c>
      <c r="V568" s="97" t="n"/>
      <c r="W568" s="97" t="n"/>
      <c r="X568" s="97" t="n"/>
      <c r="Y568" s="97" t="n"/>
      <c r="Z568" s="97" t="n">
        <v>52.96161</v>
      </c>
      <c r="AA568" s="97" t="n">
        <v>24.64979</v>
      </c>
      <c r="AB568" s="97" t="n"/>
      <c r="AC568" s="97" t="n">
        <v>41.38361</v>
      </c>
      <c r="AD568" s="97" t="n"/>
      <c r="AE568" s="97" t="n"/>
      <c r="AF568" s="97" t="n">
        <v>34.85295</v>
      </c>
      <c r="AG568" s="97" t="n">
        <v>29.88056</v>
      </c>
      <c r="AH568" s="97" t="n"/>
      <c r="AI568" s="97" t="n"/>
      <c r="AJ568" s="97" t="n">
        <v>32.79284</v>
      </c>
      <c r="AK568" s="97" t="n"/>
      <c r="AL568" s="97" t="n"/>
      <c r="AM568" s="97" t="n">
        <v>42.75056</v>
      </c>
      <c r="AN568" s="97" t="n"/>
      <c r="AO568" s="97" t="n">
        <v>33.48836</v>
      </c>
      <c r="AP568" s="97" t="n"/>
      <c r="AQ568" s="97" t="n"/>
      <c r="AR568" s="97" t="n"/>
      <c r="AS568" s="97" t="n"/>
      <c r="AT568" s="97" t="n"/>
      <c r="AU568" s="97" t="n"/>
      <c r="AV568" s="97" t="n"/>
      <c r="AW568" s="97" t="n"/>
      <c r="AX568" s="97" t="n"/>
      <c r="AY568" s="97" t="n"/>
    </row>
    <row r="569" s="135">
      <c r="A569" t="inlineStr">
        <is>
          <t>1966-04</t>
        </is>
      </c>
      <c r="B569" s="2" t="n">
        <v>24198</v>
      </c>
      <c r="C569" s="96" t="n">
        <v>569</v>
      </c>
      <c r="E569" s="2">
        <f>B569</f>
        <v/>
      </c>
      <c r="F569" s="3">
        <f>B569</f>
        <v/>
      </c>
      <c r="G569" s="96" t="n">
        <v>567</v>
      </c>
      <c r="H569" s="97" t="n"/>
      <c r="I569" s="97" t="n"/>
      <c r="J569" s="97" t="n">
        <v>34.94509</v>
      </c>
      <c r="K569" s="97" t="n">
        <v>34.0078</v>
      </c>
      <c r="L569" s="97" t="n"/>
      <c r="M569" s="97" t="n"/>
      <c r="N569" s="97" t="n">
        <v>39.49923</v>
      </c>
      <c r="O569" s="97" t="n"/>
      <c r="P569" s="97" t="n">
        <v>35.75891</v>
      </c>
      <c r="Q569" s="97" t="n"/>
      <c r="R569" s="97" t="n">
        <v>22.97811</v>
      </c>
      <c r="S569" s="97" t="n">
        <v>47.81742</v>
      </c>
      <c r="T569" s="97" t="n">
        <v>66.95486</v>
      </c>
      <c r="U569" s="97" t="n">
        <v>41.31382</v>
      </c>
      <c r="V569" s="97" t="n"/>
      <c r="W569" s="97" t="n"/>
      <c r="X569" s="97" t="n"/>
      <c r="Y569" s="97" t="n"/>
      <c r="Z569" s="97" t="n">
        <v>51.80136</v>
      </c>
      <c r="AA569" s="97" t="n">
        <v>25.15456</v>
      </c>
      <c r="AB569" s="97" t="n"/>
      <c r="AC569" s="97" t="n">
        <v>41.47427</v>
      </c>
      <c r="AD569" s="97" t="n"/>
      <c r="AE569" s="97" t="n"/>
      <c r="AF569" s="97" t="n">
        <v>35.13863</v>
      </c>
      <c r="AG569" s="97" t="n">
        <v>29.21706</v>
      </c>
      <c r="AH569" s="97" t="n"/>
      <c r="AI569" s="97" t="n"/>
      <c r="AJ569" s="97" t="n">
        <v>32.84259</v>
      </c>
      <c r="AK569" s="97" t="n"/>
      <c r="AL569" s="97" t="n"/>
      <c r="AM569" s="97" t="n">
        <v>41.38618</v>
      </c>
      <c r="AN569" s="97" t="n"/>
      <c r="AO569" s="97" t="n">
        <v>33.54157</v>
      </c>
      <c r="AP569" s="97" t="n"/>
      <c r="AQ569" s="97" t="n"/>
      <c r="AR569" s="97" t="n"/>
      <c r="AS569" s="97" t="n"/>
      <c r="AT569" s="97" t="n"/>
      <c r="AU569" s="97" t="n"/>
      <c r="AV569" s="97" t="n"/>
      <c r="AW569" s="97" t="n"/>
      <c r="AX569" s="97" t="n"/>
      <c r="AY569" s="97" t="n"/>
    </row>
    <row r="570" s="135">
      <c r="A570" t="inlineStr">
        <is>
          <t>1966-05</t>
        </is>
      </c>
      <c r="B570" s="2" t="n">
        <v>24228</v>
      </c>
      <c r="C570" s="96" t="n">
        <v>570</v>
      </c>
      <c r="E570" s="2">
        <f>B570</f>
        <v/>
      </c>
      <c r="F570" s="3">
        <f>B570</f>
        <v/>
      </c>
      <c r="G570" s="96" t="n">
        <v>568</v>
      </c>
      <c r="H570" s="97" t="n"/>
      <c r="I570" s="97" t="n"/>
      <c r="J570" s="97" t="n">
        <v>34.584</v>
      </c>
      <c r="K570" s="97" t="n">
        <v>34.02095</v>
      </c>
      <c r="L570" s="97" t="n"/>
      <c r="M570" s="97" t="n"/>
      <c r="N570" s="97" t="n">
        <v>39.31408</v>
      </c>
      <c r="O570" s="97" t="n"/>
      <c r="P570" s="97" t="n">
        <v>36.11224</v>
      </c>
      <c r="Q570" s="97" t="n"/>
      <c r="R570" s="97" t="n">
        <v>23.19974</v>
      </c>
      <c r="S570" s="97" t="n">
        <v>48.55026</v>
      </c>
      <c r="T570" s="97" t="n">
        <v>65.95553</v>
      </c>
      <c r="U570" s="97" t="n">
        <v>44.59418</v>
      </c>
      <c r="V570" s="97" t="n"/>
      <c r="W570" s="97" t="n"/>
      <c r="X570" s="97" t="n"/>
      <c r="Y570" s="97" t="n"/>
      <c r="Z570" s="97" t="n">
        <v>53.7806</v>
      </c>
      <c r="AA570" s="97" t="n">
        <v>25.40695</v>
      </c>
      <c r="AB570" s="97" t="n"/>
      <c r="AC570" s="97" t="n">
        <v>41.96744</v>
      </c>
      <c r="AD570" s="97" t="n"/>
      <c r="AE570" s="97" t="n"/>
      <c r="AF570" s="97" t="n">
        <v>34.85295</v>
      </c>
      <c r="AG570" s="97" t="n">
        <v>29.76617</v>
      </c>
      <c r="AH570" s="97" t="n"/>
      <c r="AI570" s="97" t="n"/>
      <c r="AJ570" s="97" t="n">
        <v>32.31449</v>
      </c>
      <c r="AK570" s="97" t="n"/>
      <c r="AL570" s="97" t="n"/>
      <c r="AM570" s="97" t="n">
        <v>41.84097</v>
      </c>
      <c r="AN570" s="97" t="n"/>
      <c r="AO570" s="97" t="n">
        <v>33.86075</v>
      </c>
      <c r="AP570" s="97" t="n"/>
      <c r="AQ570" s="97" t="n"/>
      <c r="AR570" s="97" t="n"/>
      <c r="AS570" s="97" t="n"/>
      <c r="AT570" s="97" t="n"/>
      <c r="AU570" s="97" t="n"/>
      <c r="AV570" s="97" t="n"/>
      <c r="AW570" s="97" t="n"/>
      <c r="AX570" s="97" t="n"/>
      <c r="AY570" s="97" t="n"/>
    </row>
    <row r="571" s="135">
      <c r="A571" t="inlineStr">
        <is>
          <t>1966-06</t>
        </is>
      </c>
      <c r="B571" s="2" t="n">
        <v>24259</v>
      </c>
      <c r="C571" s="96" t="n">
        <v>571</v>
      </c>
      <c r="E571" s="2">
        <f>B571</f>
        <v/>
      </c>
      <c r="F571" s="3">
        <f>B571</f>
        <v/>
      </c>
      <c r="G571" s="96" t="n">
        <v>569</v>
      </c>
      <c r="H571" s="97" t="n"/>
      <c r="I571" s="97" t="n"/>
      <c r="J571" s="97" t="n">
        <v>34.96196</v>
      </c>
      <c r="K571" s="97" t="n">
        <v>34.0468</v>
      </c>
      <c r="L571" s="97" t="n"/>
      <c r="M571" s="97" t="n"/>
      <c r="N571" s="97" t="n">
        <v>39.80782</v>
      </c>
      <c r="O571" s="97" t="n"/>
      <c r="P571" s="97" t="n">
        <v>36.31505</v>
      </c>
      <c r="Q571" s="97" t="n"/>
      <c r="R571" s="97" t="n">
        <v>23.43441</v>
      </c>
      <c r="S571" s="97" t="n">
        <v>49.22202</v>
      </c>
      <c r="T571" s="97" t="n">
        <v>65.95553</v>
      </c>
      <c r="U571" s="97" t="n">
        <v>42.90572</v>
      </c>
      <c r="V571" s="97" t="n"/>
      <c r="W571" s="97" t="n"/>
      <c r="X571" s="97" t="n"/>
      <c r="Y571" s="97" t="n"/>
      <c r="Z571" s="97" t="n">
        <v>53.98535</v>
      </c>
      <c r="AA571" s="97" t="n">
        <v>25.82759</v>
      </c>
      <c r="AB571" s="97" t="n"/>
      <c r="AC571" s="97" t="n">
        <v>42.18515</v>
      </c>
      <c r="AD571" s="97" t="n"/>
      <c r="AE571" s="97" t="n"/>
      <c r="AF571" s="97" t="n">
        <v>34.85295</v>
      </c>
      <c r="AG571" s="97" t="n">
        <v>31.04741</v>
      </c>
      <c r="AH571" s="97" t="n"/>
      <c r="AI571" s="97" t="n"/>
      <c r="AJ571" s="97" t="n">
        <v>30.86731</v>
      </c>
      <c r="AK571" s="97" t="n"/>
      <c r="AL571" s="97" t="n"/>
      <c r="AM571" s="97" t="n">
        <v>42.75056</v>
      </c>
      <c r="AN571" s="97" t="n"/>
      <c r="AO571" s="97" t="n">
        <v>34.02038</v>
      </c>
      <c r="AP571" s="97" t="n"/>
      <c r="AQ571" s="97" t="n"/>
      <c r="AR571" s="97" t="n"/>
      <c r="AS571" s="97" t="n"/>
      <c r="AT571" s="97" t="n"/>
      <c r="AU571" s="97" t="n"/>
      <c r="AV571" s="97" t="n"/>
      <c r="AW571" s="97" t="n"/>
      <c r="AX571" s="97" t="n"/>
      <c r="AY571" s="97" t="n"/>
    </row>
    <row r="572" s="135">
      <c r="A572" t="inlineStr">
        <is>
          <t>1966-07</t>
        </is>
      </c>
      <c r="B572" s="2" t="n">
        <v>24289</v>
      </c>
      <c r="C572" s="96" t="n">
        <v>572</v>
      </c>
      <c r="E572" s="2">
        <f>B572</f>
        <v/>
      </c>
      <c r="F572" s="3">
        <f>B572</f>
        <v/>
      </c>
      <c r="G572" s="96" t="n">
        <v>570</v>
      </c>
      <c r="H572" s="97" t="n"/>
      <c r="I572" s="97" t="n"/>
      <c r="J572" s="97" t="n">
        <v>34.89973</v>
      </c>
      <c r="K572" s="97" t="n">
        <v>33.90207</v>
      </c>
      <c r="L572" s="97" t="n"/>
      <c r="M572" s="97" t="n"/>
      <c r="N572" s="97" t="n">
        <v>39.37579</v>
      </c>
      <c r="O572" s="97" t="n"/>
      <c r="P572" s="97" t="n">
        <v>36.04428</v>
      </c>
      <c r="Q572" s="97" t="n"/>
      <c r="R572" s="97" t="n">
        <v>23.10522</v>
      </c>
      <c r="S572" s="97" t="n">
        <v>49.52737</v>
      </c>
      <c r="T572" s="97" t="n">
        <v>66.95486</v>
      </c>
      <c r="U572" s="97" t="n">
        <v>42.8271</v>
      </c>
      <c r="V572" s="97" t="n"/>
      <c r="W572" s="97" t="n"/>
      <c r="X572" s="97" t="n"/>
      <c r="Y572" s="97" t="n"/>
      <c r="Z572" s="97" t="n">
        <v>54.4631</v>
      </c>
      <c r="AA572" s="97" t="n">
        <v>26.24824</v>
      </c>
      <c r="AB572" s="97" t="n"/>
      <c r="AC572" s="97" t="n">
        <v>41.93501</v>
      </c>
      <c r="AD572" s="97" t="n"/>
      <c r="AE572" s="97" t="n"/>
      <c r="AF572" s="97" t="n">
        <v>34.56728</v>
      </c>
      <c r="AG572" s="97" t="n">
        <v>29.88056</v>
      </c>
      <c r="AH572" s="97" t="n"/>
      <c r="AI572" s="97" t="n"/>
      <c r="AJ572" s="97" t="n">
        <v>30.94705</v>
      </c>
      <c r="AK572" s="97" t="n"/>
      <c r="AL572" s="97" t="n"/>
      <c r="AM572" s="97" t="n">
        <v>39.11221</v>
      </c>
      <c r="AN572" s="97" t="n"/>
      <c r="AO572" s="97" t="n">
        <v>34.20653</v>
      </c>
      <c r="AP572" s="97" t="n"/>
      <c r="AQ572" s="97" t="n"/>
      <c r="AR572" s="97" t="n"/>
      <c r="AS572" s="97" t="n"/>
      <c r="AT572" s="97" t="n"/>
      <c r="AU572" s="97" t="n"/>
      <c r="AV572" s="97" t="n"/>
      <c r="AW572" s="97" t="n"/>
      <c r="AX572" s="97" t="n"/>
      <c r="AY572" s="97" t="n"/>
    </row>
    <row r="573" s="135">
      <c r="A573" t="inlineStr">
        <is>
          <t>1966-08</t>
        </is>
      </c>
      <c r="B573" s="2" t="n">
        <v>24320</v>
      </c>
      <c r="C573" s="96" t="n">
        <v>573</v>
      </c>
      <c r="E573" s="2">
        <f>B573</f>
        <v/>
      </c>
      <c r="F573" s="3">
        <f>B573</f>
        <v/>
      </c>
      <c r="G573" s="96" t="n">
        <v>571</v>
      </c>
      <c r="H573" s="97" t="n"/>
      <c r="I573" s="97" t="n"/>
      <c r="J573" s="97" t="n">
        <v>35.07883</v>
      </c>
      <c r="K573" s="97" t="n">
        <v>33.35838</v>
      </c>
      <c r="L573" s="97" t="n"/>
      <c r="M573" s="97" t="n"/>
      <c r="N573" s="97" t="n">
        <v>38.88205</v>
      </c>
      <c r="O573" s="97" t="n"/>
      <c r="P573" s="97" t="n">
        <v>37.55966</v>
      </c>
      <c r="Q573" s="97" t="n"/>
      <c r="R573" s="97" t="n">
        <v>23.22255</v>
      </c>
      <c r="S573" s="97" t="n">
        <v>49.52737</v>
      </c>
      <c r="T573" s="97" t="n">
        <v>66.45519</v>
      </c>
      <c r="U573" s="97" t="n">
        <v>42.40572</v>
      </c>
      <c r="V573" s="97" t="n"/>
      <c r="W573" s="97" t="n"/>
      <c r="X573" s="97" t="n"/>
      <c r="Y573" s="97" t="n"/>
      <c r="Z573" s="97" t="n">
        <v>55.89634</v>
      </c>
      <c r="AA573" s="97" t="n">
        <v>26.66888</v>
      </c>
      <c r="AB573" s="97" t="n"/>
      <c r="AC573" s="97" t="n">
        <v>42.04388</v>
      </c>
      <c r="AD573" s="97" t="n"/>
      <c r="AE573" s="97" t="n"/>
      <c r="AF573" s="97" t="n">
        <v>35.42432</v>
      </c>
      <c r="AG573" s="97" t="n">
        <v>30.08648</v>
      </c>
      <c r="AH573" s="97" t="n"/>
      <c r="AI573" s="97" t="n"/>
      <c r="AJ573" s="97" t="n">
        <v>31.73639</v>
      </c>
      <c r="AK573" s="97" t="n"/>
      <c r="AL573" s="97" t="n"/>
      <c r="AM573" s="97" t="n">
        <v>41.84097</v>
      </c>
      <c r="AN573" s="97" t="n"/>
      <c r="AO573" s="97" t="n">
        <v>34.23314</v>
      </c>
      <c r="AP573" s="97" t="n"/>
      <c r="AQ573" s="97" t="n"/>
      <c r="AR573" s="97" t="n"/>
      <c r="AS573" s="97" t="n"/>
      <c r="AT573" s="97" t="n"/>
      <c r="AU573" s="97" t="n"/>
      <c r="AV573" s="97" t="n"/>
      <c r="AW573" s="97" t="n"/>
      <c r="AX573" s="97" t="n"/>
      <c r="AY573" s="97" t="n"/>
    </row>
    <row r="574" s="135">
      <c r="A574" t="inlineStr">
        <is>
          <t>1966-09</t>
        </is>
      </c>
      <c r="B574" s="2" t="n">
        <v>24351</v>
      </c>
      <c r="C574" s="96" t="n">
        <v>574</v>
      </c>
      <c r="E574" s="2">
        <f>B574</f>
        <v/>
      </c>
      <c r="F574" s="3">
        <f>B574</f>
        <v/>
      </c>
      <c r="G574" s="96" t="n">
        <v>572</v>
      </c>
      <c r="H574" s="97" t="n"/>
      <c r="I574" s="97" t="n"/>
      <c r="J574" s="97" t="n">
        <v>35.2861</v>
      </c>
      <c r="K574" s="97" t="n">
        <v>34.21221</v>
      </c>
      <c r="L574" s="97" t="n"/>
      <c r="M574" s="97" t="n"/>
      <c r="N574" s="97" t="n">
        <v>39.12892</v>
      </c>
      <c r="O574" s="97" t="n"/>
      <c r="P574" s="97" t="n">
        <v>38.20365</v>
      </c>
      <c r="Q574" s="97" t="n"/>
      <c r="R574" s="97" t="n">
        <v>23.83856</v>
      </c>
      <c r="S574" s="97" t="n">
        <v>49.64951</v>
      </c>
      <c r="T574" s="97" t="n">
        <v>65.95553</v>
      </c>
      <c r="U574" s="97" t="n">
        <v>42.7189</v>
      </c>
      <c r="V574" s="97" t="n"/>
      <c r="W574" s="97" t="n"/>
      <c r="X574" s="97" t="n"/>
      <c r="Y574" s="97" t="n"/>
      <c r="Z574" s="97" t="n">
        <v>56.03283</v>
      </c>
      <c r="AA574" s="97" t="n">
        <v>27.08953</v>
      </c>
      <c r="AB574" s="97" t="n"/>
      <c r="AC574" s="97" t="n">
        <v>42.18386</v>
      </c>
      <c r="AD574" s="97" t="n"/>
      <c r="AE574" s="97" t="n"/>
      <c r="AF574" s="97" t="n">
        <v>35.42432</v>
      </c>
      <c r="AG574" s="97" t="n">
        <v>31.23045</v>
      </c>
      <c r="AH574" s="97" t="n"/>
      <c r="AI574" s="97" t="n"/>
      <c r="AJ574" s="97" t="n">
        <v>29.99744</v>
      </c>
      <c r="AK574" s="97" t="n"/>
      <c r="AL574" s="97" t="n"/>
      <c r="AM574" s="97" t="n">
        <v>43.66014</v>
      </c>
      <c r="AN574" s="97" t="n"/>
      <c r="AO574" s="97" t="n">
        <v>34.55231</v>
      </c>
      <c r="AP574" s="97" t="n"/>
      <c r="AQ574" s="97" t="n"/>
      <c r="AR574" s="97" t="n"/>
      <c r="AS574" s="97" t="n"/>
      <c r="AT574" s="97" t="n"/>
      <c r="AU574" s="97" t="n"/>
      <c r="AV574" s="97" t="n"/>
      <c r="AW574" s="97" t="n"/>
      <c r="AX574" s="97" t="n"/>
      <c r="AY574" s="97" t="n"/>
    </row>
    <row r="575" s="135">
      <c r="A575" t="inlineStr">
        <is>
          <t>1966-10</t>
        </is>
      </c>
      <c r="B575" s="2" t="n">
        <v>24381</v>
      </c>
      <c r="C575" s="96" t="n">
        <v>575</v>
      </c>
      <c r="E575" s="2">
        <f>B575</f>
        <v/>
      </c>
      <c r="F575" s="3">
        <f>B575</f>
        <v/>
      </c>
      <c r="G575" s="96" t="n">
        <v>573</v>
      </c>
      <c r="H575" s="97" t="n"/>
      <c r="I575" s="97" t="n"/>
      <c r="J575" s="97" t="n">
        <v>34.81705</v>
      </c>
      <c r="K575" s="97" t="n">
        <v>34.59753</v>
      </c>
      <c r="L575" s="97" t="n"/>
      <c r="M575" s="97" t="n"/>
      <c r="N575" s="97" t="n">
        <v>38.63518</v>
      </c>
      <c r="O575" s="97" t="n"/>
      <c r="P575" s="97" t="n">
        <v>38.36147</v>
      </c>
      <c r="Q575" s="97" t="n"/>
      <c r="R575" s="97" t="n">
        <v>24.3242</v>
      </c>
      <c r="S575" s="97" t="n">
        <v>49.03881</v>
      </c>
      <c r="T575" s="97" t="n">
        <v>64.9562</v>
      </c>
      <c r="U575" s="97" t="n">
        <v>43.02908</v>
      </c>
      <c r="V575" s="97" t="n"/>
      <c r="W575" s="97" t="n"/>
      <c r="X575" s="97" t="n"/>
      <c r="Y575" s="97" t="n"/>
      <c r="Z575" s="97" t="n">
        <v>55.41859</v>
      </c>
      <c r="AA575" s="97" t="n">
        <v>27.5943</v>
      </c>
      <c r="AB575" s="97" t="n"/>
      <c r="AC575" s="97" t="n">
        <v>42.49406</v>
      </c>
      <c r="AD575" s="97" t="n"/>
      <c r="AE575" s="97" t="n"/>
      <c r="AF575" s="97" t="n">
        <v>35.71</v>
      </c>
      <c r="AG575" s="97" t="n">
        <v>30.47543</v>
      </c>
      <c r="AH575" s="97" t="n"/>
      <c r="AI575" s="97" t="n"/>
      <c r="AJ575" s="97" t="n">
        <v>29.97993</v>
      </c>
      <c r="AK575" s="97" t="n"/>
      <c r="AL575" s="97" t="n"/>
      <c r="AM575" s="97" t="n">
        <v>43.20535</v>
      </c>
      <c r="AN575" s="97" t="n"/>
      <c r="AO575" s="97" t="n">
        <v>34.79167</v>
      </c>
      <c r="AP575" s="97" t="n"/>
      <c r="AQ575" s="97" t="n"/>
      <c r="AR575" s="97" t="n"/>
      <c r="AS575" s="97" t="n"/>
      <c r="AT575" s="97" t="n"/>
      <c r="AU575" s="97" t="n"/>
      <c r="AV575" s="97" t="n"/>
      <c r="AW575" s="97" t="n"/>
      <c r="AX575" s="97" t="n"/>
      <c r="AY575" s="97" t="n"/>
    </row>
    <row r="576" s="135">
      <c r="A576" t="inlineStr">
        <is>
          <t>1966-11</t>
        </is>
      </c>
      <c r="B576" s="2" t="n">
        <v>24412</v>
      </c>
      <c r="C576" s="96" t="n">
        <v>576</v>
      </c>
      <c r="E576" s="2">
        <f>B576</f>
        <v/>
      </c>
      <c r="F576" s="3">
        <f>B576</f>
        <v/>
      </c>
      <c r="G576" s="96" t="n">
        <v>574</v>
      </c>
      <c r="H576" s="97" t="n"/>
      <c r="I576" s="97" t="n"/>
      <c r="J576" s="97" t="n">
        <v>35.0347</v>
      </c>
      <c r="K576" s="97" t="n">
        <v>34.45421</v>
      </c>
      <c r="L576" s="97" t="n"/>
      <c r="M576" s="97" t="n"/>
      <c r="N576" s="97" t="n">
        <v>38.14144</v>
      </c>
      <c r="O576" s="97" t="n"/>
      <c r="P576" s="97" t="n">
        <v>37.97061</v>
      </c>
      <c r="Q576" s="97" t="n"/>
      <c r="R576" s="97" t="n">
        <v>24.28835</v>
      </c>
      <c r="S576" s="97" t="n">
        <v>49.58844</v>
      </c>
      <c r="T576" s="97" t="n">
        <v>64.45654</v>
      </c>
      <c r="U576" s="97" t="n">
        <v>42.80572</v>
      </c>
      <c r="V576" s="97" t="n"/>
      <c r="W576" s="97" t="n"/>
      <c r="X576" s="97" t="n"/>
      <c r="Y576" s="97" t="n"/>
      <c r="Z576" s="97" t="n">
        <v>55.69159</v>
      </c>
      <c r="AA576" s="97" t="n">
        <v>28.1832</v>
      </c>
      <c r="AB576" s="97" t="n"/>
      <c r="AC576" s="97" t="n">
        <v>42.1051</v>
      </c>
      <c r="AD576" s="97" t="n"/>
      <c r="AE576" s="97" t="n"/>
      <c r="AF576" s="97" t="n">
        <v>35.99567</v>
      </c>
      <c r="AG576" s="97" t="n">
        <v>31.09317</v>
      </c>
      <c r="AH576" s="97" t="n"/>
      <c r="AI576" s="97" t="n"/>
      <c r="AJ576" s="97" t="n">
        <v>30.36658</v>
      </c>
      <c r="AK576" s="97" t="n"/>
      <c r="AL576" s="97" t="n"/>
      <c r="AM576" s="97" t="n">
        <v>42.75056</v>
      </c>
      <c r="AN576" s="97" t="n"/>
      <c r="AO576" s="97" t="n">
        <v>34.55231</v>
      </c>
      <c r="AP576" s="97" t="n"/>
      <c r="AQ576" s="97" t="n"/>
      <c r="AR576" s="97" t="n"/>
      <c r="AS576" s="97" t="n"/>
      <c r="AT576" s="97" t="n"/>
      <c r="AU576" s="97" t="n"/>
      <c r="AV576" s="97" t="n"/>
      <c r="AW576" s="97" t="n"/>
      <c r="AX576" s="97" t="n"/>
      <c r="AY576" s="97" t="n"/>
    </row>
    <row r="577" s="135">
      <c r="A577" t="inlineStr">
        <is>
          <t>1966-12</t>
        </is>
      </c>
      <c r="B577" s="2" t="n">
        <v>24442</v>
      </c>
      <c r="C577" s="96" t="n">
        <v>577</v>
      </c>
      <c r="E577" s="2">
        <f>B577</f>
        <v/>
      </c>
      <c r="F577" s="3">
        <f>B577</f>
        <v/>
      </c>
      <c r="G577" s="96" t="n">
        <v>575</v>
      </c>
      <c r="H577" s="97" t="n"/>
      <c r="I577" s="97" t="n"/>
      <c r="J577" s="97" t="n">
        <v>34.62719</v>
      </c>
      <c r="K577" s="97" t="n">
        <v>34.49651</v>
      </c>
      <c r="L577" s="97" t="n"/>
      <c r="M577" s="97" t="n"/>
      <c r="N577" s="97" t="n">
        <v>38.20316</v>
      </c>
      <c r="O577" s="97" t="n"/>
      <c r="P577" s="97" t="n">
        <v>39.37449</v>
      </c>
      <c r="Q577" s="97" t="n"/>
      <c r="R577" s="97" t="n">
        <v>24.15471</v>
      </c>
      <c r="S577" s="97" t="n">
        <v>49.58844</v>
      </c>
      <c r="T577" s="97" t="n">
        <v>65.45586</v>
      </c>
      <c r="U577" s="97" t="n">
        <v>43.86929</v>
      </c>
      <c r="V577" s="97" t="n"/>
      <c r="W577" s="97" t="n"/>
      <c r="X577" s="97" t="n"/>
      <c r="Y577" s="97" t="n"/>
      <c r="Z577" s="97" t="n">
        <v>56.85183</v>
      </c>
      <c r="AA577" s="97" t="n">
        <v>28.77211</v>
      </c>
      <c r="AB577" s="97" t="n"/>
      <c r="AC577" s="97" t="n">
        <v>42.467</v>
      </c>
      <c r="AD577" s="97" t="n"/>
      <c r="AE577" s="97" t="n"/>
      <c r="AF577" s="97" t="n">
        <v>35.71</v>
      </c>
      <c r="AG577" s="97" t="n">
        <v>31.45925</v>
      </c>
      <c r="AH577" s="97" t="n"/>
      <c r="AI577" s="97" t="n"/>
      <c r="AJ577" s="97" t="n">
        <v>30.10716</v>
      </c>
      <c r="AK577" s="97" t="n"/>
      <c r="AL577" s="97" t="n"/>
      <c r="AM577" s="97" t="n">
        <v>41.84097</v>
      </c>
      <c r="AN577" s="97" t="n"/>
      <c r="AO577" s="97" t="n">
        <v>34.63213</v>
      </c>
      <c r="AP577" s="97" t="n"/>
      <c r="AQ577" s="97" t="n"/>
      <c r="AR577" s="97" t="n"/>
      <c r="AS577" s="97" t="n"/>
      <c r="AT577" s="97" t="n"/>
      <c r="AU577" s="97" t="n"/>
      <c r="AV577" s="97" t="n"/>
      <c r="AW577" s="97" t="n"/>
      <c r="AX577" s="97" t="n"/>
      <c r="AY577" s="97" t="n"/>
    </row>
    <row r="578" s="135">
      <c r="A578" t="inlineStr">
        <is>
          <t>1967-01</t>
        </is>
      </c>
      <c r="B578" s="2" t="n">
        <v>24473</v>
      </c>
      <c r="C578" s="96" t="n">
        <v>578</v>
      </c>
      <c r="E578" s="2">
        <f>B578</f>
        <v/>
      </c>
      <c r="F578" s="3">
        <f>B578</f>
        <v/>
      </c>
      <c r="G578" s="96" t="n">
        <v>576</v>
      </c>
      <c r="H578" s="97" t="n"/>
      <c r="I578" s="97" t="n"/>
      <c r="J578" s="97" t="n">
        <v>34.96725</v>
      </c>
      <c r="K578" s="97" t="n">
        <v>34.75119</v>
      </c>
      <c r="L578" s="97" t="n"/>
      <c r="M578" s="97" t="n"/>
      <c r="N578" s="97" t="n">
        <v>37.52427</v>
      </c>
      <c r="O578" s="97" t="n"/>
      <c r="P578" s="97" t="n">
        <v>37.66953</v>
      </c>
      <c r="Q578" s="97" t="n"/>
      <c r="R578" s="97" t="n">
        <v>24.19383</v>
      </c>
      <c r="S578" s="97" t="n">
        <v>49.34416</v>
      </c>
      <c r="T578" s="97" t="n">
        <v>65.45586</v>
      </c>
      <c r="U578" s="97" t="n">
        <v>43.96383</v>
      </c>
      <c r="V578" s="97" t="n"/>
      <c r="W578" s="97" t="n"/>
      <c r="X578" s="97" t="n"/>
      <c r="Y578" s="97" t="n"/>
      <c r="Z578" s="97" t="n">
        <v>57.05658</v>
      </c>
      <c r="AA578" s="97" t="n">
        <v>28.94036</v>
      </c>
      <c r="AB578" s="97" t="n"/>
      <c r="AC578" s="97" t="n">
        <v>43.29915</v>
      </c>
      <c r="AD578" s="97" t="n"/>
      <c r="AE578" s="97" t="n"/>
      <c r="AF578" s="97" t="n">
        <v>35.42432</v>
      </c>
      <c r="AG578" s="97" t="n">
        <v>32.05411</v>
      </c>
      <c r="AH578" s="97" t="n"/>
      <c r="AI578" s="97" t="n"/>
      <c r="AJ578" s="97" t="n">
        <v>30.27074</v>
      </c>
      <c r="AK578" s="97" t="n"/>
      <c r="AL578" s="97" t="n"/>
      <c r="AM578" s="97" t="n">
        <v>42.75056</v>
      </c>
      <c r="AN578" s="97" t="n"/>
      <c r="AO578" s="97" t="n">
        <v>34.79551</v>
      </c>
      <c r="AP578" s="97" t="n"/>
      <c r="AQ578" s="97" t="n"/>
      <c r="AR578" s="97" t="n"/>
      <c r="AS578" s="97" t="n"/>
      <c r="AT578" s="97" t="n"/>
      <c r="AU578" s="97" t="n"/>
      <c r="AV578" s="97" t="n"/>
      <c r="AW578" s="97" t="n"/>
      <c r="AX578" s="97" t="n"/>
      <c r="AY578" s="97" t="n"/>
    </row>
    <row r="579" s="135">
      <c r="A579" t="inlineStr">
        <is>
          <t>1967-02</t>
        </is>
      </c>
      <c r="B579" s="2" t="n">
        <v>24504</v>
      </c>
      <c r="C579" s="96" t="n">
        <v>579</v>
      </c>
      <c r="E579" s="2">
        <f>B579</f>
        <v/>
      </c>
      <c r="F579" s="3">
        <f>B579</f>
        <v/>
      </c>
      <c r="G579" s="96" t="n">
        <v>577</v>
      </c>
      <c r="H579" s="97" t="n"/>
      <c r="I579" s="97" t="n"/>
      <c r="J579" s="97" t="n">
        <v>35.56758</v>
      </c>
      <c r="K579" s="97" t="n">
        <v>34.43824</v>
      </c>
      <c r="L579" s="97" t="n"/>
      <c r="M579" s="97" t="n"/>
      <c r="N579" s="97" t="n">
        <v>37.09224</v>
      </c>
      <c r="O579" s="97" t="n"/>
      <c r="P579" s="97" t="n">
        <v>35.8778</v>
      </c>
      <c r="Q579" s="97" t="n"/>
      <c r="R579" s="97" t="n">
        <v>24.22968</v>
      </c>
      <c r="S579" s="97" t="n">
        <v>49.03881</v>
      </c>
      <c r="T579" s="97" t="n">
        <v>65.45586</v>
      </c>
      <c r="U579" s="97" t="n">
        <v>44.02833</v>
      </c>
      <c r="V579" s="97" t="n"/>
      <c r="W579" s="97" t="n"/>
      <c r="X579" s="97" t="n"/>
      <c r="Y579" s="97" t="n"/>
      <c r="Z579" s="97" t="n">
        <v>57.94382</v>
      </c>
      <c r="AA579" s="97" t="n">
        <v>28.68798</v>
      </c>
      <c r="AB579" s="97" t="n"/>
      <c r="AC579" s="97" t="n">
        <v>42.66752</v>
      </c>
      <c r="AD579" s="97" t="n"/>
      <c r="AE579" s="97" t="n"/>
      <c r="AF579" s="97" t="n">
        <v>35.71</v>
      </c>
      <c r="AG579" s="97" t="n">
        <v>31.25333</v>
      </c>
      <c r="AH579" s="97" t="n"/>
      <c r="AI579" s="97" t="n"/>
      <c r="AJ579" s="97" t="n">
        <v>29.10342</v>
      </c>
      <c r="AK579" s="97" t="n"/>
      <c r="AL579" s="97" t="n"/>
      <c r="AM579" s="97" t="n">
        <v>43.20535</v>
      </c>
      <c r="AN579" s="97" t="n"/>
      <c r="AO579" s="97" t="n">
        <v>34.40084</v>
      </c>
      <c r="AP579" s="97" t="n"/>
      <c r="AQ579" s="97" t="n"/>
      <c r="AR579" s="97" t="n"/>
      <c r="AS579" s="97" t="n"/>
      <c r="AT579" s="97" t="n"/>
      <c r="AU579" s="97" t="n"/>
      <c r="AV579" s="97" t="n"/>
      <c r="AW579" s="97" t="n"/>
      <c r="AX579" s="97" t="n"/>
      <c r="AY579" s="97" t="n"/>
    </row>
    <row r="580" s="135">
      <c r="A580" t="inlineStr">
        <is>
          <t>1967-03</t>
        </is>
      </c>
      <c r="B580" s="2" t="n">
        <v>24532</v>
      </c>
      <c r="C580" s="96" t="n">
        <v>580</v>
      </c>
      <c r="E580" s="2">
        <f>B580</f>
        <v/>
      </c>
      <c r="F580" s="3">
        <f>B580</f>
        <v/>
      </c>
      <c r="G580" s="96" t="n">
        <v>578</v>
      </c>
      <c r="H580" s="97" t="n"/>
      <c r="I580" s="97" t="n"/>
      <c r="J580" s="97" t="n">
        <v>35.37104</v>
      </c>
      <c r="K580" s="97" t="n">
        <v>34.48851</v>
      </c>
      <c r="L580" s="97" t="n"/>
      <c r="M580" s="97" t="n"/>
      <c r="N580" s="97" t="n">
        <v>36.84538</v>
      </c>
      <c r="O580" s="97" t="n"/>
      <c r="P580" s="97" t="n">
        <v>36.95705</v>
      </c>
      <c r="Q580" s="97" t="n"/>
      <c r="R580" s="97" t="n">
        <v>24.24272</v>
      </c>
      <c r="S580" s="97" t="n">
        <v>49.34416</v>
      </c>
      <c r="T580" s="97" t="n">
        <v>65.45586</v>
      </c>
      <c r="U580" s="97" t="n">
        <v>44.15696</v>
      </c>
      <c r="V580" s="97" t="n"/>
      <c r="W580" s="97" t="n"/>
      <c r="X580" s="97" t="n"/>
      <c r="Y580" s="97" t="n"/>
      <c r="Z580" s="97" t="n">
        <v>57.12482</v>
      </c>
      <c r="AA580" s="97" t="n">
        <v>29.44514</v>
      </c>
      <c r="AB580" s="97" t="n"/>
      <c r="AC580" s="97" t="n">
        <v>42.38155</v>
      </c>
      <c r="AD580" s="97" t="n"/>
      <c r="AE580" s="97" t="n"/>
      <c r="AF580" s="97" t="n">
        <v>35.71</v>
      </c>
      <c r="AG580" s="97" t="n">
        <v>30.9559</v>
      </c>
      <c r="AH580" s="97" t="n"/>
      <c r="AI580" s="97" t="n"/>
      <c r="AJ580" s="97" t="n">
        <v>30.21493</v>
      </c>
      <c r="AK580" s="97" t="n"/>
      <c r="AL580" s="97" t="n"/>
      <c r="AM580" s="97" t="n">
        <v>43.20535</v>
      </c>
      <c r="AN580" s="97" t="n"/>
      <c r="AO580" s="97" t="n">
        <v>34.20691</v>
      </c>
      <c r="AP580" s="97" t="n"/>
      <c r="AQ580" s="97" t="n"/>
      <c r="AR580" s="97" t="n"/>
      <c r="AS580" s="97" t="n"/>
      <c r="AT580" s="97" t="n"/>
      <c r="AU580" s="97" t="n"/>
      <c r="AV580" s="97" t="n"/>
      <c r="AW580" s="97" t="n"/>
      <c r="AX580" s="97" t="n"/>
      <c r="AY580" s="97" t="n"/>
    </row>
    <row r="581" s="135">
      <c r="A581" t="inlineStr">
        <is>
          <t>1967-04</t>
        </is>
      </c>
      <c r="B581" s="2" t="n">
        <v>24563</v>
      </c>
      <c r="C581" s="96" t="n">
        <v>581</v>
      </c>
      <c r="E581" s="2">
        <f>B581</f>
        <v/>
      </c>
      <c r="F581" s="3">
        <f>B581</f>
        <v/>
      </c>
      <c r="G581" s="96" t="n">
        <v>579</v>
      </c>
      <c r="H581" s="97" t="n"/>
      <c r="I581" s="97" t="n"/>
      <c r="J581" s="97" t="n">
        <v>34.6492</v>
      </c>
      <c r="K581" s="97" t="n">
        <v>34.83155</v>
      </c>
      <c r="L581" s="97" t="n"/>
      <c r="M581" s="97" t="n"/>
      <c r="N581" s="97" t="n">
        <v>37.09224</v>
      </c>
      <c r="O581" s="97" t="n"/>
      <c r="P581" s="97" t="n">
        <v>38.58736</v>
      </c>
      <c r="Q581" s="97" t="n"/>
      <c r="R581" s="97" t="n">
        <v>24.00479</v>
      </c>
      <c r="S581" s="97" t="n">
        <v>48.79454</v>
      </c>
      <c r="T581" s="97" t="n">
        <v>65.95553</v>
      </c>
      <c r="U581" s="97" t="n">
        <v>44.19703</v>
      </c>
      <c r="V581" s="97" t="n"/>
      <c r="W581" s="97" t="n"/>
      <c r="X581" s="97" t="n"/>
      <c r="Y581" s="97" t="n"/>
      <c r="Z581" s="97" t="n">
        <v>58.21682</v>
      </c>
      <c r="AA581" s="97" t="n">
        <v>29.69753</v>
      </c>
      <c r="AB581" s="97" t="n"/>
      <c r="AC581" s="97" t="n">
        <v>42.4292</v>
      </c>
      <c r="AD581" s="97" t="n"/>
      <c r="AE581" s="97" t="n"/>
      <c r="AF581" s="97" t="n">
        <v>36.28135</v>
      </c>
      <c r="AG581" s="97" t="n">
        <v>31.20757</v>
      </c>
      <c r="AH581" s="97" t="n"/>
      <c r="AI581" s="97" t="n"/>
      <c r="AJ581" s="97" t="n">
        <v>29.61351</v>
      </c>
      <c r="AK581" s="97" t="n"/>
      <c r="AL581" s="97" t="n"/>
      <c r="AM581" s="97" t="n">
        <v>43.20535</v>
      </c>
      <c r="AN581" s="97" t="n"/>
      <c r="AO581" s="97" t="n">
        <v>34.52955</v>
      </c>
      <c r="AP581" s="97" t="n"/>
      <c r="AQ581" s="97" t="n"/>
      <c r="AR581" s="97" t="n"/>
      <c r="AS581" s="97" t="n"/>
      <c r="AT581" s="97" t="n"/>
      <c r="AU581" s="97" t="n"/>
      <c r="AV581" s="97" t="n"/>
      <c r="AW581" s="97" t="n"/>
      <c r="AX581" s="97" t="n"/>
      <c r="AY581" s="97" t="n"/>
    </row>
    <row r="582" s="135">
      <c r="A582" t="inlineStr">
        <is>
          <t>1967-05</t>
        </is>
      </c>
      <c r="B582" s="2" t="n">
        <v>24593</v>
      </c>
      <c r="C582" s="96" t="n">
        <v>582</v>
      </c>
      <c r="E582" s="2">
        <f>B582</f>
        <v/>
      </c>
      <c r="F582" s="3">
        <f>B582</f>
        <v/>
      </c>
      <c r="G582" s="96" t="n">
        <v>580</v>
      </c>
      <c r="H582" s="97" t="n"/>
      <c r="I582" s="97" t="n"/>
      <c r="J582" s="97" t="n">
        <v>35.40211</v>
      </c>
      <c r="K582" s="97" t="n">
        <v>34.71219</v>
      </c>
      <c r="L582" s="97" t="n"/>
      <c r="M582" s="97" t="n"/>
      <c r="N582" s="97" t="n">
        <v>36.53679</v>
      </c>
      <c r="O582" s="97" t="n"/>
      <c r="P582" s="97" t="n">
        <v>37.54403</v>
      </c>
      <c r="Q582" s="97" t="n"/>
      <c r="R582" s="97" t="n">
        <v>23.81249</v>
      </c>
      <c r="S582" s="97" t="n">
        <v>49.03881</v>
      </c>
      <c r="T582" s="97" t="n">
        <v>64.9562</v>
      </c>
      <c r="U582" s="97" t="n">
        <v>44.49467</v>
      </c>
      <c r="V582" s="97" t="n"/>
      <c r="W582" s="97" t="n"/>
      <c r="X582" s="97" t="n"/>
      <c r="Y582" s="97" t="n"/>
      <c r="Z582" s="97" t="n">
        <v>58.62631</v>
      </c>
      <c r="AA582" s="97" t="n">
        <v>30.37056</v>
      </c>
      <c r="AB582" s="97" t="n"/>
      <c r="AC582" s="97" t="n">
        <v>42.24837</v>
      </c>
      <c r="AD582" s="97" t="n"/>
      <c r="AE582" s="97" t="n"/>
      <c r="AF582" s="97" t="n">
        <v>35.13863</v>
      </c>
      <c r="AG582" s="97" t="n">
        <v>30.33815</v>
      </c>
      <c r="AH582" s="97" t="n"/>
      <c r="AI582" s="97" t="n"/>
      <c r="AJ582" s="97" t="n">
        <v>30.06272</v>
      </c>
      <c r="AK582" s="97" t="n"/>
      <c r="AL582" s="97" t="n"/>
      <c r="AM582" s="97" t="n">
        <v>44.11493</v>
      </c>
      <c r="AN582" s="97" t="n"/>
      <c r="AO582" s="97" t="n">
        <v>34.22833</v>
      </c>
      <c r="AP582" s="97" t="n"/>
      <c r="AQ582" s="97" t="n"/>
      <c r="AR582" s="97" t="n"/>
      <c r="AS582" s="97" t="n"/>
      <c r="AT582" s="97" t="n"/>
      <c r="AU582" s="97" t="n"/>
      <c r="AV582" s="97" t="n"/>
      <c r="AW582" s="97" t="n"/>
      <c r="AX582" s="97" t="n"/>
      <c r="AY582" s="97" t="n"/>
    </row>
    <row r="583" s="135">
      <c r="A583" t="inlineStr">
        <is>
          <t>1967-06</t>
        </is>
      </c>
      <c r="B583" s="2" t="n">
        <v>24624</v>
      </c>
      <c r="C583" s="96" t="n">
        <v>583</v>
      </c>
      <c r="E583" s="2">
        <f>B583</f>
        <v/>
      </c>
      <c r="F583" s="3">
        <f>B583</f>
        <v/>
      </c>
      <c r="G583" s="96" t="n">
        <v>581</v>
      </c>
      <c r="H583" s="97" t="n"/>
      <c r="I583" s="97" t="n"/>
      <c r="J583" s="97" t="n">
        <v>35.07689</v>
      </c>
      <c r="K583" s="97" t="n">
        <v>34.87807</v>
      </c>
      <c r="L583" s="97" t="n"/>
      <c r="M583" s="97" t="n"/>
      <c r="N583" s="97" t="n">
        <v>37.33912</v>
      </c>
      <c r="O583" s="97" t="n"/>
      <c r="P583" s="97" t="n">
        <v>38.79262</v>
      </c>
      <c r="Q583" s="97" t="n"/>
      <c r="R583" s="97" t="n">
        <v>23.43115</v>
      </c>
      <c r="S583" s="97" t="n">
        <v>50.32127</v>
      </c>
      <c r="T583" s="97" t="n">
        <v>65.45586</v>
      </c>
      <c r="U583" s="97" t="n">
        <v>43.33864</v>
      </c>
      <c r="V583" s="97" t="n"/>
      <c r="W583" s="97" t="n"/>
      <c r="X583" s="97" t="n"/>
      <c r="Y583" s="97" t="n"/>
      <c r="Z583" s="97" t="n">
        <v>58.35332</v>
      </c>
      <c r="AA583" s="97" t="n">
        <v>30.87533</v>
      </c>
      <c r="AB583" s="97" t="n"/>
      <c r="AC583" s="97" t="n">
        <v>41.42107</v>
      </c>
      <c r="AD583" s="97" t="n"/>
      <c r="AE583" s="97" t="n"/>
      <c r="AF583" s="97" t="n">
        <v>36.56704</v>
      </c>
      <c r="AG583" s="97" t="n">
        <v>32.05411</v>
      </c>
      <c r="AH583" s="97" t="n"/>
      <c r="AI583" s="97" t="n"/>
      <c r="AJ583" s="97" t="n">
        <v>32.13962</v>
      </c>
      <c r="AK583" s="97" t="n"/>
      <c r="AL583" s="97" t="n"/>
      <c r="AM583" s="97" t="n">
        <v>43.66014</v>
      </c>
      <c r="AN583" s="97" t="n"/>
      <c r="AO583" s="97" t="n">
        <v>34.22401</v>
      </c>
      <c r="AP583" s="97" t="n"/>
      <c r="AQ583" s="97" t="n"/>
      <c r="AR583" s="97" t="n"/>
      <c r="AS583" s="97" t="n"/>
      <c r="AT583" s="97" t="n"/>
      <c r="AU583" s="97" t="n"/>
      <c r="AV583" s="97" t="n"/>
      <c r="AW583" s="97" t="n"/>
      <c r="AX583" s="97" t="n"/>
      <c r="AY583" s="97" t="n"/>
    </row>
    <row r="584" s="135">
      <c r="A584" t="inlineStr">
        <is>
          <t>1967-07</t>
        </is>
      </c>
      <c r="B584" s="2" t="n">
        <v>24654</v>
      </c>
      <c r="C584" s="96" t="n">
        <v>584</v>
      </c>
      <c r="E584" s="2">
        <f>B584</f>
        <v/>
      </c>
      <c r="F584" s="3">
        <f>B584</f>
        <v/>
      </c>
      <c r="G584" s="96" t="n">
        <v>582</v>
      </c>
      <c r="H584" s="97" t="n"/>
      <c r="I584" s="97" t="n"/>
      <c r="J584" s="97" t="n">
        <v>35.30502</v>
      </c>
      <c r="K584" s="97" t="n">
        <v>35.00917</v>
      </c>
      <c r="L584" s="97" t="n"/>
      <c r="M584" s="97" t="n"/>
      <c r="N584" s="97" t="n">
        <v>38.3266</v>
      </c>
      <c r="O584" s="97" t="n"/>
      <c r="P584" s="97" t="n">
        <v>38.21747</v>
      </c>
      <c r="Q584" s="97" t="n"/>
      <c r="R584" s="97" t="n">
        <v>24.00153</v>
      </c>
      <c r="S584" s="97" t="n">
        <v>49.89379</v>
      </c>
      <c r="T584" s="97" t="n">
        <v>65.45586</v>
      </c>
      <c r="U584" s="97" t="n">
        <v>43.20227</v>
      </c>
      <c r="V584" s="97" t="n"/>
      <c r="W584" s="97" t="n"/>
      <c r="X584" s="97" t="n"/>
      <c r="Y584" s="97" t="n"/>
      <c r="Z584" s="97" t="n">
        <v>58.42157</v>
      </c>
      <c r="AA584" s="97" t="n">
        <v>31.21185</v>
      </c>
      <c r="AB584" s="97" t="n"/>
      <c r="AC584" s="97" t="n">
        <v>42.34493</v>
      </c>
      <c r="AD584" s="97" t="n"/>
      <c r="AE584" s="97" t="n"/>
      <c r="AF584" s="97" t="n">
        <v>36.85271</v>
      </c>
      <c r="AG584" s="97" t="n">
        <v>29.92632</v>
      </c>
      <c r="AH584" s="97" t="n"/>
      <c r="AI584" s="97" t="n"/>
      <c r="AJ584" s="97" t="n">
        <v>31.14134</v>
      </c>
      <c r="AK584" s="97" t="n"/>
      <c r="AL584" s="97" t="n"/>
      <c r="AM584" s="97" t="n">
        <v>42.29576</v>
      </c>
      <c r="AN584" s="97" t="n"/>
      <c r="AO584" s="97" t="n">
        <v>34.14611</v>
      </c>
      <c r="AP584" s="97" t="n"/>
      <c r="AQ584" s="97" t="n"/>
      <c r="AR584" s="97" t="n"/>
      <c r="AS584" s="97" t="n"/>
      <c r="AT584" s="97" t="n"/>
      <c r="AU584" s="97" t="n"/>
      <c r="AV584" s="97" t="n"/>
      <c r="AW584" s="97" t="n"/>
      <c r="AX584" s="97" t="n"/>
      <c r="AY584" s="97" t="n"/>
    </row>
    <row r="585" s="135">
      <c r="A585" t="inlineStr">
        <is>
          <t>1967-08</t>
        </is>
      </c>
      <c r="B585" s="2" t="n">
        <v>24685</v>
      </c>
      <c r="C585" s="96" t="n">
        <v>585</v>
      </c>
      <c r="E585" s="2">
        <f>B585</f>
        <v/>
      </c>
      <c r="F585" s="3">
        <f>B585</f>
        <v/>
      </c>
      <c r="G585" s="96" t="n">
        <v>583</v>
      </c>
      <c r="H585" s="97" t="n"/>
      <c r="I585" s="97" t="n"/>
      <c r="J585" s="97" t="n">
        <v>35.34522</v>
      </c>
      <c r="K585" s="97" t="n">
        <v>35.60173</v>
      </c>
      <c r="L585" s="97" t="n"/>
      <c r="M585" s="97" t="n"/>
      <c r="N585" s="97" t="n">
        <v>37.52427</v>
      </c>
      <c r="O585" s="97" t="n"/>
      <c r="P585" s="97" t="n">
        <v>38.64308</v>
      </c>
      <c r="Q585" s="97" t="n"/>
      <c r="R585" s="97" t="n">
        <v>24.53279</v>
      </c>
      <c r="S585" s="97" t="n">
        <v>49.89379</v>
      </c>
      <c r="T585" s="97" t="n">
        <v>65.45586</v>
      </c>
      <c r="U585" s="97" t="n">
        <v>43.69878</v>
      </c>
      <c r="V585" s="97" t="n"/>
      <c r="W585" s="97" t="n"/>
      <c r="X585" s="97" t="n"/>
      <c r="Y585" s="97" t="n"/>
      <c r="Z585" s="97" t="n">
        <v>58.62631</v>
      </c>
      <c r="AA585" s="97" t="n">
        <v>31.71662</v>
      </c>
      <c r="AB585" s="97" t="n"/>
      <c r="AC585" s="97" t="n">
        <v>40.96235</v>
      </c>
      <c r="AD585" s="97" t="n"/>
      <c r="AE585" s="97" t="n"/>
      <c r="AF585" s="97" t="n">
        <v>36.85271</v>
      </c>
      <c r="AG585" s="97" t="n">
        <v>32.07699</v>
      </c>
      <c r="AH585" s="97" t="n"/>
      <c r="AI585" s="97" t="n"/>
      <c r="AJ585" s="97" t="n">
        <v>30.89858</v>
      </c>
      <c r="AK585" s="97" t="n"/>
      <c r="AL585" s="97" t="n"/>
      <c r="AM585" s="97" t="n">
        <v>43.66014</v>
      </c>
      <c r="AN585" s="97" t="n"/>
      <c r="AO585" s="97" t="n">
        <v>34.80032</v>
      </c>
      <c r="AP585" s="97" t="n"/>
      <c r="AQ585" s="97" t="n"/>
      <c r="AR585" s="97" t="n"/>
      <c r="AS585" s="97" t="n"/>
      <c r="AT585" s="97" t="n"/>
      <c r="AU585" s="97" t="n"/>
      <c r="AV585" s="97" t="n"/>
      <c r="AW585" s="97" t="n"/>
      <c r="AX585" s="97" t="n"/>
      <c r="AY585" s="97" t="n"/>
    </row>
    <row r="586" s="135">
      <c r="A586" t="inlineStr">
        <is>
          <t>1967-09</t>
        </is>
      </c>
      <c r="B586" s="2" t="n">
        <v>24716</v>
      </c>
      <c r="C586" s="96" t="n">
        <v>586</v>
      </c>
      <c r="E586" s="2">
        <f>B586</f>
        <v/>
      </c>
      <c r="F586" s="3">
        <f>B586</f>
        <v/>
      </c>
      <c r="G586" s="96" t="n">
        <v>584</v>
      </c>
      <c r="H586" s="97" t="n"/>
      <c r="I586" s="97" t="n"/>
      <c r="J586" s="97" t="n">
        <v>35.40732</v>
      </c>
      <c r="K586" s="97" t="n">
        <v>35.48801</v>
      </c>
      <c r="L586" s="97" t="n"/>
      <c r="M586" s="97" t="n"/>
      <c r="N586" s="97" t="n">
        <v>38.51175</v>
      </c>
      <c r="O586" s="97" t="n"/>
      <c r="P586" s="97" t="n">
        <v>38.09077</v>
      </c>
      <c r="Q586" s="97" t="n"/>
      <c r="R586" s="97" t="n">
        <v>24.26553</v>
      </c>
      <c r="S586" s="97" t="n">
        <v>50.80983</v>
      </c>
      <c r="T586" s="97" t="n">
        <v>65.45586</v>
      </c>
      <c r="U586" s="97" t="n">
        <v>43.62561</v>
      </c>
      <c r="V586" s="97" t="n"/>
      <c r="W586" s="97" t="n"/>
      <c r="X586" s="97" t="n"/>
      <c r="Y586" s="97" t="n"/>
      <c r="Z586" s="97" t="n">
        <v>58.35332</v>
      </c>
      <c r="AA586" s="97" t="n">
        <v>32.64204</v>
      </c>
      <c r="AB586" s="97" t="n"/>
      <c r="AC586" s="97" t="n">
        <v>41.7882</v>
      </c>
      <c r="AD586" s="97" t="n"/>
      <c r="AE586" s="97" t="n"/>
      <c r="AF586" s="97" t="n">
        <v>37.70975</v>
      </c>
      <c r="AG586" s="97" t="n">
        <v>31.43637</v>
      </c>
      <c r="AH586" s="97" t="n"/>
      <c r="AI586" s="97" t="n"/>
      <c r="AJ586" s="97" t="n">
        <v>30.73566</v>
      </c>
      <c r="AK586" s="97" t="n"/>
      <c r="AL586" s="97" t="n"/>
      <c r="AM586" s="97" t="n">
        <v>44.56973</v>
      </c>
      <c r="AN586" s="97" t="n"/>
      <c r="AO586" s="97" t="n">
        <v>34.74384</v>
      </c>
      <c r="AP586" s="97" t="n"/>
      <c r="AQ586" s="97" t="n"/>
      <c r="AR586" s="97" t="n"/>
      <c r="AS586" s="97" t="n"/>
      <c r="AT586" s="97" t="n"/>
      <c r="AU586" s="97" t="n"/>
      <c r="AV586" s="97" t="n"/>
      <c r="AW586" s="97" t="n"/>
      <c r="AX586" s="97" t="n"/>
      <c r="AY586" s="97" t="n"/>
    </row>
    <row r="587" s="135">
      <c r="A587" t="inlineStr">
        <is>
          <t>1967-10</t>
        </is>
      </c>
      <c r="B587" s="2" t="n">
        <v>24746</v>
      </c>
      <c r="C587" s="96" t="n">
        <v>587</v>
      </c>
      <c r="E587" s="2">
        <f>B587</f>
        <v/>
      </c>
      <c r="F587" s="3">
        <f>B587</f>
        <v/>
      </c>
      <c r="G587" s="96" t="n">
        <v>585</v>
      </c>
      <c r="H587" s="97" t="n"/>
      <c r="I587" s="97" t="n"/>
      <c r="J587" s="97" t="n">
        <v>35.99532</v>
      </c>
      <c r="K587" s="97" t="n">
        <v>35.24742</v>
      </c>
      <c r="L587" s="97" t="n"/>
      <c r="M587" s="97" t="n"/>
      <c r="N587" s="97" t="n">
        <v>38.94377</v>
      </c>
      <c r="O587" s="97" t="n"/>
      <c r="P587" s="97" t="n">
        <v>37.67358</v>
      </c>
      <c r="Q587" s="97" t="n"/>
      <c r="R587" s="97" t="n">
        <v>24.94347</v>
      </c>
      <c r="S587" s="97" t="n">
        <v>50.13807</v>
      </c>
      <c r="T587" s="97" t="n">
        <v>65.95553</v>
      </c>
      <c r="U587" s="97" t="n">
        <v>44.62352</v>
      </c>
      <c r="V587" s="97" t="n"/>
      <c r="W587" s="97" t="n"/>
      <c r="X587" s="97" t="n"/>
      <c r="Y587" s="97" t="n"/>
      <c r="Z587" s="97" t="n">
        <v>59.03581</v>
      </c>
      <c r="AA587" s="97" t="n">
        <v>32.97856</v>
      </c>
      <c r="AB587" s="97" t="n"/>
      <c r="AC587" s="97" t="n">
        <v>42.18126</v>
      </c>
      <c r="AD587" s="97" t="n"/>
      <c r="AE587" s="97" t="n"/>
      <c r="AF587" s="97" t="n">
        <v>37.42408</v>
      </c>
      <c r="AG587" s="97" t="n">
        <v>31.93971</v>
      </c>
      <c r="AH587" s="97" t="n"/>
      <c r="AI587" s="97" t="n"/>
      <c r="AJ587" s="97" t="n">
        <v>32.02047</v>
      </c>
      <c r="AK587" s="97" t="n"/>
      <c r="AL587" s="97" t="n"/>
      <c r="AM587" s="97" t="n">
        <v>43.66014</v>
      </c>
      <c r="AN587" s="97" t="n"/>
      <c r="AO587" s="97" t="n">
        <v>35.02681</v>
      </c>
      <c r="AP587" s="97" t="n"/>
      <c r="AQ587" s="97" t="n"/>
      <c r="AR587" s="97" t="n"/>
      <c r="AS587" s="97" t="n"/>
      <c r="AT587" s="97" t="n"/>
      <c r="AU587" s="97" t="n"/>
      <c r="AV587" s="97" t="n"/>
      <c r="AW587" s="97" t="n"/>
      <c r="AX587" s="97" t="n"/>
      <c r="AY587" s="97" t="n"/>
    </row>
    <row r="588" s="135">
      <c r="A588" t="inlineStr">
        <is>
          <t>1967-11</t>
        </is>
      </c>
      <c r="B588" s="2" t="n">
        <v>24777</v>
      </c>
      <c r="C588" s="96" t="n">
        <v>588</v>
      </c>
      <c r="E588" s="2">
        <f>B588</f>
        <v/>
      </c>
      <c r="F588" s="3">
        <f>B588</f>
        <v/>
      </c>
      <c r="G588" s="96" t="n">
        <v>586</v>
      </c>
      <c r="H588" s="97" t="n"/>
      <c r="I588" s="97" t="n"/>
      <c r="J588" s="97" t="n">
        <v>35.70469</v>
      </c>
      <c r="K588" s="97" t="n">
        <v>35.78265</v>
      </c>
      <c r="L588" s="97" t="n"/>
      <c r="M588" s="97" t="n"/>
      <c r="N588" s="97" t="n">
        <v>39.31408</v>
      </c>
      <c r="O588" s="97" t="n"/>
      <c r="P588" s="97" t="n">
        <v>38.59538</v>
      </c>
      <c r="Q588" s="97" t="n"/>
      <c r="R588" s="97" t="n">
        <v>24.77398</v>
      </c>
      <c r="S588" s="97" t="n">
        <v>50.74876</v>
      </c>
      <c r="T588" s="97" t="n">
        <v>66.45519</v>
      </c>
      <c r="U588" s="97" t="n">
        <v>44.93127</v>
      </c>
      <c r="V588" s="97" t="n"/>
      <c r="W588" s="97" t="n"/>
      <c r="X588" s="97" t="n"/>
      <c r="Y588" s="97" t="n"/>
      <c r="Z588" s="97" t="n">
        <v>59.37706</v>
      </c>
      <c r="AA588" s="97" t="n">
        <v>33.65159</v>
      </c>
      <c r="AB588" s="97" t="n"/>
      <c r="AC588" s="97" t="n">
        <v>43.59835</v>
      </c>
      <c r="AD588" s="97" t="n"/>
      <c r="AE588" s="97" t="n"/>
      <c r="AF588" s="97" t="n">
        <v>37.99543</v>
      </c>
      <c r="AG588" s="97" t="n">
        <v>32.67186</v>
      </c>
      <c r="AH588" s="97" t="n"/>
      <c r="AI588" s="97" t="n"/>
      <c r="AJ588" s="97" t="n">
        <v>31.92839</v>
      </c>
      <c r="AK588" s="97" t="n"/>
      <c r="AL588" s="97" t="n"/>
      <c r="AM588" s="97" t="n">
        <v>44.11493</v>
      </c>
      <c r="AN588" s="97" t="n"/>
      <c r="AO588" s="97" t="n">
        <v>35.52771</v>
      </c>
      <c r="AP588" s="97" t="n"/>
      <c r="AQ588" s="97" t="n"/>
      <c r="AR588" s="97" t="n"/>
      <c r="AS588" s="97" t="n"/>
      <c r="AT588" s="97" t="n"/>
      <c r="AU588" s="97" t="n"/>
      <c r="AV588" s="97" t="n"/>
      <c r="AW588" s="97" t="n"/>
      <c r="AX588" s="97" t="n"/>
      <c r="AY588" s="97" t="n"/>
    </row>
    <row r="589" s="135">
      <c r="A589" t="inlineStr">
        <is>
          <t>1967-12</t>
        </is>
      </c>
      <c r="B589" s="2" t="n">
        <v>24807</v>
      </c>
      <c r="C589" s="96" t="n">
        <v>589</v>
      </c>
      <c r="E589" s="2">
        <f>B589</f>
        <v/>
      </c>
      <c r="F589" s="3">
        <f>B589</f>
        <v/>
      </c>
      <c r="G589" s="96" t="n">
        <v>587</v>
      </c>
      <c r="H589" s="97" t="n"/>
      <c r="I589" s="97" t="n"/>
      <c r="J589" s="97" t="n">
        <v>36.33237</v>
      </c>
      <c r="K589" s="97" t="n">
        <v>36.18395</v>
      </c>
      <c r="L589" s="97" t="n"/>
      <c r="M589" s="97" t="n"/>
      <c r="N589" s="97" t="n">
        <v>41.59763</v>
      </c>
      <c r="O589" s="97" t="n"/>
      <c r="P589" s="97" t="n">
        <v>38.71343</v>
      </c>
      <c r="Q589" s="97" t="n"/>
      <c r="R589" s="97" t="n">
        <v>24.70228</v>
      </c>
      <c r="S589" s="97" t="n">
        <v>51.54266</v>
      </c>
      <c r="T589" s="97" t="n">
        <v>67.95417999999999</v>
      </c>
      <c r="U589" s="97" t="n">
        <v>45.05616</v>
      </c>
      <c r="V589" s="97" t="n"/>
      <c r="W589" s="97" t="n"/>
      <c r="X589" s="97" t="n"/>
      <c r="Y589" s="97" t="n"/>
      <c r="Z589" s="97" t="n">
        <v>59.30881</v>
      </c>
      <c r="AA589" s="97" t="n">
        <v>33.9881</v>
      </c>
      <c r="AB589" s="97" t="n"/>
      <c r="AC589" s="97" t="n">
        <v>42.18227</v>
      </c>
      <c r="AD589" s="97" t="n"/>
      <c r="AE589" s="97" t="n"/>
      <c r="AF589" s="97" t="n">
        <v>38.5668</v>
      </c>
      <c r="AG589" s="97" t="n">
        <v>32.64898</v>
      </c>
      <c r="AH589" s="97" t="n"/>
      <c r="AI589" s="97" t="n"/>
      <c r="AJ589" s="97" t="n">
        <v>29.57975</v>
      </c>
      <c r="AK589" s="97" t="n"/>
      <c r="AL589" s="97" t="n"/>
      <c r="AM589" s="97" t="n">
        <v>44.11493</v>
      </c>
      <c r="AN589" s="97" t="n"/>
      <c r="AO589" s="97" t="n">
        <v>35.91038</v>
      </c>
      <c r="AP589" s="97" t="n"/>
      <c r="AQ589" s="97" t="n"/>
      <c r="AR589" s="97" t="n"/>
      <c r="AS589" s="97" t="n"/>
      <c r="AT589" s="97" t="n"/>
      <c r="AU589" s="97" t="n"/>
      <c r="AV589" s="97" t="n"/>
      <c r="AW589" s="97" t="n"/>
      <c r="AX589" s="97" t="n"/>
      <c r="AY589" s="97" t="n"/>
    </row>
    <row r="590" s="135">
      <c r="A590" t="inlineStr">
        <is>
          <t>1968-01</t>
        </is>
      </c>
      <c r="B590" s="2" t="n">
        <v>24838</v>
      </c>
      <c r="C590" s="96" t="n">
        <v>590</v>
      </c>
      <c r="E590" s="2">
        <f>B590</f>
        <v/>
      </c>
      <c r="F590" s="3">
        <f>B590</f>
        <v/>
      </c>
      <c r="G590" s="96" t="n">
        <v>588</v>
      </c>
      <c r="H590" s="97" t="n"/>
      <c r="I590" s="97" t="n"/>
      <c r="J590" s="97" t="n">
        <v>36.27931</v>
      </c>
      <c r="K590" s="97" t="n">
        <v>35.99551</v>
      </c>
      <c r="L590" s="97" t="n"/>
      <c r="M590" s="97" t="n"/>
      <c r="N590" s="97" t="n">
        <v>38.3266</v>
      </c>
      <c r="O590" s="97" t="n"/>
      <c r="P590" s="97" t="n">
        <v>39.29084</v>
      </c>
      <c r="Q590" s="97" t="n"/>
      <c r="R590" s="97" t="n">
        <v>24.70554</v>
      </c>
      <c r="S590" s="97" t="n">
        <v>51.48159</v>
      </c>
      <c r="T590" s="97" t="n">
        <v>67.28614</v>
      </c>
      <c r="U590" s="97" t="n">
        <v>43.77962</v>
      </c>
      <c r="V590" s="97" t="n"/>
      <c r="W590" s="97" t="n"/>
      <c r="X590" s="97" t="n"/>
      <c r="Y590" s="97" t="n"/>
      <c r="Z590" s="97" t="n">
        <v>59.78656</v>
      </c>
      <c r="AA590" s="97" t="n">
        <v>33.90397</v>
      </c>
      <c r="AB590" s="97" t="n"/>
      <c r="AC590" s="97" t="n">
        <v>42.09423</v>
      </c>
      <c r="AD590" s="97" t="n"/>
      <c r="AE590" s="97" t="n"/>
      <c r="AF590" s="97" t="n">
        <v>38.5668</v>
      </c>
      <c r="AG590" s="97" t="n">
        <v>32.58034</v>
      </c>
      <c r="AH590" s="97" t="n"/>
      <c r="AI590" s="97" t="n"/>
      <c r="AJ590" s="97" t="n">
        <v>30.93023</v>
      </c>
      <c r="AK590" s="97" t="n"/>
      <c r="AL590" s="97" t="n"/>
      <c r="AM590" s="97" t="n">
        <v>43.20535</v>
      </c>
      <c r="AN590" s="97" t="n"/>
      <c r="AO590" s="97" t="n">
        <v>35.87167</v>
      </c>
      <c r="AP590" s="97" t="n"/>
      <c r="AQ590" s="97" t="n"/>
      <c r="AR590" s="97" t="n"/>
      <c r="AS590" s="97" t="n"/>
      <c r="AT590" s="97" t="n"/>
      <c r="AU590" s="97" t="n"/>
      <c r="AV590" s="97" t="n"/>
      <c r="AW590" s="97" t="n"/>
      <c r="AX590" s="97" t="n"/>
      <c r="AY590" s="97" t="n"/>
    </row>
    <row r="591" s="135">
      <c r="A591" t="inlineStr">
        <is>
          <t>1968-02</t>
        </is>
      </c>
      <c r="B591" s="2" t="n">
        <v>24869</v>
      </c>
      <c r="C591" s="96" t="n">
        <v>591</v>
      </c>
      <c r="E591" s="2">
        <f>B591</f>
        <v/>
      </c>
      <c r="F591" s="3">
        <f>B591</f>
        <v/>
      </c>
      <c r="G591" s="96" t="n">
        <v>589</v>
      </c>
      <c r="H591" s="97" t="n"/>
      <c r="I591" s="97" t="n"/>
      <c r="J591" s="97" t="n">
        <v>36.20125</v>
      </c>
      <c r="K591" s="97" t="n">
        <v>35.85454</v>
      </c>
      <c r="L591" s="97" t="n"/>
      <c r="M591" s="97" t="n"/>
      <c r="N591" s="97" t="n">
        <v>39.19064</v>
      </c>
      <c r="O591" s="97" t="n"/>
      <c r="P591" s="97" t="n">
        <v>39.56655</v>
      </c>
      <c r="Q591" s="97" t="n"/>
      <c r="R591" s="97" t="n">
        <v>24.84243</v>
      </c>
      <c r="S591" s="97" t="n">
        <v>51.78694</v>
      </c>
      <c r="T591" s="97" t="n">
        <v>68.06740000000001</v>
      </c>
      <c r="U591" s="97" t="n">
        <v>44.20872</v>
      </c>
      <c r="V591" s="97" t="n"/>
      <c r="W591" s="97" t="n"/>
      <c r="X591" s="97" t="n"/>
      <c r="Y591" s="97" t="n"/>
      <c r="Z591" s="97" t="n">
        <v>59.8548</v>
      </c>
      <c r="AA591" s="97" t="n">
        <v>34.40875</v>
      </c>
      <c r="AB591" s="97" t="n"/>
      <c r="AC591" s="97" t="n">
        <v>41.85529</v>
      </c>
      <c r="AD591" s="97" t="n"/>
      <c r="AE591" s="97" t="n"/>
      <c r="AF591" s="97" t="n">
        <v>38.85247</v>
      </c>
      <c r="AG591" s="97" t="n">
        <v>32.64898</v>
      </c>
      <c r="AH591" s="97" t="n"/>
      <c r="AI591" s="97" t="n"/>
      <c r="AJ591" s="97" t="n">
        <v>31.81124</v>
      </c>
      <c r="AK591" s="97" t="n"/>
      <c r="AL591" s="97" t="n"/>
      <c r="AM591" s="97" t="n">
        <v>42.75056</v>
      </c>
      <c r="AN591" s="97" t="n"/>
      <c r="AO591" s="97" t="n">
        <v>36.00028</v>
      </c>
      <c r="AP591" s="97" t="n"/>
      <c r="AQ591" s="97" t="n"/>
      <c r="AR591" s="97" t="n"/>
      <c r="AS591" s="97" t="n"/>
      <c r="AT591" s="97" t="n"/>
      <c r="AU591" s="97" t="n"/>
      <c r="AV591" s="97" t="n"/>
      <c r="AW591" s="97" t="n"/>
      <c r="AX591" s="97" t="n"/>
      <c r="AY591" s="97" t="n"/>
    </row>
    <row r="592" s="135">
      <c r="A592" t="inlineStr">
        <is>
          <t>1968-03</t>
        </is>
      </c>
      <c r="B592" s="2" t="n">
        <v>24898</v>
      </c>
      <c r="C592" s="96" t="n">
        <v>592</v>
      </c>
      <c r="E592" s="2">
        <f>B592</f>
        <v/>
      </c>
      <c r="F592" s="3">
        <f>B592</f>
        <v/>
      </c>
      <c r="G592" s="96" t="n">
        <v>590</v>
      </c>
      <c r="H592" s="97" t="n"/>
      <c r="I592" s="97" t="n"/>
      <c r="J592" s="97" t="n">
        <v>36.37314</v>
      </c>
      <c r="K592" s="97" t="n">
        <v>36.05707</v>
      </c>
      <c r="L592" s="97" t="n"/>
      <c r="M592" s="97" t="n"/>
      <c r="N592" s="97" t="n">
        <v>39.68438</v>
      </c>
      <c r="O592" s="97" t="n"/>
      <c r="P592" s="97" t="n">
        <v>38.95462</v>
      </c>
      <c r="Q592" s="97" t="n"/>
      <c r="R592" s="97" t="n">
        <v>24.95325</v>
      </c>
      <c r="S592" s="97" t="n">
        <v>52.76406</v>
      </c>
      <c r="T592" s="97" t="n">
        <v>68.65334</v>
      </c>
      <c r="U592" s="97" t="n">
        <v>46.14193</v>
      </c>
      <c r="V592" s="97" t="n"/>
      <c r="W592" s="97" t="n"/>
      <c r="X592" s="97" t="n"/>
      <c r="Y592" s="97" t="n"/>
      <c r="Z592" s="97" t="n">
        <v>59.8548</v>
      </c>
      <c r="AA592" s="97" t="n">
        <v>34.57701</v>
      </c>
      <c r="AB592" s="97" t="n"/>
      <c r="AC592" s="97" t="n">
        <v>43.75436</v>
      </c>
      <c r="AD592" s="97" t="n"/>
      <c r="AE592" s="97" t="n"/>
      <c r="AF592" s="97" t="n">
        <v>39.42384</v>
      </c>
      <c r="AG592" s="97" t="n">
        <v>32.5117</v>
      </c>
      <c r="AH592" s="97" t="n"/>
      <c r="AI592" s="97" t="n"/>
      <c r="AJ592" s="97" t="n">
        <v>31.46971</v>
      </c>
      <c r="AK592" s="97" t="n"/>
      <c r="AL592" s="97" t="n"/>
      <c r="AM592" s="97" t="n">
        <v>43.66014</v>
      </c>
      <c r="AN592" s="97" t="n"/>
      <c r="AO592" s="97" t="n">
        <v>36.11266</v>
      </c>
      <c r="AP592" s="97" t="n"/>
      <c r="AQ592" s="97" t="n"/>
      <c r="AR592" s="97" t="n"/>
      <c r="AS592" s="97" t="n"/>
      <c r="AT592" s="97" t="n"/>
      <c r="AU592" s="97" t="n"/>
      <c r="AV592" s="97" t="n"/>
      <c r="AW592" s="97" t="n"/>
      <c r="AX592" s="97" t="n"/>
      <c r="AY592" s="97" t="n"/>
    </row>
    <row r="593" s="135">
      <c r="A593" t="inlineStr">
        <is>
          <t>1968-04</t>
        </is>
      </c>
      <c r="B593" s="2" t="n">
        <v>24929</v>
      </c>
      <c r="C593" s="96" t="n">
        <v>593</v>
      </c>
      <c r="E593" s="2">
        <f>B593</f>
        <v/>
      </c>
      <c r="F593" s="3">
        <f>B593</f>
        <v/>
      </c>
      <c r="G593" s="96" t="n">
        <v>591</v>
      </c>
      <c r="H593" s="97" t="n"/>
      <c r="I593" s="97" t="n"/>
      <c r="J593" s="97" t="n">
        <v>37.00496</v>
      </c>
      <c r="K593" s="97" t="n">
        <v>36.99125</v>
      </c>
      <c r="L593" s="97" t="n"/>
      <c r="M593" s="97" t="n"/>
      <c r="N593" s="97" t="n">
        <v>39.80782</v>
      </c>
      <c r="O593" s="97" t="n"/>
      <c r="P593" s="97" t="n">
        <v>39.1629</v>
      </c>
      <c r="Q593" s="97" t="n"/>
      <c r="R593" s="97" t="n">
        <v>25.58229</v>
      </c>
      <c r="S593" s="97" t="n">
        <v>52.64192</v>
      </c>
      <c r="T593" s="97" t="n">
        <v>68.36037</v>
      </c>
      <c r="U593" s="97" t="n">
        <v>45.87251</v>
      </c>
      <c r="V593" s="97" t="n"/>
      <c r="W593" s="97" t="n"/>
      <c r="X593" s="97" t="n"/>
      <c r="Y593" s="97" t="n"/>
      <c r="Z593" s="97" t="n">
        <v>60.87855</v>
      </c>
      <c r="AA593" s="97" t="n">
        <v>34.82939</v>
      </c>
      <c r="AB593" s="97" t="n"/>
      <c r="AC593" s="97" t="n">
        <v>43.84581</v>
      </c>
      <c r="AD593" s="97" t="n"/>
      <c r="AE593" s="97" t="n"/>
      <c r="AF593" s="97" t="n">
        <v>39.70951</v>
      </c>
      <c r="AG593" s="97" t="n">
        <v>32.3973</v>
      </c>
      <c r="AH593" s="97" t="n"/>
      <c r="AI593" s="97" t="n"/>
      <c r="AJ593" s="97" t="n">
        <v>30.91248</v>
      </c>
      <c r="AK593" s="97" t="n"/>
      <c r="AL593" s="97" t="n"/>
      <c r="AM593" s="97" t="n">
        <v>45.02452</v>
      </c>
      <c r="AN593" s="97" t="n"/>
      <c r="AO593" s="97" t="n">
        <v>36.16491</v>
      </c>
      <c r="AP593" s="97" t="n"/>
      <c r="AQ593" s="97" t="n"/>
      <c r="AR593" s="97" t="n"/>
      <c r="AS593" s="97" t="n"/>
      <c r="AT593" s="97" t="n"/>
      <c r="AU593" s="97" t="n"/>
      <c r="AV593" s="97" t="n"/>
      <c r="AW593" s="97" t="n"/>
      <c r="AX593" s="97" t="n"/>
      <c r="AY593" s="97" t="n"/>
    </row>
    <row r="594" s="135">
      <c r="A594" t="inlineStr">
        <is>
          <t>1968-05</t>
        </is>
      </c>
      <c r="B594" s="2" t="n">
        <v>24959</v>
      </c>
      <c r="C594" s="96" t="n">
        <v>594</v>
      </c>
      <c r="E594" s="2">
        <f>B594</f>
        <v/>
      </c>
      <c r="F594" s="3">
        <f>B594</f>
        <v/>
      </c>
      <c r="G594" s="96" t="n">
        <v>592</v>
      </c>
      <c r="H594" s="97" t="n"/>
      <c r="I594" s="97" t="n"/>
      <c r="J594" s="97" t="n">
        <v>36.48634</v>
      </c>
      <c r="K594" s="97" t="n">
        <v>37.45975</v>
      </c>
      <c r="L594" s="97" t="n"/>
      <c r="M594" s="97" t="n"/>
      <c r="N594" s="97" t="n">
        <v>40.85701</v>
      </c>
      <c r="O594" s="97" t="n"/>
      <c r="P594" s="97" t="n">
        <v>40.73219</v>
      </c>
      <c r="Q594" s="97" t="n"/>
      <c r="R594" s="97" t="n">
        <v>25.2694</v>
      </c>
      <c r="S594" s="97" t="n">
        <v>36.03101</v>
      </c>
      <c r="T594" s="97" t="n">
        <v>69.04398</v>
      </c>
      <c r="U594" s="97" t="n">
        <v>46.46923</v>
      </c>
      <c r="V594" s="97" t="n"/>
      <c r="W594" s="97" t="n"/>
      <c r="X594" s="97" t="n"/>
      <c r="Y594" s="97" t="n"/>
      <c r="Z594" s="97" t="n">
        <v>61.69754</v>
      </c>
      <c r="AA594" s="97" t="n">
        <v>35.92307</v>
      </c>
      <c r="AB594" s="97" t="n"/>
      <c r="AC594" s="97" t="n">
        <v>44.40675</v>
      </c>
      <c r="AD594" s="97" t="n"/>
      <c r="AE594" s="97" t="n"/>
      <c r="AF594" s="97" t="n">
        <v>39.99519</v>
      </c>
      <c r="AG594" s="97" t="n">
        <v>33.99886</v>
      </c>
      <c r="AH594" s="97" t="n"/>
      <c r="AI594" s="97" t="n"/>
      <c r="AJ594" s="97" t="n">
        <v>32.20344</v>
      </c>
      <c r="AK594" s="97" t="n"/>
      <c r="AL594" s="97" t="n"/>
      <c r="AM594" s="97" t="n">
        <v>44.56973</v>
      </c>
      <c r="AN594" s="97" t="n"/>
      <c r="AO594" s="97" t="n">
        <v>36.57054</v>
      </c>
      <c r="AP594" s="97" t="n"/>
      <c r="AQ594" s="97" t="n"/>
      <c r="AR594" s="97" t="n"/>
      <c r="AS594" s="97" t="n"/>
      <c r="AT594" s="97" t="n"/>
      <c r="AU594" s="97" t="n"/>
      <c r="AV594" s="97" t="n"/>
      <c r="AW594" s="97" t="n"/>
      <c r="AX594" s="97" t="n"/>
      <c r="AY594" s="97" t="n"/>
    </row>
    <row r="595" s="135">
      <c r="A595" t="inlineStr">
        <is>
          <t>1968-06</t>
        </is>
      </c>
      <c r="B595" s="2" t="n">
        <v>24990</v>
      </c>
      <c r="C595" s="96" t="n">
        <v>595</v>
      </c>
      <c r="E595" s="2">
        <f>B595</f>
        <v/>
      </c>
      <c r="F595" s="3">
        <f>B595</f>
        <v/>
      </c>
      <c r="G595" s="96" t="n">
        <v>593</v>
      </c>
      <c r="H595" s="97" t="n"/>
      <c r="I595" s="97" t="n"/>
      <c r="J595" s="97" t="n">
        <v>37.55473</v>
      </c>
      <c r="K595" s="97" t="n">
        <v>37.75438</v>
      </c>
      <c r="L595" s="97" t="n"/>
      <c r="M595" s="97" t="n"/>
      <c r="N595" s="97" t="n">
        <v>41.53591</v>
      </c>
      <c r="O595" s="97" t="n"/>
      <c r="P595" s="97" t="n">
        <v>39.95891</v>
      </c>
      <c r="Q595" s="97" t="n"/>
      <c r="R595" s="97" t="n">
        <v>25.20095</v>
      </c>
      <c r="S595" s="97" t="n">
        <v>45.31358</v>
      </c>
      <c r="T595" s="97" t="n">
        <v>69.14163000000001</v>
      </c>
      <c r="U595" s="97" t="n">
        <v>48.14995</v>
      </c>
      <c r="V595" s="97" t="n"/>
      <c r="W595" s="97" t="n"/>
      <c r="X595" s="97" t="n"/>
      <c r="Y595" s="97" t="n"/>
      <c r="Z595" s="97" t="n">
        <v>61.56104</v>
      </c>
      <c r="AA595" s="97" t="n">
        <v>35.33417</v>
      </c>
      <c r="AB595" s="97" t="n"/>
      <c r="AC595" s="97" t="n">
        <v>44.81948</v>
      </c>
      <c r="AD595" s="97" t="n"/>
      <c r="AE595" s="97" t="n"/>
      <c r="AF595" s="97" t="n">
        <v>41.13791</v>
      </c>
      <c r="AG595" s="97" t="n">
        <v>31.87107</v>
      </c>
      <c r="AH595" s="97" t="n"/>
      <c r="AI595" s="97" t="n"/>
      <c r="AJ595" s="97" t="n">
        <v>31.19691</v>
      </c>
      <c r="AK595" s="97" t="n"/>
      <c r="AL595" s="97" t="n"/>
      <c r="AM595" s="97" t="n">
        <v>45.93411</v>
      </c>
      <c r="AN595" s="97" t="n"/>
      <c r="AO595" s="97" t="n">
        <v>36.70491</v>
      </c>
      <c r="AP595" s="97" t="n"/>
      <c r="AQ595" s="97" t="n"/>
      <c r="AR595" s="97" t="n"/>
      <c r="AS595" s="97" t="n"/>
      <c r="AT595" s="97" t="n"/>
      <c r="AU595" s="97" t="n"/>
      <c r="AV595" s="97" t="n"/>
      <c r="AW595" s="97" t="n"/>
      <c r="AX595" s="97" t="n"/>
      <c r="AY595" s="97" t="n"/>
    </row>
    <row r="596" s="135">
      <c r="A596" t="inlineStr">
        <is>
          <t>1968-07</t>
        </is>
      </c>
      <c r="B596" s="2" t="n">
        <v>25020</v>
      </c>
      <c r="C596" s="96" t="n">
        <v>596</v>
      </c>
      <c r="E596" s="2">
        <f>B596</f>
        <v/>
      </c>
      <c r="F596" s="3">
        <f>B596</f>
        <v/>
      </c>
      <c r="G596" s="96" t="n">
        <v>594</v>
      </c>
      <c r="H596" s="97" t="n"/>
      <c r="I596" s="97" t="n"/>
      <c r="J596" s="97" t="n">
        <v>36.13599</v>
      </c>
      <c r="K596" s="97" t="n">
        <v>37.60448</v>
      </c>
      <c r="L596" s="97" t="n"/>
      <c r="M596" s="97" t="n"/>
      <c r="N596" s="97" t="n">
        <v>40.98045</v>
      </c>
      <c r="O596" s="97" t="n"/>
      <c r="P596" s="97" t="n">
        <v>40.96402</v>
      </c>
      <c r="Q596" s="97" t="n"/>
      <c r="R596" s="97" t="n">
        <v>25.00539</v>
      </c>
      <c r="S596" s="97" t="n">
        <v>54.90149</v>
      </c>
      <c r="T596" s="97" t="n">
        <v>69.14163000000001</v>
      </c>
      <c r="U596" s="97" t="n">
        <v>47.76666</v>
      </c>
      <c r="V596" s="97" t="n"/>
      <c r="W596" s="97" t="n"/>
      <c r="X596" s="97" t="n"/>
      <c r="Y596" s="97" t="n"/>
      <c r="Z596" s="97" t="n">
        <v>62.03879</v>
      </c>
      <c r="AA596" s="97" t="n">
        <v>35.75481</v>
      </c>
      <c r="AB596" s="97" t="n"/>
      <c r="AC596" s="97" t="n">
        <v>44.75403</v>
      </c>
      <c r="AD596" s="97" t="n"/>
      <c r="AE596" s="97" t="n"/>
      <c r="AF596" s="97" t="n">
        <v>40.85223</v>
      </c>
      <c r="AG596" s="97" t="n">
        <v>33.35824</v>
      </c>
      <c r="AH596" s="97" t="n"/>
      <c r="AI596" s="97" t="n"/>
      <c r="AJ596" s="97" t="n">
        <v>31.43009</v>
      </c>
      <c r="AK596" s="97" t="n"/>
      <c r="AL596" s="97" t="n"/>
      <c r="AM596" s="97" t="n">
        <v>50.02724</v>
      </c>
      <c r="AN596" s="97" t="n"/>
      <c r="AO596" s="97" t="n">
        <v>36.64862</v>
      </c>
      <c r="AP596" s="97" t="n"/>
      <c r="AQ596" s="97" t="n"/>
      <c r="AR596" s="97" t="n"/>
      <c r="AS596" s="97" t="n"/>
      <c r="AT596" s="97" t="n"/>
      <c r="AU596" s="97" t="n"/>
      <c r="AV596" s="97" t="n"/>
      <c r="AW596" s="97" t="n"/>
      <c r="AX596" s="97" t="n"/>
      <c r="AY596" s="97" t="n"/>
    </row>
    <row r="597" s="135">
      <c r="A597" t="inlineStr">
        <is>
          <t>1968-08</t>
        </is>
      </c>
      <c r="B597" s="2" t="n">
        <v>25051</v>
      </c>
      <c r="C597" s="96" t="n">
        <v>597</v>
      </c>
      <c r="E597" s="2">
        <f>B597</f>
        <v/>
      </c>
      <c r="F597" s="3">
        <f>B597</f>
        <v/>
      </c>
      <c r="G597" s="96" t="n">
        <v>595</v>
      </c>
      <c r="H597" s="97" t="n"/>
      <c r="I597" s="97" t="n"/>
      <c r="J597" s="97" t="n">
        <v>37.8479</v>
      </c>
      <c r="K597" s="97" t="n">
        <v>38.10963</v>
      </c>
      <c r="L597" s="97" t="n"/>
      <c r="M597" s="97" t="n"/>
      <c r="N597" s="97" t="n">
        <v>43.75774</v>
      </c>
      <c r="O597" s="97" t="n"/>
      <c r="P597" s="97" t="n">
        <v>41.10419</v>
      </c>
      <c r="Q597" s="97" t="n"/>
      <c r="R597" s="97" t="n">
        <v>25.25636</v>
      </c>
      <c r="S597" s="97" t="n">
        <v>54.90149</v>
      </c>
      <c r="T597" s="97" t="n">
        <v>69.72758</v>
      </c>
      <c r="U597" s="97" t="n">
        <v>48.86128</v>
      </c>
      <c r="V597" s="97" t="n"/>
      <c r="W597" s="97" t="n"/>
      <c r="X597" s="97" t="n"/>
      <c r="Y597" s="97" t="n"/>
      <c r="Z597" s="97" t="n">
        <v>61.83404</v>
      </c>
      <c r="AA597" s="97" t="n">
        <v>36.68023</v>
      </c>
      <c r="AB597" s="97" t="n"/>
      <c r="AC597" s="97" t="n">
        <v>45.0881</v>
      </c>
      <c r="AD597" s="97" t="n"/>
      <c r="AE597" s="97" t="n"/>
      <c r="AF597" s="97" t="n">
        <v>41.13791</v>
      </c>
      <c r="AG597" s="97" t="n">
        <v>32.60322</v>
      </c>
      <c r="AH597" s="97" t="n"/>
      <c r="AI597" s="97" t="n"/>
      <c r="AJ597" s="97" t="n">
        <v>33.28438</v>
      </c>
      <c r="AK597" s="97" t="n"/>
      <c r="AL597" s="97" t="n"/>
      <c r="AM597" s="97" t="n">
        <v>46.84369</v>
      </c>
      <c r="AN597" s="97" t="n"/>
      <c r="AO597" s="97" t="n">
        <v>36.75092</v>
      </c>
      <c r="AP597" s="97" t="n"/>
      <c r="AQ597" s="97" t="n"/>
      <c r="AR597" s="97" t="n"/>
      <c r="AS597" s="97" t="n"/>
      <c r="AT597" s="97" t="n"/>
      <c r="AU597" s="97" t="n"/>
      <c r="AV597" s="97" t="n"/>
      <c r="AW597" s="97" t="n"/>
      <c r="AX597" s="97" t="n"/>
      <c r="AY597" s="97" t="n"/>
    </row>
    <row r="598" s="135">
      <c r="A598" t="inlineStr">
        <is>
          <t>1968-09</t>
        </is>
      </c>
      <c r="B598" s="2" t="n">
        <v>25082</v>
      </c>
      <c r="C598" s="96" t="n">
        <v>598</v>
      </c>
      <c r="E598" s="2">
        <f>B598</f>
        <v/>
      </c>
      <c r="F598" s="3">
        <f>B598</f>
        <v/>
      </c>
      <c r="G598" s="96" t="n">
        <v>596</v>
      </c>
      <c r="H598" s="97" t="n"/>
      <c r="I598" s="97" t="n"/>
      <c r="J598" s="97" t="n">
        <v>38.94696</v>
      </c>
      <c r="K598" s="97" t="n">
        <v>38.52362</v>
      </c>
      <c r="L598" s="97" t="n"/>
      <c r="M598" s="97" t="n"/>
      <c r="N598" s="97" t="n">
        <v>43.07885</v>
      </c>
      <c r="O598" s="97" t="n"/>
      <c r="P598" s="97" t="n">
        <v>41.44661</v>
      </c>
      <c r="Q598" s="97" t="n"/>
      <c r="R598" s="97" t="n">
        <v>25.94081</v>
      </c>
      <c r="S598" s="97" t="n">
        <v>53.31368</v>
      </c>
      <c r="T598" s="97" t="n">
        <v>69.53225999999999</v>
      </c>
      <c r="U598" s="97" t="n">
        <v>48.72055</v>
      </c>
      <c r="V598" s="97" t="n"/>
      <c r="W598" s="97" t="n"/>
      <c r="X598" s="97" t="n"/>
      <c r="Y598" s="97" t="n"/>
      <c r="Z598" s="97" t="n">
        <v>63.67678</v>
      </c>
      <c r="AA598" s="97" t="n">
        <v>36.51197</v>
      </c>
      <c r="AB598" s="97" t="n"/>
      <c r="AC598" s="97" t="n">
        <v>46.50404</v>
      </c>
      <c r="AD598" s="97" t="n"/>
      <c r="AE598" s="97" t="n"/>
      <c r="AF598" s="97" t="n">
        <v>41.99495</v>
      </c>
      <c r="AG598" s="97" t="n">
        <v>32.71762</v>
      </c>
      <c r="AH598" s="97" t="n"/>
      <c r="AI598" s="97" t="n"/>
      <c r="AJ598" s="97" t="n">
        <v>35.43232</v>
      </c>
      <c r="AK598" s="97" t="n"/>
      <c r="AL598" s="97" t="n"/>
      <c r="AM598" s="97" t="n">
        <v>46.84369</v>
      </c>
      <c r="AN598" s="97" t="n"/>
      <c r="AO598" s="97" t="n">
        <v>36.8901</v>
      </c>
      <c r="AP598" s="97" t="n"/>
      <c r="AQ598" s="97" t="n"/>
      <c r="AR598" s="97" t="n"/>
      <c r="AS598" s="97" t="n"/>
      <c r="AT598" s="97" t="n"/>
      <c r="AU598" s="97" t="n"/>
      <c r="AV598" s="97" t="n"/>
      <c r="AW598" s="97" t="n"/>
      <c r="AX598" s="97" t="n"/>
      <c r="AY598" s="97" t="n"/>
    </row>
    <row r="599" s="135">
      <c r="A599" t="inlineStr">
        <is>
          <t>1968-10</t>
        </is>
      </c>
      <c r="B599" s="2" t="n">
        <v>25112</v>
      </c>
      <c r="C599" s="96" t="n">
        <v>599</v>
      </c>
      <c r="E599" s="2">
        <f>B599</f>
        <v/>
      </c>
      <c r="F599" s="3">
        <f>B599</f>
        <v/>
      </c>
      <c r="G599" s="96" t="n">
        <v>597</v>
      </c>
      <c r="H599" s="97" t="n"/>
      <c r="I599" s="97" t="n"/>
      <c r="J599" s="97" t="n">
        <v>38.01255</v>
      </c>
      <c r="K599" s="97" t="n">
        <v>38.76939</v>
      </c>
      <c r="L599" s="97" t="n"/>
      <c r="M599" s="97" t="n"/>
      <c r="N599" s="97" t="n">
        <v>43.20228</v>
      </c>
      <c r="O599" s="97" t="n"/>
      <c r="P599" s="97" t="n">
        <v>43.13088</v>
      </c>
      <c r="Q599" s="97" t="n"/>
      <c r="R599" s="97" t="n">
        <v>26.21134</v>
      </c>
      <c r="S599" s="97" t="n">
        <v>55.69539</v>
      </c>
      <c r="T599" s="97" t="n">
        <v>69.04398</v>
      </c>
      <c r="U599" s="97" t="n">
        <v>48.95913</v>
      </c>
      <c r="V599" s="97" t="n"/>
      <c r="W599" s="97" t="n"/>
      <c r="X599" s="97" t="n"/>
      <c r="Y599" s="97" t="n"/>
      <c r="Z599" s="97" t="n">
        <v>64.15452999999999</v>
      </c>
      <c r="AA599" s="97" t="n">
        <v>37.43739</v>
      </c>
      <c r="AB599" s="97" t="n"/>
      <c r="AC599" s="97" t="n">
        <v>46.39102</v>
      </c>
      <c r="AD599" s="97" t="n"/>
      <c r="AE599" s="97" t="n"/>
      <c r="AF599" s="97" t="n">
        <v>42.28063</v>
      </c>
      <c r="AG599" s="97" t="n">
        <v>33.54128</v>
      </c>
      <c r="AH599" s="97" t="n"/>
      <c r="AI599" s="97" t="n"/>
      <c r="AJ599" s="97" t="n">
        <v>33.87638</v>
      </c>
      <c r="AK599" s="97" t="n"/>
      <c r="AL599" s="97" t="n"/>
      <c r="AM599" s="97" t="n">
        <v>46.3889</v>
      </c>
      <c r="AN599" s="97" t="n"/>
      <c r="AO599" s="97" t="n">
        <v>36.96329</v>
      </c>
      <c r="AP599" s="97" t="n"/>
      <c r="AQ599" s="97" t="n"/>
      <c r="AR599" s="97" t="n"/>
      <c r="AS599" s="97" t="n"/>
      <c r="AT599" s="97" t="n"/>
      <c r="AU599" s="97" t="n"/>
      <c r="AV599" s="97" t="n"/>
      <c r="AW599" s="97" t="n"/>
      <c r="AX599" s="97" t="n"/>
      <c r="AY599" s="97" t="n"/>
    </row>
    <row r="600" s="135">
      <c r="A600" t="inlineStr">
        <is>
          <t>1968-11</t>
        </is>
      </c>
      <c r="B600" s="2" t="n">
        <v>25143</v>
      </c>
      <c r="C600" s="96" t="n">
        <v>600</v>
      </c>
      <c r="E600" s="2">
        <f>B600</f>
        <v/>
      </c>
      <c r="F600" s="3">
        <f>B600</f>
        <v/>
      </c>
      <c r="G600" s="96" t="n">
        <v>598</v>
      </c>
      <c r="H600" s="97" t="n"/>
      <c r="I600" s="97" t="n"/>
      <c r="J600" s="97" t="n">
        <v>38.81614</v>
      </c>
      <c r="K600" s="97" t="n">
        <v>39.24446</v>
      </c>
      <c r="L600" s="97" t="n"/>
      <c r="M600" s="97" t="n"/>
      <c r="N600" s="97" t="n">
        <v>44.6835</v>
      </c>
      <c r="O600" s="97" t="n"/>
      <c r="P600" s="97" t="n">
        <v>43.28834</v>
      </c>
      <c r="Q600" s="97" t="n"/>
      <c r="R600" s="97" t="n">
        <v>26.76868</v>
      </c>
      <c r="S600" s="97" t="n">
        <v>56.85571</v>
      </c>
      <c r="T600" s="97" t="n">
        <v>69.62992</v>
      </c>
      <c r="U600" s="97" t="n">
        <v>49.51518</v>
      </c>
      <c r="V600" s="97" t="n"/>
      <c r="W600" s="97" t="n"/>
      <c r="X600" s="97" t="n"/>
      <c r="Y600" s="97" t="n"/>
      <c r="Z600" s="97" t="n">
        <v>61.83404</v>
      </c>
      <c r="AA600" s="97" t="n">
        <v>38.44694</v>
      </c>
      <c r="AB600" s="97" t="n"/>
      <c r="AC600" s="97" t="n">
        <v>47.10363</v>
      </c>
      <c r="AD600" s="97" t="n"/>
      <c r="AE600" s="97" t="n"/>
      <c r="AF600" s="97" t="n">
        <v>42.85199</v>
      </c>
      <c r="AG600" s="97" t="n">
        <v>33.24384</v>
      </c>
      <c r="AH600" s="97" t="n"/>
      <c r="AI600" s="97" t="n"/>
      <c r="AJ600" s="97" t="n">
        <v>33.67061</v>
      </c>
      <c r="AK600" s="97" t="n"/>
      <c r="AL600" s="97" t="n"/>
      <c r="AM600" s="97" t="n">
        <v>46.84369</v>
      </c>
      <c r="AN600" s="97" t="n"/>
      <c r="AO600" s="97" t="n">
        <v>37.44143</v>
      </c>
      <c r="AP600" s="97" t="n"/>
      <c r="AQ600" s="97" t="n"/>
      <c r="AR600" s="97" t="n"/>
      <c r="AS600" s="97" t="n"/>
      <c r="AT600" s="97" t="n"/>
      <c r="AU600" s="97" t="n"/>
      <c r="AV600" s="97" t="n"/>
      <c r="AW600" s="97" t="n"/>
      <c r="AX600" s="97" t="n"/>
      <c r="AY600" s="97" t="n"/>
    </row>
    <row r="601" s="135">
      <c r="A601" t="inlineStr">
        <is>
          <t>1968-12</t>
        </is>
      </c>
      <c r="B601" s="2" t="n">
        <v>25173</v>
      </c>
      <c r="C601" s="96" t="n">
        <v>601</v>
      </c>
      <c r="E601" s="2">
        <f>B601</f>
        <v/>
      </c>
      <c r="F601" s="3">
        <f>B601</f>
        <v/>
      </c>
      <c r="G601" s="96" t="n">
        <v>599</v>
      </c>
      <c r="H601" s="97" t="n"/>
      <c r="I601" s="97" t="n"/>
      <c r="J601" s="97" t="n">
        <v>39.25785</v>
      </c>
      <c r="K601" s="97" t="n">
        <v>39.18855</v>
      </c>
      <c r="L601" s="97" t="n"/>
      <c r="M601" s="97" t="n"/>
      <c r="N601" s="97" t="n">
        <v>44.43663</v>
      </c>
      <c r="O601" s="97" t="n"/>
      <c r="P601" s="97" t="n">
        <v>44.84215</v>
      </c>
      <c r="Q601" s="97" t="n"/>
      <c r="R601" s="97" t="n">
        <v>27.27061</v>
      </c>
      <c r="S601" s="97" t="n">
        <v>56.79464</v>
      </c>
      <c r="T601" s="97" t="n">
        <v>70.31352</v>
      </c>
      <c r="U601" s="97" t="n">
        <v>49.72262</v>
      </c>
      <c r="V601" s="97" t="n"/>
      <c r="W601" s="97" t="n"/>
      <c r="X601" s="97" t="n"/>
      <c r="Y601" s="97" t="n"/>
      <c r="Z601" s="97" t="n">
        <v>64.56402</v>
      </c>
      <c r="AA601" s="97" t="n">
        <v>38.27868</v>
      </c>
      <c r="AB601" s="97" t="n"/>
      <c r="AC601" s="97" t="n">
        <v>47.85975</v>
      </c>
      <c r="AD601" s="97" t="n"/>
      <c r="AE601" s="97" t="n"/>
      <c r="AF601" s="97" t="n">
        <v>43.42336</v>
      </c>
      <c r="AG601" s="97" t="n">
        <v>33.26672</v>
      </c>
      <c r="AH601" s="97" t="n"/>
      <c r="AI601" s="97" t="n"/>
      <c r="AJ601" s="97" t="n">
        <v>33.59616</v>
      </c>
      <c r="AK601" s="97" t="n"/>
      <c r="AL601" s="97" t="n"/>
      <c r="AM601" s="97" t="n">
        <v>48.20807</v>
      </c>
      <c r="AN601" s="97" t="n"/>
      <c r="AO601" s="97" t="n">
        <v>37.55967</v>
      </c>
      <c r="AP601" s="97" t="n"/>
      <c r="AQ601" s="97" t="n"/>
      <c r="AR601" s="97" t="n"/>
      <c r="AS601" s="97" t="n"/>
      <c r="AT601" s="97" t="n"/>
      <c r="AU601" s="97" t="n"/>
      <c r="AV601" s="97" t="n"/>
      <c r="AW601" s="97" t="n"/>
      <c r="AX601" s="97" t="n"/>
      <c r="AY601" s="97" t="n"/>
    </row>
    <row r="602" s="135">
      <c r="A602" t="inlineStr">
        <is>
          <t>1969-01</t>
        </is>
      </c>
      <c r="B602" s="2" t="n">
        <v>25204</v>
      </c>
      <c r="C602" s="96" t="n">
        <v>602</v>
      </c>
      <c r="E602" s="2">
        <f>B602</f>
        <v/>
      </c>
      <c r="F602" s="3">
        <f>B602</f>
        <v/>
      </c>
      <c r="G602" s="96" t="n">
        <v>600</v>
      </c>
      <c r="H602" s="97" t="n"/>
      <c r="I602" s="97" t="n"/>
      <c r="J602" s="97" t="n">
        <v>40.08382</v>
      </c>
      <c r="K602" s="97" t="n">
        <v>39.33187</v>
      </c>
      <c r="L602" s="97" t="n"/>
      <c r="M602" s="97" t="n"/>
      <c r="N602" s="97" t="n">
        <v>44.93037</v>
      </c>
      <c r="O602" s="97" t="n"/>
      <c r="P602" s="97" t="n">
        <v>45.4551</v>
      </c>
      <c r="Q602" s="97" t="n"/>
      <c r="R602" s="97" t="n">
        <v>27.45313</v>
      </c>
      <c r="S602" s="97" t="n">
        <v>56.42823</v>
      </c>
      <c r="T602" s="97" t="n">
        <v>70.50884000000001</v>
      </c>
      <c r="U602" s="97" t="n">
        <v>49.23725</v>
      </c>
      <c r="V602" s="97" t="n"/>
      <c r="W602" s="97" t="n"/>
      <c r="X602" s="97" t="n"/>
      <c r="Y602" s="97" t="n"/>
      <c r="Z602" s="97" t="n">
        <v>65.86076</v>
      </c>
      <c r="AA602" s="97" t="n">
        <v>38.78345</v>
      </c>
      <c r="AB602" s="97" t="n"/>
      <c r="AC602" s="97" t="n">
        <v>50.44495</v>
      </c>
      <c r="AD602" s="97" t="n"/>
      <c r="AE602" s="97" t="n"/>
      <c r="AF602" s="97" t="n">
        <v>43.13767</v>
      </c>
      <c r="AG602" s="97" t="n">
        <v>34.93394</v>
      </c>
      <c r="AH602" s="97" t="n"/>
      <c r="AI602" s="97" t="n"/>
      <c r="AJ602" s="97" t="n">
        <v>34.75463</v>
      </c>
      <c r="AK602" s="97" t="n"/>
      <c r="AL602" s="97" t="n"/>
      <c r="AM602" s="97" t="n">
        <v>47.75328</v>
      </c>
      <c r="AN602" s="97" t="n"/>
      <c r="AO602" s="97" t="n">
        <v>37.78693</v>
      </c>
      <c r="AP602" s="97" t="n"/>
      <c r="AQ602" s="97" t="n"/>
      <c r="AR602" s="97" t="n"/>
      <c r="AS602" s="97" t="n"/>
      <c r="AT602" s="97" t="n"/>
      <c r="AU602" s="97" t="n"/>
      <c r="AV602" s="97" t="n"/>
      <c r="AW602" s="97" t="n"/>
      <c r="AX602" s="97" t="n"/>
      <c r="AY602" s="97" t="n"/>
    </row>
    <row r="603" s="135">
      <c r="A603" t="inlineStr">
        <is>
          <t>1969-02</t>
        </is>
      </c>
      <c r="B603" s="2" t="n">
        <v>25235</v>
      </c>
      <c r="C603" s="96" t="n">
        <v>603</v>
      </c>
      <c r="E603" s="2">
        <f>B603</f>
        <v/>
      </c>
      <c r="F603" s="3">
        <f>B603</f>
        <v/>
      </c>
      <c r="G603" s="96" t="n">
        <v>601</v>
      </c>
      <c r="H603" s="97" t="n"/>
      <c r="I603" s="97" t="n"/>
      <c r="J603" s="97" t="n">
        <v>39.31353</v>
      </c>
      <c r="K603" s="97" t="n">
        <v>39.87415</v>
      </c>
      <c r="L603" s="97" t="n"/>
      <c r="M603" s="97" t="n"/>
      <c r="N603" s="97" t="n">
        <v>45.17724</v>
      </c>
      <c r="O603" s="97" t="n"/>
      <c r="P603" s="97" t="n">
        <v>43.95344</v>
      </c>
      <c r="Q603" s="97" t="n"/>
      <c r="R603" s="97" t="n">
        <v>27.77906</v>
      </c>
      <c r="S603" s="97" t="n">
        <v>55.81753</v>
      </c>
      <c r="T603" s="97" t="n">
        <v>70.80181</v>
      </c>
      <c r="U603" s="97" t="n">
        <v>50.74512</v>
      </c>
      <c r="V603" s="97" t="n"/>
      <c r="W603" s="97" t="n"/>
      <c r="X603" s="97" t="n"/>
      <c r="Y603" s="97" t="n"/>
      <c r="Z603" s="97" t="n">
        <v>63.88152</v>
      </c>
      <c r="AA603" s="97" t="n">
        <v>39.37236</v>
      </c>
      <c r="AB603" s="97" t="n"/>
      <c r="AC603" s="97" t="n">
        <v>49.03276</v>
      </c>
      <c r="AD603" s="97" t="n"/>
      <c r="AE603" s="97" t="n"/>
      <c r="AF603" s="97" t="n">
        <v>43.13767</v>
      </c>
      <c r="AG603" s="97" t="n">
        <v>33.94566</v>
      </c>
      <c r="AH603" s="97" t="n"/>
      <c r="AI603" s="97" t="n"/>
      <c r="AJ603" s="97" t="n">
        <v>35.55485</v>
      </c>
      <c r="AK603" s="97" t="n"/>
      <c r="AL603" s="97" t="n"/>
      <c r="AM603" s="97" t="n">
        <v>46.84369</v>
      </c>
      <c r="AN603" s="97" t="n"/>
      <c r="AO603" s="97" t="n">
        <v>38.02869</v>
      </c>
      <c r="AP603" s="97" t="n"/>
      <c r="AQ603" s="97" t="n"/>
      <c r="AR603" s="97" t="n"/>
      <c r="AS603" s="97" t="n"/>
      <c r="AT603" s="97" t="n"/>
      <c r="AU603" s="97" t="n"/>
      <c r="AV603" s="97" t="n"/>
      <c r="AW603" s="97" t="n"/>
      <c r="AX603" s="97" t="n"/>
      <c r="AY603" s="97" t="n"/>
    </row>
    <row r="604" s="135">
      <c r="A604" t="inlineStr">
        <is>
          <t>1969-03</t>
        </is>
      </c>
      <c r="B604" s="2" t="n">
        <v>25263</v>
      </c>
      <c r="C604" s="96" t="n">
        <v>604</v>
      </c>
      <c r="E604" s="2">
        <f>B604</f>
        <v/>
      </c>
      <c r="F604" s="3">
        <f>B604</f>
        <v/>
      </c>
      <c r="G604" s="96" t="n">
        <v>602</v>
      </c>
      <c r="H604" s="97" t="n"/>
      <c r="I604" s="97" t="n"/>
      <c r="J604" s="97" t="n">
        <v>39.92998</v>
      </c>
      <c r="K604" s="97" t="n">
        <v>40.55927</v>
      </c>
      <c r="L604" s="97" t="n"/>
      <c r="M604" s="97" t="n"/>
      <c r="N604" s="97" t="n">
        <v>45.67098</v>
      </c>
      <c r="O604" s="97" t="n"/>
      <c r="P604" s="97" t="n">
        <v>46.89903</v>
      </c>
      <c r="Q604" s="97" t="n"/>
      <c r="R604" s="97" t="n">
        <v>28.25818</v>
      </c>
      <c r="S604" s="97" t="n">
        <v>55.81753</v>
      </c>
      <c r="T604" s="97" t="n">
        <v>70.80181</v>
      </c>
      <c r="U604" s="97" t="n">
        <v>50.91846</v>
      </c>
      <c r="V604" s="97" t="n"/>
      <c r="W604" s="97" t="n"/>
      <c r="X604" s="97" t="n"/>
      <c r="Y604" s="97" t="n"/>
      <c r="Z604" s="97" t="n">
        <v>65.86076</v>
      </c>
      <c r="AA604" s="97" t="n">
        <v>39.45649</v>
      </c>
      <c r="AB604" s="97" t="n"/>
      <c r="AC604" s="97" t="n">
        <v>49.2669</v>
      </c>
      <c r="AD604" s="97" t="n"/>
      <c r="AE604" s="97" t="n"/>
      <c r="AF604" s="97" t="n">
        <v>43.99471</v>
      </c>
      <c r="AG604" s="97" t="n">
        <v>34.59019</v>
      </c>
      <c r="AH604" s="97" t="n"/>
      <c r="AI604" s="97" t="n"/>
      <c r="AJ604" s="97" t="n">
        <v>34.02959</v>
      </c>
      <c r="AK604" s="97" t="n"/>
      <c r="AL604" s="97" t="n"/>
      <c r="AM604" s="97" t="n">
        <v>47.75328</v>
      </c>
      <c r="AN604" s="97" t="n"/>
      <c r="AO604" s="97" t="n">
        <v>38.32692</v>
      </c>
      <c r="AP604" s="97" t="n"/>
      <c r="AQ604" s="97" t="n"/>
      <c r="AR604" s="97" t="n"/>
      <c r="AS604" s="97" t="n"/>
      <c r="AT604" s="97" t="n"/>
      <c r="AU604" s="97" t="n"/>
      <c r="AV604" s="97" t="n"/>
      <c r="AW604" s="97" t="n"/>
      <c r="AX604" s="97" t="n"/>
      <c r="AY604" s="97" t="n"/>
    </row>
    <row r="605" s="135">
      <c r="A605" t="inlineStr">
        <is>
          <t>1969-04</t>
        </is>
      </c>
      <c r="B605" s="2" t="n">
        <v>25294</v>
      </c>
      <c r="C605" s="96" t="n">
        <v>605</v>
      </c>
      <c r="E605" s="2">
        <f>B605</f>
        <v/>
      </c>
      <c r="F605" s="3">
        <f>B605</f>
        <v/>
      </c>
      <c r="G605" s="96" t="n">
        <v>603</v>
      </c>
      <c r="H605" s="97" t="n"/>
      <c r="I605" s="97" t="n"/>
      <c r="J605" s="97" t="n">
        <v>40.79116</v>
      </c>
      <c r="K605" s="97" t="n">
        <v>40.1763</v>
      </c>
      <c r="L605" s="97" t="n"/>
      <c r="M605" s="97" t="n"/>
      <c r="N605" s="97" t="n">
        <v>45.97957</v>
      </c>
      <c r="O605" s="97" t="n"/>
      <c r="P605" s="97" t="n">
        <v>47</v>
      </c>
      <c r="Q605" s="97" t="n"/>
      <c r="R605" s="97" t="n">
        <v>28.40811</v>
      </c>
      <c r="S605" s="97" t="n">
        <v>57.64962</v>
      </c>
      <c r="T605" s="97" t="n">
        <v>71.87605000000001</v>
      </c>
      <c r="U605" s="97" t="n">
        <v>51.36948</v>
      </c>
      <c r="V605" s="97" t="n"/>
      <c r="W605" s="97" t="n"/>
      <c r="X605" s="97" t="n"/>
      <c r="Y605" s="97" t="n"/>
      <c r="Z605" s="97" t="n">
        <v>66.20201</v>
      </c>
      <c r="AA605" s="97" t="n">
        <v>40.55016</v>
      </c>
      <c r="AB605" s="97" t="n"/>
      <c r="AC605" s="97" t="n">
        <v>49.32602</v>
      </c>
      <c r="AD605" s="97" t="n"/>
      <c r="AE605" s="97" t="n"/>
      <c r="AF605" s="97" t="n">
        <v>44.56607</v>
      </c>
      <c r="AG605" s="97" t="n">
        <v>33.6019</v>
      </c>
      <c r="AH605" s="97" t="n"/>
      <c r="AI605" s="97" t="n"/>
      <c r="AJ605" s="97" t="n">
        <v>34.07749</v>
      </c>
      <c r="AK605" s="97" t="n"/>
      <c r="AL605" s="97" t="n"/>
      <c r="AM605" s="97" t="n">
        <v>48.66286</v>
      </c>
      <c r="AN605" s="97" t="n"/>
      <c r="AO605" s="97" t="n">
        <v>38.18592</v>
      </c>
      <c r="AP605" s="97" t="n"/>
      <c r="AQ605" s="97" t="n"/>
      <c r="AR605" s="97" t="n"/>
      <c r="AS605" s="97" t="n"/>
      <c r="AT605" s="97" t="n"/>
      <c r="AU605" s="97" t="n"/>
      <c r="AV605" s="97" t="n"/>
      <c r="AW605" s="97" t="n"/>
      <c r="AX605" s="97" t="n"/>
      <c r="AY605" s="97" t="n"/>
    </row>
    <row r="606" s="135">
      <c r="A606" t="inlineStr">
        <is>
          <t>1969-05</t>
        </is>
      </c>
      <c r="B606" s="2" t="n">
        <v>25324</v>
      </c>
      <c r="C606" s="96" t="n">
        <v>606</v>
      </c>
      <c r="E606" s="2">
        <f>B606</f>
        <v/>
      </c>
      <c r="F606" s="3">
        <f>B606</f>
        <v/>
      </c>
      <c r="G606" s="96" t="n">
        <v>604</v>
      </c>
      <c r="H606" s="97" t="n"/>
      <c r="I606" s="97" t="n"/>
      <c r="J606" s="97" t="n">
        <v>41.16734</v>
      </c>
      <c r="K606" s="97" t="n">
        <v>40.14199</v>
      </c>
      <c r="L606" s="97" t="n"/>
      <c r="M606" s="97" t="n"/>
      <c r="N606" s="97" t="n">
        <v>46.53503</v>
      </c>
      <c r="O606" s="97" t="n"/>
      <c r="P606" s="97" t="n">
        <v>47.61248</v>
      </c>
      <c r="Q606" s="97" t="n"/>
      <c r="R606" s="97" t="n">
        <v>28.91982</v>
      </c>
      <c r="S606" s="97" t="n">
        <v>58.99314</v>
      </c>
      <c r="T606" s="97" t="n">
        <v>71.87605000000001</v>
      </c>
      <c r="U606" s="97" t="n">
        <v>52.74648</v>
      </c>
      <c r="V606" s="97" t="n"/>
      <c r="W606" s="97" t="n"/>
      <c r="X606" s="97" t="n"/>
      <c r="Y606" s="97" t="n"/>
      <c r="Z606" s="97" t="n">
        <v>65.04176</v>
      </c>
      <c r="AA606" s="97" t="n">
        <v>41.47558</v>
      </c>
      <c r="AB606" s="97" t="n"/>
      <c r="AC606" s="97" t="n">
        <v>48.40438</v>
      </c>
      <c r="AD606" s="97" t="n"/>
      <c r="AE606" s="97" t="n"/>
      <c r="AF606" s="97" t="n">
        <v>45.13743</v>
      </c>
      <c r="AG606" s="97" t="n">
        <v>34.1605</v>
      </c>
      <c r="AH606" s="97" t="n"/>
      <c r="AI606" s="97" t="n"/>
      <c r="AJ606" s="97" t="n">
        <v>33.28369</v>
      </c>
      <c r="AK606" s="97" t="n"/>
      <c r="AL606" s="97" t="n"/>
      <c r="AM606" s="97" t="n">
        <v>48.20807</v>
      </c>
      <c r="AN606" s="97" t="n"/>
      <c r="AO606" s="97" t="n">
        <v>38.04156</v>
      </c>
      <c r="AP606" s="97" t="n"/>
      <c r="AQ606" s="97" t="n"/>
      <c r="AR606" s="97" t="n"/>
      <c r="AS606" s="97" t="n"/>
      <c r="AT606" s="97" t="n"/>
      <c r="AU606" s="97" t="n"/>
      <c r="AV606" s="97" t="n"/>
      <c r="AW606" s="97" t="n"/>
      <c r="AX606" s="97" t="n"/>
      <c r="AY606" s="97" t="n"/>
    </row>
    <row r="607" s="135">
      <c r="A607" t="inlineStr">
        <is>
          <t>1969-06</t>
        </is>
      </c>
      <c r="B607" s="2" t="n">
        <v>25355</v>
      </c>
      <c r="C607" s="96" t="n">
        <v>607</v>
      </c>
      <c r="E607" s="2">
        <f>B607</f>
        <v/>
      </c>
      <c r="F607" s="3">
        <f>B607</f>
        <v/>
      </c>
      <c r="G607" s="96" t="n">
        <v>605</v>
      </c>
      <c r="H607" s="97" t="n"/>
      <c r="I607" s="97" t="n"/>
      <c r="J607" s="97" t="n">
        <v>41.31296</v>
      </c>
      <c r="K607" s="97" t="n">
        <v>40.20308</v>
      </c>
      <c r="L607" s="97" t="n"/>
      <c r="M607" s="97" t="n"/>
      <c r="N607" s="97" t="n">
        <v>47.02877</v>
      </c>
      <c r="O607" s="97" t="n"/>
      <c r="P607" s="97" t="n">
        <v>47.00481</v>
      </c>
      <c r="Q607" s="97" t="n"/>
      <c r="R607" s="97" t="n">
        <v>28.81878</v>
      </c>
      <c r="S607" s="97" t="n">
        <v>58.26031</v>
      </c>
      <c r="T607" s="97" t="n">
        <v>72.36433</v>
      </c>
      <c r="U607" s="97" t="n">
        <v>53.53896</v>
      </c>
      <c r="V607" s="97" t="n"/>
      <c r="W607" s="97" t="n"/>
      <c r="X607" s="97" t="n"/>
      <c r="Y607" s="97" t="n"/>
      <c r="Z607" s="97" t="n">
        <v>66.81625</v>
      </c>
      <c r="AA607" s="97" t="n">
        <v>41.13906</v>
      </c>
      <c r="AB607" s="97" t="n"/>
      <c r="AC607" s="97" t="n">
        <v>50.51594</v>
      </c>
      <c r="AD607" s="97" t="n"/>
      <c r="AE607" s="97" t="n"/>
      <c r="AF607" s="97" t="n">
        <v>45.70879</v>
      </c>
      <c r="AG607" s="97" t="n">
        <v>34.50425</v>
      </c>
      <c r="AH607" s="97" t="n"/>
      <c r="AI607" s="97" t="n"/>
      <c r="AJ607" s="97" t="n">
        <v>35.42645</v>
      </c>
      <c r="AK607" s="97" t="n"/>
      <c r="AL607" s="97" t="n"/>
      <c r="AM607" s="97" t="n">
        <v>49.57245</v>
      </c>
      <c r="AN607" s="97" t="n"/>
      <c r="AO607" s="97" t="n">
        <v>38.41318</v>
      </c>
      <c r="AP607" s="97" t="n"/>
      <c r="AQ607" s="97" t="n"/>
      <c r="AR607" s="97" t="n"/>
      <c r="AS607" s="97" t="n"/>
      <c r="AT607" s="97" t="n"/>
      <c r="AU607" s="97" t="n"/>
      <c r="AV607" s="97" t="n"/>
      <c r="AW607" s="97" t="n"/>
      <c r="AX607" s="97" t="n"/>
      <c r="AY607" s="97" t="n"/>
    </row>
    <row r="608" s="135">
      <c r="A608" t="inlineStr">
        <is>
          <t>1969-07</t>
        </is>
      </c>
      <c r="B608" s="2" t="n">
        <v>25385</v>
      </c>
      <c r="C608" s="96" t="n">
        <v>608</v>
      </c>
      <c r="E608" s="2">
        <f>B608</f>
        <v/>
      </c>
      <c r="F608" s="3">
        <f>B608</f>
        <v/>
      </c>
      <c r="G608" s="96" t="n">
        <v>606</v>
      </c>
      <c r="H608" s="97" t="n"/>
      <c r="I608" s="97" t="n"/>
      <c r="J608" s="97" t="n">
        <v>42.16451</v>
      </c>
      <c r="K608" s="97" t="n">
        <v>40.54752</v>
      </c>
      <c r="L608" s="97" t="n"/>
      <c r="M608" s="97" t="n"/>
      <c r="N608" s="97" t="n">
        <v>46.90533</v>
      </c>
      <c r="O608" s="97" t="n"/>
      <c r="P608" s="97" t="n">
        <v>47.28983</v>
      </c>
      <c r="Q608" s="97" t="n"/>
      <c r="R608" s="97" t="n">
        <v>29.52279</v>
      </c>
      <c r="S608" s="97" t="n">
        <v>58.50459</v>
      </c>
      <c r="T608" s="97" t="n">
        <v>72.07137</v>
      </c>
      <c r="U608" s="97" t="n">
        <v>54.11185</v>
      </c>
      <c r="V608" s="97" t="n"/>
      <c r="W608" s="97" t="n"/>
      <c r="X608" s="97" t="n"/>
      <c r="Y608" s="97" t="n"/>
      <c r="Z608" s="97" t="n">
        <v>67.08925000000001</v>
      </c>
      <c r="AA608" s="97" t="n">
        <v>41.72797</v>
      </c>
      <c r="AB608" s="97" t="n"/>
      <c r="AC608" s="97" t="n">
        <v>50.87518</v>
      </c>
      <c r="AD608" s="97" t="n"/>
      <c r="AE608" s="97" t="n"/>
      <c r="AF608" s="97" t="n">
        <v>46.28016</v>
      </c>
      <c r="AG608" s="97" t="n">
        <v>34.84801</v>
      </c>
      <c r="AH608" s="97" t="n"/>
      <c r="AI608" s="97" t="n"/>
      <c r="AJ608" s="97" t="n">
        <v>31.46726</v>
      </c>
      <c r="AK608" s="97" t="n"/>
      <c r="AL608" s="97" t="n"/>
      <c r="AM608" s="97" t="n">
        <v>53.2108</v>
      </c>
      <c r="AN608" s="97" t="n"/>
      <c r="AO608" s="97" t="n">
        <v>38.61604</v>
      </c>
      <c r="AP608" s="97" t="n"/>
      <c r="AQ608" s="97" t="n"/>
      <c r="AR608" s="97" t="n"/>
      <c r="AS608" s="97" t="n"/>
      <c r="AT608" s="97" t="n"/>
      <c r="AU608" s="97" t="n"/>
      <c r="AV608" s="97" t="n"/>
      <c r="AW608" s="97" t="n"/>
      <c r="AX608" s="97" t="n"/>
      <c r="AY608" s="97" t="n"/>
    </row>
    <row r="609" s="135">
      <c r="A609" t="inlineStr">
        <is>
          <t>1969-08</t>
        </is>
      </c>
      <c r="B609" s="2" t="n">
        <v>25416</v>
      </c>
      <c r="C609" s="96" t="n">
        <v>609</v>
      </c>
      <c r="E609" s="2">
        <f>B609</f>
        <v/>
      </c>
      <c r="F609" s="3">
        <f>B609</f>
        <v/>
      </c>
      <c r="G609" s="96" t="n">
        <v>607</v>
      </c>
      <c r="H609" s="97" t="n"/>
      <c r="I609" s="97" t="n"/>
      <c r="J609" s="97" t="n">
        <v>41.69702</v>
      </c>
      <c r="K609" s="97" t="n">
        <v>39.80601</v>
      </c>
      <c r="L609" s="97" t="n"/>
      <c r="M609" s="97" t="n"/>
      <c r="N609" s="97" t="n">
        <v>48.2014</v>
      </c>
      <c r="O609" s="97" t="n"/>
      <c r="P609" s="97" t="n">
        <v>48.43943</v>
      </c>
      <c r="Q609" s="97" t="n"/>
      <c r="R609" s="97" t="n">
        <v>29.79331</v>
      </c>
      <c r="S609" s="97" t="n">
        <v>58.50459</v>
      </c>
      <c r="T609" s="97" t="n">
        <v>71.09479</v>
      </c>
      <c r="U609" s="97" t="n">
        <v>54.49424</v>
      </c>
      <c r="V609" s="97" t="n"/>
      <c r="W609" s="97" t="n"/>
      <c r="X609" s="97" t="n"/>
      <c r="Y609" s="97" t="n"/>
      <c r="Z609" s="97" t="n">
        <v>66.06551</v>
      </c>
      <c r="AA609" s="97" t="n">
        <v>42.06448</v>
      </c>
      <c r="AB609" s="97" t="n"/>
      <c r="AC609" s="97" t="n">
        <v>50.3707</v>
      </c>
      <c r="AD609" s="97" t="n"/>
      <c r="AE609" s="97" t="n"/>
      <c r="AF609" s="97" t="n">
        <v>46.85151</v>
      </c>
      <c r="AG609" s="97" t="n">
        <v>35.32067</v>
      </c>
      <c r="AH609" s="97" t="n"/>
      <c r="AI609" s="97" t="n"/>
      <c r="AJ609" s="97" t="n">
        <v>38.09852</v>
      </c>
      <c r="AK609" s="97" t="n"/>
      <c r="AL609" s="97" t="n"/>
      <c r="AM609" s="97" t="n">
        <v>49.11766</v>
      </c>
      <c r="AN609" s="97" t="n"/>
      <c r="AO609" s="97" t="n">
        <v>38.70479</v>
      </c>
      <c r="AP609" s="97" t="n"/>
      <c r="AQ609" s="97" t="n"/>
      <c r="AR609" s="97" t="n"/>
      <c r="AS609" s="97" t="n"/>
      <c r="AT609" s="97" t="n"/>
      <c r="AU609" s="97" t="n"/>
      <c r="AV609" s="97" t="n"/>
      <c r="AW609" s="97" t="n"/>
      <c r="AX609" s="97" t="n"/>
      <c r="AY609" s="97" t="n"/>
    </row>
    <row r="610" s="135">
      <c r="A610" t="inlineStr">
        <is>
          <t>1969-09</t>
        </is>
      </c>
      <c r="B610" s="2" t="n">
        <v>25447</v>
      </c>
      <c r="C610" s="96" t="n">
        <v>610</v>
      </c>
      <c r="E610" s="2">
        <f>B610</f>
        <v/>
      </c>
      <c r="F610" s="3">
        <f>B610</f>
        <v/>
      </c>
      <c r="G610" s="96" t="n">
        <v>608</v>
      </c>
      <c r="H610" s="97" t="n"/>
      <c r="I610" s="97" t="n"/>
      <c r="J610" s="97" t="n">
        <v>41.29986</v>
      </c>
      <c r="K610" s="97" t="n">
        <v>39.93007</v>
      </c>
      <c r="L610" s="97" t="n"/>
      <c r="M610" s="97" t="n"/>
      <c r="N610" s="97" t="n">
        <v>47.76938</v>
      </c>
      <c r="O610" s="97" t="n"/>
      <c r="P610" s="97" t="n">
        <v>49.13721</v>
      </c>
      <c r="Q610" s="97" t="n"/>
      <c r="R610" s="97" t="n">
        <v>29.6825</v>
      </c>
      <c r="S610" s="97" t="n">
        <v>57.77176</v>
      </c>
      <c r="T610" s="97" t="n">
        <v>71.19244</v>
      </c>
      <c r="U610" s="97" t="n">
        <v>54.80167</v>
      </c>
      <c r="V610" s="97" t="n"/>
      <c r="W610" s="97" t="n"/>
      <c r="X610" s="97" t="n"/>
      <c r="Y610" s="97" t="n"/>
      <c r="Z610" s="97" t="n">
        <v>62.44828</v>
      </c>
      <c r="AA610" s="97" t="n">
        <v>42.9899</v>
      </c>
      <c r="AB610" s="97" t="n"/>
      <c r="AC610" s="97" t="n">
        <v>51.55464</v>
      </c>
      <c r="AD610" s="97" t="n"/>
      <c r="AE610" s="97" t="n"/>
      <c r="AF610" s="97" t="n">
        <v>46.56583</v>
      </c>
      <c r="AG610" s="97" t="n">
        <v>35.23473</v>
      </c>
      <c r="AH610" s="97" t="n"/>
      <c r="AI610" s="97" t="n"/>
      <c r="AJ610" s="97" t="n">
        <v>36.22587</v>
      </c>
      <c r="AK610" s="97" t="n"/>
      <c r="AL610" s="97" t="n"/>
      <c r="AM610" s="97" t="n">
        <v>50.02724</v>
      </c>
      <c r="AN610" s="97" t="n"/>
      <c r="AO610" s="97" t="n">
        <v>38.69605</v>
      </c>
      <c r="AP610" s="97" t="n"/>
      <c r="AQ610" s="97" t="n"/>
      <c r="AR610" s="97" t="n"/>
      <c r="AS610" s="97" t="n"/>
      <c r="AT610" s="97" t="n"/>
      <c r="AU610" s="97" t="n"/>
      <c r="AV610" s="97" t="n"/>
      <c r="AW610" s="97" t="n"/>
      <c r="AX610" s="97" t="n"/>
      <c r="AY610" s="97" t="n"/>
    </row>
    <row r="611" s="135">
      <c r="A611" t="inlineStr">
        <is>
          <t>1969-10</t>
        </is>
      </c>
      <c r="B611" s="2" t="n">
        <v>25477</v>
      </c>
      <c r="C611" s="96" t="n">
        <v>611</v>
      </c>
      <c r="E611" s="2">
        <f>B611</f>
        <v/>
      </c>
      <c r="F611" s="3">
        <f>B611</f>
        <v/>
      </c>
      <c r="G611" s="96" t="n">
        <v>609</v>
      </c>
      <c r="H611" s="97" t="n"/>
      <c r="I611" s="97" t="n"/>
      <c r="J611" s="97" t="n">
        <v>41.74018</v>
      </c>
      <c r="K611" s="97" t="n">
        <v>39.6171</v>
      </c>
      <c r="L611" s="97" t="n"/>
      <c r="M611" s="97" t="n"/>
      <c r="N611" s="97" t="n">
        <v>48.38655</v>
      </c>
      <c r="O611" s="97" t="n"/>
      <c r="P611" s="97" t="n">
        <v>50.3732</v>
      </c>
      <c r="Q611" s="97" t="n"/>
      <c r="R611" s="97" t="n">
        <v>29.96606</v>
      </c>
      <c r="S611" s="97" t="n">
        <v>59.72598</v>
      </c>
      <c r="T611" s="97" t="n">
        <v>70.02055</v>
      </c>
      <c r="U611" s="97" t="n">
        <v>55.15073</v>
      </c>
      <c r="V611" s="97" t="n"/>
      <c r="W611" s="97" t="n"/>
      <c r="X611" s="97" t="n"/>
      <c r="Y611" s="97" t="n"/>
      <c r="Z611" s="97" t="n">
        <v>59.58181</v>
      </c>
      <c r="AA611" s="97" t="n">
        <v>44.16771</v>
      </c>
      <c r="AB611" s="97" t="n"/>
      <c r="AC611" s="97" t="n">
        <v>51.81139</v>
      </c>
      <c r="AD611" s="97" t="n"/>
      <c r="AE611" s="97" t="n"/>
      <c r="AF611" s="97" t="n">
        <v>47.13719</v>
      </c>
      <c r="AG611" s="97" t="n">
        <v>35.2777</v>
      </c>
      <c r="AH611" s="97" t="n"/>
      <c r="AI611" s="97" t="n"/>
      <c r="AJ611" s="97" t="n">
        <v>34.69655</v>
      </c>
      <c r="AK611" s="97" t="n"/>
      <c r="AL611" s="97" t="n"/>
      <c r="AM611" s="97" t="n">
        <v>51.39162</v>
      </c>
      <c r="AN611" s="97" t="n"/>
      <c r="AO611" s="97" t="n">
        <v>38.70738</v>
      </c>
      <c r="AP611" s="97" t="n"/>
      <c r="AQ611" s="97" t="n"/>
      <c r="AR611" s="97" t="n"/>
      <c r="AS611" s="97" t="n"/>
      <c r="AT611" s="97" t="n"/>
      <c r="AU611" s="97" t="n"/>
      <c r="AV611" s="97" t="n"/>
      <c r="AW611" s="97" t="n"/>
      <c r="AX611" s="97" t="n"/>
      <c r="AY611" s="97" t="n"/>
    </row>
    <row r="612" s="135">
      <c r="A612" t="inlineStr">
        <is>
          <t>1969-11</t>
        </is>
      </c>
      <c r="B612" s="2" t="n">
        <v>25508</v>
      </c>
      <c r="C612" s="96" t="n">
        <v>612</v>
      </c>
      <c r="E612" s="2">
        <f>B612</f>
        <v/>
      </c>
      <c r="F612" s="3">
        <f>B612</f>
        <v/>
      </c>
      <c r="G612" s="96" t="n">
        <v>610</v>
      </c>
      <c r="H612" s="97" t="n"/>
      <c r="I612" s="97" t="n"/>
      <c r="J612" s="97" t="n">
        <v>42.02425</v>
      </c>
      <c r="K612" s="97" t="n">
        <v>40.09735</v>
      </c>
      <c r="L612" s="97" t="n"/>
      <c r="M612" s="97" t="n"/>
      <c r="N612" s="97" t="n">
        <v>49.12716</v>
      </c>
      <c r="O612" s="97" t="n"/>
      <c r="P612" s="97" t="n">
        <v>48.02967</v>
      </c>
      <c r="Q612" s="97" t="n"/>
      <c r="R612" s="97" t="n">
        <v>30.66029</v>
      </c>
      <c r="S612" s="97" t="n">
        <v>58.32138</v>
      </c>
      <c r="T612" s="97" t="n">
        <v>71.48542</v>
      </c>
      <c r="U612" s="97" t="n">
        <v>55.65533</v>
      </c>
      <c r="V612" s="97" t="n"/>
      <c r="W612" s="97" t="n"/>
      <c r="X612" s="97" t="n"/>
      <c r="Y612" s="97" t="n"/>
      <c r="Z612" s="97" t="n">
        <v>58.28506</v>
      </c>
      <c r="AA612" s="97" t="n">
        <v>44.16771</v>
      </c>
      <c r="AB612" s="97" t="n"/>
      <c r="AC612" s="97" t="n">
        <v>52.83282</v>
      </c>
      <c r="AD612" s="97" t="n"/>
      <c r="AE612" s="97" t="n"/>
      <c r="AF612" s="97" t="n">
        <v>48.27991</v>
      </c>
      <c r="AG612" s="97" t="n">
        <v>35.87927</v>
      </c>
      <c r="AH612" s="97" t="n"/>
      <c r="AI612" s="97" t="n"/>
      <c r="AJ612" s="97" t="n">
        <v>35.90848</v>
      </c>
      <c r="AK612" s="97" t="n"/>
      <c r="AL612" s="97" t="n"/>
      <c r="AM612" s="97" t="n">
        <v>52.30121</v>
      </c>
      <c r="AN612" s="97" t="n"/>
      <c r="AO612" s="97" t="n">
        <v>38.34248</v>
      </c>
      <c r="AP612" s="97" t="n"/>
      <c r="AQ612" s="97" t="n"/>
      <c r="AR612" s="97" t="n"/>
      <c r="AS612" s="97" t="n"/>
      <c r="AT612" s="97" t="n"/>
      <c r="AU612" s="97" t="n"/>
      <c r="AV612" s="97" t="n"/>
      <c r="AW612" s="97" t="n"/>
      <c r="AX612" s="97" t="n"/>
      <c r="AY612" s="97" t="n"/>
    </row>
    <row r="613" s="135">
      <c r="A613" t="inlineStr">
        <is>
          <t>1969-12</t>
        </is>
      </c>
      <c r="B613" s="2" t="n">
        <v>25538</v>
      </c>
      <c r="C613" s="96" t="n">
        <v>613</v>
      </c>
      <c r="E613" s="2">
        <f>B613</f>
        <v/>
      </c>
      <c r="F613" s="3">
        <f>B613</f>
        <v/>
      </c>
      <c r="G613" s="96" t="n">
        <v>611</v>
      </c>
      <c r="H613" s="97" t="n"/>
      <c r="I613" s="97" t="n"/>
      <c r="J613" s="97" t="n">
        <v>41.40594</v>
      </c>
      <c r="K613" s="97" t="n">
        <v>40.46059</v>
      </c>
      <c r="L613" s="97" t="n"/>
      <c r="M613" s="97" t="n"/>
      <c r="N613" s="97" t="n">
        <v>48.75686</v>
      </c>
      <c r="O613" s="97" t="n"/>
      <c r="P613" s="97" t="n">
        <v>49.19986</v>
      </c>
      <c r="Q613" s="97" t="n"/>
      <c r="R613" s="97" t="n">
        <v>31.08726</v>
      </c>
      <c r="S613" s="97" t="n">
        <v>58.44352</v>
      </c>
      <c r="T613" s="97" t="n">
        <v>72.07137</v>
      </c>
      <c r="U613" s="97" t="n">
        <v>53.72216</v>
      </c>
      <c r="V613" s="97" t="n"/>
      <c r="W613" s="97" t="n"/>
      <c r="X613" s="97" t="n"/>
      <c r="Y613" s="97" t="n"/>
      <c r="Z613" s="97" t="n">
        <v>60.8103</v>
      </c>
      <c r="AA613" s="97" t="n">
        <v>45.009</v>
      </c>
      <c r="AB613" s="97" t="n"/>
      <c r="AC613" s="97" t="n">
        <v>52.54358</v>
      </c>
      <c r="AD613" s="97" t="n"/>
      <c r="AE613" s="97" t="n"/>
      <c r="AF613" s="97" t="n">
        <v>47.70855</v>
      </c>
      <c r="AG613" s="97" t="n">
        <v>36.00817</v>
      </c>
      <c r="AH613" s="97" t="n"/>
      <c r="AI613" s="97" t="n"/>
      <c r="AJ613" s="97" t="n">
        <v>37.73957</v>
      </c>
      <c r="AK613" s="97" t="n"/>
      <c r="AL613" s="97" t="n"/>
      <c r="AM613" s="97" t="n">
        <v>51.39162</v>
      </c>
      <c r="AN613" s="97" t="n"/>
      <c r="AO613" s="97" t="n">
        <v>38.23961</v>
      </c>
      <c r="AP613" s="97" t="n"/>
      <c r="AQ613" s="97" t="n"/>
      <c r="AR613" s="97" t="n"/>
      <c r="AS613" s="97" t="n"/>
      <c r="AT613" s="97" t="n"/>
      <c r="AU613" s="97" t="n"/>
      <c r="AV613" s="97" t="n"/>
      <c r="AW613" s="97" t="n"/>
      <c r="AX613" s="97" t="n"/>
      <c r="AY613" s="97" t="n"/>
    </row>
    <row r="614" s="135">
      <c r="A614" t="inlineStr">
        <is>
          <t>1970-01</t>
        </is>
      </c>
      <c r="B614" s="2" t="n">
        <v>25569</v>
      </c>
      <c r="C614" s="96" t="n">
        <v>614</v>
      </c>
      <c r="E614" s="2">
        <f>B614</f>
        <v/>
      </c>
      <c r="F614" s="3">
        <f>B614</f>
        <v/>
      </c>
      <c r="G614" s="96" t="n">
        <v>612</v>
      </c>
      <c r="H614" s="97" t="n"/>
      <c r="I614" s="97" t="n"/>
      <c r="J614" s="97" t="n">
        <v>40.5689</v>
      </c>
      <c r="K614" s="97" t="n">
        <v>40.20449</v>
      </c>
      <c r="L614" s="97" t="n"/>
      <c r="M614" s="97" t="n"/>
      <c r="N614" s="97" t="n">
        <v>48.88029</v>
      </c>
      <c r="O614" s="97" t="n"/>
      <c r="P614" s="97" t="n">
        <v>49.92223</v>
      </c>
      <c r="Q614" s="97" t="n"/>
      <c r="R614" s="97" t="n">
        <v>31.82386</v>
      </c>
      <c r="S614" s="97" t="n">
        <v>60.0924</v>
      </c>
      <c r="T614" s="97" t="n">
        <v>70.31352</v>
      </c>
      <c r="U614" s="97" t="n">
        <v>56.70107</v>
      </c>
      <c r="V614" s="97" t="n"/>
      <c r="W614" s="97" t="n"/>
      <c r="X614" s="97" t="n"/>
      <c r="Y614" s="97" t="n"/>
      <c r="Z614" s="97" t="n">
        <v>68.18124</v>
      </c>
      <c r="AA614" s="97" t="n">
        <v>45.5979</v>
      </c>
      <c r="AB614" s="97" t="n"/>
      <c r="AC614" s="97" t="n">
        <v>52.97735</v>
      </c>
      <c r="AD614" s="97" t="n"/>
      <c r="AE614" s="97" t="n"/>
      <c r="AF614" s="97" t="n">
        <v>48.59224</v>
      </c>
      <c r="AG614" s="97" t="n">
        <v>34.89098</v>
      </c>
      <c r="AH614" s="97" t="n"/>
      <c r="AI614" s="97" t="n"/>
      <c r="AJ614" s="97" t="n">
        <v>36.76816</v>
      </c>
      <c r="AK614" s="97" t="n"/>
      <c r="AL614" s="97" t="n"/>
      <c r="AM614" s="97" t="n">
        <v>50.48204</v>
      </c>
      <c r="AN614" s="97" t="n"/>
      <c r="AO614" s="97" t="n">
        <v>37.53152</v>
      </c>
      <c r="AP614" s="97" t="n"/>
      <c r="AQ614" s="97" t="n"/>
      <c r="AR614" s="97" t="n"/>
      <c r="AS614" s="97" t="n"/>
      <c r="AT614" s="97" t="n"/>
      <c r="AU614" s="97" t="n"/>
      <c r="AV614" s="97" t="n"/>
      <c r="AW614" s="97" t="n"/>
      <c r="AX614" s="97" t="n"/>
      <c r="AY614" s="97" t="n"/>
    </row>
    <row r="615" s="135">
      <c r="A615" t="inlineStr">
        <is>
          <t>1970-02</t>
        </is>
      </c>
      <c r="B615" s="2" t="n">
        <v>25600</v>
      </c>
      <c r="C615" s="96" t="n">
        <v>615</v>
      </c>
      <c r="E615" s="2">
        <f>B615</f>
        <v/>
      </c>
      <c r="F615" s="3">
        <f>B615</f>
        <v/>
      </c>
      <c r="G615" s="96" t="n">
        <v>613</v>
      </c>
      <c r="H615" s="97" t="n"/>
      <c r="I615" s="97" t="n"/>
      <c r="J615" s="97" t="n">
        <v>41.71854</v>
      </c>
      <c r="K615" s="97" t="n">
        <v>40.57478</v>
      </c>
      <c r="L615" s="97" t="n"/>
      <c r="M615" s="97" t="n"/>
      <c r="N615" s="97" t="n">
        <v>49.55919</v>
      </c>
      <c r="O615" s="97" t="n"/>
      <c r="P615" s="97" t="n">
        <v>50.01731</v>
      </c>
      <c r="Q615" s="97" t="n"/>
      <c r="R615" s="97" t="n">
        <v>31.70979</v>
      </c>
      <c r="S615" s="97" t="n">
        <v>60.76416</v>
      </c>
      <c r="T615" s="97" t="n">
        <v>71.58308</v>
      </c>
      <c r="U615" s="97" t="n">
        <v>56.43026</v>
      </c>
      <c r="V615" s="97" t="n"/>
      <c r="W615" s="97" t="n"/>
      <c r="X615" s="97" t="n"/>
      <c r="Y615" s="97" t="n"/>
      <c r="Z615" s="97" t="n">
        <v>69.00024000000001</v>
      </c>
      <c r="AA615" s="97" t="n">
        <v>46.10268</v>
      </c>
      <c r="AB615" s="97" t="n"/>
      <c r="AC615" s="97" t="n">
        <v>52.32976</v>
      </c>
      <c r="AD615" s="97" t="n"/>
      <c r="AE615" s="97" t="n"/>
      <c r="AF615" s="97" t="n">
        <v>49.09319</v>
      </c>
      <c r="AG615" s="97" t="n">
        <v>35.36364</v>
      </c>
      <c r="AH615" s="97" t="n"/>
      <c r="AI615" s="97" t="n"/>
      <c r="AJ615" s="97" t="n">
        <v>36.59856</v>
      </c>
      <c r="AK615" s="97" t="n"/>
      <c r="AL615" s="97" t="n"/>
      <c r="AM615" s="97" t="n">
        <v>51.84642</v>
      </c>
      <c r="AN615" s="97" t="n"/>
      <c r="AO615" s="97" t="n">
        <v>37.50674</v>
      </c>
      <c r="AP615" s="97" t="n"/>
      <c r="AQ615" s="97" t="n"/>
      <c r="AR615" s="97" t="n"/>
      <c r="AS615" s="97" t="n"/>
      <c r="AT615" s="97" t="n"/>
      <c r="AU615" s="97" t="n"/>
      <c r="AV615" s="97" t="n"/>
      <c r="AW615" s="97" t="n"/>
      <c r="AX615" s="97" t="n"/>
      <c r="AY615" s="97" t="n"/>
    </row>
    <row r="616" s="135">
      <c r="A616" t="inlineStr">
        <is>
          <t>1970-03</t>
        </is>
      </c>
      <c r="B616" s="2" t="n">
        <v>25628</v>
      </c>
      <c r="C616" s="96" t="n">
        <v>616</v>
      </c>
      <c r="E616" s="2">
        <f>B616</f>
        <v/>
      </c>
      <c r="F616" s="3">
        <f>B616</f>
        <v/>
      </c>
      <c r="G616" s="96" t="n">
        <v>614</v>
      </c>
      <c r="H616" s="97" t="n"/>
      <c r="I616" s="97" t="n"/>
      <c r="J616" s="97" t="n">
        <v>42.75096</v>
      </c>
      <c r="K616" s="97" t="n">
        <v>39.89999</v>
      </c>
      <c r="L616" s="97" t="n"/>
      <c r="M616" s="97" t="n"/>
      <c r="N616" s="97" t="n">
        <v>49.74434</v>
      </c>
      <c r="O616" s="97" t="n"/>
      <c r="P616" s="97" t="n">
        <v>47.45348</v>
      </c>
      <c r="Q616" s="97" t="n"/>
      <c r="R616" s="97" t="n">
        <v>31.56312</v>
      </c>
      <c r="S616" s="97" t="n">
        <v>60.64202</v>
      </c>
      <c r="T616" s="97" t="n">
        <v>72.36433</v>
      </c>
      <c r="U616" s="97" t="n">
        <v>56.71939</v>
      </c>
      <c r="V616" s="97" t="n"/>
      <c r="W616" s="97" t="n"/>
      <c r="X616" s="97" t="n"/>
      <c r="Y616" s="97" t="n"/>
      <c r="Z616" s="97" t="n">
        <v>68.72723999999999</v>
      </c>
      <c r="AA616" s="97" t="n">
        <v>46.43919</v>
      </c>
      <c r="AB616" s="97" t="n"/>
      <c r="AC616" s="97" t="n">
        <v>53.15823</v>
      </c>
      <c r="AD616" s="97" t="n"/>
      <c r="AE616" s="97" t="n"/>
      <c r="AF616" s="97" t="n">
        <v>50.09509</v>
      </c>
      <c r="AG616" s="97" t="n">
        <v>37.34022</v>
      </c>
      <c r="AH616" s="97" t="n"/>
      <c r="AI616" s="97" t="n"/>
      <c r="AJ616" s="97" t="n">
        <v>36.8738</v>
      </c>
      <c r="AK616" s="97" t="n"/>
      <c r="AL616" s="97" t="n"/>
      <c r="AM616" s="97" t="n">
        <v>52.30121</v>
      </c>
      <c r="AN616" s="97" t="n"/>
      <c r="AO616" s="97" t="n">
        <v>37.45805</v>
      </c>
      <c r="AP616" s="97" t="n"/>
      <c r="AQ616" s="97" t="n"/>
      <c r="AR616" s="97" t="n"/>
      <c r="AS616" s="97" t="n"/>
      <c r="AT616" s="97" t="n"/>
      <c r="AU616" s="97" t="n"/>
      <c r="AV616" s="97" t="n"/>
      <c r="AW616" s="97" t="n"/>
      <c r="AX616" s="97" t="n"/>
      <c r="AY616" s="97" t="n"/>
    </row>
    <row r="617" s="135">
      <c r="A617" t="inlineStr">
        <is>
          <t>1970-04</t>
        </is>
      </c>
      <c r="B617" s="2" t="n">
        <v>25659</v>
      </c>
      <c r="C617" s="96" t="n">
        <v>617</v>
      </c>
      <c r="E617" s="2">
        <f>B617</f>
        <v/>
      </c>
      <c r="F617" s="3">
        <f>B617</f>
        <v/>
      </c>
      <c r="G617" s="96" t="n">
        <v>615</v>
      </c>
      <c r="H617" s="97" t="n"/>
      <c r="I617" s="97" t="n"/>
      <c r="J617" s="97" t="n">
        <v>41.50214</v>
      </c>
      <c r="K617" s="97" t="n">
        <v>39.32435</v>
      </c>
      <c r="L617" s="97" t="n"/>
      <c r="M617" s="97" t="n"/>
      <c r="N617" s="97" t="n">
        <v>50.23808</v>
      </c>
      <c r="O617" s="97" t="n"/>
      <c r="P617" s="97" t="n">
        <v>52.9486</v>
      </c>
      <c r="Q617" s="97" t="n"/>
      <c r="R617" s="97" t="n">
        <v>32.64847</v>
      </c>
      <c r="S617" s="97" t="n">
        <v>61.49699</v>
      </c>
      <c r="T617" s="97" t="n">
        <v>72.07137</v>
      </c>
      <c r="U617" s="97" t="n">
        <v>57.38112</v>
      </c>
      <c r="V617" s="97" t="n"/>
      <c r="W617" s="97" t="n"/>
      <c r="X617" s="97" t="n"/>
      <c r="Y617" s="97" t="n"/>
      <c r="Z617" s="97" t="n">
        <v>68.11299</v>
      </c>
      <c r="AA617" s="97" t="n">
        <v>46.85984</v>
      </c>
      <c r="AB617" s="97" t="n"/>
      <c r="AC617" s="97" t="n">
        <v>51.77344</v>
      </c>
      <c r="AD617" s="97" t="n"/>
      <c r="AE617" s="97" t="n"/>
      <c r="AF617" s="97" t="n">
        <v>49.59414</v>
      </c>
      <c r="AG617" s="97" t="n">
        <v>35.10582</v>
      </c>
      <c r="AH617" s="97" t="n"/>
      <c r="AI617" s="97" t="n"/>
      <c r="AJ617" s="97" t="n">
        <v>38.0257</v>
      </c>
      <c r="AK617" s="97" t="n"/>
      <c r="AL617" s="97" t="n"/>
      <c r="AM617" s="97" t="n">
        <v>51.84642</v>
      </c>
      <c r="AN617" s="97" t="n"/>
      <c r="AO617" s="97" t="n">
        <v>37.3618</v>
      </c>
      <c r="AP617" s="97" t="n"/>
      <c r="AQ617" s="97" t="n"/>
      <c r="AR617" s="97" t="n"/>
      <c r="AS617" s="97" t="n"/>
      <c r="AT617" s="97" t="n"/>
      <c r="AU617" s="97" t="n"/>
      <c r="AV617" s="97" t="n"/>
      <c r="AW617" s="97" t="n"/>
      <c r="AX617" s="97" t="n"/>
      <c r="AY617" s="97" t="n"/>
    </row>
    <row r="618" s="135">
      <c r="A618" t="inlineStr">
        <is>
          <t>1970-05</t>
        </is>
      </c>
      <c r="B618" s="2" t="n">
        <v>25689</v>
      </c>
      <c r="C618" s="96" t="n">
        <v>618</v>
      </c>
      <c r="E618" s="2">
        <f>B618</f>
        <v/>
      </c>
      <c r="F618" s="3">
        <f>B618</f>
        <v/>
      </c>
      <c r="G618" s="96" t="n">
        <v>616</v>
      </c>
      <c r="H618" s="97" t="n"/>
      <c r="I618" s="97" t="n"/>
      <c r="J618" s="97" t="n">
        <v>42.51502</v>
      </c>
      <c r="K618" s="97" t="n">
        <v>39.40894</v>
      </c>
      <c r="L618" s="97" t="n"/>
      <c r="M618" s="97" t="n"/>
      <c r="N618" s="97" t="n">
        <v>50.60839</v>
      </c>
      <c r="O618" s="97" t="n"/>
      <c r="P618" s="97" t="n">
        <v>49.7267</v>
      </c>
      <c r="Q618" s="97" t="n"/>
      <c r="R618" s="97" t="n">
        <v>33.01677</v>
      </c>
      <c r="S618" s="97" t="n">
        <v>60.76416</v>
      </c>
      <c r="T618" s="97" t="n">
        <v>71.2901</v>
      </c>
      <c r="U618" s="97" t="n">
        <v>57.24642</v>
      </c>
      <c r="V618" s="97" t="n"/>
      <c r="W618" s="97" t="n"/>
      <c r="X618" s="97" t="n"/>
      <c r="Y618" s="97" t="n"/>
      <c r="Z618" s="97" t="n">
        <v>67.08925000000001</v>
      </c>
      <c r="AA618" s="97" t="n">
        <v>47.44874</v>
      </c>
      <c r="AB618" s="97" t="n"/>
      <c r="AC618" s="97" t="n">
        <v>51.55612</v>
      </c>
      <c r="AD618" s="97" t="n"/>
      <c r="AE618" s="97" t="n"/>
      <c r="AF618" s="97" t="n">
        <v>49.59414</v>
      </c>
      <c r="AG618" s="97" t="n">
        <v>35.14879</v>
      </c>
      <c r="AH618" s="97" t="n"/>
      <c r="AI618" s="97" t="n"/>
      <c r="AJ618" s="97" t="n">
        <v>37.20556</v>
      </c>
      <c r="AK618" s="97" t="n"/>
      <c r="AL618" s="97" t="n"/>
      <c r="AM618" s="97" t="n">
        <v>53.66559</v>
      </c>
      <c r="AN618" s="97" t="n"/>
      <c r="AO618" s="97" t="n">
        <v>37.3182</v>
      </c>
      <c r="AP618" s="97" t="n"/>
      <c r="AQ618" s="97" t="n"/>
      <c r="AR618" s="97" t="n"/>
      <c r="AS618" s="97" t="n"/>
      <c r="AT618" s="97" t="n"/>
      <c r="AU618" s="97" t="n"/>
      <c r="AV618" s="97" t="n"/>
      <c r="AW618" s="97" t="n"/>
      <c r="AX618" s="97" t="n"/>
      <c r="AY618" s="97" t="n"/>
    </row>
    <row r="619" s="135">
      <c r="A619" t="inlineStr">
        <is>
          <t>1970-06</t>
        </is>
      </c>
      <c r="B619" s="2" t="n">
        <v>25720</v>
      </c>
      <c r="C619" s="96" t="n">
        <v>619</v>
      </c>
      <c r="E619" s="2">
        <f>B619</f>
        <v/>
      </c>
      <c r="F619" s="3">
        <f>B619</f>
        <v/>
      </c>
      <c r="G619" s="96" t="n">
        <v>617</v>
      </c>
      <c r="H619" s="97" t="n"/>
      <c r="I619" s="97" t="n"/>
      <c r="J619" s="97" t="n">
        <v>42.03852</v>
      </c>
      <c r="K619" s="97" t="n">
        <v>39.29099</v>
      </c>
      <c r="L619" s="97" t="n"/>
      <c r="M619" s="97" t="n"/>
      <c r="N619" s="97" t="n">
        <v>50.11464</v>
      </c>
      <c r="O619" s="97" t="n"/>
      <c r="P619" s="97" t="n">
        <v>50.65752</v>
      </c>
      <c r="Q619" s="97" t="n"/>
      <c r="R619" s="97" t="n">
        <v>32.56698</v>
      </c>
      <c r="S619" s="97" t="n">
        <v>60.8863</v>
      </c>
      <c r="T619" s="97" t="n">
        <v>71.48542</v>
      </c>
      <c r="U619" s="97" t="n">
        <v>57.55584</v>
      </c>
      <c r="V619" s="97" t="n"/>
      <c r="W619" s="97" t="n"/>
      <c r="X619" s="97" t="n"/>
      <c r="Y619" s="97" t="n"/>
      <c r="Z619" s="97" t="n">
        <v>67.1575</v>
      </c>
      <c r="AA619" s="97" t="n">
        <v>48.12177</v>
      </c>
      <c r="AB619" s="97" t="n"/>
      <c r="AC619" s="97" t="n">
        <v>51.36507</v>
      </c>
      <c r="AD619" s="97" t="n"/>
      <c r="AE619" s="97" t="n"/>
      <c r="AF619" s="97" t="n">
        <v>49.59414</v>
      </c>
      <c r="AG619" s="97" t="n">
        <v>35.75036</v>
      </c>
      <c r="AH619" s="97" t="n"/>
      <c r="AI619" s="97" t="n"/>
      <c r="AJ619" s="97" t="n">
        <v>38.76358</v>
      </c>
      <c r="AK619" s="97" t="n"/>
      <c r="AL619" s="97" t="n"/>
      <c r="AM619" s="97" t="n">
        <v>51.39162</v>
      </c>
      <c r="AN619" s="97" t="n"/>
      <c r="AO619" s="97" t="n">
        <v>37.19756</v>
      </c>
      <c r="AP619" s="97" t="n"/>
      <c r="AQ619" s="97" t="n"/>
      <c r="AR619" s="97" t="n"/>
      <c r="AS619" s="97" t="n"/>
      <c r="AT619" s="97" t="n"/>
      <c r="AU619" s="97" t="n"/>
      <c r="AV619" s="97" t="n"/>
      <c r="AW619" s="97" t="n"/>
      <c r="AX619" s="97" t="n"/>
      <c r="AY619" s="97" t="n"/>
    </row>
    <row r="620" s="135">
      <c r="A620" t="inlineStr">
        <is>
          <t>1970-07</t>
        </is>
      </c>
      <c r="B620" s="2" t="n">
        <v>25750</v>
      </c>
      <c r="C620" s="96" t="n">
        <v>620</v>
      </c>
      <c r="E620" s="2">
        <f>B620</f>
        <v/>
      </c>
      <c r="F620" s="3">
        <f>B620</f>
        <v/>
      </c>
      <c r="G620" s="96" t="n">
        <v>618</v>
      </c>
      <c r="H620" s="97" t="n"/>
      <c r="I620" s="97" t="n"/>
      <c r="J620" s="97" t="n">
        <v>43.3243</v>
      </c>
      <c r="K620" s="97" t="n">
        <v>39.30508</v>
      </c>
      <c r="L620" s="97" t="n"/>
      <c r="M620" s="97" t="n"/>
      <c r="N620" s="97" t="n">
        <v>50.73182</v>
      </c>
      <c r="O620" s="97" t="n"/>
      <c r="P620" s="97" t="n">
        <v>52.1697</v>
      </c>
      <c r="Q620" s="97" t="n"/>
      <c r="R620" s="97" t="n">
        <v>33.90656</v>
      </c>
      <c r="S620" s="97" t="n">
        <v>60.58095</v>
      </c>
      <c r="T620" s="97" t="n">
        <v>71.77839</v>
      </c>
      <c r="U620" s="97" t="n">
        <v>58.45857</v>
      </c>
      <c r="V620" s="97" t="n"/>
      <c r="W620" s="97" t="n"/>
      <c r="X620" s="97" t="n"/>
      <c r="Y620" s="97" t="n"/>
      <c r="Z620" s="97" t="n">
        <v>69.00024000000001</v>
      </c>
      <c r="AA620" s="97" t="n">
        <v>48.12177</v>
      </c>
      <c r="AB620" s="97" t="n"/>
      <c r="AC620" s="97" t="n">
        <v>52.21976</v>
      </c>
      <c r="AD620" s="97" t="n"/>
      <c r="AE620" s="97" t="n"/>
      <c r="AF620" s="97" t="n">
        <v>51.09699</v>
      </c>
      <c r="AG620" s="97" t="n">
        <v>36.91053</v>
      </c>
      <c r="AH620" s="97" t="n"/>
      <c r="AI620" s="97" t="n"/>
      <c r="AJ620" s="97" t="n">
        <v>36.71747</v>
      </c>
      <c r="AK620" s="97" t="n"/>
      <c r="AL620" s="97" t="n"/>
      <c r="AM620" s="97" t="n">
        <v>54.57518</v>
      </c>
      <c r="AN620" s="97" t="n"/>
      <c r="AO620" s="97" t="n">
        <v>37.2888</v>
      </c>
      <c r="AP620" s="97" t="n"/>
      <c r="AQ620" s="97" t="n"/>
      <c r="AR620" s="97" t="n"/>
      <c r="AS620" s="97" t="n"/>
      <c r="AT620" s="97" t="n"/>
      <c r="AU620" s="97" t="n"/>
      <c r="AV620" s="97" t="n"/>
      <c r="AW620" s="97" t="n"/>
      <c r="AX620" s="97" t="n"/>
      <c r="AY620" s="97" t="n"/>
    </row>
    <row r="621" s="135">
      <c r="A621" t="inlineStr">
        <is>
          <t>1970-08</t>
        </is>
      </c>
      <c r="B621" s="2" t="n">
        <v>25781</v>
      </c>
      <c r="C621" s="96" t="n">
        <v>621</v>
      </c>
      <c r="E621" s="2">
        <f>B621</f>
        <v/>
      </c>
      <c r="F621" s="3">
        <f>B621</f>
        <v/>
      </c>
      <c r="G621" s="96" t="n">
        <v>619</v>
      </c>
      <c r="H621" s="97" t="n"/>
      <c r="I621" s="97" t="n"/>
      <c r="J621" s="97" t="n">
        <v>42.67679</v>
      </c>
      <c r="K621" s="97" t="n">
        <v>39.61335</v>
      </c>
      <c r="L621" s="97" t="n"/>
      <c r="M621" s="97" t="n"/>
      <c r="N621" s="97" t="n">
        <v>49.92949</v>
      </c>
      <c r="O621" s="97" t="n"/>
      <c r="P621" s="97" t="n">
        <v>50.95745</v>
      </c>
      <c r="Q621" s="97" t="n"/>
      <c r="R621" s="97" t="n">
        <v>33.54478</v>
      </c>
      <c r="S621" s="97" t="n">
        <v>60.58095</v>
      </c>
      <c r="T621" s="97" t="n">
        <v>71.87605000000001</v>
      </c>
      <c r="U621" s="97" t="n">
        <v>58.99481</v>
      </c>
      <c r="V621" s="97" t="n"/>
      <c r="W621" s="97" t="n"/>
      <c r="X621" s="97" t="n"/>
      <c r="Y621" s="97" t="n"/>
      <c r="Z621" s="97" t="n">
        <v>67.22575000000001</v>
      </c>
      <c r="AA621" s="97" t="n">
        <v>47.95351</v>
      </c>
      <c r="AB621" s="97" t="n"/>
      <c r="AC621" s="97" t="n">
        <v>50.66332</v>
      </c>
      <c r="AD621" s="97" t="n"/>
      <c r="AE621" s="97" t="n"/>
      <c r="AF621" s="97" t="n">
        <v>50.09509</v>
      </c>
      <c r="AG621" s="97" t="n">
        <v>36.43787</v>
      </c>
      <c r="AH621" s="97" t="n"/>
      <c r="AI621" s="97" t="n"/>
      <c r="AJ621" s="97" t="n">
        <v>36.45928</v>
      </c>
      <c r="AK621" s="97" t="n"/>
      <c r="AL621" s="97" t="n"/>
      <c r="AM621" s="97" t="n">
        <v>52.30121</v>
      </c>
      <c r="AN621" s="97" t="n"/>
      <c r="AO621" s="97" t="n">
        <v>37.22234</v>
      </c>
      <c r="AP621" s="97" t="n"/>
      <c r="AQ621" s="97" t="n"/>
      <c r="AR621" s="97" t="n"/>
      <c r="AS621" s="97" t="n"/>
      <c r="AT621" s="97" t="n"/>
      <c r="AU621" s="97" t="n"/>
      <c r="AV621" s="97" t="n"/>
      <c r="AW621" s="97" t="n"/>
      <c r="AX621" s="97" t="n"/>
      <c r="AY621" s="97" t="n"/>
    </row>
    <row r="622" s="135">
      <c r="A622" t="inlineStr">
        <is>
          <t>1970-09</t>
        </is>
      </c>
      <c r="B622" s="2" t="n">
        <v>25812</v>
      </c>
      <c r="C622" s="96" t="n">
        <v>622</v>
      </c>
      <c r="E622" s="2">
        <f>B622</f>
        <v/>
      </c>
      <c r="F622" s="3">
        <f>B622</f>
        <v/>
      </c>
      <c r="G622" s="96" t="n">
        <v>620</v>
      </c>
      <c r="H622" s="97" t="n"/>
      <c r="I622" s="97" t="n"/>
      <c r="J622" s="97" t="n">
        <v>42.38012</v>
      </c>
      <c r="K622" s="97" t="n">
        <v>39.0847</v>
      </c>
      <c r="L622" s="97" t="n"/>
      <c r="M622" s="97" t="n"/>
      <c r="N622" s="97" t="n">
        <v>49.68262</v>
      </c>
      <c r="O622" s="97" t="n"/>
      <c r="P622" s="97" t="n">
        <v>51.30597</v>
      </c>
      <c r="Q622" s="97" t="n"/>
      <c r="R622" s="97" t="n">
        <v>32.93855</v>
      </c>
      <c r="S622" s="97" t="n">
        <v>61.25272</v>
      </c>
      <c r="T622" s="97" t="n">
        <v>71.58308</v>
      </c>
      <c r="U622" s="97" t="n">
        <v>59.97395</v>
      </c>
      <c r="V622" s="97" t="n"/>
      <c r="W622" s="97" t="n"/>
      <c r="X622" s="97" t="n"/>
      <c r="Y622" s="97" t="n"/>
      <c r="Z622" s="97" t="n">
        <v>69.27323</v>
      </c>
      <c r="AA622" s="97" t="n">
        <v>48.12177</v>
      </c>
      <c r="AB622" s="97" t="n"/>
      <c r="AC622" s="97" t="n">
        <v>48.99596</v>
      </c>
      <c r="AD622" s="97" t="n"/>
      <c r="AE622" s="97" t="n"/>
      <c r="AF622" s="97" t="n">
        <v>50.09509</v>
      </c>
      <c r="AG622" s="97" t="n">
        <v>36.48084</v>
      </c>
      <c r="AH622" s="97" t="n"/>
      <c r="AI622" s="97" t="n"/>
      <c r="AJ622" s="97" t="n">
        <v>37.57616</v>
      </c>
      <c r="AK622" s="97" t="n"/>
      <c r="AL622" s="97" t="n"/>
      <c r="AM622" s="97" t="n">
        <v>51.84642</v>
      </c>
      <c r="AN622" s="97" t="n"/>
      <c r="AO622" s="97" t="n">
        <v>36.96579</v>
      </c>
      <c r="AP622" s="97" t="n"/>
      <c r="AQ622" s="97" t="n"/>
      <c r="AR622" s="97" t="n"/>
      <c r="AS622" s="97" t="n"/>
      <c r="AT622" s="97" t="n"/>
      <c r="AU622" s="97" t="n"/>
      <c r="AV622" s="97" t="n"/>
      <c r="AW622" s="97" t="n"/>
      <c r="AX622" s="97" t="n"/>
      <c r="AY622" s="97" t="n"/>
    </row>
    <row r="623" s="135">
      <c r="A623" t="inlineStr">
        <is>
          <t>1970-10</t>
        </is>
      </c>
      <c r="B623" s="2" t="n">
        <v>25842</v>
      </c>
      <c r="C623" s="96" t="n">
        <v>623</v>
      </c>
      <c r="E623" s="2">
        <f>B623</f>
        <v/>
      </c>
      <c r="F623" s="3">
        <f>B623</f>
        <v/>
      </c>
      <c r="G623" s="96" t="n">
        <v>621</v>
      </c>
      <c r="H623" s="97" t="n"/>
      <c r="I623" s="97" t="n"/>
      <c r="J623" s="97" t="n">
        <v>42.7015</v>
      </c>
      <c r="K623" s="97" t="n">
        <v>39.07107</v>
      </c>
      <c r="L623" s="97" t="n"/>
      <c r="M623" s="97" t="n"/>
      <c r="N623" s="97" t="n">
        <v>50.05293</v>
      </c>
      <c r="O623" s="97" t="n"/>
      <c r="P623" s="97" t="n">
        <v>51.92221</v>
      </c>
      <c r="Q623" s="97" t="n"/>
      <c r="R623" s="97" t="n">
        <v>32.23127</v>
      </c>
      <c r="S623" s="97" t="n">
        <v>61.80234</v>
      </c>
      <c r="T623" s="97" t="n">
        <v>72.55965</v>
      </c>
      <c r="U623" s="97" t="n">
        <v>60.78837</v>
      </c>
      <c r="V623" s="97" t="n"/>
      <c r="W623" s="97" t="n"/>
      <c r="X623" s="97" t="n"/>
      <c r="Y623" s="97" t="n"/>
      <c r="Z623" s="97" t="n">
        <v>67.70350000000001</v>
      </c>
      <c r="AA623" s="97" t="n">
        <v>48.29003</v>
      </c>
      <c r="AB623" s="97" t="n"/>
      <c r="AC623" s="97" t="n">
        <v>46.72091</v>
      </c>
      <c r="AD623" s="97" t="n"/>
      <c r="AE623" s="97" t="n"/>
      <c r="AF623" s="97" t="n">
        <v>51.09699</v>
      </c>
      <c r="AG623" s="97" t="n">
        <v>36.82459</v>
      </c>
      <c r="AH623" s="97" t="n"/>
      <c r="AI623" s="97" t="n"/>
      <c r="AJ623" s="97" t="n">
        <v>37.47126</v>
      </c>
      <c r="AK623" s="97" t="n"/>
      <c r="AL623" s="97" t="n"/>
      <c r="AM623" s="97" t="n">
        <v>52.756</v>
      </c>
      <c r="AN623" s="97" t="n"/>
      <c r="AO623" s="97" t="n">
        <v>36.22629</v>
      </c>
      <c r="AP623" s="97" t="n"/>
      <c r="AQ623" s="97" t="n"/>
      <c r="AR623" s="97" t="n"/>
      <c r="AS623" s="97" t="n"/>
      <c r="AT623" s="97" t="n"/>
      <c r="AU623" s="97" t="n"/>
      <c r="AV623" s="97" t="n"/>
      <c r="AW623" s="97" t="n"/>
      <c r="AX623" s="97" t="n"/>
      <c r="AY623" s="97" t="n"/>
    </row>
    <row r="624" s="135">
      <c r="A624" t="inlineStr">
        <is>
          <t>1970-11</t>
        </is>
      </c>
      <c r="B624" s="2" t="n">
        <v>25873</v>
      </c>
      <c r="C624" s="96" t="n">
        <v>624</v>
      </c>
      <c r="E624" s="2">
        <f>B624</f>
        <v/>
      </c>
      <c r="F624" s="3">
        <f>B624</f>
        <v/>
      </c>
      <c r="G624" s="96" t="n">
        <v>622</v>
      </c>
      <c r="H624" s="97" t="n"/>
      <c r="I624" s="97" t="n"/>
      <c r="J624" s="97" t="n">
        <v>42.44997</v>
      </c>
      <c r="K624" s="97" t="n">
        <v>39.52688</v>
      </c>
      <c r="L624" s="97" t="n"/>
      <c r="M624" s="97" t="n"/>
      <c r="N624" s="97" t="n">
        <v>49.6209</v>
      </c>
      <c r="O624" s="97" t="n"/>
      <c r="P624" s="97" t="n">
        <v>52.83031</v>
      </c>
      <c r="Q624" s="97" t="n"/>
      <c r="R624" s="97" t="n">
        <v>32.87336</v>
      </c>
      <c r="S624" s="97" t="n">
        <v>61.43592</v>
      </c>
      <c r="T624" s="97" t="n">
        <v>71.48542</v>
      </c>
      <c r="U624" s="97" t="n">
        <v>61.5463</v>
      </c>
      <c r="V624" s="97" t="n"/>
      <c r="W624" s="97" t="n"/>
      <c r="X624" s="97" t="n"/>
      <c r="Y624" s="97" t="n"/>
      <c r="Z624" s="97" t="n">
        <v>68.59074</v>
      </c>
      <c r="AA624" s="97" t="n">
        <v>47.78526</v>
      </c>
      <c r="AB624" s="97" t="n"/>
      <c r="AC624" s="97" t="n">
        <v>48.23005</v>
      </c>
      <c r="AD624" s="97" t="n"/>
      <c r="AE624" s="97" t="n"/>
      <c r="AF624" s="97" t="n">
        <v>51.09699</v>
      </c>
      <c r="AG624" s="97" t="n">
        <v>36.91053</v>
      </c>
      <c r="AH624" s="97" t="n"/>
      <c r="AI624" s="97" t="n"/>
      <c r="AJ624" s="97" t="n">
        <v>37.10775</v>
      </c>
      <c r="AK624" s="97" t="n"/>
      <c r="AL624" s="97" t="n"/>
      <c r="AM624" s="97" t="n">
        <v>53.2108</v>
      </c>
      <c r="AN624" s="97" t="n"/>
      <c r="AO624" s="97" t="n">
        <v>36.00691</v>
      </c>
      <c r="AP624" s="97" t="n"/>
      <c r="AQ624" s="97" t="n"/>
      <c r="AR624" s="97" t="n"/>
      <c r="AS624" s="97" t="n"/>
      <c r="AT624" s="97" t="n"/>
      <c r="AU624" s="97" t="n"/>
      <c r="AV624" s="97" t="n"/>
      <c r="AW624" s="97" t="n"/>
      <c r="AX624" s="97" t="n"/>
      <c r="AY624" s="97" t="n"/>
    </row>
    <row r="625" s="135">
      <c r="A625" t="inlineStr">
        <is>
          <t>1970-12</t>
        </is>
      </c>
      <c r="B625" s="2" t="n">
        <v>25903</v>
      </c>
      <c r="C625" s="96" t="n">
        <v>625</v>
      </c>
      <c r="E625" s="2">
        <f>B625</f>
        <v/>
      </c>
      <c r="F625" s="3">
        <f>B625</f>
        <v/>
      </c>
      <c r="G625" s="96" t="n">
        <v>623</v>
      </c>
      <c r="H625" s="97" t="n"/>
      <c r="I625" s="97" t="n"/>
      <c r="J625" s="97" t="n">
        <v>43.47473</v>
      </c>
      <c r="K625" s="97" t="n">
        <v>39.7905</v>
      </c>
      <c r="L625" s="97" t="n"/>
      <c r="M625" s="97" t="n"/>
      <c r="N625" s="97" t="n">
        <v>50.48495</v>
      </c>
      <c r="O625" s="97" t="n"/>
      <c r="P625" s="97" t="n">
        <v>51.7702</v>
      </c>
      <c r="Q625" s="97" t="n"/>
      <c r="R625" s="97" t="n">
        <v>33.21233</v>
      </c>
      <c r="S625" s="97" t="n">
        <v>62.04662</v>
      </c>
      <c r="T625" s="97" t="n">
        <v>72.16902</v>
      </c>
      <c r="U625" s="97" t="n">
        <v>61.43262</v>
      </c>
      <c r="V625" s="97" t="n"/>
      <c r="W625" s="97" t="n"/>
      <c r="X625" s="97" t="n"/>
      <c r="Y625" s="97" t="n"/>
      <c r="Z625" s="97" t="n">
        <v>68.79549</v>
      </c>
      <c r="AA625" s="97" t="n">
        <v>48.7948</v>
      </c>
      <c r="AB625" s="97" t="n"/>
      <c r="AC625" s="97" t="n">
        <v>49.65634</v>
      </c>
      <c r="AD625" s="97" t="n"/>
      <c r="AE625" s="97" t="n"/>
      <c r="AF625" s="97" t="n">
        <v>51.59794</v>
      </c>
      <c r="AG625" s="97" t="n">
        <v>37.76991</v>
      </c>
      <c r="AH625" s="97" t="n"/>
      <c r="AI625" s="97" t="n"/>
      <c r="AJ625" s="97" t="n">
        <v>38.05265</v>
      </c>
      <c r="AK625" s="97" t="n"/>
      <c r="AL625" s="97" t="n"/>
      <c r="AM625" s="97" t="n">
        <v>53.66559</v>
      </c>
      <c r="AN625" s="97" t="n"/>
      <c r="AO625" s="97" t="n">
        <v>36.83381</v>
      </c>
      <c r="AP625" s="97" t="n"/>
      <c r="AQ625" s="97" t="n"/>
      <c r="AR625" s="97" t="n"/>
      <c r="AS625" s="97" t="n"/>
      <c r="AT625" s="97" t="n"/>
      <c r="AU625" s="97" t="n"/>
      <c r="AV625" s="97" t="n"/>
      <c r="AW625" s="97" t="n"/>
      <c r="AX625" s="97" t="n"/>
      <c r="AY625" s="97" t="n"/>
    </row>
    <row r="626" s="135">
      <c r="A626" t="inlineStr">
        <is>
          <t>1971-01</t>
        </is>
      </c>
      <c r="B626" s="2" t="n">
        <v>25934</v>
      </c>
      <c r="C626" s="96" t="n">
        <v>626</v>
      </c>
      <c r="E626" s="2">
        <f>B626</f>
        <v/>
      </c>
      <c r="F626" s="3">
        <f>B626</f>
        <v/>
      </c>
      <c r="G626" s="96" t="n">
        <v>624</v>
      </c>
      <c r="H626" s="97" t="n"/>
      <c r="I626" s="97" t="n"/>
      <c r="J626" s="97" t="n">
        <v>43.30215</v>
      </c>
      <c r="K626" s="97" t="n">
        <v>40.16502</v>
      </c>
      <c r="L626" s="97" t="n"/>
      <c r="M626" s="97" t="n"/>
      <c r="N626" s="97" t="n">
        <v>51.41071</v>
      </c>
      <c r="O626" s="97" t="n"/>
      <c r="P626" s="97" t="n">
        <v>51.22959</v>
      </c>
      <c r="Q626" s="97" t="n"/>
      <c r="R626" s="97" t="n">
        <v>34.19012</v>
      </c>
      <c r="S626" s="97" t="n">
        <v>61.86341</v>
      </c>
      <c r="T626" s="97" t="n">
        <v>72.55965</v>
      </c>
      <c r="U626" s="97" t="n">
        <v>62.27997</v>
      </c>
      <c r="V626" s="97" t="n"/>
      <c r="W626" s="97" t="n"/>
      <c r="X626" s="97" t="n"/>
      <c r="Y626" s="97" t="n"/>
      <c r="Z626" s="97" t="n">
        <v>70.01545</v>
      </c>
      <c r="AA626" s="97" t="n">
        <v>48.71067</v>
      </c>
      <c r="AB626" s="97" t="n"/>
      <c r="AC626" s="97" t="n">
        <v>48.12667</v>
      </c>
      <c r="AD626" s="97" t="n"/>
      <c r="AE626" s="97" t="n"/>
      <c r="AF626" s="97" t="n">
        <v>53.10079</v>
      </c>
      <c r="AG626" s="97" t="n">
        <v>36.52381</v>
      </c>
      <c r="AH626" s="97" t="n"/>
      <c r="AI626" s="97" t="n"/>
      <c r="AJ626" s="97" t="n">
        <v>36.55076</v>
      </c>
      <c r="AK626" s="97" t="n"/>
      <c r="AL626" s="97" t="n"/>
      <c r="AM626" s="97" t="n">
        <v>54.12038</v>
      </c>
      <c r="AN626" s="97" t="n"/>
      <c r="AO626" s="97" t="n">
        <v>37.11716</v>
      </c>
      <c r="AP626" s="97" t="n"/>
      <c r="AQ626" s="97" t="n"/>
      <c r="AR626" s="97" t="n"/>
      <c r="AS626" s="97" t="n"/>
      <c r="AT626" s="97" t="n"/>
      <c r="AU626" s="97" t="n"/>
      <c r="AV626" s="97" t="n"/>
      <c r="AW626" s="97" t="n"/>
      <c r="AX626" s="97" t="n"/>
      <c r="AY626" s="97" t="n"/>
    </row>
    <row r="627" s="135">
      <c r="A627" t="inlineStr">
        <is>
          <t>1971-02</t>
        </is>
      </c>
      <c r="B627" s="2" t="n">
        <v>25965</v>
      </c>
      <c r="C627" s="96" t="n">
        <v>627</v>
      </c>
      <c r="E627" s="2">
        <f>B627</f>
        <v/>
      </c>
      <c r="F627" s="3">
        <f>B627</f>
        <v/>
      </c>
      <c r="G627" s="96" t="n">
        <v>625</v>
      </c>
      <c r="H627" s="97" t="n"/>
      <c r="I627" s="97" t="n"/>
      <c r="J627" s="97" t="n">
        <v>43.53837</v>
      </c>
      <c r="K627" s="97" t="n">
        <v>40.42206</v>
      </c>
      <c r="L627" s="97" t="n"/>
      <c r="M627" s="97" t="n"/>
      <c r="N627" s="97" t="n">
        <v>50.85526</v>
      </c>
      <c r="O627" s="97" t="n"/>
      <c r="P627" s="97" t="n">
        <v>51.78619</v>
      </c>
      <c r="Q627" s="97" t="n"/>
      <c r="R627" s="97" t="n">
        <v>27.54113</v>
      </c>
      <c r="S627" s="97" t="n">
        <v>62.90159</v>
      </c>
      <c r="T627" s="97" t="n">
        <v>71.19244</v>
      </c>
      <c r="U627" s="97" t="n">
        <v>62.94782</v>
      </c>
      <c r="V627" s="97" t="n"/>
      <c r="W627" s="97" t="n"/>
      <c r="X627" s="97" t="n"/>
      <c r="Y627" s="97" t="n"/>
      <c r="Z627" s="97" t="n">
        <v>65.86281</v>
      </c>
      <c r="AA627" s="97" t="n">
        <v>48.45829</v>
      </c>
      <c r="AB627" s="97" t="n"/>
      <c r="AC627" s="97" t="n">
        <v>49.13995</v>
      </c>
      <c r="AD627" s="97" t="n"/>
      <c r="AE627" s="97" t="n"/>
      <c r="AF627" s="97" t="n">
        <v>52.59984</v>
      </c>
      <c r="AG627" s="97" t="n">
        <v>36.73865</v>
      </c>
      <c r="AH627" s="97" t="n"/>
      <c r="AI627" s="97" t="n"/>
      <c r="AJ627" s="97" t="n">
        <v>36.40424</v>
      </c>
      <c r="AK627" s="97" t="n"/>
      <c r="AL627" s="97" t="n"/>
      <c r="AM627" s="97" t="n">
        <v>53.2108</v>
      </c>
      <c r="AN627" s="97" t="n"/>
      <c r="AO627" s="97" t="n">
        <v>37.04637</v>
      </c>
      <c r="AP627" s="97" t="n"/>
      <c r="AQ627" s="97" t="n"/>
      <c r="AR627" s="97" t="n"/>
      <c r="AS627" s="97" t="n"/>
      <c r="AT627" s="97" t="n"/>
      <c r="AU627" s="97" t="n"/>
      <c r="AV627" s="97" t="n"/>
      <c r="AW627" s="97" t="n"/>
      <c r="AX627" s="97" t="n"/>
      <c r="AY627" s="97" t="n"/>
    </row>
    <row r="628" s="135">
      <c r="A628" t="inlineStr">
        <is>
          <t>1971-03</t>
        </is>
      </c>
      <c r="B628" s="2" t="n">
        <v>25993</v>
      </c>
      <c r="C628" s="96" t="n">
        <v>628</v>
      </c>
      <c r="E628" s="2">
        <f>B628</f>
        <v/>
      </c>
      <c r="F628" s="3">
        <f>B628</f>
        <v/>
      </c>
      <c r="G628" s="96" t="n">
        <v>626</v>
      </c>
      <c r="H628" s="97" t="n"/>
      <c r="I628" s="97" t="n"/>
      <c r="J628" s="97" t="n">
        <v>42.72135</v>
      </c>
      <c r="K628" s="97" t="n">
        <v>40.57572</v>
      </c>
      <c r="L628" s="97" t="n"/>
      <c r="M628" s="97" t="n"/>
      <c r="N628" s="97" t="n">
        <v>50.60839</v>
      </c>
      <c r="O628" s="97" t="n"/>
      <c r="P628" s="97" t="n">
        <v>52.61096</v>
      </c>
      <c r="Q628" s="97" t="n"/>
      <c r="R628" s="97" t="n">
        <v>25.53992</v>
      </c>
      <c r="S628" s="97" t="n">
        <v>63.32908</v>
      </c>
      <c r="T628" s="97" t="n">
        <v>70.41118</v>
      </c>
      <c r="U628" s="97" t="n">
        <v>62.1687</v>
      </c>
      <c r="V628" s="97" t="n"/>
      <c r="W628" s="97" t="n"/>
      <c r="X628" s="97" t="n"/>
      <c r="Y628" s="97" t="n"/>
      <c r="Z628" s="97" t="n">
        <v>65.86281</v>
      </c>
      <c r="AA628" s="97" t="n">
        <v>48.96306</v>
      </c>
      <c r="AB628" s="97" t="n"/>
      <c r="AC628" s="97" t="n">
        <v>49.08633</v>
      </c>
      <c r="AD628" s="97" t="n"/>
      <c r="AE628" s="97" t="n"/>
      <c r="AF628" s="97" t="n">
        <v>52.09889</v>
      </c>
      <c r="AG628" s="97" t="n">
        <v>36.86756</v>
      </c>
      <c r="AH628" s="97" t="n"/>
      <c r="AI628" s="97" t="n"/>
      <c r="AJ628" s="97" t="n">
        <v>36.4999</v>
      </c>
      <c r="AK628" s="97" t="n"/>
      <c r="AL628" s="97" t="n"/>
      <c r="AM628" s="97" t="n">
        <v>52.30121</v>
      </c>
      <c r="AN628" s="97" t="n"/>
      <c r="AO628" s="97" t="n">
        <v>37.00632</v>
      </c>
      <c r="AP628" s="97" t="n"/>
      <c r="AQ628" s="97" t="n"/>
      <c r="AR628" s="97" t="n"/>
      <c r="AS628" s="97" t="n"/>
      <c r="AT628" s="97" t="n"/>
      <c r="AU628" s="97" t="n"/>
      <c r="AV628" s="97" t="n"/>
      <c r="AW628" s="97" t="n"/>
      <c r="AX628" s="97" t="n"/>
      <c r="AY628" s="97" t="n"/>
    </row>
    <row r="629" s="135">
      <c r="A629" t="inlineStr">
        <is>
          <t>1971-04</t>
        </is>
      </c>
      <c r="B629" s="2" t="n">
        <v>26024</v>
      </c>
      <c r="C629" s="96" t="n">
        <v>629</v>
      </c>
      <c r="E629" s="2">
        <f>B629</f>
        <v/>
      </c>
      <c r="F629" s="3">
        <f>B629</f>
        <v/>
      </c>
      <c r="G629" s="96" t="n">
        <v>627</v>
      </c>
      <c r="H629" s="97" t="n"/>
      <c r="I629" s="97" t="n"/>
      <c r="J629" s="97" t="n">
        <v>43.1011</v>
      </c>
      <c r="K629" s="97" t="n">
        <v>40.64198</v>
      </c>
      <c r="L629" s="97" t="n"/>
      <c r="M629" s="97" t="n"/>
      <c r="N629" s="97" t="n">
        <v>50.97869</v>
      </c>
      <c r="O629" s="97" t="n"/>
      <c r="P629" s="97" t="n">
        <v>53.28905</v>
      </c>
      <c r="Q629" s="97" t="n"/>
      <c r="R629" s="97" t="n">
        <v>33.97174</v>
      </c>
      <c r="S629" s="97" t="n">
        <v>63.14587</v>
      </c>
      <c r="T629" s="97" t="n">
        <v>71.38776</v>
      </c>
      <c r="U629" s="97" t="n">
        <v>61.05289</v>
      </c>
      <c r="V629" s="97" t="n"/>
      <c r="W629" s="97" t="n"/>
      <c r="X629" s="97" t="n"/>
      <c r="Y629" s="97" t="n"/>
      <c r="Z629" s="97" t="n">
        <v>65.09023000000001</v>
      </c>
      <c r="AA629" s="97" t="n">
        <v>48.71067</v>
      </c>
      <c r="AB629" s="97" t="n"/>
      <c r="AC629" s="97" t="n">
        <v>50.60292</v>
      </c>
      <c r="AD629" s="97" t="n"/>
      <c r="AE629" s="97" t="n"/>
      <c r="AF629" s="97" t="n">
        <v>52.09889</v>
      </c>
      <c r="AG629" s="97" t="n">
        <v>37.46913</v>
      </c>
      <c r="AH629" s="97" t="n"/>
      <c r="AI629" s="97" t="n"/>
      <c r="AJ629" s="97" t="n">
        <v>41.36795</v>
      </c>
      <c r="AK629" s="97" t="n"/>
      <c r="AL629" s="97" t="n"/>
      <c r="AM629" s="97" t="n">
        <v>52.756</v>
      </c>
      <c r="AN629" s="97" t="n"/>
      <c r="AO629" s="97" t="n">
        <v>37.21408</v>
      </c>
      <c r="AP629" s="97" t="n"/>
      <c r="AQ629" s="97" t="n"/>
      <c r="AR629" s="97" t="n"/>
      <c r="AS629" s="97" t="n"/>
      <c r="AT629" s="97" t="n"/>
      <c r="AU629" s="97" t="n"/>
      <c r="AV629" s="97" t="n"/>
      <c r="AW629" s="97" t="n"/>
      <c r="AX629" s="97" t="n"/>
      <c r="AY629" s="97" t="n"/>
    </row>
    <row r="630" s="135">
      <c r="A630" t="inlineStr">
        <is>
          <t>1971-05</t>
        </is>
      </c>
      <c r="B630" s="2" t="n">
        <v>26054</v>
      </c>
      <c r="C630" s="96" t="n">
        <v>630</v>
      </c>
      <c r="E630" s="2">
        <f>B630</f>
        <v/>
      </c>
      <c r="F630" s="3">
        <f>B630</f>
        <v/>
      </c>
      <c r="G630" s="96" t="n">
        <v>628</v>
      </c>
      <c r="H630" s="97" t="n"/>
      <c r="I630" s="97" t="n"/>
      <c r="J630" s="97" t="n">
        <v>39.71555</v>
      </c>
      <c r="K630" s="97" t="n">
        <v>41.21621</v>
      </c>
      <c r="L630" s="97" t="n"/>
      <c r="M630" s="97" t="n"/>
      <c r="N630" s="97" t="n">
        <v>50.23808</v>
      </c>
      <c r="O630" s="97" t="n"/>
      <c r="P630" s="97" t="n">
        <v>53.09306</v>
      </c>
      <c r="Q630" s="97" t="n"/>
      <c r="R630" s="97" t="n">
        <v>34.34982</v>
      </c>
      <c r="S630" s="97" t="n">
        <v>62.04662</v>
      </c>
      <c r="T630" s="97" t="n">
        <v>71.68073</v>
      </c>
      <c r="U630" s="97" t="n">
        <v>63.4784</v>
      </c>
      <c r="V630" s="97" t="n"/>
      <c r="W630" s="97" t="n"/>
      <c r="X630" s="97" t="n"/>
      <c r="Y630" s="97" t="n"/>
      <c r="Z630" s="97" t="n">
        <v>67.69768999999999</v>
      </c>
      <c r="AA630" s="97" t="n">
        <v>47.44874</v>
      </c>
      <c r="AB630" s="97" t="n"/>
      <c r="AC630" s="97" t="n">
        <v>51.20812</v>
      </c>
      <c r="AD630" s="97" t="n"/>
      <c r="AE630" s="97" t="n"/>
      <c r="AF630" s="97" t="n">
        <v>52.59984</v>
      </c>
      <c r="AG630" s="97" t="n">
        <v>37.59804</v>
      </c>
      <c r="AH630" s="97" t="n"/>
      <c r="AI630" s="97" t="n"/>
      <c r="AJ630" s="97" t="n">
        <v>40.34632</v>
      </c>
      <c r="AK630" s="97" t="n"/>
      <c r="AL630" s="97" t="n"/>
      <c r="AM630" s="97" t="n">
        <v>52.756</v>
      </c>
      <c r="AN630" s="97" t="n"/>
      <c r="AO630" s="97" t="n">
        <v>37.40291</v>
      </c>
      <c r="AP630" s="97" t="n"/>
      <c r="AQ630" s="97" t="n"/>
      <c r="AR630" s="97" t="n"/>
      <c r="AS630" s="97" t="n"/>
      <c r="AT630" s="97" t="n"/>
      <c r="AU630" s="97" t="n"/>
      <c r="AV630" s="97" t="n"/>
      <c r="AW630" s="97" t="n"/>
      <c r="AX630" s="97" t="n"/>
      <c r="AY630" s="97" t="n"/>
    </row>
    <row r="631" s="135">
      <c r="A631" t="inlineStr">
        <is>
          <t>1971-06</t>
        </is>
      </c>
      <c r="B631" s="2" t="n">
        <v>26085</v>
      </c>
      <c r="C631" s="96" t="n">
        <v>631</v>
      </c>
      <c r="E631" s="2">
        <f>B631</f>
        <v/>
      </c>
      <c r="F631" s="3">
        <f>B631</f>
        <v/>
      </c>
      <c r="G631" s="96" t="n">
        <v>629</v>
      </c>
      <c r="H631" s="97" t="n"/>
      <c r="I631" s="97" t="n"/>
      <c r="J631" s="97" t="n">
        <v>42.97249</v>
      </c>
      <c r="K631" s="97" t="n">
        <v>41.48781</v>
      </c>
      <c r="L631" s="97" t="n"/>
      <c r="M631" s="97" t="n"/>
      <c r="N631" s="97" t="n">
        <v>50.79354</v>
      </c>
      <c r="O631" s="97" t="n"/>
      <c r="P631" s="97" t="n">
        <v>54.00792</v>
      </c>
      <c r="Q631" s="97" t="n"/>
      <c r="R631" s="97" t="n">
        <v>35.03754</v>
      </c>
      <c r="S631" s="97" t="n">
        <v>63.26801</v>
      </c>
      <c r="T631" s="97" t="n">
        <v>71.48542</v>
      </c>
      <c r="U631" s="97" t="n">
        <v>64.40774999999999</v>
      </c>
      <c r="V631" s="97" t="n"/>
      <c r="W631" s="97" t="n"/>
      <c r="X631" s="97" t="n"/>
      <c r="Y631" s="97" t="n"/>
      <c r="Z631" s="97" t="n">
        <v>68.27713</v>
      </c>
      <c r="AA631" s="97" t="n">
        <v>48.45829</v>
      </c>
      <c r="AB631" s="97" t="n"/>
      <c r="AC631" s="97" t="n">
        <v>50.88202</v>
      </c>
      <c r="AD631" s="97" t="n"/>
      <c r="AE631" s="97" t="n"/>
      <c r="AF631" s="97" t="n">
        <v>53.10079</v>
      </c>
      <c r="AG631" s="97" t="n">
        <v>38.0707</v>
      </c>
      <c r="AH631" s="97" t="n"/>
      <c r="AI631" s="97" t="n"/>
      <c r="AJ631" s="97" t="n">
        <v>39.62218</v>
      </c>
      <c r="AK631" s="97" t="n"/>
      <c r="AL631" s="97" t="n"/>
      <c r="AM631" s="97" t="n">
        <v>53.2108</v>
      </c>
      <c r="AN631" s="97" t="n"/>
      <c r="AO631" s="97" t="n">
        <v>37.55976</v>
      </c>
      <c r="AP631" s="97" t="n"/>
      <c r="AQ631" s="97" t="n"/>
      <c r="AR631" s="97" t="n"/>
      <c r="AS631" s="97" t="n"/>
      <c r="AT631" s="97" t="n"/>
      <c r="AU631" s="97" t="n"/>
      <c r="AV631" s="97" t="n"/>
      <c r="AW631" s="97" t="n"/>
      <c r="AX631" s="97" t="n"/>
      <c r="AY631" s="97" t="n"/>
    </row>
    <row r="632" s="135">
      <c r="A632" t="inlineStr">
        <is>
          <t>1971-07</t>
        </is>
      </c>
      <c r="B632" s="2" t="n">
        <v>26115</v>
      </c>
      <c r="C632" s="96" t="n">
        <v>632</v>
      </c>
      <c r="E632" s="2">
        <f>B632</f>
        <v/>
      </c>
      <c r="F632" s="3">
        <f>B632</f>
        <v/>
      </c>
      <c r="G632" s="96" t="n">
        <v>630</v>
      </c>
      <c r="H632" s="97" t="n"/>
      <c r="I632" s="97" t="n"/>
      <c r="J632" s="97" t="n">
        <v>43.78513</v>
      </c>
      <c r="K632" s="97" t="n">
        <v>41.61939</v>
      </c>
      <c r="L632" s="97" t="n"/>
      <c r="M632" s="97" t="n"/>
      <c r="N632" s="97" t="n">
        <v>51.59587</v>
      </c>
      <c r="O632" s="97" t="n"/>
      <c r="P632" s="97" t="n">
        <v>56.29177</v>
      </c>
      <c r="Q632" s="97" t="n"/>
      <c r="R632" s="97" t="n">
        <v>35.18421</v>
      </c>
      <c r="S632" s="97" t="n">
        <v>63.63443</v>
      </c>
      <c r="T632" s="97" t="n">
        <v>71.19244</v>
      </c>
      <c r="U632" s="97" t="n">
        <v>68.02759</v>
      </c>
      <c r="V632" s="97" t="n"/>
      <c r="W632" s="97" t="n"/>
      <c r="X632" s="97" t="n"/>
      <c r="Y632" s="97" t="n"/>
      <c r="Z632" s="97" t="n">
        <v>67.69768999999999</v>
      </c>
      <c r="AA632" s="97" t="n">
        <v>48.62654</v>
      </c>
      <c r="AB632" s="97" t="n"/>
      <c r="AC632" s="97" t="n">
        <v>50.8027</v>
      </c>
      <c r="AD632" s="97" t="n"/>
      <c r="AE632" s="97" t="n"/>
      <c r="AF632" s="97" t="n">
        <v>53.10079</v>
      </c>
      <c r="AG632" s="97" t="n">
        <v>39.1879</v>
      </c>
      <c r="AH632" s="97" t="n"/>
      <c r="AI632" s="97" t="n"/>
      <c r="AJ632" s="97" t="n">
        <v>40.98988</v>
      </c>
      <c r="AK632" s="97" t="n"/>
      <c r="AL632" s="97" t="n"/>
      <c r="AM632" s="97" t="n">
        <v>52.756</v>
      </c>
      <c r="AN632" s="97" t="n"/>
      <c r="AO632" s="97" t="n">
        <v>37.45075</v>
      </c>
      <c r="AP632" s="97" t="n"/>
      <c r="AQ632" s="97" t="n"/>
      <c r="AR632" s="97" t="n"/>
      <c r="AS632" s="97" t="n"/>
      <c r="AT632" s="97" t="n"/>
      <c r="AU632" s="97" t="n"/>
      <c r="AV632" s="97" t="n"/>
      <c r="AW632" s="97" t="n"/>
      <c r="AX632" s="97" t="n"/>
      <c r="AY632" s="97" t="n"/>
    </row>
    <row r="633" s="135">
      <c r="A633" t="inlineStr">
        <is>
          <t>1971-08</t>
        </is>
      </c>
      <c r="B633" s="2" t="n">
        <v>26146</v>
      </c>
      <c r="C633" s="96" t="n">
        <v>633</v>
      </c>
      <c r="E633" s="2">
        <f>B633</f>
        <v/>
      </c>
      <c r="F633" s="3">
        <f>B633</f>
        <v/>
      </c>
      <c r="G633" s="96" t="n">
        <v>631</v>
      </c>
      <c r="H633" s="97" t="n"/>
      <c r="I633" s="97" t="n"/>
      <c r="J633" s="97" t="n">
        <v>43.27283</v>
      </c>
      <c r="K633" s="97" t="n">
        <v>42.77113</v>
      </c>
      <c r="L633" s="97" t="n"/>
      <c r="M633" s="97" t="n"/>
      <c r="N633" s="97" t="n">
        <v>49.43575</v>
      </c>
      <c r="O633" s="97" t="n"/>
      <c r="P633" s="97" t="n">
        <v>55.97443</v>
      </c>
      <c r="Q633" s="97" t="n"/>
      <c r="R633" s="97" t="n">
        <v>34.63338</v>
      </c>
      <c r="S633" s="97" t="n">
        <v>63.63443</v>
      </c>
      <c r="T633" s="97" t="n">
        <v>71.68073</v>
      </c>
      <c r="U633" s="97" t="n">
        <v>68.25639</v>
      </c>
      <c r="V633" s="97" t="n"/>
      <c r="W633" s="97" t="n"/>
      <c r="X633" s="97" t="n"/>
      <c r="Y633" s="97" t="n"/>
      <c r="Z633" s="97" t="n">
        <v>68.66342</v>
      </c>
      <c r="AA633" s="97" t="n">
        <v>48.7948</v>
      </c>
      <c r="AB633" s="97" t="n"/>
      <c r="AC633" s="97" t="n">
        <v>51.32626</v>
      </c>
      <c r="AD633" s="97" t="n"/>
      <c r="AE633" s="97" t="n"/>
      <c r="AF633" s="97" t="n">
        <v>53.60174</v>
      </c>
      <c r="AG633" s="97" t="n">
        <v>37.81288</v>
      </c>
      <c r="AH633" s="97" t="n"/>
      <c r="AI633" s="97" t="n"/>
      <c r="AJ633" s="97" t="n">
        <v>41.28533</v>
      </c>
      <c r="AK633" s="97" t="n"/>
      <c r="AL633" s="97" t="n"/>
      <c r="AM633" s="97" t="n">
        <v>51.84642</v>
      </c>
      <c r="AN633" s="97" t="n"/>
      <c r="AO633" s="97" t="n">
        <v>37.23338</v>
      </c>
      <c r="AP633" s="97" t="n"/>
      <c r="AQ633" s="97" t="n"/>
      <c r="AR633" s="97" t="n"/>
      <c r="AS633" s="97" t="n"/>
      <c r="AT633" s="97" t="n"/>
      <c r="AU633" s="97" t="n"/>
      <c r="AV633" s="97" t="n"/>
      <c r="AW633" s="97" t="n"/>
      <c r="AX633" s="97" t="n"/>
      <c r="AY633" s="97" t="n"/>
    </row>
    <row r="634" s="135">
      <c r="A634" t="inlineStr">
        <is>
          <t>1971-09</t>
        </is>
      </c>
      <c r="B634" s="2" t="n">
        <v>26177</v>
      </c>
      <c r="C634" s="96" t="n">
        <v>634</v>
      </c>
      <c r="E634" s="2">
        <f>B634</f>
        <v/>
      </c>
      <c r="F634" s="3">
        <f>B634</f>
        <v/>
      </c>
      <c r="G634" s="96" t="n">
        <v>632</v>
      </c>
      <c r="H634" s="97" t="n"/>
      <c r="I634" s="97" t="n"/>
      <c r="J634" s="97" t="n">
        <v>43.78367</v>
      </c>
      <c r="K634" s="97" t="n">
        <v>43.03898</v>
      </c>
      <c r="L634" s="97" t="n"/>
      <c r="M634" s="97" t="n"/>
      <c r="N634" s="97" t="n">
        <v>50.60839</v>
      </c>
      <c r="O634" s="97" t="n"/>
      <c r="P634" s="97" t="n">
        <v>55.12759</v>
      </c>
      <c r="Q634" s="97" t="n"/>
      <c r="R634" s="97" t="n">
        <v>34.85501</v>
      </c>
      <c r="S634" s="97" t="n">
        <v>65.46651</v>
      </c>
      <c r="T634" s="97" t="n">
        <v>70.99713</v>
      </c>
      <c r="U634" s="97" t="n">
        <v>66.13896</v>
      </c>
      <c r="V634" s="97" t="n"/>
      <c r="W634" s="97" t="n"/>
      <c r="X634" s="97" t="n"/>
      <c r="Y634" s="97" t="n"/>
      <c r="Z634" s="97" t="n">
        <v>68.85657999999999</v>
      </c>
      <c r="AA634" s="97" t="n">
        <v>49.46783</v>
      </c>
      <c r="AB634" s="97" t="n"/>
      <c r="AC634" s="97" t="n">
        <v>51.82716</v>
      </c>
      <c r="AD634" s="97" t="n"/>
      <c r="AE634" s="97" t="n"/>
      <c r="AF634" s="97" t="n">
        <v>53.60174</v>
      </c>
      <c r="AG634" s="97" t="n">
        <v>37.85585</v>
      </c>
      <c r="AH634" s="97" t="n"/>
      <c r="AI634" s="97" t="n"/>
      <c r="AJ634" s="97" t="n">
        <v>38.4547</v>
      </c>
      <c r="AK634" s="97" t="n"/>
      <c r="AL634" s="97" t="n"/>
      <c r="AM634" s="97" t="n">
        <v>51.84642</v>
      </c>
      <c r="AN634" s="97" t="n"/>
      <c r="AO634" s="97" t="n">
        <v>37.8385</v>
      </c>
      <c r="AP634" s="97" t="n"/>
      <c r="AQ634" s="97" t="n"/>
      <c r="AR634" s="97" t="n"/>
      <c r="AS634" s="97" t="n"/>
      <c r="AT634" s="97" t="n"/>
      <c r="AU634" s="97" t="n"/>
      <c r="AV634" s="97" t="n"/>
      <c r="AW634" s="97" t="n"/>
      <c r="AX634" s="97" t="n"/>
      <c r="AY634" s="97" t="n"/>
    </row>
    <row r="635" s="135">
      <c r="A635" t="inlineStr">
        <is>
          <t>1971-10</t>
        </is>
      </c>
      <c r="B635" s="2" t="n">
        <v>26207</v>
      </c>
      <c r="C635" s="96" t="n">
        <v>635</v>
      </c>
      <c r="E635" s="2">
        <f>B635</f>
        <v/>
      </c>
      <c r="F635" s="3">
        <f>B635</f>
        <v/>
      </c>
      <c r="G635" s="96" t="n">
        <v>633</v>
      </c>
      <c r="H635" s="97" t="n"/>
      <c r="I635" s="97" t="n"/>
      <c r="J635" s="97" t="n">
        <v>43.93773</v>
      </c>
      <c r="K635" s="97" t="n">
        <v>43.22883</v>
      </c>
      <c r="L635" s="97" t="n"/>
      <c r="M635" s="97" t="n"/>
      <c r="N635" s="97" t="n">
        <v>50.73182</v>
      </c>
      <c r="O635" s="97" t="n"/>
      <c r="P635" s="97" t="n">
        <v>55.06396</v>
      </c>
      <c r="Q635" s="97" t="n"/>
      <c r="R635" s="97" t="n">
        <v>34.66924</v>
      </c>
      <c r="S635" s="97" t="n">
        <v>65.34438</v>
      </c>
      <c r="T635" s="97" t="n">
        <v>71.09479</v>
      </c>
      <c r="U635" s="97" t="n">
        <v>66.72869</v>
      </c>
      <c r="V635" s="97" t="n"/>
      <c r="W635" s="97" t="n"/>
      <c r="X635" s="97" t="n"/>
      <c r="Y635" s="97" t="n"/>
      <c r="Z635" s="97" t="n">
        <v>70.2086</v>
      </c>
      <c r="AA635" s="97" t="n">
        <v>48.7948</v>
      </c>
      <c r="AB635" s="97" t="n"/>
      <c r="AC635" s="97" t="n">
        <v>51.00295</v>
      </c>
      <c r="AD635" s="97" t="n"/>
      <c r="AE635" s="97" t="n"/>
      <c r="AF635" s="97" t="n">
        <v>54.1027</v>
      </c>
      <c r="AG635" s="97" t="n">
        <v>37.81288</v>
      </c>
      <c r="AH635" s="97" t="n"/>
      <c r="AI635" s="97" t="n"/>
      <c r="AJ635" s="97" t="n">
        <v>42.66698</v>
      </c>
      <c r="AK635" s="97" t="n"/>
      <c r="AL635" s="97" t="n"/>
      <c r="AM635" s="97" t="n">
        <v>53.2108</v>
      </c>
      <c r="AN635" s="97" t="n"/>
      <c r="AO635" s="97" t="n">
        <v>38.12176</v>
      </c>
      <c r="AP635" s="97" t="n"/>
      <c r="AQ635" s="97" t="n"/>
      <c r="AR635" s="97" t="n"/>
      <c r="AS635" s="97" t="n"/>
      <c r="AT635" s="97" t="n"/>
      <c r="AU635" s="97" t="n"/>
      <c r="AV635" s="97" t="n"/>
      <c r="AW635" s="97" t="n"/>
      <c r="AX635" s="97" t="n"/>
      <c r="AY635" s="97" t="n"/>
    </row>
    <row r="636" s="135">
      <c r="A636" t="inlineStr">
        <is>
          <t>1971-11</t>
        </is>
      </c>
      <c r="B636" s="2" t="n">
        <v>26238</v>
      </c>
      <c r="C636" s="96" t="n">
        <v>636</v>
      </c>
      <c r="E636" s="2">
        <f>B636</f>
        <v/>
      </c>
      <c r="F636" s="3">
        <f>B636</f>
        <v/>
      </c>
      <c r="G636" s="96" t="n">
        <v>634</v>
      </c>
      <c r="H636" s="97" t="n"/>
      <c r="I636" s="97" t="n"/>
      <c r="J636" s="97" t="n">
        <v>44.11821</v>
      </c>
      <c r="K636" s="97" t="n">
        <v>42.94406</v>
      </c>
      <c r="L636" s="97" t="n"/>
      <c r="M636" s="97" t="n"/>
      <c r="N636" s="97" t="n">
        <v>49.99121</v>
      </c>
      <c r="O636" s="97" t="n"/>
      <c r="P636" s="97" t="n">
        <v>56.17457</v>
      </c>
      <c r="Q636" s="97" t="n"/>
      <c r="R636" s="97" t="n">
        <v>34.0956</v>
      </c>
      <c r="S636" s="97" t="n">
        <v>66.07720999999999</v>
      </c>
      <c r="T636" s="97" t="n">
        <v>70.89946999999999</v>
      </c>
      <c r="U636" s="97" t="n">
        <v>68.2667</v>
      </c>
      <c r="V636" s="97" t="n"/>
      <c r="W636" s="97" t="n"/>
      <c r="X636" s="97" t="n"/>
      <c r="Y636" s="97" t="n"/>
      <c r="Z636" s="97" t="n">
        <v>69.53259</v>
      </c>
      <c r="AA636" s="97" t="n">
        <v>49.38371</v>
      </c>
      <c r="AB636" s="97" t="n"/>
      <c r="AC636" s="97" t="n">
        <v>49.97459</v>
      </c>
      <c r="AD636" s="97" t="n"/>
      <c r="AE636" s="97" t="n"/>
      <c r="AF636" s="97" t="n">
        <v>53.60174</v>
      </c>
      <c r="AG636" s="97" t="n">
        <v>37.59804</v>
      </c>
      <c r="AH636" s="97" t="n"/>
      <c r="AI636" s="97" t="n"/>
      <c r="AJ636" s="97" t="n">
        <v>47.61864</v>
      </c>
      <c r="AK636" s="97" t="n"/>
      <c r="AL636" s="97" t="n"/>
      <c r="AM636" s="97" t="n">
        <v>52.30121</v>
      </c>
      <c r="AN636" s="97" t="n"/>
      <c r="AO636" s="97" t="n">
        <v>38.2836</v>
      </c>
      <c r="AP636" s="97" t="n"/>
      <c r="AQ636" s="97" t="n"/>
      <c r="AR636" s="97" t="n"/>
      <c r="AS636" s="97" t="n"/>
      <c r="AT636" s="97" t="n"/>
      <c r="AU636" s="97" t="n"/>
      <c r="AV636" s="97" t="n"/>
      <c r="AW636" s="97" t="n"/>
      <c r="AX636" s="97" t="n"/>
      <c r="AY636" s="97" t="n"/>
    </row>
    <row r="637" s="135">
      <c r="A637" t="inlineStr">
        <is>
          <t>1971-12</t>
        </is>
      </c>
      <c r="B637" s="2" t="n">
        <v>26268</v>
      </c>
      <c r="C637" s="96" t="n">
        <v>637</v>
      </c>
      <c r="E637" s="2">
        <f>B637</f>
        <v/>
      </c>
      <c r="F637" s="3">
        <f>B637</f>
        <v/>
      </c>
      <c r="G637" s="96" t="n">
        <v>635</v>
      </c>
      <c r="H637" s="97" t="n"/>
      <c r="I637" s="97" t="n"/>
      <c r="J637" s="97" t="n">
        <v>42.73231</v>
      </c>
      <c r="K637" s="97" t="n">
        <v>43.54884</v>
      </c>
      <c r="L637" s="97" t="n"/>
      <c r="M637" s="97" t="n"/>
      <c r="N637" s="97" t="n">
        <v>49.12716</v>
      </c>
      <c r="O637" s="97" t="n"/>
      <c r="P637" s="97" t="n">
        <v>57.51475</v>
      </c>
      <c r="Q637" s="97" t="n"/>
      <c r="R637" s="97" t="n">
        <v>33.90982</v>
      </c>
      <c r="S637" s="97" t="n">
        <v>66.01613999999999</v>
      </c>
      <c r="T637" s="97" t="n">
        <v>71.38776</v>
      </c>
      <c r="U637" s="97" t="n">
        <v>68.72062</v>
      </c>
      <c r="V637" s="97" t="n"/>
      <c r="W637" s="97" t="n"/>
      <c r="X637" s="97" t="n"/>
      <c r="Y637" s="97" t="n"/>
      <c r="Z637" s="97" t="n">
        <v>70.2086</v>
      </c>
      <c r="AA637" s="97" t="n">
        <v>49.04719</v>
      </c>
      <c r="AB637" s="97" t="n"/>
      <c r="AC637" s="97" t="n">
        <v>49.40716</v>
      </c>
      <c r="AD637" s="97" t="n"/>
      <c r="AE637" s="97" t="n"/>
      <c r="AF637" s="97" t="n">
        <v>52.59984</v>
      </c>
      <c r="AG637" s="97" t="n">
        <v>38.58633</v>
      </c>
      <c r="AH637" s="97" t="n"/>
      <c r="AI637" s="97" t="n"/>
      <c r="AJ637" s="97" t="n">
        <v>41.16222</v>
      </c>
      <c r="AK637" s="97" t="n"/>
      <c r="AL637" s="97" t="n"/>
      <c r="AM637" s="97" t="n">
        <v>52.30121</v>
      </c>
      <c r="AN637" s="97" t="n"/>
      <c r="AO637" s="97" t="n">
        <v>38.72554</v>
      </c>
      <c r="AP637" s="97" t="n"/>
      <c r="AQ637" s="97" t="n"/>
      <c r="AR637" s="97" t="n"/>
      <c r="AS637" s="97" t="n"/>
      <c r="AT637" s="97" t="n"/>
      <c r="AU637" s="97" t="n"/>
      <c r="AV637" s="97" t="n"/>
      <c r="AW637" s="97" t="n"/>
      <c r="AX637" s="97" t="n"/>
      <c r="AY637" s="97" t="n"/>
    </row>
    <row r="638" s="135">
      <c r="A638" t="inlineStr">
        <is>
          <t>1972-01</t>
        </is>
      </c>
      <c r="B638" s="2" t="n">
        <v>26299</v>
      </c>
      <c r="C638" s="96" t="n">
        <v>638</v>
      </c>
      <c r="E638" s="2">
        <f>B638</f>
        <v/>
      </c>
      <c r="F638" s="3">
        <f>B638</f>
        <v/>
      </c>
      <c r="G638" s="96" t="n">
        <v>636</v>
      </c>
      <c r="H638" s="97" t="n"/>
      <c r="I638" s="97" t="n"/>
      <c r="J638" s="97" t="n">
        <v>44.54828</v>
      </c>
      <c r="K638" s="97" t="n">
        <v>43.81199</v>
      </c>
      <c r="L638" s="97" t="n"/>
      <c r="M638" s="97" t="n"/>
      <c r="N638" s="97" t="n">
        <v>51.04041</v>
      </c>
      <c r="O638" s="97" t="n"/>
      <c r="P638" s="97" t="n">
        <v>58.72321</v>
      </c>
      <c r="Q638" s="97" t="n"/>
      <c r="R638" s="97" t="n">
        <v>35.82303</v>
      </c>
      <c r="S638" s="97" t="n">
        <v>66.62683</v>
      </c>
      <c r="T638" s="97" t="n">
        <v>69.33694</v>
      </c>
      <c r="U638" s="97" t="n">
        <v>69.25333000000001</v>
      </c>
      <c r="V638" s="97" t="n"/>
      <c r="W638" s="97" t="n"/>
      <c r="X638" s="97" t="n"/>
      <c r="Y638" s="97" t="n"/>
      <c r="Z638" s="97" t="n">
        <v>70.01545</v>
      </c>
      <c r="AA638" s="97" t="n">
        <v>49.38371</v>
      </c>
      <c r="AB638" s="97" t="n"/>
      <c r="AC638" s="97" t="n">
        <v>50.24216</v>
      </c>
      <c r="AD638" s="97" t="n"/>
      <c r="AE638" s="97" t="n"/>
      <c r="AF638" s="97" t="n">
        <v>53.60174</v>
      </c>
      <c r="AG638" s="97" t="n">
        <v>36.82459</v>
      </c>
      <c r="AH638" s="97" t="n"/>
      <c r="AI638" s="97" t="n"/>
      <c r="AJ638" s="97" t="n">
        <v>41.70723</v>
      </c>
      <c r="AK638" s="97" t="n"/>
      <c r="AL638" s="97" t="n"/>
      <c r="AM638" s="97" t="n">
        <v>51.84642</v>
      </c>
      <c r="AN638" s="97" t="n"/>
      <c r="AO638" s="97" t="n">
        <v>39.65714</v>
      </c>
      <c r="AP638" s="97" t="n"/>
      <c r="AQ638" s="97" t="n"/>
      <c r="AR638" s="97" t="n"/>
      <c r="AS638" s="97" t="n"/>
      <c r="AT638" s="97" t="n"/>
      <c r="AU638" s="97" t="n"/>
      <c r="AV638" s="97" t="n"/>
      <c r="AW638" s="97" t="n"/>
      <c r="AX638" s="97" t="n"/>
      <c r="AY638" s="97" t="n"/>
    </row>
    <row r="639" s="135">
      <c r="A639" t="inlineStr">
        <is>
          <t>1972-02</t>
        </is>
      </c>
      <c r="B639" s="2" t="n">
        <v>26330</v>
      </c>
      <c r="C639" s="96" t="n">
        <v>639</v>
      </c>
      <c r="E639" s="2">
        <f>B639</f>
        <v/>
      </c>
      <c r="F639" s="3">
        <f>B639</f>
        <v/>
      </c>
      <c r="G639" s="96" t="n">
        <v>637</v>
      </c>
      <c r="H639" s="97" t="n"/>
      <c r="I639" s="97" t="n"/>
      <c r="J639" s="97" t="n">
        <v>44.06662</v>
      </c>
      <c r="K639" s="97" t="n">
        <v>43.27159</v>
      </c>
      <c r="L639" s="97" t="n"/>
      <c r="M639" s="97" t="n"/>
      <c r="N639" s="97" t="n">
        <v>51.41071</v>
      </c>
      <c r="O639" s="97" t="n"/>
      <c r="P639" s="97" t="n">
        <v>59.99937</v>
      </c>
      <c r="Q639" s="97" t="n"/>
      <c r="R639" s="97" t="n">
        <v>35.53621</v>
      </c>
      <c r="S639" s="97" t="n">
        <v>65.95507000000001</v>
      </c>
      <c r="T639" s="97" t="n">
        <v>63.86812</v>
      </c>
      <c r="U639" s="97" t="n">
        <v>68.94416</v>
      </c>
      <c r="V639" s="97" t="n"/>
      <c r="W639" s="97" t="n"/>
      <c r="X639" s="97" t="n"/>
      <c r="Y639" s="97" t="n"/>
      <c r="Z639" s="97" t="n">
        <v>67.11826000000001</v>
      </c>
      <c r="AA639" s="97" t="n">
        <v>49.88848</v>
      </c>
      <c r="AB639" s="97" t="n"/>
      <c r="AC639" s="97" t="n">
        <v>48.2819</v>
      </c>
      <c r="AD639" s="97" t="n"/>
      <c r="AE639" s="97" t="n"/>
      <c r="AF639" s="97" t="n">
        <v>53.60174</v>
      </c>
      <c r="AG639" s="97" t="n">
        <v>36.35193</v>
      </c>
      <c r="AH639" s="97" t="n"/>
      <c r="AI639" s="97" t="n"/>
      <c r="AJ639" s="97" t="n">
        <v>42.81644</v>
      </c>
      <c r="AK639" s="97" t="n"/>
      <c r="AL639" s="97" t="n"/>
      <c r="AM639" s="97" t="n">
        <v>52.756</v>
      </c>
      <c r="AN639" s="97" t="n"/>
      <c r="AO639" s="97" t="n">
        <v>40.04028</v>
      </c>
      <c r="AP639" s="97" t="n"/>
      <c r="AQ639" s="97" t="n"/>
      <c r="AR639" s="97" t="n"/>
      <c r="AS639" s="97" t="n"/>
      <c r="AT639" s="97" t="n"/>
      <c r="AU639" s="97" t="n"/>
      <c r="AV639" s="97" t="n"/>
      <c r="AW639" s="97" t="n"/>
      <c r="AX639" s="97" t="n"/>
      <c r="AY639" s="97" t="n"/>
    </row>
    <row r="640" s="135">
      <c r="A640" t="inlineStr">
        <is>
          <t>1972-03</t>
        </is>
      </c>
      <c r="B640" s="2" t="n">
        <v>26359</v>
      </c>
      <c r="C640" s="96" t="n">
        <v>640</v>
      </c>
      <c r="E640" s="2">
        <f>B640</f>
        <v/>
      </c>
      <c r="F640" s="3">
        <f>B640</f>
        <v/>
      </c>
      <c r="G640" s="96" t="n">
        <v>638</v>
      </c>
      <c r="H640" s="97" t="n"/>
      <c r="I640" s="97" t="n"/>
      <c r="J640" s="97" t="n">
        <v>44.91973</v>
      </c>
      <c r="K640" s="97" t="n">
        <v>43.77345</v>
      </c>
      <c r="L640" s="97" t="n"/>
      <c r="M640" s="97" t="n"/>
      <c r="N640" s="97" t="n">
        <v>51.96617</v>
      </c>
      <c r="O640" s="97" t="n"/>
      <c r="P640" s="97" t="n">
        <v>60.86877</v>
      </c>
      <c r="Q640" s="97" t="n"/>
      <c r="R640" s="97" t="n">
        <v>36.28259</v>
      </c>
      <c r="S640" s="97" t="n">
        <v>67.11539</v>
      </c>
      <c r="T640" s="97" t="n">
        <v>70.11821</v>
      </c>
      <c r="U640" s="97" t="n">
        <v>70.43386</v>
      </c>
      <c r="V640" s="97" t="n"/>
      <c r="W640" s="97" t="n"/>
      <c r="X640" s="97" t="n"/>
      <c r="Y640" s="97" t="n"/>
      <c r="Z640" s="97" t="n">
        <v>66.53882</v>
      </c>
      <c r="AA640" s="97" t="n">
        <v>50.89803</v>
      </c>
      <c r="AB640" s="97" t="n"/>
      <c r="AC640" s="97" t="n">
        <v>50.52082</v>
      </c>
      <c r="AD640" s="97" t="n"/>
      <c r="AE640" s="97" t="n"/>
      <c r="AF640" s="97" t="n">
        <v>54.60365</v>
      </c>
      <c r="AG640" s="97" t="n">
        <v>33.43003</v>
      </c>
      <c r="AH640" s="97" t="n"/>
      <c r="AI640" s="97" t="n"/>
      <c r="AJ640" s="97" t="n">
        <v>44.23828</v>
      </c>
      <c r="AK640" s="97" t="n"/>
      <c r="AL640" s="97" t="n"/>
      <c r="AM640" s="97" t="n">
        <v>53.2108</v>
      </c>
      <c r="AN640" s="97" t="n"/>
      <c r="AO640" s="97" t="n">
        <v>40.31701</v>
      </c>
      <c r="AP640" s="97" t="n"/>
      <c r="AQ640" s="97" t="n"/>
      <c r="AR640" s="97" t="n"/>
      <c r="AS640" s="97" t="n"/>
      <c r="AT640" s="97" t="n"/>
      <c r="AU640" s="97" t="n"/>
      <c r="AV640" s="97" t="n"/>
      <c r="AW640" s="97" t="n"/>
      <c r="AX640" s="97" t="n"/>
      <c r="AY640" s="97" t="n"/>
    </row>
    <row r="641" s="135">
      <c r="A641" t="inlineStr">
        <is>
          <t>1972-04</t>
        </is>
      </c>
      <c r="B641" s="2" t="n">
        <v>26390</v>
      </c>
      <c r="C641" s="96" t="n">
        <v>641</v>
      </c>
      <c r="E641" s="2">
        <f>B641</f>
        <v/>
      </c>
      <c r="F641" s="3">
        <f>B641</f>
        <v/>
      </c>
      <c r="G641" s="96" t="n">
        <v>639</v>
      </c>
      <c r="H641" s="97" t="n"/>
      <c r="I641" s="97" t="n"/>
      <c r="J641" s="97" t="n">
        <v>45.61545</v>
      </c>
      <c r="K641" s="97" t="n">
        <v>44.91063</v>
      </c>
      <c r="L641" s="97" t="n"/>
      <c r="M641" s="97" t="n"/>
      <c r="N641" s="97" t="n">
        <v>51.96617</v>
      </c>
      <c r="O641" s="97" t="n"/>
      <c r="P641" s="97" t="n">
        <v>61.15526</v>
      </c>
      <c r="Q641" s="97" t="n"/>
      <c r="R641" s="97" t="n">
        <v>36.27282</v>
      </c>
      <c r="S641" s="97" t="n">
        <v>67.54288</v>
      </c>
      <c r="T641" s="97" t="n">
        <v>71.77839</v>
      </c>
      <c r="U641" s="97" t="n">
        <v>71.38128</v>
      </c>
      <c r="V641" s="97" t="n"/>
      <c r="W641" s="97" t="n"/>
      <c r="X641" s="97" t="n"/>
      <c r="Y641" s="97" t="n"/>
      <c r="Z641" s="97" t="n">
        <v>71.75376</v>
      </c>
      <c r="AA641" s="97" t="n">
        <v>50.56151</v>
      </c>
      <c r="AB641" s="97" t="n"/>
      <c r="AC641" s="97" t="n">
        <v>51.96</v>
      </c>
      <c r="AD641" s="97" t="n"/>
      <c r="AE641" s="97" t="n"/>
      <c r="AF641" s="97" t="n">
        <v>56.1065</v>
      </c>
      <c r="AG641" s="97" t="n">
        <v>40.56291</v>
      </c>
      <c r="AH641" s="97" t="n"/>
      <c r="AI641" s="97" t="n"/>
      <c r="AJ641" s="97" t="n">
        <v>44.10107</v>
      </c>
      <c r="AK641" s="97" t="n"/>
      <c r="AL641" s="97" t="n"/>
      <c r="AM641" s="97" t="n">
        <v>53.2108</v>
      </c>
      <c r="AN641" s="97" t="n"/>
      <c r="AO641" s="97" t="n">
        <v>40.74318</v>
      </c>
      <c r="AP641" s="97" t="n"/>
      <c r="AQ641" s="97" t="n"/>
      <c r="AR641" s="97" t="n"/>
      <c r="AS641" s="97" t="n"/>
      <c r="AT641" s="97" t="n"/>
      <c r="AU641" s="97" t="n"/>
      <c r="AV641" s="97" t="n"/>
      <c r="AW641" s="97" t="n"/>
      <c r="AX641" s="97" t="n"/>
      <c r="AY641" s="97" t="n"/>
    </row>
    <row r="642" s="135">
      <c r="A642" t="inlineStr">
        <is>
          <t>1972-05</t>
        </is>
      </c>
      <c r="B642" s="2" t="n">
        <v>26420</v>
      </c>
      <c r="C642" s="96" t="n">
        <v>642</v>
      </c>
      <c r="E642" s="2">
        <f>B642</f>
        <v/>
      </c>
      <c r="F642" s="3">
        <f>B642</f>
        <v/>
      </c>
      <c r="G642" s="96" t="n">
        <v>640</v>
      </c>
      <c r="H642" s="97" t="n"/>
      <c r="I642" s="97" t="n"/>
      <c r="J642" s="97" t="n">
        <v>45.92757</v>
      </c>
      <c r="K642" s="97" t="n">
        <v>44.59109</v>
      </c>
      <c r="L642" s="97" t="n"/>
      <c r="M642" s="97" t="n"/>
      <c r="N642" s="97" t="n">
        <v>51.65759</v>
      </c>
      <c r="O642" s="97" t="n"/>
      <c r="P642" s="97" t="n">
        <v>62.00755</v>
      </c>
      <c r="Q642" s="97" t="n"/>
      <c r="R642" s="97" t="n">
        <v>37.16586</v>
      </c>
      <c r="S642" s="97" t="n">
        <v>68.21464</v>
      </c>
      <c r="T642" s="97" t="n">
        <v>73.24326000000001</v>
      </c>
      <c r="U642" s="97" t="n">
        <v>72.70287</v>
      </c>
      <c r="V642" s="97" t="n"/>
      <c r="W642" s="97" t="n"/>
      <c r="X642" s="97" t="n"/>
      <c r="Y642" s="97" t="n"/>
      <c r="Z642" s="97" t="n">
        <v>70.59489000000001</v>
      </c>
      <c r="AA642" s="97" t="n">
        <v>51.31867</v>
      </c>
      <c r="AB642" s="97" t="n"/>
      <c r="AC642" s="97" t="n">
        <v>51.63933</v>
      </c>
      <c r="AD642" s="97" t="n"/>
      <c r="AE642" s="97" t="n"/>
      <c r="AF642" s="97" t="n">
        <v>55.1046</v>
      </c>
      <c r="AG642" s="97" t="n">
        <v>36.52381</v>
      </c>
      <c r="AH642" s="97" t="n"/>
      <c r="AI642" s="97" t="n"/>
      <c r="AJ642" s="97" t="n">
        <v>44.04924</v>
      </c>
      <c r="AK642" s="97" t="n"/>
      <c r="AL642" s="97" t="n"/>
      <c r="AM642" s="97" t="n">
        <v>52.756</v>
      </c>
      <c r="AN642" s="97" t="n"/>
      <c r="AO642" s="97" t="n">
        <v>40.72205</v>
      </c>
      <c r="AP642" s="97" t="n"/>
      <c r="AQ642" s="97" t="n"/>
      <c r="AR642" s="97" t="n"/>
      <c r="AS642" s="97" t="n"/>
      <c r="AT642" s="97" t="n"/>
      <c r="AU642" s="97" t="n"/>
      <c r="AV642" s="97" t="n"/>
      <c r="AW642" s="97" t="n"/>
      <c r="AX642" s="97" t="n"/>
      <c r="AY642" s="97" t="n"/>
    </row>
    <row r="643" s="135">
      <c r="A643" t="inlineStr">
        <is>
          <t>1972-06</t>
        </is>
      </c>
      <c r="B643" s="2" t="n">
        <v>26451</v>
      </c>
      <c r="C643" s="96" t="n">
        <v>643</v>
      </c>
      <c r="E643" s="2">
        <f>B643</f>
        <v/>
      </c>
      <c r="F643" s="3">
        <f>B643</f>
        <v/>
      </c>
      <c r="G643" s="96" t="n">
        <v>641</v>
      </c>
      <c r="H643" s="97" t="n"/>
      <c r="I643" s="97" t="n"/>
      <c r="J643" s="97" t="n">
        <v>46.12131</v>
      </c>
      <c r="K643" s="97" t="n">
        <v>45.04409</v>
      </c>
      <c r="L643" s="97" t="n"/>
      <c r="M643" s="97" t="n"/>
      <c r="N643" s="97" t="n">
        <v>51.96617</v>
      </c>
      <c r="O643" s="97" t="n"/>
      <c r="P643" s="97" t="n">
        <v>63.67637</v>
      </c>
      <c r="Q643" s="97" t="n"/>
      <c r="R643" s="97" t="n">
        <v>37.13327</v>
      </c>
      <c r="S643" s="97" t="n">
        <v>67.66502</v>
      </c>
      <c r="T643" s="97" t="n">
        <v>73.63388999999999</v>
      </c>
      <c r="U643" s="97" t="n">
        <v>72.82170000000001</v>
      </c>
      <c r="V643" s="97" t="n"/>
      <c r="W643" s="97" t="n"/>
      <c r="X643" s="97" t="n"/>
      <c r="Y643" s="97" t="n"/>
      <c r="Z643" s="97" t="n">
        <v>71.56062</v>
      </c>
      <c r="AA643" s="97" t="n">
        <v>51.57106</v>
      </c>
      <c r="AB643" s="97" t="n"/>
      <c r="AC643" s="97" t="n">
        <v>52.01551</v>
      </c>
      <c r="AD643" s="97" t="n"/>
      <c r="AE643" s="97" t="n"/>
      <c r="AF643" s="97" t="n">
        <v>55.60555</v>
      </c>
      <c r="AG643" s="97" t="n">
        <v>37.59804</v>
      </c>
      <c r="AH643" s="97" t="n"/>
      <c r="AI643" s="97" t="n"/>
      <c r="AJ643" s="97" t="n">
        <v>44.07655</v>
      </c>
      <c r="AK643" s="97" t="n"/>
      <c r="AL643" s="97" t="n"/>
      <c r="AM643" s="97" t="n">
        <v>53.2108</v>
      </c>
      <c r="AN643" s="97" t="n"/>
      <c r="AO643" s="97" t="n">
        <v>40.8376</v>
      </c>
      <c r="AP643" s="97" t="n"/>
      <c r="AQ643" s="97" t="n"/>
      <c r="AR643" s="97" t="n"/>
      <c r="AS643" s="97" t="n"/>
      <c r="AT643" s="97" t="n"/>
      <c r="AU643" s="97" t="n"/>
      <c r="AV643" s="97" t="n"/>
      <c r="AW643" s="97" t="n"/>
      <c r="AX643" s="97" t="n"/>
      <c r="AY643" s="97" t="n"/>
    </row>
    <row r="644" s="135">
      <c r="A644" t="inlineStr">
        <is>
          <t>1972-07</t>
        </is>
      </c>
      <c r="B644" s="2" t="n">
        <v>26481</v>
      </c>
      <c r="C644" s="96" t="n">
        <v>644</v>
      </c>
      <c r="E644" s="2">
        <f>B644</f>
        <v/>
      </c>
      <c r="F644" s="3">
        <f>B644</f>
        <v/>
      </c>
      <c r="G644" s="96" t="n">
        <v>642</v>
      </c>
      <c r="H644" s="97" t="n"/>
      <c r="I644" s="97" t="n"/>
      <c r="J644" s="97" t="n">
        <v>45.54917</v>
      </c>
      <c r="K644" s="97" t="n">
        <v>45.24427</v>
      </c>
      <c r="L644" s="97" t="n"/>
      <c r="M644" s="97" t="n"/>
      <c r="N644" s="97" t="n">
        <v>52.21304</v>
      </c>
      <c r="O644" s="97" t="n"/>
      <c r="P644" s="97" t="n">
        <v>63.08044</v>
      </c>
      <c r="Q644" s="97" t="n"/>
      <c r="R644" s="97" t="n">
        <v>37.08438</v>
      </c>
      <c r="S644" s="97" t="n">
        <v>68.58105</v>
      </c>
      <c r="T644" s="97" t="n">
        <v>72.75497</v>
      </c>
      <c r="U644" s="97" t="n">
        <v>73.37788</v>
      </c>
      <c r="V644" s="97" t="n"/>
      <c r="W644" s="97" t="n"/>
      <c r="X644" s="97" t="n"/>
      <c r="Y644" s="97" t="n"/>
      <c r="Z644" s="97" t="n">
        <v>70.49831</v>
      </c>
      <c r="AA644" s="97" t="n">
        <v>51.48693</v>
      </c>
      <c r="AB644" s="97" t="n"/>
      <c r="AC644" s="97" t="n">
        <v>52.36325</v>
      </c>
      <c r="AD644" s="97" t="n"/>
      <c r="AE644" s="97" t="n"/>
      <c r="AF644" s="97" t="n">
        <v>55.1046</v>
      </c>
      <c r="AG644" s="97" t="n">
        <v>37.34022</v>
      </c>
      <c r="AH644" s="97" t="n"/>
      <c r="AI644" s="97" t="n"/>
      <c r="AJ644" s="97" t="n">
        <v>46.04968</v>
      </c>
      <c r="AK644" s="97" t="n"/>
      <c r="AL644" s="97" t="n"/>
      <c r="AM644" s="97" t="n">
        <v>52.30121</v>
      </c>
      <c r="AN644" s="97" t="n"/>
      <c r="AO644" s="97" t="n">
        <v>40.81973</v>
      </c>
      <c r="AP644" s="97" t="n"/>
      <c r="AQ644" s="97" t="n"/>
      <c r="AR644" s="97" t="n"/>
      <c r="AS644" s="97" t="n"/>
      <c r="AT644" s="97" t="n"/>
      <c r="AU644" s="97" t="n"/>
      <c r="AV644" s="97" t="n"/>
      <c r="AW644" s="97" t="n"/>
      <c r="AX644" s="97" t="n"/>
      <c r="AY644" s="97" t="n"/>
    </row>
    <row r="645" s="135">
      <c r="A645" t="inlineStr">
        <is>
          <t>1972-08</t>
        </is>
      </c>
      <c r="B645" s="2" t="n">
        <v>26512</v>
      </c>
      <c r="C645" s="96" t="n">
        <v>645</v>
      </c>
      <c r="E645" s="2">
        <f>B645</f>
        <v/>
      </c>
      <c r="F645" s="3">
        <f>B645</f>
        <v/>
      </c>
      <c r="G645" s="96" t="n">
        <v>643</v>
      </c>
      <c r="H645" s="97" t="n"/>
      <c r="I645" s="97" t="n"/>
      <c r="J645" s="97" t="n">
        <v>46.14286</v>
      </c>
      <c r="K645" s="97" t="n">
        <v>45.32744</v>
      </c>
      <c r="L645" s="97" t="n"/>
      <c r="M645" s="97" t="n"/>
      <c r="N645" s="97" t="n">
        <v>51.96617</v>
      </c>
      <c r="O645" s="97" t="n"/>
      <c r="P645" s="97" t="n">
        <v>64.16763</v>
      </c>
      <c r="Q645" s="97" t="n"/>
      <c r="R645" s="97" t="n">
        <v>36.28585</v>
      </c>
      <c r="S645" s="97" t="n">
        <v>68.58105</v>
      </c>
      <c r="T645" s="97" t="n">
        <v>73.43857</v>
      </c>
      <c r="U645" s="97" t="n">
        <v>71.38714</v>
      </c>
      <c r="V645" s="97" t="n"/>
      <c r="W645" s="97" t="n"/>
      <c r="X645" s="97" t="n"/>
      <c r="Y645" s="97" t="n"/>
      <c r="Z645" s="97" t="n">
        <v>71.46404</v>
      </c>
      <c r="AA645" s="97" t="n">
        <v>52.83299</v>
      </c>
      <c r="AB645" s="97" t="n"/>
      <c r="AC645" s="97" t="n">
        <v>54.24866</v>
      </c>
      <c r="AD645" s="97" t="n"/>
      <c r="AE645" s="97" t="n"/>
      <c r="AF645" s="97" t="n">
        <v>56.1065</v>
      </c>
      <c r="AG645" s="97" t="n">
        <v>36.35193</v>
      </c>
      <c r="AH645" s="97" t="n"/>
      <c r="AI645" s="97" t="n"/>
      <c r="AJ645" s="97" t="n">
        <v>50.21748</v>
      </c>
      <c r="AK645" s="97" t="n"/>
      <c r="AL645" s="97" t="n"/>
      <c r="AM645" s="97" t="n">
        <v>55.93956</v>
      </c>
      <c r="AN645" s="97" t="n"/>
      <c r="AO645" s="97" t="n">
        <v>41.36233</v>
      </c>
      <c r="AP645" s="97" t="n"/>
      <c r="AQ645" s="97" t="n"/>
      <c r="AR645" s="97" t="n"/>
      <c r="AS645" s="97" t="n"/>
      <c r="AT645" s="97" t="n"/>
      <c r="AU645" s="97" t="n"/>
      <c r="AV645" s="97" t="n"/>
      <c r="AW645" s="97" t="n"/>
      <c r="AX645" s="97" t="n"/>
      <c r="AY645" s="97" t="n"/>
    </row>
    <row r="646" s="135">
      <c r="A646" t="inlineStr">
        <is>
          <t>1972-09</t>
        </is>
      </c>
      <c r="B646" s="2" t="n">
        <v>26543</v>
      </c>
      <c r="C646" s="96" t="n">
        <v>646</v>
      </c>
      <c r="E646" s="2">
        <f>B646</f>
        <v/>
      </c>
      <c r="F646" s="3">
        <f>B646</f>
        <v/>
      </c>
      <c r="G646" s="96" t="n">
        <v>644</v>
      </c>
      <c r="H646" s="97" t="n"/>
      <c r="I646" s="97" t="n"/>
      <c r="J646" s="97" t="n">
        <v>46.78498</v>
      </c>
      <c r="K646" s="97" t="n">
        <v>46.4463</v>
      </c>
      <c r="L646" s="97" t="n"/>
      <c r="M646" s="97" t="n"/>
      <c r="N646" s="97" t="n">
        <v>52.02789</v>
      </c>
      <c r="O646" s="97" t="n"/>
      <c r="P646" s="97" t="n">
        <v>65.15940999999999</v>
      </c>
      <c r="Q646" s="97" t="n"/>
      <c r="R646" s="97" t="n">
        <v>37.29298</v>
      </c>
      <c r="S646" s="97" t="n">
        <v>69.74138000000001</v>
      </c>
      <c r="T646" s="97" t="n">
        <v>74.61046</v>
      </c>
      <c r="U646" s="97" t="n">
        <v>75.82387</v>
      </c>
      <c r="V646" s="97" t="n"/>
      <c r="W646" s="97" t="n"/>
      <c r="X646" s="97" t="n"/>
      <c r="Y646" s="97" t="n"/>
      <c r="Z646" s="97" t="n">
        <v>69.43601</v>
      </c>
      <c r="AA646" s="97" t="n">
        <v>53.42189</v>
      </c>
      <c r="AB646" s="97" t="n"/>
      <c r="AC646" s="97" t="n">
        <v>53.59589</v>
      </c>
      <c r="AD646" s="97" t="n"/>
      <c r="AE646" s="97" t="n"/>
      <c r="AF646" s="97" t="n">
        <v>56.1065</v>
      </c>
      <c r="AG646" s="97" t="n">
        <v>36.82459</v>
      </c>
      <c r="AH646" s="97" t="n"/>
      <c r="AI646" s="97" t="n"/>
      <c r="AJ646" s="97" t="n">
        <v>49.2322</v>
      </c>
      <c r="AK646" s="97" t="n"/>
      <c r="AL646" s="97" t="n"/>
      <c r="AM646" s="97" t="n">
        <v>56.39435</v>
      </c>
      <c r="AN646" s="97" t="n"/>
      <c r="AO646" s="97" t="n">
        <v>41.67824</v>
      </c>
      <c r="AP646" s="97" t="n"/>
      <c r="AQ646" s="97" t="n"/>
      <c r="AR646" s="97" t="n"/>
      <c r="AS646" s="97" t="n"/>
      <c r="AT646" s="97" t="n"/>
      <c r="AU646" s="97" t="n"/>
      <c r="AV646" s="97" t="n"/>
      <c r="AW646" s="97" t="n"/>
      <c r="AX646" s="97" t="n"/>
      <c r="AY646" s="97" t="n"/>
    </row>
    <row r="647" s="135">
      <c r="A647" t="inlineStr">
        <is>
          <t>1972-10</t>
        </is>
      </c>
      <c r="B647" s="2" t="n">
        <v>26573</v>
      </c>
      <c r="C647" s="96" t="n">
        <v>647</v>
      </c>
      <c r="E647" s="2">
        <f>B647</f>
        <v/>
      </c>
      <c r="F647" s="3">
        <f>B647</f>
        <v/>
      </c>
      <c r="G647" s="96" t="n">
        <v>645</v>
      </c>
      <c r="H647" s="97" t="n"/>
      <c r="I647" s="97" t="n"/>
      <c r="J647" s="97" t="n">
        <v>47.75011</v>
      </c>
      <c r="K647" s="97" t="n">
        <v>47.3222</v>
      </c>
      <c r="L647" s="97" t="n"/>
      <c r="M647" s="97" t="n"/>
      <c r="N647" s="97" t="n">
        <v>52.70678</v>
      </c>
      <c r="O647" s="97" t="n"/>
      <c r="P647" s="97" t="n">
        <v>64.73898</v>
      </c>
      <c r="Q647" s="97" t="n"/>
      <c r="R647" s="97" t="n">
        <v>38.44677</v>
      </c>
      <c r="S647" s="97" t="n">
        <v>70.35207</v>
      </c>
      <c r="T647" s="97" t="n">
        <v>75.48938</v>
      </c>
      <c r="U647" s="97" t="n">
        <v>76.87711</v>
      </c>
      <c r="V647" s="97" t="n"/>
      <c r="W647" s="97" t="n"/>
      <c r="X647" s="97" t="n"/>
      <c r="Y647" s="97" t="n"/>
      <c r="Z647" s="97" t="n">
        <v>73.68523</v>
      </c>
      <c r="AA647" s="97" t="n">
        <v>54.0108</v>
      </c>
      <c r="AB647" s="97" t="n"/>
      <c r="AC647" s="97" t="n">
        <v>54.84699</v>
      </c>
      <c r="AD647" s="97" t="n"/>
      <c r="AE647" s="97" t="n"/>
      <c r="AF647" s="97" t="n">
        <v>56.1065</v>
      </c>
      <c r="AG647" s="97" t="n">
        <v>36.73865</v>
      </c>
      <c r="AH647" s="97" t="n"/>
      <c r="AI647" s="97" t="n"/>
      <c r="AJ647" s="97" t="n">
        <v>46.02923</v>
      </c>
      <c r="AK647" s="97" t="n"/>
      <c r="AL647" s="97" t="n"/>
      <c r="AM647" s="97" t="n">
        <v>55.02997</v>
      </c>
      <c r="AN647" s="97" t="n"/>
      <c r="AO647" s="97" t="n">
        <v>42.23533</v>
      </c>
      <c r="AP647" s="97" t="n"/>
      <c r="AQ647" s="97" t="n"/>
      <c r="AR647" s="97" t="n"/>
      <c r="AS647" s="97" t="n"/>
      <c r="AT647" s="97" t="n"/>
      <c r="AU647" s="97" t="n"/>
      <c r="AV647" s="97" t="n"/>
      <c r="AW647" s="97" t="n"/>
      <c r="AX647" s="97" t="n"/>
      <c r="AY647" s="97" t="n"/>
    </row>
    <row r="648" s="135">
      <c r="A648" t="inlineStr">
        <is>
          <t>1972-11</t>
        </is>
      </c>
      <c r="B648" s="2" t="n">
        <v>26604</v>
      </c>
      <c r="C648" s="96" t="n">
        <v>648</v>
      </c>
      <c r="E648" s="2">
        <f>B648</f>
        <v/>
      </c>
      <c r="F648" s="3">
        <f>B648</f>
        <v/>
      </c>
      <c r="G648" s="96" t="n">
        <v>646</v>
      </c>
      <c r="H648" s="97" t="n"/>
      <c r="I648" s="97" t="n"/>
      <c r="J648" s="97" t="n">
        <v>47.45148</v>
      </c>
      <c r="K648" s="97" t="n">
        <v>47.90019</v>
      </c>
      <c r="L648" s="97" t="n"/>
      <c r="M648" s="97" t="n"/>
      <c r="N648" s="97" t="n">
        <v>53.63255</v>
      </c>
      <c r="O648" s="97" t="n"/>
      <c r="P648" s="97" t="n">
        <v>66.5223</v>
      </c>
      <c r="Q648" s="97" t="n"/>
      <c r="R648" s="97" t="n">
        <v>38.24469</v>
      </c>
      <c r="S648" s="97" t="n">
        <v>70.71849</v>
      </c>
      <c r="T648" s="97" t="n">
        <v>76.17298</v>
      </c>
      <c r="U648" s="97" t="n">
        <v>77.69202</v>
      </c>
      <c r="V648" s="97" t="n"/>
      <c r="W648" s="97" t="n"/>
      <c r="X648" s="97" t="n"/>
      <c r="Y648" s="97" t="n"/>
      <c r="Z648" s="97" t="n">
        <v>70.78803000000001</v>
      </c>
      <c r="AA648" s="97" t="n">
        <v>55.02035</v>
      </c>
      <c r="AB648" s="97" t="n"/>
      <c r="AC648" s="97" t="n">
        <v>53.08767</v>
      </c>
      <c r="AD648" s="97" t="n"/>
      <c r="AE648" s="97" t="n"/>
      <c r="AF648" s="97" t="n">
        <v>56.60745</v>
      </c>
      <c r="AG648" s="97" t="n">
        <v>37.16834</v>
      </c>
      <c r="AH648" s="97" t="n"/>
      <c r="AI648" s="97" t="n"/>
      <c r="AJ648" s="97" t="n">
        <v>46.96847</v>
      </c>
      <c r="AK648" s="97" t="n"/>
      <c r="AL648" s="97" t="n"/>
      <c r="AM648" s="97" t="n">
        <v>55.02997</v>
      </c>
      <c r="AN648" s="97" t="n"/>
      <c r="AO648" s="97" t="n">
        <v>42.73489</v>
      </c>
      <c r="AP648" s="97" t="n"/>
      <c r="AQ648" s="97" t="n"/>
      <c r="AR648" s="97" t="n"/>
      <c r="AS648" s="97" t="n"/>
      <c r="AT648" s="97" t="n"/>
      <c r="AU648" s="97" t="n"/>
      <c r="AV648" s="97" t="n"/>
      <c r="AW648" s="97" t="n"/>
      <c r="AX648" s="97" t="n"/>
      <c r="AY648" s="97" t="n"/>
    </row>
    <row r="649" s="135">
      <c r="A649" t="inlineStr">
        <is>
          <t>1972-12</t>
        </is>
      </c>
      <c r="B649" s="2" t="n">
        <v>26634</v>
      </c>
      <c r="C649" s="96" t="n">
        <v>649</v>
      </c>
      <c r="E649" s="2">
        <f>B649</f>
        <v/>
      </c>
      <c r="F649" s="3">
        <f>B649</f>
        <v/>
      </c>
      <c r="G649" s="96" t="n">
        <v>647</v>
      </c>
      <c r="H649" s="97" t="n"/>
      <c r="I649" s="97" t="n"/>
      <c r="J649" s="97" t="n">
        <v>49.32627</v>
      </c>
      <c r="K649" s="97" t="n">
        <v>48.15253</v>
      </c>
      <c r="L649" s="97" t="n"/>
      <c r="M649" s="97" t="n"/>
      <c r="N649" s="97" t="n">
        <v>54.31144</v>
      </c>
      <c r="O649" s="97" t="n"/>
      <c r="P649" s="97" t="n">
        <v>67.37099000000001</v>
      </c>
      <c r="Q649" s="97" t="n"/>
      <c r="R649" s="97" t="n">
        <v>39.40175</v>
      </c>
      <c r="S649" s="97" t="n">
        <v>72.12309</v>
      </c>
      <c r="T649" s="97" t="n">
        <v>76.75893000000001</v>
      </c>
      <c r="U649" s="97" t="n">
        <v>82.45667</v>
      </c>
      <c r="V649" s="97" t="n"/>
      <c r="W649" s="97" t="n"/>
      <c r="X649" s="97" t="n"/>
      <c r="Y649" s="97" t="n"/>
      <c r="Z649" s="97" t="n">
        <v>80.34876</v>
      </c>
      <c r="AA649" s="97" t="n">
        <v>56.36641</v>
      </c>
      <c r="AB649" s="97" t="n"/>
      <c r="AC649" s="97" t="n">
        <v>56.27646</v>
      </c>
      <c r="AD649" s="97" t="n"/>
      <c r="AE649" s="97" t="n"/>
      <c r="AF649" s="97" t="n">
        <v>58.61125</v>
      </c>
      <c r="AG649" s="97" t="n">
        <v>38.71523</v>
      </c>
      <c r="AH649" s="97" t="n"/>
      <c r="AI649" s="97" t="n"/>
      <c r="AJ649" s="97" t="n">
        <v>46.35296</v>
      </c>
      <c r="AK649" s="97" t="n"/>
      <c r="AL649" s="97" t="n"/>
      <c r="AM649" s="97" t="n">
        <v>56.39435</v>
      </c>
      <c r="AN649" s="97" t="n"/>
      <c r="AO649" s="97" t="n">
        <v>43.22437</v>
      </c>
      <c r="AP649" s="97" t="n"/>
      <c r="AQ649" s="97" t="n"/>
      <c r="AR649" s="97" t="n"/>
      <c r="AS649" s="97" t="n"/>
      <c r="AT649" s="97" t="n"/>
      <c r="AU649" s="97" t="n"/>
      <c r="AV649" s="97" t="n"/>
      <c r="AW649" s="97" t="n"/>
      <c r="AX649" s="97" t="n"/>
      <c r="AY649" s="97" t="n"/>
    </row>
    <row r="650" s="135">
      <c r="A650" t="inlineStr">
        <is>
          <t>1973-01</t>
        </is>
      </c>
      <c r="B650" s="2" t="n">
        <v>26665</v>
      </c>
      <c r="C650" s="96" t="n">
        <v>650</v>
      </c>
      <c r="E650" s="2">
        <f>B650</f>
        <v/>
      </c>
      <c r="F650" s="3">
        <f>B650</f>
        <v/>
      </c>
      <c r="G650" s="96" t="n">
        <v>648</v>
      </c>
      <c r="H650" s="97" t="n"/>
      <c r="I650" s="97" t="n"/>
      <c r="J650" s="97" t="n">
        <v>47.88983</v>
      </c>
      <c r="K650" s="97" t="n">
        <v>48.57357</v>
      </c>
      <c r="L650" s="97" t="n"/>
      <c r="M650" s="97" t="n"/>
      <c r="N650" s="97" t="n">
        <v>54.80518</v>
      </c>
      <c r="O650" s="97" t="n"/>
      <c r="P650" s="97" t="n">
        <v>68.97976</v>
      </c>
      <c r="Q650" s="97" t="n"/>
      <c r="R650" s="97" t="n">
        <v>38.23817</v>
      </c>
      <c r="S650" s="97" t="n">
        <v>71.63454</v>
      </c>
      <c r="T650" s="97" t="n">
        <v>79.00506</v>
      </c>
      <c r="U650" s="97" t="n">
        <v>79.49665</v>
      </c>
      <c r="V650" s="97" t="n"/>
      <c r="W650" s="97" t="n"/>
      <c r="X650" s="97" t="n"/>
      <c r="Y650" s="97" t="n"/>
      <c r="Z650" s="97" t="n">
        <v>68.47028</v>
      </c>
      <c r="AA650" s="97" t="n">
        <v>57.7966</v>
      </c>
      <c r="AB650" s="97" t="n"/>
      <c r="AC650" s="97" t="n">
        <v>55.38634</v>
      </c>
      <c r="AD650" s="97" t="n"/>
      <c r="AE650" s="97" t="n"/>
      <c r="AF650" s="97" t="n">
        <v>58.61125</v>
      </c>
      <c r="AG650" s="97" t="n">
        <v>37.38319</v>
      </c>
      <c r="AH650" s="97" t="n"/>
      <c r="AI650" s="97" t="n"/>
      <c r="AJ650" s="97" t="n">
        <v>48.65988</v>
      </c>
      <c r="AK650" s="97" t="n"/>
      <c r="AL650" s="97" t="n"/>
      <c r="AM650" s="97" t="n">
        <v>56.65767</v>
      </c>
      <c r="AN650" s="97" t="n"/>
      <c r="AO650" s="97" t="n">
        <v>43.50551</v>
      </c>
      <c r="AP650" s="97" t="n"/>
      <c r="AQ650" s="97" t="n"/>
      <c r="AR650" s="97" t="n"/>
      <c r="AS650" s="97" t="n"/>
      <c r="AT650" s="97" t="n"/>
      <c r="AU650" s="97" t="n"/>
      <c r="AV650" s="97" t="n"/>
      <c r="AW650" s="97" t="n"/>
      <c r="AX650" s="97" t="n"/>
      <c r="AY650" s="97" t="n"/>
    </row>
    <row r="651" s="135">
      <c r="A651" t="inlineStr">
        <is>
          <t>1973-02</t>
        </is>
      </c>
      <c r="B651" s="2" t="n">
        <v>26696</v>
      </c>
      <c r="C651" s="96" t="n">
        <v>651</v>
      </c>
      <c r="E651" s="2">
        <f>B651</f>
        <v/>
      </c>
      <c r="F651" s="3">
        <f>B651</f>
        <v/>
      </c>
      <c r="G651" s="96" t="n">
        <v>649</v>
      </c>
      <c r="H651" s="97" t="n"/>
      <c r="I651" s="97" t="n"/>
      <c r="J651" s="97" t="n">
        <v>48.40627</v>
      </c>
      <c r="K651" s="97" t="n">
        <v>50.01525</v>
      </c>
      <c r="L651" s="97" t="n"/>
      <c r="M651" s="97" t="n"/>
      <c r="N651" s="97" t="n">
        <v>55.29892</v>
      </c>
      <c r="O651" s="97" t="n"/>
      <c r="P651" s="97" t="n">
        <v>67.0761</v>
      </c>
      <c r="Q651" s="97" t="n"/>
      <c r="R651" s="97" t="n">
        <v>39.23227</v>
      </c>
      <c r="S651" s="97" t="n">
        <v>72.36736999999999</v>
      </c>
      <c r="T651" s="97" t="n">
        <v>78.32146</v>
      </c>
      <c r="U651" s="97" t="n">
        <v>81.50973999999999</v>
      </c>
      <c r="V651" s="97" t="n"/>
      <c r="W651" s="97" t="n"/>
      <c r="X651" s="97" t="n"/>
      <c r="Y651" s="97" t="n"/>
      <c r="Z651" s="97" t="n">
        <v>69.43601</v>
      </c>
      <c r="AA651" s="97" t="n">
        <v>58.30138</v>
      </c>
      <c r="AB651" s="97" t="n"/>
      <c r="AC651" s="97" t="n">
        <v>57.48935</v>
      </c>
      <c r="AD651" s="97" t="n"/>
      <c r="AE651" s="97" t="n"/>
      <c r="AF651" s="97" t="n">
        <v>59.1122</v>
      </c>
      <c r="AG651" s="97" t="n">
        <v>37.64101</v>
      </c>
      <c r="AH651" s="97" t="n"/>
      <c r="AI651" s="97" t="n"/>
      <c r="AJ651" s="97" t="n">
        <v>49.24174</v>
      </c>
      <c r="AK651" s="97" t="n"/>
      <c r="AL651" s="97" t="n"/>
      <c r="AM651" s="97" t="n">
        <v>57.00244</v>
      </c>
      <c r="AN651" s="97" t="n"/>
      <c r="AO651" s="97" t="n">
        <v>44.1504</v>
      </c>
      <c r="AP651" s="97" t="n"/>
      <c r="AQ651" s="97" t="n"/>
      <c r="AR651" s="97" t="n"/>
      <c r="AS651" s="97" t="n"/>
      <c r="AT651" s="97" t="n"/>
      <c r="AU651" s="97" t="n"/>
      <c r="AV651" s="97" t="n"/>
      <c r="AW651" s="97" t="n"/>
      <c r="AX651" s="97" t="n"/>
      <c r="AY651" s="97" t="n"/>
    </row>
    <row r="652" s="135">
      <c r="A652" t="inlineStr">
        <is>
          <t>1973-03</t>
        </is>
      </c>
      <c r="B652" s="2" t="n">
        <v>26724</v>
      </c>
      <c r="C652" s="96" t="n">
        <v>652</v>
      </c>
      <c r="E652" s="2">
        <f>B652</f>
        <v/>
      </c>
      <c r="F652" s="3">
        <f>B652</f>
        <v/>
      </c>
      <c r="G652" s="96" t="n">
        <v>650</v>
      </c>
      <c r="H652" s="97" t="n"/>
      <c r="I652" s="97" t="n"/>
      <c r="J652" s="97" t="n">
        <v>48.43381</v>
      </c>
      <c r="K652" s="97" t="n">
        <v>50.62003</v>
      </c>
      <c r="L652" s="97" t="n"/>
      <c r="M652" s="97" t="n"/>
      <c r="N652" s="97" t="n">
        <v>55.66922</v>
      </c>
      <c r="O652" s="97" t="n"/>
      <c r="P652" s="97" t="n">
        <v>68.06197</v>
      </c>
      <c r="Q652" s="97" t="n"/>
      <c r="R652" s="97" t="n">
        <v>39.10189</v>
      </c>
      <c r="S652" s="97" t="n">
        <v>72.79485</v>
      </c>
      <c r="T652" s="97" t="n">
        <v>79.20037000000001</v>
      </c>
      <c r="U652" s="97" t="n">
        <v>82.54275</v>
      </c>
      <c r="V652" s="97" t="n"/>
      <c r="W652" s="97" t="n"/>
      <c r="X652" s="97" t="n"/>
      <c r="Y652" s="97" t="n"/>
      <c r="Z652" s="97" t="n">
        <v>71.85033</v>
      </c>
      <c r="AA652" s="97" t="n">
        <v>59.2268</v>
      </c>
      <c r="AB652" s="97" t="n"/>
      <c r="AC652" s="97" t="n">
        <v>60.24569</v>
      </c>
      <c r="AD652" s="97" t="n"/>
      <c r="AE652" s="97" t="n"/>
      <c r="AF652" s="97" t="n">
        <v>57.60935</v>
      </c>
      <c r="AG652" s="97" t="n">
        <v>38.1996</v>
      </c>
      <c r="AH652" s="97" t="n"/>
      <c r="AI652" s="97" t="n"/>
      <c r="AJ652" s="97" t="n">
        <v>47.92834</v>
      </c>
      <c r="AK652" s="97" t="n"/>
      <c r="AL652" s="97" t="n"/>
      <c r="AM652" s="97" t="n">
        <v>57.17482</v>
      </c>
      <c r="AN652" s="97" t="n"/>
      <c r="AO652" s="97" t="n">
        <v>44.17114</v>
      </c>
      <c r="AP652" s="97" t="n"/>
      <c r="AQ652" s="97" t="n"/>
      <c r="AR652" s="97" t="n"/>
      <c r="AS652" s="97" t="n"/>
      <c r="AT652" s="97" t="n"/>
      <c r="AU652" s="97" t="n"/>
      <c r="AV652" s="97" t="n"/>
      <c r="AW652" s="97" t="n"/>
      <c r="AX652" s="97" t="n"/>
      <c r="AY652" s="97" t="n"/>
    </row>
    <row r="653" s="135">
      <c r="A653" t="inlineStr">
        <is>
          <t>1973-04</t>
        </is>
      </c>
      <c r="B653" s="2" t="n">
        <v>26755</v>
      </c>
      <c r="C653" s="96" t="n">
        <v>653</v>
      </c>
      <c r="E653" s="2">
        <f>B653</f>
        <v/>
      </c>
      <c r="F653" s="3">
        <f>B653</f>
        <v/>
      </c>
      <c r="G653" s="96" t="n">
        <v>651</v>
      </c>
      <c r="H653" s="97" t="n"/>
      <c r="I653" s="97" t="n"/>
      <c r="J653" s="97" t="n">
        <v>48.49768</v>
      </c>
      <c r="K653" s="97" t="n">
        <v>50.22625</v>
      </c>
      <c r="L653" s="97" t="n"/>
      <c r="M653" s="97" t="n"/>
      <c r="N653" s="97" t="n">
        <v>55.36064</v>
      </c>
      <c r="O653" s="97" t="n"/>
      <c r="P653" s="97" t="n">
        <v>67.33044</v>
      </c>
      <c r="Q653" s="97" t="n"/>
      <c r="R653" s="97" t="n">
        <v>38.49566</v>
      </c>
      <c r="S653" s="97" t="n">
        <v>71.26812</v>
      </c>
      <c r="T653" s="97" t="n">
        <v>78.51676999999999</v>
      </c>
      <c r="U653" s="97" t="n">
        <v>83.8964</v>
      </c>
      <c r="V653" s="97" t="n"/>
      <c r="W653" s="97" t="n"/>
      <c r="X653" s="97" t="n"/>
      <c r="Y653" s="97" t="n"/>
      <c r="Z653" s="97" t="n">
        <v>76.19611999999999</v>
      </c>
      <c r="AA653" s="97" t="n">
        <v>59.05854</v>
      </c>
      <c r="AB653" s="97" t="n"/>
      <c r="AC653" s="97" t="n">
        <v>57.02772</v>
      </c>
      <c r="AD653" s="97" t="n"/>
      <c r="AE653" s="97" t="n"/>
      <c r="AF653" s="97" t="n">
        <v>59.61315</v>
      </c>
      <c r="AG653" s="97" t="n">
        <v>38.24257</v>
      </c>
      <c r="AH653" s="97" t="n"/>
      <c r="AI653" s="97" t="n"/>
      <c r="AJ653" s="97" t="n">
        <v>47.75999</v>
      </c>
      <c r="AK653" s="97" t="n"/>
      <c r="AL653" s="97" t="n"/>
      <c r="AM653" s="97" t="n">
        <v>57.28975</v>
      </c>
      <c r="AN653" s="97" t="n"/>
      <c r="AO653" s="97" t="n">
        <v>44.11015</v>
      </c>
      <c r="AP653" s="97" t="n"/>
      <c r="AQ653" s="97" t="n"/>
      <c r="AR653" s="97" t="n"/>
      <c r="AS653" s="97" t="n"/>
      <c r="AT653" s="97" t="n"/>
      <c r="AU653" s="97" t="n"/>
      <c r="AV653" s="97" t="n"/>
      <c r="AW653" s="97" t="n"/>
      <c r="AX653" s="97" t="n"/>
      <c r="AY653" s="97" t="n"/>
    </row>
    <row r="654" s="135">
      <c r="A654" t="inlineStr">
        <is>
          <t>1973-05</t>
        </is>
      </c>
      <c r="B654" s="2" t="n">
        <v>26785</v>
      </c>
      <c r="C654" s="96" t="n">
        <v>654</v>
      </c>
      <c r="E654" s="2">
        <f>B654</f>
        <v/>
      </c>
      <c r="F654" s="3">
        <f>B654</f>
        <v/>
      </c>
      <c r="G654" s="96" t="n">
        <v>652</v>
      </c>
      <c r="H654" s="97" t="n"/>
      <c r="I654" s="97" t="n"/>
      <c r="J654" s="97" t="n">
        <v>48.56114</v>
      </c>
      <c r="K654" s="97" t="n">
        <v>50.34795</v>
      </c>
      <c r="L654" s="97" t="n"/>
      <c r="M654" s="97" t="n"/>
      <c r="N654" s="97" t="n">
        <v>55.73094</v>
      </c>
      <c r="O654" s="97" t="n"/>
      <c r="P654" s="97" t="n">
        <v>70.0331</v>
      </c>
      <c r="Q654" s="97" t="n"/>
      <c r="R654" s="97" t="n">
        <v>38.16321</v>
      </c>
      <c r="S654" s="97" t="n">
        <v>75.29871</v>
      </c>
      <c r="T654" s="97" t="n">
        <v>78.51676999999999</v>
      </c>
      <c r="U654" s="97" t="n">
        <v>84.03194999999999</v>
      </c>
      <c r="V654" s="97" t="n"/>
      <c r="W654" s="97" t="n"/>
      <c r="X654" s="97" t="n"/>
      <c r="Y654" s="97" t="n"/>
      <c r="Z654" s="97" t="n">
        <v>78.03100999999999</v>
      </c>
      <c r="AA654" s="97" t="n">
        <v>59.64744</v>
      </c>
      <c r="AB654" s="97" t="n"/>
      <c r="AC654" s="97" t="n">
        <v>57.88833</v>
      </c>
      <c r="AD654" s="97" t="n"/>
      <c r="AE654" s="97" t="n"/>
      <c r="AF654" s="97" t="n">
        <v>58.61125</v>
      </c>
      <c r="AG654" s="97" t="n">
        <v>39.10196</v>
      </c>
      <c r="AH654" s="97" t="n"/>
      <c r="AI654" s="97" t="n"/>
      <c r="AJ654" s="97" t="n">
        <v>49.67887</v>
      </c>
      <c r="AK654" s="97" t="n"/>
      <c r="AL654" s="97" t="n"/>
      <c r="AM654" s="97" t="n">
        <v>58.49645</v>
      </c>
      <c r="AN654" s="97" t="n"/>
      <c r="AO654" s="97" t="n">
        <v>44.39398</v>
      </c>
      <c r="AP654" s="97" t="n"/>
      <c r="AQ654" s="97" t="n"/>
      <c r="AR654" s="97" t="n"/>
      <c r="AS654" s="97" t="n"/>
      <c r="AT654" s="97" t="n"/>
      <c r="AU654" s="97" t="n"/>
      <c r="AV654" s="97" t="n"/>
      <c r="AW654" s="97" t="n"/>
      <c r="AX654" s="97" t="n"/>
      <c r="AY654" s="97" t="n"/>
    </row>
    <row r="655" s="135">
      <c r="A655" t="inlineStr">
        <is>
          <t>1973-06</t>
        </is>
      </c>
      <c r="B655" s="2" t="n">
        <v>26816</v>
      </c>
      <c r="C655" s="96" t="n">
        <v>655</v>
      </c>
      <c r="E655" s="2">
        <f>B655</f>
        <v/>
      </c>
      <c r="F655" s="3">
        <f>B655</f>
        <v/>
      </c>
      <c r="G655" s="96" t="n">
        <v>653</v>
      </c>
      <c r="H655" s="97" t="n"/>
      <c r="I655" s="97" t="n"/>
      <c r="J655" s="97" t="n">
        <v>48.24021</v>
      </c>
      <c r="K655" s="97" t="n">
        <v>50.722</v>
      </c>
      <c r="L655" s="97" t="n"/>
      <c r="M655" s="97" t="n"/>
      <c r="N655" s="97" t="n">
        <v>55.36064</v>
      </c>
      <c r="O655" s="97" t="n"/>
      <c r="P655" s="97" t="n">
        <v>70.68375</v>
      </c>
      <c r="Q655" s="97" t="n"/>
      <c r="R655" s="97" t="n">
        <v>38.9813</v>
      </c>
      <c r="S655" s="97" t="n">
        <v>73.89409999999999</v>
      </c>
      <c r="T655" s="97" t="n">
        <v>79.98164</v>
      </c>
      <c r="U655" s="97" t="n">
        <v>85.44135</v>
      </c>
      <c r="V655" s="97" t="n"/>
      <c r="W655" s="97" t="n"/>
      <c r="X655" s="97" t="n"/>
      <c r="Y655" s="97" t="n"/>
      <c r="Z655" s="97" t="n">
        <v>81.02477</v>
      </c>
      <c r="AA655" s="97" t="n">
        <v>60.23634</v>
      </c>
      <c r="AB655" s="97" t="n"/>
      <c r="AC655" s="97" t="n">
        <v>56.54856</v>
      </c>
      <c r="AD655" s="97" t="n"/>
      <c r="AE655" s="97" t="n"/>
      <c r="AF655" s="97" t="n">
        <v>59.1122</v>
      </c>
      <c r="AG655" s="97" t="n">
        <v>38.50039</v>
      </c>
      <c r="AH655" s="97" t="n"/>
      <c r="AI655" s="97" t="n"/>
      <c r="AJ655" s="97" t="n">
        <v>50.17681</v>
      </c>
      <c r="AK655" s="97" t="n"/>
      <c r="AL655" s="97" t="n"/>
      <c r="AM655" s="97" t="n">
        <v>57.80691</v>
      </c>
      <c r="AN655" s="97" t="n"/>
      <c r="AO655" s="97" t="n">
        <v>44.42443</v>
      </c>
      <c r="AP655" s="97" t="n"/>
      <c r="AQ655" s="97" t="n"/>
      <c r="AR655" s="97" t="n"/>
      <c r="AS655" s="97" t="n"/>
      <c r="AT655" s="97" t="n"/>
      <c r="AU655" s="97" t="n"/>
      <c r="AV655" s="97" t="n"/>
      <c r="AW655" s="97" t="n"/>
      <c r="AX655" s="97" t="n"/>
      <c r="AY655" s="97" t="n"/>
    </row>
    <row r="656" s="135">
      <c r="A656" t="inlineStr">
        <is>
          <t>1973-07</t>
        </is>
      </c>
      <c r="B656" s="2" t="n">
        <v>26846</v>
      </c>
      <c r="C656" s="96" t="n">
        <v>656</v>
      </c>
      <c r="E656" s="2">
        <f>B656</f>
        <v/>
      </c>
      <c r="F656" s="3">
        <f>B656</f>
        <v/>
      </c>
      <c r="G656" s="96" t="n">
        <v>654</v>
      </c>
      <c r="H656" s="97" t="n"/>
      <c r="I656" s="97" t="n"/>
      <c r="J656" s="97" t="n">
        <v>48.77358</v>
      </c>
      <c r="K656" s="97" t="n">
        <v>51.66041</v>
      </c>
      <c r="L656" s="97" t="n"/>
      <c r="M656" s="97" t="n"/>
      <c r="N656" s="97" t="n">
        <v>53.38567</v>
      </c>
      <c r="O656" s="97" t="n"/>
      <c r="P656" s="97" t="n">
        <v>69.89987000000001</v>
      </c>
      <c r="Q656" s="97" t="n"/>
      <c r="R656" s="97" t="n">
        <v>40.65332</v>
      </c>
      <c r="S656" s="97" t="n">
        <v>74.99335000000001</v>
      </c>
      <c r="T656" s="97" t="n">
        <v>79.59099999999999</v>
      </c>
      <c r="U656" s="97" t="n">
        <v>86.12224999999999</v>
      </c>
      <c r="V656" s="97" t="n"/>
      <c r="W656" s="97" t="n"/>
      <c r="X656" s="97" t="n"/>
      <c r="Y656" s="97" t="n"/>
      <c r="Z656" s="97" t="n">
        <v>80.44534</v>
      </c>
      <c r="AA656" s="97" t="n">
        <v>59.56331</v>
      </c>
      <c r="AB656" s="97" t="n"/>
      <c r="AC656" s="97" t="n">
        <v>59.03554</v>
      </c>
      <c r="AD656" s="97" t="n"/>
      <c r="AE656" s="97" t="n"/>
      <c r="AF656" s="97" t="n">
        <v>59.61315</v>
      </c>
      <c r="AG656" s="97" t="n">
        <v>39.66056</v>
      </c>
      <c r="AH656" s="97" t="n"/>
      <c r="AI656" s="97" t="n"/>
      <c r="AJ656" s="97" t="n">
        <v>49.93225</v>
      </c>
      <c r="AK656" s="97" t="n"/>
      <c r="AL656" s="97" t="n"/>
      <c r="AM656" s="97" t="n">
        <v>57.57706</v>
      </c>
      <c r="AN656" s="97" t="n"/>
      <c r="AO656" s="97" t="n">
        <v>44.60808</v>
      </c>
      <c r="AP656" s="97" t="n"/>
      <c r="AQ656" s="97" t="n"/>
      <c r="AR656" s="97" t="n"/>
      <c r="AS656" s="97" t="n"/>
      <c r="AT656" s="97" t="n"/>
      <c r="AU656" s="97" t="n"/>
      <c r="AV656" s="97" t="n"/>
      <c r="AW656" s="97" t="n"/>
      <c r="AX656" s="97" t="n"/>
      <c r="AY656" s="97" t="n"/>
    </row>
    <row r="657" s="135">
      <c r="A657" t="inlineStr">
        <is>
          <t>1973-08</t>
        </is>
      </c>
      <c r="B657" s="2" t="n">
        <v>26877</v>
      </c>
      <c r="C657" s="96" t="n">
        <v>657</v>
      </c>
      <c r="E657" s="2">
        <f>B657</f>
        <v/>
      </c>
      <c r="F657" s="3">
        <f>B657</f>
        <v/>
      </c>
      <c r="G657" s="96" t="n">
        <v>655</v>
      </c>
      <c r="H657" s="97" t="n"/>
      <c r="I657" s="97" t="n"/>
      <c r="J657" s="97" t="n">
        <v>50.30541</v>
      </c>
      <c r="K657" s="97" t="n">
        <v>50.24222</v>
      </c>
      <c r="L657" s="97" t="n"/>
      <c r="M657" s="97" t="n"/>
      <c r="N657" s="97" t="n">
        <v>56.34812</v>
      </c>
      <c r="O657" s="97" t="n"/>
      <c r="P657" s="97" t="n">
        <v>72.04304999999999</v>
      </c>
      <c r="Q657" s="97" t="n"/>
      <c r="R657" s="97" t="n">
        <v>39.77331</v>
      </c>
      <c r="S657" s="97" t="n">
        <v>74.99335000000001</v>
      </c>
      <c r="T657" s="97" t="n">
        <v>79.59099999999999</v>
      </c>
      <c r="U657" s="97" t="n">
        <v>86.46447999999999</v>
      </c>
      <c r="V657" s="97" t="n"/>
      <c r="W657" s="97" t="n"/>
      <c r="X657" s="97" t="n"/>
      <c r="Y657" s="97" t="n"/>
      <c r="Z657" s="97" t="n">
        <v>80.25219</v>
      </c>
      <c r="AA657" s="97" t="n">
        <v>61.33002</v>
      </c>
      <c r="AB657" s="97" t="n"/>
      <c r="AC657" s="97" t="n">
        <v>59.97076</v>
      </c>
      <c r="AD657" s="97" t="n"/>
      <c r="AE657" s="97" t="n"/>
      <c r="AF657" s="97" t="n">
        <v>59.61315</v>
      </c>
      <c r="AG657" s="97" t="n">
        <v>39.66056</v>
      </c>
      <c r="AH657" s="97" t="n"/>
      <c r="AI657" s="97" t="n"/>
      <c r="AJ657" s="97" t="n">
        <v>53.4028</v>
      </c>
      <c r="AK657" s="97" t="n"/>
      <c r="AL657" s="97" t="n"/>
      <c r="AM657" s="97" t="n">
        <v>58.20914</v>
      </c>
      <c r="AN657" s="97" t="n"/>
      <c r="AO657" s="97" t="n">
        <v>44.53383</v>
      </c>
      <c r="AP657" s="97" t="n"/>
      <c r="AQ657" s="97" t="n"/>
      <c r="AR657" s="97" t="n"/>
      <c r="AS657" s="97" t="n"/>
      <c r="AT657" s="97" t="n"/>
      <c r="AU657" s="97" t="n"/>
      <c r="AV657" s="97" t="n"/>
      <c r="AW657" s="97" t="n"/>
      <c r="AX657" s="97" t="n"/>
      <c r="AY657" s="97" t="n"/>
    </row>
    <row r="658" s="135">
      <c r="A658" t="inlineStr">
        <is>
          <t>1973-09</t>
        </is>
      </c>
      <c r="B658" s="2" t="n">
        <v>26908</v>
      </c>
      <c r="C658" s="96" t="n">
        <v>658</v>
      </c>
      <c r="E658" s="2">
        <f>B658</f>
        <v/>
      </c>
      <c r="F658" s="3">
        <f>B658</f>
        <v/>
      </c>
      <c r="G658" s="96" t="n">
        <v>656</v>
      </c>
      <c r="H658" s="97" t="n"/>
      <c r="I658" s="97" t="n"/>
      <c r="J658" s="97" t="n">
        <v>49.68471</v>
      </c>
      <c r="K658" s="97" t="n">
        <v>50.73986</v>
      </c>
      <c r="L658" s="97" t="n"/>
      <c r="M658" s="97" t="n"/>
      <c r="N658" s="97" t="n">
        <v>56.10125</v>
      </c>
      <c r="O658" s="97" t="n"/>
      <c r="P658" s="97" t="n">
        <v>69.85701</v>
      </c>
      <c r="Q658" s="97" t="n"/>
      <c r="R658" s="97" t="n">
        <v>40.4708</v>
      </c>
      <c r="S658" s="97" t="n">
        <v>73.83304</v>
      </c>
      <c r="T658" s="97" t="n">
        <v>79.20037000000001</v>
      </c>
      <c r="U658" s="97" t="n">
        <v>88.79411</v>
      </c>
      <c r="V658" s="97" t="n"/>
      <c r="W658" s="97" t="n"/>
      <c r="X658" s="97" t="n"/>
      <c r="Y658" s="97" t="n"/>
      <c r="Z658" s="97" t="n">
        <v>83.53568</v>
      </c>
      <c r="AA658" s="97" t="n">
        <v>60.48873</v>
      </c>
      <c r="AB658" s="97" t="n"/>
      <c r="AC658" s="97" t="n">
        <v>58.70864</v>
      </c>
      <c r="AD658" s="97" t="n"/>
      <c r="AE658" s="97" t="n"/>
      <c r="AF658" s="97" t="n">
        <v>61.116</v>
      </c>
      <c r="AG658" s="97" t="n">
        <v>40.73479</v>
      </c>
      <c r="AH658" s="97" t="n"/>
      <c r="AI658" s="97" t="n"/>
      <c r="AJ658" s="97" t="n">
        <v>52.47304</v>
      </c>
      <c r="AK658" s="97" t="n"/>
      <c r="AL658" s="97" t="n"/>
      <c r="AM658" s="97" t="n">
        <v>59.58823</v>
      </c>
      <c r="AN658" s="97" t="n"/>
      <c r="AO658" s="97" t="n">
        <v>44.93292</v>
      </c>
      <c r="AP658" s="97" t="n"/>
      <c r="AQ658" s="97" t="n"/>
      <c r="AR658" s="97" t="n"/>
      <c r="AS658" s="97" t="n"/>
      <c r="AT658" s="97" t="n"/>
      <c r="AU658" s="97" t="n"/>
      <c r="AV658" s="97" t="n"/>
      <c r="AW658" s="97" t="n"/>
      <c r="AX658" s="97" t="n"/>
      <c r="AY658" s="97" t="n"/>
    </row>
    <row r="659" s="135">
      <c r="A659" t="inlineStr">
        <is>
          <t>1973-10</t>
        </is>
      </c>
      <c r="B659" s="2" t="n">
        <v>26938</v>
      </c>
      <c r="C659" s="96" t="n">
        <v>659</v>
      </c>
      <c r="E659" s="2">
        <f>B659</f>
        <v/>
      </c>
      <c r="F659" s="3">
        <f>B659</f>
        <v/>
      </c>
      <c r="G659" s="96" t="n">
        <v>657</v>
      </c>
      <c r="H659" s="97" t="n"/>
      <c r="I659" s="97" t="n"/>
      <c r="J659" s="97" t="n">
        <v>50.16259</v>
      </c>
      <c r="K659" s="97" t="n">
        <v>51.29012</v>
      </c>
      <c r="L659" s="97" t="n"/>
      <c r="M659" s="97" t="n"/>
      <c r="N659" s="97" t="n">
        <v>55.73094</v>
      </c>
      <c r="O659" s="97" t="n"/>
      <c r="P659" s="97" t="n">
        <v>71.32704</v>
      </c>
      <c r="Q659" s="97" t="n"/>
      <c r="R659" s="97" t="n">
        <v>40.68917</v>
      </c>
      <c r="S659" s="97" t="n">
        <v>74.99335000000001</v>
      </c>
      <c r="T659" s="97" t="n">
        <v>79.98164</v>
      </c>
      <c r="U659" s="97" t="n">
        <v>88.87887000000001</v>
      </c>
      <c r="V659" s="97" t="n"/>
      <c r="W659" s="97" t="n"/>
      <c r="X659" s="97" t="n"/>
      <c r="Y659" s="97" t="n"/>
      <c r="Z659" s="97" t="n">
        <v>81.50763999999999</v>
      </c>
      <c r="AA659" s="97" t="n">
        <v>61.33002</v>
      </c>
      <c r="AB659" s="97" t="n"/>
      <c r="AC659" s="97" t="n">
        <v>59.96447</v>
      </c>
      <c r="AD659" s="97" t="n"/>
      <c r="AE659" s="97" t="n"/>
      <c r="AF659" s="97" t="n">
        <v>61.116</v>
      </c>
      <c r="AG659" s="97" t="n">
        <v>40.13322</v>
      </c>
      <c r="AH659" s="97" t="n"/>
      <c r="AI659" s="97" t="n"/>
      <c r="AJ659" s="97" t="n">
        <v>52.88579</v>
      </c>
      <c r="AK659" s="97" t="n"/>
      <c r="AL659" s="97" t="n"/>
      <c r="AM659" s="97" t="n">
        <v>59.12854</v>
      </c>
      <c r="AN659" s="97" t="n"/>
      <c r="AO659" s="97" t="n">
        <v>45.23558</v>
      </c>
      <c r="AP659" s="97" t="n"/>
      <c r="AQ659" s="97" t="n"/>
      <c r="AR659" s="97" t="n"/>
      <c r="AS659" s="97" t="n"/>
      <c r="AT659" s="97" t="n"/>
      <c r="AU659" s="97" t="n"/>
      <c r="AV659" s="97" t="n"/>
      <c r="AW659" s="97" t="n"/>
      <c r="AX659" s="97" t="n"/>
      <c r="AY659" s="97" t="n"/>
    </row>
    <row r="660" s="135">
      <c r="A660" t="inlineStr">
        <is>
          <t>1973-11</t>
        </is>
      </c>
      <c r="B660" s="2" t="n">
        <v>26969</v>
      </c>
      <c r="C660" s="96" t="n">
        <v>660</v>
      </c>
      <c r="E660" s="2">
        <f>B660</f>
        <v/>
      </c>
      <c r="F660" s="3">
        <f>B660</f>
        <v/>
      </c>
      <c r="G660" s="96" t="n">
        <v>658</v>
      </c>
      <c r="H660" s="97" t="n"/>
      <c r="I660" s="97" t="n"/>
      <c r="J660" s="97" t="n">
        <v>50.17017</v>
      </c>
      <c r="K660" s="97" t="n">
        <v>51.91416</v>
      </c>
      <c r="L660" s="97" t="n"/>
      <c r="M660" s="97" t="n"/>
      <c r="N660" s="97" t="n">
        <v>56.03953</v>
      </c>
      <c r="O660" s="97" t="n"/>
      <c r="P660" s="97" t="n">
        <v>72.77892</v>
      </c>
      <c r="Q660" s="97" t="n"/>
      <c r="R660" s="97" t="n">
        <v>40.89125</v>
      </c>
      <c r="S660" s="97" t="n">
        <v>75.35977</v>
      </c>
      <c r="T660" s="97" t="n">
        <v>79.10271</v>
      </c>
      <c r="U660" s="97" t="n">
        <v>86.85384999999999</v>
      </c>
      <c r="V660" s="97" t="n"/>
      <c r="W660" s="97" t="n"/>
      <c r="X660" s="97" t="n"/>
      <c r="Y660" s="97" t="n"/>
      <c r="Z660" s="97" t="n">
        <v>81.79736</v>
      </c>
      <c r="AA660" s="97" t="n">
        <v>61.91892</v>
      </c>
      <c r="AB660" s="97" t="n"/>
      <c r="AC660" s="97" t="n">
        <v>61.72398</v>
      </c>
      <c r="AD660" s="97" t="n"/>
      <c r="AE660" s="97" t="n"/>
      <c r="AF660" s="97" t="n">
        <v>61.116</v>
      </c>
      <c r="AG660" s="97" t="n">
        <v>39.83243</v>
      </c>
      <c r="AH660" s="97" t="n"/>
      <c r="AI660" s="97" t="n"/>
      <c r="AJ660" s="97" t="n">
        <v>53.86919</v>
      </c>
      <c r="AK660" s="97" t="n"/>
      <c r="AL660" s="97" t="n"/>
      <c r="AM660" s="97" t="n">
        <v>58.78376</v>
      </c>
      <c r="AN660" s="97" t="n"/>
      <c r="AO660" s="97" t="n">
        <v>45.47484</v>
      </c>
      <c r="AP660" s="97" t="n"/>
      <c r="AQ660" s="97" t="n"/>
      <c r="AR660" s="97" t="n"/>
      <c r="AS660" s="97" t="n"/>
      <c r="AT660" s="97" t="n"/>
      <c r="AU660" s="97" t="n"/>
      <c r="AV660" s="97" t="n"/>
      <c r="AW660" s="97" t="n"/>
      <c r="AX660" s="97" t="n"/>
      <c r="AY660" s="97" t="n"/>
    </row>
    <row r="661" s="135">
      <c r="A661" t="inlineStr">
        <is>
          <t>1973-12</t>
        </is>
      </c>
      <c r="B661" s="2" t="n">
        <v>26999</v>
      </c>
      <c r="C661" s="96" t="n">
        <v>661</v>
      </c>
      <c r="E661" s="2">
        <f>B661</f>
        <v/>
      </c>
      <c r="F661" s="3">
        <f>B661</f>
        <v/>
      </c>
      <c r="G661" s="96" t="n">
        <v>659</v>
      </c>
      <c r="H661" s="97" t="n"/>
      <c r="I661" s="97" t="n"/>
      <c r="J661" s="97" t="n">
        <v>50.30778</v>
      </c>
      <c r="K661" s="97" t="n">
        <v>51.74828</v>
      </c>
      <c r="L661" s="97" t="n"/>
      <c r="M661" s="97" t="n"/>
      <c r="N661" s="97" t="n">
        <v>55.48407</v>
      </c>
      <c r="O661" s="97" t="n"/>
      <c r="P661" s="97" t="n">
        <v>72.15599</v>
      </c>
      <c r="Q661" s="97" t="n"/>
      <c r="R661" s="97" t="n">
        <v>41.90163</v>
      </c>
      <c r="S661" s="97" t="n">
        <v>73.34448</v>
      </c>
      <c r="T661" s="97" t="n">
        <v>78.41911</v>
      </c>
      <c r="U661" s="97" t="n">
        <v>87.06252000000001</v>
      </c>
      <c r="V661" s="97" t="n"/>
      <c r="W661" s="97" t="n"/>
      <c r="X661" s="97" t="n"/>
      <c r="Y661" s="97" t="n"/>
      <c r="Z661" s="97" t="n">
        <v>84.30826</v>
      </c>
      <c r="AA661" s="97" t="n">
        <v>61.91892</v>
      </c>
      <c r="AB661" s="97" t="n"/>
      <c r="AC661" s="97" t="n">
        <v>59.93345</v>
      </c>
      <c r="AD661" s="97" t="n"/>
      <c r="AE661" s="97" t="n"/>
      <c r="AF661" s="97" t="n">
        <v>61.61696</v>
      </c>
      <c r="AG661" s="97" t="n">
        <v>39.10196</v>
      </c>
      <c r="AH661" s="97" t="n"/>
      <c r="AI661" s="97" t="n"/>
      <c r="AJ661" s="97" t="n">
        <v>54.44871</v>
      </c>
      <c r="AK661" s="97" t="n"/>
      <c r="AL661" s="97" t="n"/>
      <c r="AM661" s="97" t="n">
        <v>60.3927</v>
      </c>
      <c r="AN661" s="97" t="n"/>
      <c r="AO661" s="97" t="n">
        <v>45.36631</v>
      </c>
      <c r="AP661" s="97" t="n"/>
      <c r="AQ661" s="97" t="n"/>
      <c r="AR661" s="97" t="n"/>
      <c r="AS661" s="97" t="n"/>
      <c r="AT661" s="97" t="n"/>
      <c r="AU661" s="97" t="n"/>
      <c r="AV661" s="97" t="n"/>
      <c r="AW661" s="97" t="n"/>
      <c r="AX661" s="97" t="n"/>
      <c r="AY661" s="97" t="n"/>
    </row>
    <row r="662" s="135">
      <c r="A662" t="inlineStr">
        <is>
          <t>1974-01</t>
        </is>
      </c>
      <c r="B662" s="2" t="n">
        <v>27030</v>
      </c>
      <c r="C662" s="96" t="n">
        <v>662</v>
      </c>
      <c r="E662" s="2">
        <f>B662</f>
        <v/>
      </c>
      <c r="F662" s="3">
        <f>B662</f>
        <v/>
      </c>
      <c r="G662" s="96" t="n">
        <v>660</v>
      </c>
      <c r="H662" s="97" t="n"/>
      <c r="I662" s="97" t="n"/>
      <c r="J662" s="97" t="n">
        <v>51.34415</v>
      </c>
      <c r="K662" s="97" t="n">
        <v>52.46818</v>
      </c>
      <c r="L662" s="97" t="n"/>
      <c r="M662" s="97" t="n"/>
      <c r="N662" s="97" t="n">
        <v>55.66922</v>
      </c>
      <c r="O662" s="97" t="n">
        <v>59.40729</v>
      </c>
      <c r="P662" s="97" t="n">
        <v>79.37342</v>
      </c>
      <c r="Q662" s="97" t="n"/>
      <c r="R662" s="97" t="n">
        <v>41.33451</v>
      </c>
      <c r="S662" s="97" t="n">
        <v>76.5201</v>
      </c>
      <c r="T662" s="97" t="n">
        <v>72.65731</v>
      </c>
      <c r="U662" s="97" t="n">
        <v>86.82980000000001</v>
      </c>
      <c r="V662" s="97" t="n"/>
      <c r="W662" s="97" t="n"/>
      <c r="X662" s="97" t="n"/>
      <c r="Y662" s="97" t="n"/>
      <c r="Z662" s="97" t="n">
        <v>83.63225</v>
      </c>
      <c r="AA662" s="97" t="n">
        <v>62.25544</v>
      </c>
      <c r="AB662" s="97" t="n"/>
      <c r="AC662" s="97" t="n">
        <v>63.00637</v>
      </c>
      <c r="AD662" s="97" t="n"/>
      <c r="AE662" s="97" t="n"/>
      <c r="AF662" s="97" t="n">
        <v>62.11791</v>
      </c>
      <c r="AG662" s="97" t="n">
        <v>39.70353</v>
      </c>
      <c r="AH662" s="97" t="n"/>
      <c r="AI662" s="97" t="n"/>
      <c r="AJ662" s="97" t="n">
        <v>55.32577</v>
      </c>
      <c r="AK662" s="97" t="n"/>
      <c r="AL662" s="97" t="n"/>
      <c r="AM662" s="97" t="n">
        <v>60.22032</v>
      </c>
      <c r="AN662" s="97" t="n"/>
      <c r="AO662" s="97" t="n">
        <v>45.04732</v>
      </c>
      <c r="AP662" s="97" t="n"/>
      <c r="AQ662" s="97" t="n"/>
      <c r="AR662" s="97" t="n"/>
      <c r="AS662" s="97" t="n"/>
      <c r="AT662" s="97" t="n"/>
      <c r="AU662" s="97" t="n"/>
      <c r="AV662" s="97" t="n"/>
      <c r="AW662" s="97" t="n"/>
      <c r="AX662" s="97" t="n"/>
      <c r="AY662" s="97" t="n"/>
    </row>
    <row r="663" s="135">
      <c r="A663" t="inlineStr">
        <is>
          <t>1974-02</t>
        </is>
      </c>
      <c r="B663" s="2" t="n">
        <v>27061</v>
      </c>
      <c r="C663" s="96" t="n">
        <v>663</v>
      </c>
      <c r="E663" s="2">
        <f>B663</f>
        <v/>
      </c>
      <c r="F663" s="3">
        <f>B663</f>
        <v/>
      </c>
      <c r="G663" s="96" t="n">
        <v>661</v>
      </c>
      <c r="H663" s="97" t="n"/>
      <c r="I663" s="97" t="n"/>
      <c r="J663" s="97" t="n">
        <v>51.60149</v>
      </c>
      <c r="K663" s="97" t="n">
        <v>52.46959</v>
      </c>
      <c r="L663" s="97" t="n"/>
      <c r="M663" s="97" t="n"/>
      <c r="N663" s="97" t="n">
        <v>55.48407</v>
      </c>
      <c r="O663" s="97" t="n">
        <v>59.40729</v>
      </c>
      <c r="P663" s="97" t="n">
        <v>75.52907999999999</v>
      </c>
      <c r="Q663" s="97" t="n"/>
      <c r="R663" s="97" t="n">
        <v>41.2237</v>
      </c>
      <c r="S663" s="97" t="n">
        <v>76.82544</v>
      </c>
      <c r="T663" s="97" t="n">
        <v>72.75497</v>
      </c>
      <c r="U663" s="97" t="n">
        <v>89.87868</v>
      </c>
      <c r="V663" s="97" t="n"/>
      <c r="W663" s="97" t="n"/>
      <c r="X663" s="97" t="n"/>
      <c r="Y663" s="97" t="n"/>
      <c r="Z663" s="97" t="n">
        <v>80.05904</v>
      </c>
      <c r="AA663" s="97" t="n">
        <v>62.08718</v>
      </c>
      <c r="AB663" s="97" t="n"/>
      <c r="AC663" s="97" t="n">
        <v>63.18172</v>
      </c>
      <c r="AD663" s="97" t="n"/>
      <c r="AE663" s="97" t="n"/>
      <c r="AF663" s="97" t="n">
        <v>63.11981</v>
      </c>
      <c r="AG663" s="97" t="n">
        <v>40.00431</v>
      </c>
      <c r="AH663" s="97" t="n"/>
      <c r="AI663" s="97" t="n"/>
      <c r="AJ663" s="97" t="n">
        <v>53.44994</v>
      </c>
      <c r="AK663" s="97" t="n"/>
      <c r="AL663" s="97" t="n"/>
      <c r="AM663" s="97" t="n">
        <v>60.45016</v>
      </c>
      <c r="AN663" s="97" t="n"/>
      <c r="AO663" s="97" t="n">
        <v>44.90747</v>
      </c>
      <c r="AP663" s="97" t="n"/>
      <c r="AQ663" s="97" t="n"/>
      <c r="AR663" s="97" t="n"/>
      <c r="AS663" s="97" t="n"/>
      <c r="AT663" s="97" t="n"/>
      <c r="AU663" s="97" t="n"/>
      <c r="AV663" s="97" t="n"/>
      <c r="AW663" s="97" t="n"/>
      <c r="AX663" s="97" t="n"/>
      <c r="AY663" s="97" t="n"/>
    </row>
    <row r="664" s="135">
      <c r="A664" t="inlineStr">
        <is>
          <t>1974-03</t>
        </is>
      </c>
      <c r="B664" s="2" t="n">
        <v>27089</v>
      </c>
      <c r="C664" s="96" t="n">
        <v>664</v>
      </c>
      <c r="E664" s="2">
        <f>B664</f>
        <v/>
      </c>
      <c r="F664" s="3">
        <f>B664</f>
        <v/>
      </c>
      <c r="G664" s="96" t="n">
        <v>662</v>
      </c>
      <c r="H664" s="97" t="n"/>
      <c r="I664" s="97" t="n"/>
      <c r="J664" s="97" t="n">
        <v>51.00964</v>
      </c>
      <c r="K664" s="97" t="n">
        <v>52.70502</v>
      </c>
      <c r="L664" s="97" t="n"/>
      <c r="M664" s="97" t="n"/>
      <c r="N664" s="97" t="n">
        <v>55.17548</v>
      </c>
      <c r="O664" s="97" t="n">
        <v>60.03263</v>
      </c>
      <c r="P664" s="97" t="n">
        <v>74.28274999999999</v>
      </c>
      <c r="Q664" s="97" t="n"/>
      <c r="R664" s="97" t="n">
        <v>41.31496</v>
      </c>
      <c r="S664" s="97" t="n">
        <v>75.23763</v>
      </c>
      <c r="T664" s="97" t="n">
        <v>75.29407</v>
      </c>
      <c r="U664" s="97" t="n">
        <v>85.04209</v>
      </c>
      <c r="V664" s="97" t="n"/>
      <c r="W664" s="97" t="n"/>
      <c r="X664" s="97" t="n"/>
      <c r="Y664" s="97" t="n"/>
      <c r="Z664" s="97" t="n">
        <v>84.21169</v>
      </c>
      <c r="AA664" s="97" t="n">
        <v>60.65699</v>
      </c>
      <c r="AB664" s="97" t="n"/>
      <c r="AC664" s="97" t="n">
        <v>61.85269</v>
      </c>
      <c r="AD664" s="97" t="n"/>
      <c r="AE664" s="97" t="n"/>
      <c r="AF664" s="97" t="n">
        <v>62.61886</v>
      </c>
      <c r="AG664" s="97" t="n">
        <v>40.3051</v>
      </c>
      <c r="AH664" s="97" t="n"/>
      <c r="AI664" s="97" t="n"/>
      <c r="AJ664" s="97" t="n">
        <v>55.38209</v>
      </c>
      <c r="AK664" s="97" t="n"/>
      <c r="AL664" s="97" t="n"/>
      <c r="AM664" s="97" t="n">
        <v>59.99047</v>
      </c>
      <c r="AN664" s="97" t="n"/>
      <c r="AO664" s="97" t="n">
        <v>44.92159</v>
      </c>
      <c r="AP664" s="97" t="n"/>
      <c r="AQ664" s="97" t="n"/>
      <c r="AR664" s="97" t="n"/>
      <c r="AS664" s="97" t="n"/>
      <c r="AT664" s="97" t="n"/>
      <c r="AU664" s="97" t="n"/>
      <c r="AV664" s="97" t="n"/>
      <c r="AW664" s="97" t="n"/>
      <c r="AX664" s="97" t="n"/>
      <c r="AY664" s="97" t="n"/>
    </row>
    <row r="665" s="135">
      <c r="A665" t="inlineStr">
        <is>
          <t>1974-04</t>
        </is>
      </c>
      <c r="B665" s="2" t="n">
        <v>27120</v>
      </c>
      <c r="C665" s="96" t="n">
        <v>665</v>
      </c>
      <c r="E665" s="2">
        <f>B665</f>
        <v/>
      </c>
      <c r="F665" s="3">
        <f>B665</f>
        <v/>
      </c>
      <c r="G665" s="96" t="n">
        <v>663</v>
      </c>
      <c r="H665" s="97" t="n"/>
      <c r="I665" s="97" t="n"/>
      <c r="J665" s="97" t="n">
        <v>51.28332</v>
      </c>
      <c r="K665" s="97" t="n">
        <v>51.77272</v>
      </c>
      <c r="L665" s="97" t="n"/>
      <c r="M665" s="97" t="n"/>
      <c r="N665" s="97" t="n">
        <v>55.29892</v>
      </c>
      <c r="O665" s="97" t="n">
        <v>57.53127</v>
      </c>
      <c r="P665" s="97" t="n">
        <v>74.3847</v>
      </c>
      <c r="Q665" s="97" t="n"/>
      <c r="R665" s="97" t="n">
        <v>41.17807</v>
      </c>
      <c r="S665" s="97" t="n">
        <v>76.45902</v>
      </c>
      <c r="T665" s="97" t="n">
        <v>79.20037000000001</v>
      </c>
      <c r="U665" s="97" t="n">
        <v>83.48362</v>
      </c>
      <c r="V665" s="97" t="n"/>
      <c r="W665" s="97" t="n"/>
      <c r="X665" s="97" t="n"/>
      <c r="Y665" s="97" t="n"/>
      <c r="Z665" s="97" t="n">
        <v>84.69455000000001</v>
      </c>
      <c r="AA665" s="97" t="n">
        <v>59.39505</v>
      </c>
      <c r="AB665" s="97" t="n"/>
      <c r="AC665" s="97" t="n">
        <v>60.784</v>
      </c>
      <c r="AD665" s="97" t="n"/>
      <c r="AE665" s="97" t="n"/>
      <c r="AF665" s="97" t="n">
        <v>62.11791</v>
      </c>
      <c r="AG665" s="97" t="n">
        <v>40.51994</v>
      </c>
      <c r="AH665" s="97" t="n"/>
      <c r="AI665" s="97" t="n"/>
      <c r="AJ665" s="97" t="n">
        <v>54.1594</v>
      </c>
      <c r="AK665" s="97" t="n"/>
      <c r="AL665" s="97" t="n"/>
      <c r="AM665" s="97" t="n">
        <v>61.42702</v>
      </c>
      <c r="AN665" s="97" t="n"/>
      <c r="AO665" s="97" t="n">
        <v>44.76637</v>
      </c>
      <c r="AP665" s="97" t="n"/>
      <c r="AQ665" s="97" t="n"/>
      <c r="AR665" s="97" t="n"/>
      <c r="AS665" s="97" t="n"/>
      <c r="AT665" s="97" t="n"/>
      <c r="AU665" s="97" t="n"/>
      <c r="AV665" s="97" t="n"/>
      <c r="AW665" s="97" t="n"/>
      <c r="AX665" s="97" t="n"/>
      <c r="AY665" s="97" t="n"/>
    </row>
    <row r="666" s="135">
      <c r="A666" t="inlineStr">
        <is>
          <t>1974-05</t>
        </is>
      </c>
      <c r="B666" s="2" t="n">
        <v>27150</v>
      </c>
      <c r="C666" s="96" t="n">
        <v>666</v>
      </c>
      <c r="E666" s="2">
        <f>B666</f>
        <v/>
      </c>
      <c r="F666" s="3">
        <f>B666</f>
        <v/>
      </c>
      <c r="G666" s="96" t="n">
        <v>664</v>
      </c>
      <c r="H666" s="97" t="n"/>
      <c r="I666" s="97" t="n"/>
      <c r="J666" s="97" t="n">
        <v>50.7369</v>
      </c>
      <c r="K666" s="97" t="n">
        <v>52.39957</v>
      </c>
      <c r="L666" s="97" t="n"/>
      <c r="M666" s="97" t="n"/>
      <c r="N666" s="97" t="n">
        <v>55.9161</v>
      </c>
      <c r="O666" s="97" t="n">
        <v>56.28059</v>
      </c>
      <c r="P666" s="97" t="n">
        <v>74.95388</v>
      </c>
      <c r="Q666" s="97" t="n"/>
      <c r="R666" s="97" t="n">
        <v>41.08029</v>
      </c>
      <c r="S666" s="97" t="n">
        <v>77.49721</v>
      </c>
      <c r="T666" s="97" t="n">
        <v>80.17695000000001</v>
      </c>
      <c r="U666" s="97" t="n">
        <v>85.03419</v>
      </c>
      <c r="V666" s="97" t="n"/>
      <c r="W666" s="97" t="n"/>
      <c r="X666" s="97" t="n"/>
      <c r="Y666" s="97" t="n"/>
      <c r="Z666" s="97" t="n">
        <v>83.72882</v>
      </c>
      <c r="AA666" s="97" t="n">
        <v>59.56331</v>
      </c>
      <c r="AB666" s="97" t="n"/>
      <c r="AC666" s="97" t="n">
        <v>60.1274</v>
      </c>
      <c r="AD666" s="97" t="n"/>
      <c r="AE666" s="97" t="n"/>
      <c r="AF666" s="97" t="n">
        <v>62.61886</v>
      </c>
      <c r="AG666" s="97" t="n">
        <v>41.89495</v>
      </c>
      <c r="AH666" s="97" t="n"/>
      <c r="AI666" s="97" t="n"/>
      <c r="AJ666" s="97" t="n">
        <v>51.37078</v>
      </c>
      <c r="AK666" s="97" t="n"/>
      <c r="AL666" s="97" t="n"/>
      <c r="AM666" s="97" t="n">
        <v>61.19717</v>
      </c>
      <c r="AN666" s="97" t="n"/>
      <c r="AO666" s="97" t="n">
        <v>45.11926</v>
      </c>
      <c r="AP666" s="97" t="n"/>
      <c r="AQ666" s="97" t="n"/>
      <c r="AR666" s="97" t="n"/>
      <c r="AS666" s="97" t="n"/>
      <c r="AT666" s="97" t="n"/>
      <c r="AU666" s="97" t="n"/>
      <c r="AV666" s="97" t="n"/>
      <c r="AW666" s="97" t="n"/>
      <c r="AX666" s="97" t="n"/>
      <c r="AY666" s="97" t="n"/>
    </row>
    <row r="667" s="135">
      <c r="A667" t="inlineStr">
        <is>
          <t>1974-06</t>
        </is>
      </c>
      <c r="B667" s="2" t="n">
        <v>27181</v>
      </c>
      <c r="C667" s="96" t="n">
        <v>667</v>
      </c>
      <c r="E667" s="2">
        <f>B667</f>
        <v/>
      </c>
      <c r="F667" s="3">
        <f>B667</f>
        <v/>
      </c>
      <c r="G667" s="96" t="n">
        <v>665</v>
      </c>
      <c r="H667" s="97" t="n"/>
      <c r="I667" s="97" t="n"/>
      <c r="J667" s="97" t="n">
        <v>52.62365</v>
      </c>
      <c r="K667" s="97" t="n">
        <v>51.68202</v>
      </c>
      <c r="L667" s="97" t="n"/>
      <c r="M667" s="97" t="n"/>
      <c r="N667" s="97" t="n">
        <v>55.2372</v>
      </c>
      <c r="O667" s="97" t="n">
        <v>55.02991</v>
      </c>
      <c r="P667" s="97" t="n">
        <v>75.19131</v>
      </c>
      <c r="Q667" s="97" t="n"/>
      <c r="R667" s="97" t="n">
        <v>42.2732</v>
      </c>
      <c r="S667" s="97" t="n">
        <v>76.15367999999999</v>
      </c>
      <c r="T667" s="97" t="n">
        <v>80.46992</v>
      </c>
      <c r="U667" s="97" t="n">
        <v>82.94376</v>
      </c>
      <c r="V667" s="97" t="n"/>
      <c r="W667" s="97" t="n"/>
      <c r="X667" s="97" t="n"/>
      <c r="Y667" s="97" t="n"/>
      <c r="Z667" s="97" t="n">
        <v>86.33629000000001</v>
      </c>
      <c r="AA667" s="97" t="n">
        <v>57.96486</v>
      </c>
      <c r="AB667" s="97" t="n"/>
      <c r="AC667" s="97" t="n">
        <v>60.52717</v>
      </c>
      <c r="AD667" s="97" t="n"/>
      <c r="AE667" s="97" t="n"/>
      <c r="AF667" s="97" t="n">
        <v>63.62076</v>
      </c>
      <c r="AG667" s="97" t="n">
        <v>41.12151</v>
      </c>
      <c r="AH667" s="97" t="n"/>
      <c r="AI667" s="97" t="n"/>
      <c r="AJ667" s="97" t="n">
        <v>51.1547</v>
      </c>
      <c r="AK667" s="97" t="n"/>
      <c r="AL667" s="97" t="n"/>
      <c r="AM667" s="97" t="n">
        <v>62.92104</v>
      </c>
      <c r="AN667" s="97" t="n"/>
      <c r="AO667" s="97" t="n">
        <v>45.07028</v>
      </c>
      <c r="AP667" s="97" t="n"/>
      <c r="AQ667" s="97" t="n"/>
      <c r="AR667" s="97" t="n"/>
      <c r="AS667" s="97" t="n"/>
      <c r="AT667" s="97" t="n"/>
      <c r="AU667" s="97" t="n"/>
      <c r="AV667" s="97" t="n"/>
      <c r="AW667" s="97" t="n"/>
      <c r="AX667" s="97" t="n"/>
      <c r="AY667" s="97" t="n"/>
    </row>
    <row r="668" s="135">
      <c r="A668" t="inlineStr">
        <is>
          <t>1974-07</t>
        </is>
      </c>
      <c r="B668" s="2" t="n">
        <v>27211</v>
      </c>
      <c r="C668" s="96" t="n">
        <v>668</v>
      </c>
      <c r="E668" s="2">
        <f>B668</f>
        <v/>
      </c>
      <c r="F668" s="3">
        <f>B668</f>
        <v/>
      </c>
      <c r="G668" s="96" t="n">
        <v>666</v>
      </c>
      <c r="H668" s="97" t="n"/>
      <c r="I668" s="97" t="n"/>
      <c r="J668" s="97" t="n">
        <v>51.12309</v>
      </c>
      <c r="K668" s="97" t="n">
        <v>51.43015</v>
      </c>
      <c r="L668" s="97" t="n"/>
      <c r="M668" s="97" t="n"/>
      <c r="N668" s="97" t="n">
        <v>55.17548</v>
      </c>
      <c r="O668" s="97" t="n">
        <v>55.02991</v>
      </c>
      <c r="P668" s="97" t="n">
        <v>74.85863999999999</v>
      </c>
      <c r="Q668" s="97" t="n"/>
      <c r="R668" s="97" t="n">
        <v>43.89307</v>
      </c>
      <c r="S668" s="97" t="n">
        <v>78.29111</v>
      </c>
      <c r="T668" s="97" t="n">
        <v>80.17695000000001</v>
      </c>
      <c r="U668" s="97" t="n">
        <v>76.34891</v>
      </c>
      <c r="V668" s="97" t="n"/>
      <c r="W668" s="97" t="n"/>
      <c r="X668" s="97" t="n"/>
      <c r="Y668" s="97" t="n"/>
      <c r="Z668" s="97" t="n">
        <v>81.50763999999999</v>
      </c>
      <c r="AA668" s="97" t="n">
        <v>57.37596</v>
      </c>
      <c r="AB668" s="97" t="n"/>
      <c r="AC668" s="97" t="n">
        <v>62.66269</v>
      </c>
      <c r="AD668" s="97" t="n"/>
      <c r="AE668" s="97" t="n"/>
      <c r="AF668" s="97" t="n">
        <v>63.62076</v>
      </c>
      <c r="AG668" s="97" t="n">
        <v>41.20745</v>
      </c>
      <c r="AH668" s="97" t="n"/>
      <c r="AI668" s="97" t="n"/>
      <c r="AJ668" s="97" t="n">
        <v>51.70106</v>
      </c>
      <c r="AK668" s="97" t="n"/>
      <c r="AL668" s="97" t="n"/>
      <c r="AM668" s="97" t="n">
        <v>60.73748</v>
      </c>
      <c r="AN668" s="97" t="n"/>
      <c r="AO668" s="97" t="n">
        <v>45.09246</v>
      </c>
      <c r="AP668" s="97" t="n"/>
      <c r="AQ668" s="97" t="n"/>
      <c r="AR668" s="97" t="n"/>
      <c r="AS668" s="97" t="n"/>
      <c r="AT668" s="97" t="n"/>
      <c r="AU668" s="97" t="n"/>
      <c r="AV668" s="97" t="n"/>
      <c r="AW668" s="97" t="n"/>
      <c r="AX668" s="97" t="n"/>
      <c r="AY668" s="97" t="n"/>
    </row>
    <row r="669" s="135">
      <c r="A669" t="inlineStr">
        <is>
          <t>1974-08</t>
        </is>
      </c>
      <c r="B669" s="2" t="n">
        <v>27242</v>
      </c>
      <c r="C669" s="96" t="n">
        <v>669</v>
      </c>
      <c r="E669" s="2">
        <f>B669</f>
        <v/>
      </c>
      <c r="F669" s="3">
        <f>B669</f>
        <v/>
      </c>
      <c r="G669" s="96" t="n">
        <v>667</v>
      </c>
      <c r="H669" s="97" t="n"/>
      <c r="I669" s="97" t="n"/>
      <c r="J669" s="97" t="n">
        <v>51.69989</v>
      </c>
      <c r="K669" s="97" t="n">
        <v>51.37188</v>
      </c>
      <c r="L669" s="97" t="n"/>
      <c r="M669" s="97" t="n"/>
      <c r="N669" s="97" t="n">
        <v>53.8177</v>
      </c>
      <c r="O669" s="97" t="n">
        <v>53.77923</v>
      </c>
      <c r="P669" s="97" t="n">
        <v>84.43795</v>
      </c>
      <c r="Q669" s="97" t="n"/>
      <c r="R669" s="97" t="n">
        <v>42.37749</v>
      </c>
      <c r="S669" s="97" t="n">
        <v>78.29111</v>
      </c>
      <c r="T669" s="97" t="n">
        <v>80.37226</v>
      </c>
      <c r="U669" s="97" t="n">
        <v>83.21243</v>
      </c>
      <c r="V669" s="97" t="n"/>
      <c r="W669" s="97" t="n"/>
      <c r="X669" s="97" t="n"/>
      <c r="Y669" s="97" t="n"/>
      <c r="Z669" s="97" t="n">
        <v>81.50763999999999</v>
      </c>
      <c r="AA669" s="97" t="n">
        <v>56.53467</v>
      </c>
      <c r="AB669" s="97" t="n"/>
      <c r="AC669" s="97" t="n">
        <v>63.22198</v>
      </c>
      <c r="AD669" s="97" t="n"/>
      <c r="AE669" s="97" t="n"/>
      <c r="AF669" s="97" t="n">
        <v>64.12170999999999</v>
      </c>
      <c r="AG669" s="97" t="n">
        <v>42.1098</v>
      </c>
      <c r="AH669" s="97" t="n"/>
      <c r="AI669" s="97" t="n"/>
      <c r="AJ669" s="97" t="n">
        <v>52.46785</v>
      </c>
      <c r="AK669" s="97" t="n"/>
      <c r="AL669" s="97" t="n"/>
      <c r="AM669" s="97" t="n">
        <v>60.90986</v>
      </c>
      <c r="AN669" s="97" t="n"/>
      <c r="AO669" s="97" t="n">
        <v>44.65476</v>
      </c>
      <c r="AP669" s="97" t="n"/>
      <c r="AQ669" s="97" t="n"/>
      <c r="AR669" s="97" t="n"/>
      <c r="AS669" s="97" t="n"/>
      <c r="AT669" s="97" t="n"/>
      <c r="AU669" s="97" t="n"/>
      <c r="AV669" s="97" t="n"/>
      <c r="AW669" s="97" t="n"/>
      <c r="AX669" s="97" t="n"/>
      <c r="AY669" s="97" t="n"/>
    </row>
    <row r="670" s="135">
      <c r="A670" t="inlineStr">
        <is>
          <t>1974-09</t>
        </is>
      </c>
      <c r="B670" s="2" t="n">
        <v>27273</v>
      </c>
      <c r="C670" s="96" t="n">
        <v>670</v>
      </c>
      <c r="E670" s="2">
        <f>B670</f>
        <v/>
      </c>
      <c r="F670" s="3">
        <f>B670</f>
        <v/>
      </c>
      <c r="G670" s="96" t="n">
        <v>668</v>
      </c>
      <c r="H670" s="97" t="n"/>
      <c r="I670" s="97" t="n"/>
      <c r="J670" s="97" t="n">
        <v>51.76238</v>
      </c>
      <c r="K670" s="97" t="n">
        <v>50.71213</v>
      </c>
      <c r="L670" s="97" t="n"/>
      <c r="M670" s="97" t="n"/>
      <c r="N670" s="97" t="n">
        <v>53.94113</v>
      </c>
      <c r="O670" s="97" t="n">
        <v>53.77923</v>
      </c>
      <c r="P670" s="97" t="n">
        <v>73.80624</v>
      </c>
      <c r="Q670" s="97" t="n"/>
      <c r="R670" s="97" t="n">
        <v>40.98577</v>
      </c>
      <c r="S670" s="97" t="n">
        <v>74.62694</v>
      </c>
      <c r="T670" s="97" t="n">
        <v>78.9074</v>
      </c>
      <c r="U670" s="97" t="n">
        <v>83.06337000000001</v>
      </c>
      <c r="V670" s="97" t="n"/>
      <c r="W670" s="97" t="n"/>
      <c r="X670" s="97" t="n"/>
      <c r="Y670" s="97" t="n"/>
      <c r="Z670" s="97" t="n">
        <v>82.47337</v>
      </c>
      <c r="AA670" s="97" t="n">
        <v>55.94576</v>
      </c>
      <c r="AB670" s="97" t="n"/>
      <c r="AC670" s="97" t="n">
        <v>61.56614</v>
      </c>
      <c r="AD670" s="97" t="n"/>
      <c r="AE670" s="97" t="n"/>
      <c r="AF670" s="97" t="n">
        <v>63.62076</v>
      </c>
      <c r="AG670" s="97" t="n">
        <v>40.90666</v>
      </c>
      <c r="AH670" s="97" t="n"/>
      <c r="AI670" s="97" t="n"/>
      <c r="AJ670" s="97" t="n">
        <v>47.97517</v>
      </c>
      <c r="AK670" s="97" t="n"/>
      <c r="AL670" s="97" t="n"/>
      <c r="AM670" s="97" t="n">
        <v>60.56509</v>
      </c>
      <c r="AN670" s="97" t="n"/>
      <c r="AO670" s="97" t="n">
        <v>44.67676</v>
      </c>
      <c r="AP670" s="97" t="n"/>
      <c r="AQ670" s="97" t="n"/>
      <c r="AR670" s="97" t="n"/>
      <c r="AS670" s="97" t="n"/>
      <c r="AT670" s="97" t="n"/>
      <c r="AU670" s="97" t="n"/>
      <c r="AV670" s="97" t="n"/>
      <c r="AW670" s="97" t="n"/>
      <c r="AX670" s="97" t="n"/>
      <c r="AY670" s="97" t="n"/>
    </row>
    <row r="671" s="135">
      <c r="A671" t="inlineStr">
        <is>
          <t>1974-10</t>
        </is>
      </c>
      <c r="B671" s="2" t="n">
        <v>27303</v>
      </c>
      <c r="C671" s="96" t="n">
        <v>671</v>
      </c>
      <c r="E671" s="2">
        <f>B671</f>
        <v/>
      </c>
      <c r="F671" s="3">
        <f>B671</f>
        <v/>
      </c>
      <c r="G671" s="96" t="n">
        <v>669</v>
      </c>
      <c r="H671" s="97" t="n"/>
      <c r="I671" s="97" t="n"/>
      <c r="J671" s="97" t="n">
        <v>50.75652</v>
      </c>
      <c r="K671" s="97" t="n">
        <v>50.64024</v>
      </c>
      <c r="L671" s="97" t="n"/>
      <c r="M671" s="97" t="n"/>
      <c r="N671" s="97" t="n">
        <v>53.75598</v>
      </c>
      <c r="O671" s="97" t="n">
        <v>51.90321</v>
      </c>
      <c r="P671" s="97" t="n">
        <v>75.41970000000001</v>
      </c>
      <c r="Q671" s="97" t="n"/>
      <c r="R671" s="97" t="n">
        <v>41.49096</v>
      </c>
      <c r="S671" s="97" t="n">
        <v>74.74908000000001</v>
      </c>
      <c r="T671" s="97" t="n">
        <v>77.34488</v>
      </c>
      <c r="U671" s="97" t="n">
        <v>83.11069000000001</v>
      </c>
      <c r="V671" s="97" t="n"/>
      <c r="W671" s="97" t="n"/>
      <c r="X671" s="97" t="n"/>
      <c r="Y671" s="97" t="n"/>
      <c r="Z671" s="97" t="n">
        <v>77.93443000000001</v>
      </c>
      <c r="AA671" s="97" t="n">
        <v>54.76796</v>
      </c>
      <c r="AB671" s="97" t="n"/>
      <c r="AC671" s="97" t="n">
        <v>61.60959</v>
      </c>
      <c r="AD671" s="97" t="n"/>
      <c r="AE671" s="97" t="n"/>
      <c r="AF671" s="97" t="n">
        <v>62.61886</v>
      </c>
      <c r="AG671" s="97" t="n">
        <v>41.89495</v>
      </c>
      <c r="AH671" s="97" t="n"/>
      <c r="AI671" s="97" t="n"/>
      <c r="AJ671" s="97" t="n">
        <v>52.02446</v>
      </c>
      <c r="AK671" s="97" t="n"/>
      <c r="AL671" s="97" t="n"/>
      <c r="AM671" s="97" t="n">
        <v>61.02479</v>
      </c>
      <c r="AN671" s="97" t="n"/>
      <c r="AO671" s="97" t="n">
        <v>44.51011</v>
      </c>
      <c r="AP671" s="97" t="n"/>
      <c r="AQ671" s="97" t="n"/>
      <c r="AR671" s="97" t="n"/>
      <c r="AS671" s="97" t="n"/>
      <c r="AT671" s="97" t="n"/>
      <c r="AU671" s="97" t="n"/>
      <c r="AV671" s="97" t="n"/>
      <c r="AW671" s="97" t="n"/>
      <c r="AX671" s="97" t="n"/>
      <c r="AY671" s="97" t="n"/>
    </row>
    <row r="672" s="135">
      <c r="A672" t="inlineStr">
        <is>
          <t>1974-11</t>
        </is>
      </c>
      <c r="B672" s="2" t="n">
        <v>27334</v>
      </c>
      <c r="C672" s="96" t="n">
        <v>672</v>
      </c>
      <c r="E672" s="2">
        <f>B672</f>
        <v/>
      </c>
      <c r="F672" s="3">
        <f>B672</f>
        <v/>
      </c>
      <c r="G672" s="96" t="n">
        <v>670</v>
      </c>
      <c r="H672" s="97" t="n"/>
      <c r="I672" s="97" t="n"/>
      <c r="J672" s="97" t="n">
        <v>50.7923</v>
      </c>
      <c r="K672" s="97" t="n">
        <v>49.72861</v>
      </c>
      <c r="L672" s="97" t="n"/>
      <c r="M672" s="97" t="n"/>
      <c r="N672" s="97" t="n">
        <v>53.38567</v>
      </c>
      <c r="O672" s="97" t="n">
        <v>52.52855</v>
      </c>
      <c r="P672" s="97" t="n">
        <v>71.65655</v>
      </c>
      <c r="Q672" s="97" t="n"/>
      <c r="R672" s="97" t="n">
        <v>41.36711</v>
      </c>
      <c r="S672" s="97" t="n">
        <v>71.81774</v>
      </c>
      <c r="T672" s="97" t="n">
        <v>77.24722</v>
      </c>
      <c r="U672" s="97" t="n">
        <v>83.36216</v>
      </c>
      <c r="V672" s="97" t="n"/>
      <c r="W672" s="97" t="n"/>
      <c r="X672" s="97" t="n"/>
      <c r="Y672" s="97" t="n"/>
      <c r="Z672" s="97" t="n">
        <v>78.03100999999999</v>
      </c>
      <c r="AA672" s="97" t="n">
        <v>53.84254</v>
      </c>
      <c r="AB672" s="97" t="n"/>
      <c r="AC672" s="97" t="n">
        <v>55.80033</v>
      </c>
      <c r="AD672" s="97" t="n"/>
      <c r="AE672" s="97" t="n"/>
      <c r="AF672" s="97" t="n">
        <v>62.61886</v>
      </c>
      <c r="AG672" s="97" t="n">
        <v>42.28168</v>
      </c>
      <c r="AH672" s="97" t="n"/>
      <c r="AI672" s="97" t="n"/>
      <c r="AJ672" s="97" t="n">
        <v>49.81215</v>
      </c>
      <c r="AK672" s="97" t="n"/>
      <c r="AL672" s="97" t="n"/>
      <c r="AM672" s="97" t="n">
        <v>61.13971</v>
      </c>
      <c r="AN672" s="97" t="n"/>
      <c r="AO672" s="97" t="n">
        <v>43.0509</v>
      </c>
      <c r="AP672" s="97" t="n"/>
      <c r="AQ672" s="97" t="n"/>
      <c r="AR672" s="97" t="n"/>
      <c r="AS672" s="97" t="n"/>
      <c r="AT672" s="97" t="n"/>
      <c r="AU672" s="97" t="n"/>
      <c r="AV672" s="97" t="n"/>
      <c r="AW672" s="97" t="n"/>
      <c r="AX672" s="97" t="n"/>
      <c r="AY672" s="97" t="n"/>
    </row>
    <row r="673" s="135">
      <c r="A673" t="inlineStr">
        <is>
          <t>1974-12</t>
        </is>
      </c>
      <c r="B673" s="2" t="n">
        <v>27364</v>
      </c>
      <c r="C673" s="96" t="n">
        <v>673</v>
      </c>
      <c r="E673" s="2">
        <f>B673</f>
        <v/>
      </c>
      <c r="F673" s="3">
        <f>B673</f>
        <v/>
      </c>
      <c r="G673" s="96" t="n">
        <v>671</v>
      </c>
      <c r="H673" s="97" t="n"/>
      <c r="I673" s="97" t="n"/>
      <c r="J673" s="97" t="n">
        <v>48.20314</v>
      </c>
      <c r="K673" s="97" t="n">
        <v>49.61255</v>
      </c>
      <c r="L673" s="97" t="n"/>
      <c r="M673" s="97" t="n"/>
      <c r="N673" s="97" t="n">
        <v>50.73182</v>
      </c>
      <c r="O673" s="97" t="n">
        <v>50.02719</v>
      </c>
      <c r="P673" s="97" t="n">
        <v>70.33206</v>
      </c>
      <c r="Q673" s="97" t="n"/>
      <c r="R673" s="97" t="n">
        <v>41.18785</v>
      </c>
      <c r="S673" s="97" t="n">
        <v>70.59635</v>
      </c>
      <c r="T673" s="97" t="n">
        <v>75.97767</v>
      </c>
      <c r="U673" s="97" t="n">
        <v>84.26906</v>
      </c>
      <c r="V673" s="97" t="n"/>
      <c r="W673" s="97" t="n"/>
      <c r="X673" s="97" t="n"/>
      <c r="Y673" s="97" t="n"/>
      <c r="Z673" s="97" t="n">
        <v>74.65096</v>
      </c>
      <c r="AA673" s="97" t="n">
        <v>52.83299</v>
      </c>
      <c r="AB673" s="97" t="n"/>
      <c r="AC673" s="97" t="n">
        <v>54.17044</v>
      </c>
      <c r="AD673" s="97" t="n"/>
      <c r="AE673" s="97" t="n"/>
      <c r="AF673" s="97" t="n">
        <v>59.61315</v>
      </c>
      <c r="AG673" s="97" t="n">
        <v>40.47697</v>
      </c>
      <c r="AH673" s="97" t="n"/>
      <c r="AI673" s="97" t="n"/>
      <c r="AJ673" s="97" t="n">
        <v>52.22935</v>
      </c>
      <c r="AK673" s="97" t="n"/>
      <c r="AL673" s="97" t="n"/>
      <c r="AM673" s="97" t="n">
        <v>59.01361</v>
      </c>
      <c r="AN673" s="97" t="n"/>
      <c r="AO673" s="97" t="n">
        <v>41.52667</v>
      </c>
      <c r="AP673" s="97" t="n"/>
      <c r="AQ673" s="97" t="n"/>
      <c r="AR673" s="97" t="n"/>
      <c r="AS673" s="97" t="n"/>
      <c r="AT673" s="97" t="n"/>
      <c r="AU673" s="97" t="n"/>
      <c r="AV673" s="97" t="n"/>
      <c r="AW673" s="97" t="n"/>
      <c r="AX673" s="97" t="n"/>
      <c r="AY673" s="97" t="n"/>
    </row>
    <row r="674" s="135">
      <c r="A674" t="inlineStr">
        <is>
          <t>1975-01</t>
        </is>
      </c>
      <c r="B674" s="2" t="n">
        <v>27395</v>
      </c>
      <c r="C674" s="96" t="n">
        <v>674</v>
      </c>
      <c r="E674" s="2">
        <f>B674</f>
        <v/>
      </c>
      <c r="F674" s="3">
        <f>B674</f>
        <v/>
      </c>
      <c r="G674" s="96" t="n">
        <v>672</v>
      </c>
      <c r="H674" s="97" t="n"/>
      <c r="I674" s="97" t="n"/>
      <c r="J674" s="97" t="n">
        <v>47.65506</v>
      </c>
      <c r="K674" s="97" t="n">
        <v>47.93027</v>
      </c>
      <c r="L674" s="97" t="n"/>
      <c r="M674" s="97" t="n"/>
      <c r="N674" s="97" t="n">
        <v>51.04041</v>
      </c>
      <c r="O674" s="97" t="n">
        <v>51.90321</v>
      </c>
      <c r="P674" s="97" t="n">
        <v>71.1048</v>
      </c>
      <c r="Q674" s="97" t="n"/>
      <c r="R674" s="97" t="n">
        <v>41.41986</v>
      </c>
      <c r="S674" s="97" t="n">
        <v>69.80244</v>
      </c>
      <c r="T674" s="97" t="n">
        <v>76.66127</v>
      </c>
      <c r="U674" s="97" t="n">
        <v>84.27667</v>
      </c>
      <c r="V674" s="97" t="n"/>
      <c r="W674" s="97" t="n"/>
      <c r="X674" s="97" t="n"/>
      <c r="Y674" s="97" t="n"/>
      <c r="Z674" s="97" t="n">
        <v>74.07152000000001</v>
      </c>
      <c r="AA674" s="97" t="n">
        <v>50.8139</v>
      </c>
      <c r="AB674" s="97" t="n"/>
      <c r="AC674" s="97" t="n">
        <v>51.00855</v>
      </c>
      <c r="AD674" s="97" t="n"/>
      <c r="AE674" s="97" t="n"/>
      <c r="AF674" s="97" t="n">
        <v>59.52966</v>
      </c>
      <c r="AG674" s="97" t="n">
        <v>38.12103</v>
      </c>
      <c r="AH674" s="97" t="n">
        <v>43.45753</v>
      </c>
      <c r="AI674" s="97" t="n"/>
      <c r="AJ674" s="97" t="n">
        <v>50.85014</v>
      </c>
      <c r="AK674" s="97" t="n"/>
      <c r="AL674" s="97" t="n"/>
      <c r="AM674" s="97" t="n">
        <v>62.34642</v>
      </c>
      <c r="AN674" s="97" t="n"/>
      <c r="AO674" s="97" t="n">
        <v>40.95699</v>
      </c>
      <c r="AP674" s="97" t="n"/>
      <c r="AQ674" s="97" t="n"/>
      <c r="AR674" s="97" t="n"/>
      <c r="AS674" s="97" t="n"/>
      <c r="AT674" s="97" t="n"/>
      <c r="AU674" s="97" t="n"/>
      <c r="AV674" s="97" t="n"/>
      <c r="AW674" s="97" t="n"/>
      <c r="AX674" s="97" t="n"/>
      <c r="AY674" s="97" t="n">
        <v>47.67749</v>
      </c>
    </row>
    <row r="675" s="135">
      <c r="A675" t="inlineStr">
        <is>
          <t>1975-02</t>
        </is>
      </c>
      <c r="B675" s="2" t="n">
        <v>27426</v>
      </c>
      <c r="C675" s="96" t="n">
        <v>675</v>
      </c>
      <c r="E675" s="2">
        <f>B675</f>
        <v/>
      </c>
      <c r="F675" s="3">
        <f>B675</f>
        <v/>
      </c>
      <c r="G675" s="96" t="n">
        <v>673</v>
      </c>
      <c r="H675" s="97" t="n"/>
      <c r="I675" s="97" t="n"/>
      <c r="J675" s="97" t="n">
        <v>46.84294</v>
      </c>
      <c r="K675" s="97" t="n">
        <v>47.96269</v>
      </c>
      <c r="L675" s="97" t="n"/>
      <c r="M675" s="97" t="n"/>
      <c r="N675" s="97" t="n">
        <v>50.79354</v>
      </c>
      <c r="O675" s="97" t="n">
        <v>51.90321</v>
      </c>
      <c r="P675" s="97" t="n">
        <v>71.42765</v>
      </c>
      <c r="Q675" s="97" t="n"/>
      <c r="R675" s="97" t="n">
        <v>41.52126</v>
      </c>
      <c r="S675" s="97" t="n">
        <v>69.55817</v>
      </c>
      <c r="T675" s="97" t="n">
        <v>76.07532999999999</v>
      </c>
      <c r="U675" s="97" t="n">
        <v>85.58696</v>
      </c>
      <c r="V675" s="97" t="n"/>
      <c r="W675" s="97" t="n"/>
      <c r="X675" s="97" t="n"/>
      <c r="Y675" s="97" t="n"/>
      <c r="Z675" s="97" t="n">
        <v>74.07152000000001</v>
      </c>
      <c r="AA675" s="97" t="n">
        <v>50.30912</v>
      </c>
      <c r="AB675" s="97" t="n"/>
      <c r="AC675" s="97" t="n">
        <v>52.99129</v>
      </c>
      <c r="AD675" s="97" t="n"/>
      <c r="AE675" s="97" t="n"/>
      <c r="AF675" s="97" t="n">
        <v>59.52966</v>
      </c>
      <c r="AG675" s="97" t="n">
        <v>40.92405</v>
      </c>
      <c r="AH675" s="97" t="n">
        <v>43.00803</v>
      </c>
      <c r="AI675" s="97" t="n"/>
      <c r="AJ675" s="97" t="n">
        <v>51.52964</v>
      </c>
      <c r="AK675" s="97" t="n"/>
      <c r="AL675" s="97" t="n"/>
      <c r="AM675" s="97" t="n">
        <v>61.08225</v>
      </c>
      <c r="AN675" s="97" t="n"/>
      <c r="AO675" s="97" t="n">
        <v>40.01502</v>
      </c>
      <c r="AP675" s="97" t="n"/>
      <c r="AQ675" s="97" t="n"/>
      <c r="AR675" s="97" t="n"/>
      <c r="AS675" s="97" t="n"/>
      <c r="AT675" s="97" t="n"/>
      <c r="AU675" s="97" t="n"/>
      <c r="AV675" s="97" t="n"/>
      <c r="AW675" s="97" t="n"/>
      <c r="AX675" s="97" t="n"/>
      <c r="AY675" s="97" t="n">
        <v>47.57753</v>
      </c>
    </row>
    <row r="676" s="135">
      <c r="A676" t="inlineStr">
        <is>
          <t>1975-03</t>
        </is>
      </c>
      <c r="B676" s="2" t="n">
        <v>27454</v>
      </c>
      <c r="C676" s="96" t="n">
        <v>676</v>
      </c>
      <c r="E676" s="2">
        <f>B676</f>
        <v/>
      </c>
      <c r="F676" s="3">
        <f>B676</f>
        <v/>
      </c>
      <c r="G676" s="96" t="n">
        <v>674</v>
      </c>
      <c r="H676" s="97" t="n"/>
      <c r="I676" s="97" t="n"/>
      <c r="J676" s="97" t="n">
        <v>47.51836</v>
      </c>
      <c r="K676" s="97" t="n">
        <v>47.13941</v>
      </c>
      <c r="L676" s="97" t="n"/>
      <c r="M676" s="97" t="n"/>
      <c r="N676" s="97" t="n">
        <v>51.349</v>
      </c>
      <c r="O676" s="97" t="n">
        <v>48.15117</v>
      </c>
      <c r="P676" s="97" t="n">
        <v>78.0034</v>
      </c>
      <c r="Q676" s="97" t="n"/>
      <c r="R676" s="97" t="n">
        <v>41.01429</v>
      </c>
      <c r="S676" s="97" t="n">
        <v>68.51999000000001</v>
      </c>
      <c r="T676" s="97" t="n">
        <v>74.61046</v>
      </c>
      <c r="U676" s="97" t="n">
        <v>86.63521</v>
      </c>
      <c r="V676" s="97" t="n"/>
      <c r="W676" s="97" t="n"/>
      <c r="X676" s="97" t="n"/>
      <c r="Y676" s="97" t="n"/>
      <c r="Z676" s="97" t="n">
        <v>74.07152000000001</v>
      </c>
      <c r="AA676" s="97" t="n">
        <v>49.63609</v>
      </c>
      <c r="AB676" s="97" t="n"/>
      <c r="AC676" s="97" t="n">
        <v>52.45432</v>
      </c>
      <c r="AD676" s="97" t="n"/>
      <c r="AE676" s="97" t="n"/>
      <c r="AF676" s="97" t="n">
        <v>60.12496</v>
      </c>
      <c r="AG676" s="97" t="n">
        <v>42.04525</v>
      </c>
      <c r="AH676" s="97" t="n">
        <v>42.85985</v>
      </c>
      <c r="AI676" s="97" t="n"/>
      <c r="AJ676" s="97" t="n">
        <v>49.44728</v>
      </c>
      <c r="AK676" s="97" t="n"/>
      <c r="AL676" s="97" t="n"/>
      <c r="AM676" s="97" t="n">
        <v>62.0591</v>
      </c>
      <c r="AN676" s="97" t="n"/>
      <c r="AO676" s="97" t="n">
        <v>39.58596</v>
      </c>
      <c r="AP676" s="97" t="n"/>
      <c r="AQ676" s="97" t="n"/>
      <c r="AR676" s="97" t="n"/>
      <c r="AS676" s="97" t="n"/>
      <c r="AT676" s="97" t="n"/>
      <c r="AU676" s="97" t="n"/>
      <c r="AV676" s="97" t="n"/>
      <c r="AW676" s="97" t="n"/>
      <c r="AX676" s="97" t="n"/>
      <c r="AY676" s="97" t="n">
        <v>46.69941</v>
      </c>
    </row>
    <row r="677" s="135">
      <c r="A677" t="inlineStr">
        <is>
          <t>1975-04</t>
        </is>
      </c>
      <c r="B677" s="2" t="n">
        <v>27485</v>
      </c>
      <c r="C677" s="96" t="n">
        <v>677</v>
      </c>
      <c r="E677" s="2">
        <f>B677</f>
        <v/>
      </c>
      <c r="F677" s="3">
        <f>B677</f>
        <v/>
      </c>
      <c r="G677" s="96" t="n">
        <v>675</v>
      </c>
      <c r="H677" s="97" t="n"/>
      <c r="I677" s="97" t="n"/>
      <c r="J677" s="97" t="n">
        <v>43.36089</v>
      </c>
      <c r="K677" s="97" t="n">
        <v>47.57032</v>
      </c>
      <c r="L677" s="97" t="n"/>
      <c r="M677" s="97" t="n"/>
      <c r="N677" s="97" t="n">
        <v>50.6701</v>
      </c>
      <c r="O677" s="97" t="n">
        <v>52.52855</v>
      </c>
      <c r="P677" s="97" t="n">
        <v>68.60966000000001</v>
      </c>
      <c r="Q677" s="97" t="n"/>
      <c r="R677" s="97" t="n">
        <v>41.16638</v>
      </c>
      <c r="S677" s="97" t="n">
        <v>68.70319000000001</v>
      </c>
      <c r="T677" s="97" t="n">
        <v>73.34090999999999</v>
      </c>
      <c r="U677" s="97" t="n">
        <v>87.44181</v>
      </c>
      <c r="V677" s="97" t="n"/>
      <c r="W677" s="97" t="n"/>
      <c r="X677" s="97" t="n"/>
      <c r="Y677" s="97" t="n"/>
      <c r="Z677" s="97" t="n">
        <v>72.52634</v>
      </c>
      <c r="AA677" s="97" t="n">
        <v>50.8139</v>
      </c>
      <c r="AB677" s="97" t="n"/>
      <c r="AC677" s="97" t="n">
        <v>45.66622</v>
      </c>
      <c r="AD677" s="97" t="n"/>
      <c r="AE677" s="97" t="n"/>
      <c r="AF677" s="97" t="n">
        <v>58.93436</v>
      </c>
      <c r="AG677" s="97" t="n">
        <v>44.28767</v>
      </c>
      <c r="AH677" s="97" t="n">
        <v>42.56033</v>
      </c>
      <c r="AI677" s="97" t="n"/>
      <c r="AJ677" s="97" t="n">
        <v>47.98399</v>
      </c>
      <c r="AK677" s="97" t="n"/>
      <c r="AL677" s="97" t="n"/>
      <c r="AM677" s="97" t="n">
        <v>59.58823</v>
      </c>
      <c r="AN677" s="97" t="n"/>
      <c r="AO677" s="97" t="n">
        <v>39.61718</v>
      </c>
      <c r="AP677" s="97" t="n"/>
      <c r="AQ677" s="97" t="n"/>
      <c r="AR677" s="97" t="n"/>
      <c r="AS677" s="97" t="n"/>
      <c r="AT677" s="97" t="n"/>
      <c r="AU677" s="97" t="n"/>
      <c r="AV677" s="97" t="n"/>
      <c r="AW677" s="97" t="n"/>
      <c r="AX677" s="97" t="n"/>
      <c r="AY677" s="97" t="n">
        <v>49.66235</v>
      </c>
    </row>
    <row r="678" s="135">
      <c r="A678" t="inlineStr">
        <is>
          <t>1975-05</t>
        </is>
      </c>
      <c r="B678" s="2" t="n">
        <v>27515</v>
      </c>
      <c r="C678" s="96" t="n">
        <v>678</v>
      </c>
      <c r="E678" s="2">
        <f>B678</f>
        <v/>
      </c>
      <c r="F678" s="3">
        <f>B678</f>
        <v/>
      </c>
      <c r="G678" s="96" t="n">
        <v>676</v>
      </c>
      <c r="H678" s="97" t="n"/>
      <c r="I678" s="97" t="n"/>
      <c r="J678" s="97" t="n">
        <v>45.23846</v>
      </c>
      <c r="K678" s="97" t="n">
        <v>46.45757</v>
      </c>
      <c r="L678" s="97" t="n"/>
      <c r="M678" s="97" t="n"/>
      <c r="N678" s="97" t="n">
        <v>50.48495</v>
      </c>
      <c r="O678" s="97" t="n">
        <v>51.27787</v>
      </c>
      <c r="P678" s="97" t="n">
        <v>72.06178</v>
      </c>
      <c r="Q678" s="97" t="n"/>
      <c r="R678" s="97" t="n">
        <v>39.08778</v>
      </c>
      <c r="S678" s="97" t="n">
        <v>66.74897</v>
      </c>
      <c r="T678" s="97" t="n">
        <v>72.26667999999999</v>
      </c>
      <c r="U678" s="97" t="n">
        <v>86.24406</v>
      </c>
      <c r="V678" s="97" t="n"/>
      <c r="W678" s="97" t="n"/>
      <c r="X678" s="97" t="n"/>
      <c r="Y678" s="97" t="n"/>
      <c r="Z678" s="97" t="n">
        <v>73.58865</v>
      </c>
      <c r="AA678" s="97" t="n">
        <v>50.8139</v>
      </c>
      <c r="AB678" s="97" t="n"/>
      <c r="AC678" s="97" t="n">
        <v>45.60248</v>
      </c>
      <c r="AD678" s="97" t="n"/>
      <c r="AE678" s="97" t="n"/>
      <c r="AF678" s="97" t="n">
        <v>59.52966</v>
      </c>
      <c r="AG678" s="97" t="n">
        <v>44.28767</v>
      </c>
      <c r="AH678" s="97" t="n">
        <v>42.50346</v>
      </c>
      <c r="AI678" s="97" t="n"/>
      <c r="AJ678" s="97" t="n">
        <v>49.57219</v>
      </c>
      <c r="AK678" s="97" t="n"/>
      <c r="AL678" s="97" t="n"/>
      <c r="AM678" s="97" t="n">
        <v>59.41585</v>
      </c>
      <c r="AN678" s="97" t="n"/>
      <c r="AO678" s="97" t="n">
        <v>39.52641</v>
      </c>
      <c r="AP678" s="97" t="n"/>
      <c r="AQ678" s="97" t="n"/>
      <c r="AR678" s="97" t="n"/>
      <c r="AS678" s="97" t="n"/>
      <c r="AT678" s="97" t="n"/>
      <c r="AU678" s="97" t="n"/>
      <c r="AV678" s="97" t="n"/>
      <c r="AW678" s="97" t="n"/>
      <c r="AX678" s="97" t="n"/>
      <c r="AY678" s="97" t="n">
        <v>47.25762</v>
      </c>
    </row>
    <row r="679" s="135">
      <c r="A679" t="inlineStr">
        <is>
          <t>1975-06</t>
        </is>
      </c>
      <c r="B679" s="2" t="n">
        <v>27546</v>
      </c>
      <c r="C679" s="96" t="n">
        <v>679</v>
      </c>
      <c r="E679" s="2">
        <f>B679</f>
        <v/>
      </c>
      <c r="F679" s="3">
        <f>B679</f>
        <v/>
      </c>
      <c r="G679" s="96" t="n">
        <v>677</v>
      </c>
      <c r="H679" s="97" t="n"/>
      <c r="I679" s="97" t="n"/>
      <c r="J679" s="97" t="n">
        <v>45.18469</v>
      </c>
      <c r="K679" s="97" t="n">
        <v>47.10417</v>
      </c>
      <c r="L679" s="97" t="n"/>
      <c r="M679" s="97" t="n"/>
      <c r="N679" s="97" t="n">
        <v>50.36152</v>
      </c>
      <c r="O679" s="97" t="n">
        <v>51.27787</v>
      </c>
      <c r="P679" s="97" t="n">
        <v>71.97301</v>
      </c>
      <c r="Q679" s="97" t="n"/>
      <c r="R679" s="97" t="n">
        <v>38.53011</v>
      </c>
      <c r="S679" s="97" t="n">
        <v>68.39785000000001</v>
      </c>
      <c r="T679" s="97" t="n">
        <v>72.85262</v>
      </c>
      <c r="U679" s="97" t="n">
        <v>86.24348999999999</v>
      </c>
      <c r="V679" s="97" t="n"/>
      <c r="W679" s="97" t="n"/>
      <c r="X679" s="97" t="n"/>
      <c r="Y679" s="97" t="n"/>
      <c r="Z679" s="97" t="n">
        <v>74.26466000000001</v>
      </c>
      <c r="AA679" s="97" t="n">
        <v>51.31867</v>
      </c>
      <c r="AB679" s="97" t="n"/>
      <c r="AC679" s="97" t="n">
        <v>47.34176</v>
      </c>
      <c r="AD679" s="97" t="n"/>
      <c r="AE679" s="97" t="n"/>
      <c r="AF679" s="97" t="n">
        <v>59.52966</v>
      </c>
      <c r="AG679" s="97" t="n">
        <v>44.84827</v>
      </c>
      <c r="AH679" s="97" t="n">
        <v>42.76222</v>
      </c>
      <c r="AI679" s="97" t="n"/>
      <c r="AJ679" s="97" t="n">
        <v>50.25328</v>
      </c>
      <c r="AK679" s="97" t="n"/>
      <c r="AL679" s="97" t="n"/>
      <c r="AM679" s="97" t="n">
        <v>58.26661</v>
      </c>
      <c r="AN679" s="97" t="n"/>
      <c r="AO679" s="97" t="n">
        <v>39.78661</v>
      </c>
      <c r="AP679" s="97" t="n"/>
      <c r="AQ679" s="97" t="n"/>
      <c r="AR679" s="97" t="n"/>
      <c r="AS679" s="97" t="n"/>
      <c r="AT679" s="97" t="n"/>
      <c r="AU679" s="97" t="n"/>
      <c r="AV679" s="97" t="n"/>
      <c r="AW679" s="97" t="n"/>
      <c r="AX679" s="97" t="n"/>
      <c r="AY679" s="97" t="n">
        <v>48.92573</v>
      </c>
    </row>
    <row r="680" s="135">
      <c r="A680" t="inlineStr">
        <is>
          <t>1975-07</t>
        </is>
      </c>
      <c r="B680" s="2" t="n">
        <v>27576</v>
      </c>
      <c r="C680" s="96" t="n">
        <v>680</v>
      </c>
      <c r="E680" s="2">
        <f>B680</f>
        <v/>
      </c>
      <c r="F680" s="3">
        <f>B680</f>
        <v/>
      </c>
      <c r="G680" s="96" t="n">
        <v>678</v>
      </c>
      <c r="H680" s="97" t="n"/>
      <c r="I680" s="97" t="n"/>
      <c r="J680" s="97" t="n">
        <v>45.69296</v>
      </c>
      <c r="K680" s="97" t="n">
        <v>47.75593</v>
      </c>
      <c r="L680" s="97" t="n"/>
      <c r="M680" s="97" t="n"/>
      <c r="N680" s="97" t="n">
        <v>49.12716</v>
      </c>
      <c r="O680" s="97" t="n">
        <v>53.15389</v>
      </c>
      <c r="P680" s="97" t="n">
        <v>71.48668000000001</v>
      </c>
      <c r="Q680" s="97" t="n"/>
      <c r="R680" s="97" t="n">
        <v>41.87614</v>
      </c>
      <c r="S680" s="97" t="n">
        <v>67.60393999999999</v>
      </c>
      <c r="T680" s="97" t="n">
        <v>71.87605000000001</v>
      </c>
      <c r="U680" s="97" t="n">
        <v>86.88129000000001</v>
      </c>
      <c r="V680" s="97" t="n"/>
      <c r="W680" s="97" t="n">
        <v>5.670465</v>
      </c>
      <c r="X680" s="97" t="n"/>
      <c r="Y680" s="97" t="n"/>
      <c r="Z680" s="97" t="n">
        <v>73.29893</v>
      </c>
      <c r="AA680" s="97" t="n">
        <v>51.82344</v>
      </c>
      <c r="AB680" s="97" t="n"/>
      <c r="AC680" s="97" t="n">
        <v>45.99586</v>
      </c>
      <c r="AD680" s="97" t="n"/>
      <c r="AE680" s="97" t="n"/>
      <c r="AF680" s="97" t="n">
        <v>58.33907</v>
      </c>
      <c r="AG680" s="97" t="n">
        <v>45.96948</v>
      </c>
      <c r="AH680" s="97" t="n">
        <v>42.79454</v>
      </c>
      <c r="AI680" s="97" t="n"/>
      <c r="AJ680" s="97" t="n">
        <v>51.08908</v>
      </c>
      <c r="AK680" s="97" t="n"/>
      <c r="AL680" s="97" t="n"/>
      <c r="AM680" s="97" t="n">
        <v>59.58823</v>
      </c>
      <c r="AN680" s="97" t="n"/>
      <c r="AO680" s="97" t="n">
        <v>40.17178</v>
      </c>
      <c r="AP680" s="97" t="n">
        <v>56.69226</v>
      </c>
      <c r="AQ680" s="97" t="n"/>
      <c r="AR680" s="97" t="n"/>
      <c r="AS680" s="97" t="n"/>
      <c r="AT680" s="97" t="n"/>
      <c r="AU680" s="97" t="n"/>
      <c r="AV680" s="97" t="n"/>
      <c r="AW680" s="97" t="n"/>
      <c r="AX680" s="97" t="n"/>
      <c r="AY680" s="97" t="n">
        <v>48.40367</v>
      </c>
    </row>
    <row r="681" s="135">
      <c r="A681" t="inlineStr">
        <is>
          <t>1975-08</t>
        </is>
      </c>
      <c r="B681" s="2" t="n">
        <v>27607</v>
      </c>
      <c r="C681" s="96" t="n">
        <v>681</v>
      </c>
      <c r="E681" s="2">
        <f>B681</f>
        <v/>
      </c>
      <c r="F681" s="3">
        <f>B681</f>
        <v/>
      </c>
      <c r="G681" s="96" t="n">
        <v>679</v>
      </c>
      <c r="H681" s="97" t="n"/>
      <c r="I681" s="97" t="n"/>
      <c r="J681" s="97" t="n">
        <v>45.05661</v>
      </c>
      <c r="K681" s="97" t="n">
        <v>47.39316</v>
      </c>
      <c r="L681" s="97" t="n"/>
      <c r="M681" s="97" t="n"/>
      <c r="N681" s="97" t="n">
        <v>51.04041</v>
      </c>
      <c r="O681" s="97" t="n">
        <v>51.27787</v>
      </c>
      <c r="P681" s="97" t="n">
        <v>76.69279</v>
      </c>
      <c r="Q681" s="97" t="n"/>
      <c r="R681" s="97" t="n">
        <v>39.34127</v>
      </c>
      <c r="S681" s="97" t="n">
        <v>67.60393999999999</v>
      </c>
      <c r="T681" s="97" t="n">
        <v>70.89946999999999</v>
      </c>
      <c r="U681" s="97" t="n">
        <v>89.19972</v>
      </c>
      <c r="V681" s="97" t="n"/>
      <c r="W681" s="97" t="n">
        <v>5.762667</v>
      </c>
      <c r="X681" s="97" t="n"/>
      <c r="Y681" s="97" t="n"/>
      <c r="Z681" s="97" t="n">
        <v>73.7818</v>
      </c>
      <c r="AA681" s="97" t="n">
        <v>51.82344</v>
      </c>
      <c r="AB681" s="97" t="n"/>
      <c r="AC681" s="97" t="n">
        <v>36.72787</v>
      </c>
      <c r="AD681" s="97" t="n"/>
      <c r="AE681" s="97" t="n"/>
      <c r="AF681" s="97" t="n">
        <v>58.33907</v>
      </c>
      <c r="AG681" s="97" t="n">
        <v>43.72706</v>
      </c>
      <c r="AH681" s="97" t="n">
        <v>43.18566</v>
      </c>
      <c r="AI681" s="97" t="n"/>
      <c r="AJ681" s="97" t="n">
        <v>45.98448</v>
      </c>
      <c r="AK681" s="97" t="n"/>
      <c r="AL681" s="97" t="n"/>
      <c r="AM681" s="97" t="n">
        <v>59.35838</v>
      </c>
      <c r="AN681" s="97" t="n"/>
      <c r="AO681" s="97" t="n">
        <v>40.58854</v>
      </c>
      <c r="AP681" s="97" t="n">
        <v>57.46365</v>
      </c>
      <c r="AQ681" s="97" t="n"/>
      <c r="AR681" s="97" t="n"/>
      <c r="AS681" s="97" t="n"/>
      <c r="AT681" s="97" t="n"/>
      <c r="AU681" s="97" t="n"/>
      <c r="AV681" s="97" t="n"/>
      <c r="AW681" s="97" t="n"/>
      <c r="AX681" s="97" t="n"/>
      <c r="AY681" s="97" t="n">
        <v>48.63795</v>
      </c>
    </row>
    <row r="682" s="135">
      <c r="A682" t="inlineStr">
        <is>
          <t>1975-09</t>
        </is>
      </c>
      <c r="B682" s="2" t="n">
        <v>27638</v>
      </c>
      <c r="C682" s="96" t="n">
        <v>682</v>
      </c>
      <c r="E682" s="2">
        <f>B682</f>
        <v/>
      </c>
      <c r="F682" s="3">
        <f>B682</f>
        <v/>
      </c>
      <c r="G682" s="96" t="n">
        <v>680</v>
      </c>
      <c r="H682" s="97" t="n"/>
      <c r="I682" s="97" t="n"/>
      <c r="J682" s="97" t="n">
        <v>45.99884</v>
      </c>
      <c r="K682" s="97" t="n">
        <v>47.6253</v>
      </c>
      <c r="L682" s="97" t="n"/>
      <c r="M682" s="97" t="n"/>
      <c r="N682" s="97" t="n">
        <v>50.97869</v>
      </c>
      <c r="O682" s="97" t="n">
        <v>52.52855</v>
      </c>
      <c r="P682" s="97" t="n">
        <v>72.62237</v>
      </c>
      <c r="Q682" s="97" t="n"/>
      <c r="R682" s="97" t="n">
        <v>37.82034</v>
      </c>
      <c r="S682" s="97" t="n">
        <v>68.0925</v>
      </c>
      <c r="T682" s="97" t="n">
        <v>72.26667999999999</v>
      </c>
      <c r="U682" s="97" t="n">
        <v>88.2513</v>
      </c>
      <c r="V682" s="97" t="n"/>
      <c r="W682" s="97" t="n">
        <v>5.532161</v>
      </c>
      <c r="X682" s="97" t="n"/>
      <c r="Y682" s="97" t="n"/>
      <c r="Z682" s="97" t="n">
        <v>72.71948999999999</v>
      </c>
      <c r="AA682" s="97" t="n">
        <v>52.24409</v>
      </c>
      <c r="AB682" s="97" t="n"/>
      <c r="AC682" s="97" t="n">
        <v>47.48406</v>
      </c>
      <c r="AD682" s="97" t="n"/>
      <c r="AE682" s="97" t="n"/>
      <c r="AF682" s="97" t="n">
        <v>58.93436</v>
      </c>
      <c r="AG682" s="97" t="n">
        <v>44.28767</v>
      </c>
      <c r="AH682" s="97" t="n">
        <v>43.37731</v>
      </c>
      <c r="AI682" s="97" t="n"/>
      <c r="AJ682" s="97" t="n">
        <v>48.79793</v>
      </c>
      <c r="AK682" s="97" t="n"/>
      <c r="AL682" s="97" t="n"/>
      <c r="AM682" s="97" t="n">
        <v>58.66884</v>
      </c>
      <c r="AN682" s="97" t="n"/>
      <c r="AO682" s="97" t="n">
        <v>41.09021</v>
      </c>
      <c r="AP682" s="97" t="n">
        <v>57.36842</v>
      </c>
      <c r="AQ682" s="97" t="n"/>
      <c r="AR682" s="97" t="n"/>
      <c r="AS682" s="97" t="n"/>
      <c r="AT682" s="97" t="n"/>
      <c r="AU682" s="97" t="n"/>
      <c r="AV682" s="97" t="n"/>
      <c r="AW682" s="97" t="n"/>
      <c r="AX682" s="97" t="n"/>
      <c r="AY682" s="97" t="n">
        <v>49.96161</v>
      </c>
    </row>
    <row r="683" s="135">
      <c r="A683" t="inlineStr">
        <is>
          <t>1975-10</t>
        </is>
      </c>
      <c r="B683" s="2" t="n">
        <v>27668</v>
      </c>
      <c r="C683" s="96" t="n">
        <v>683</v>
      </c>
      <c r="E683" s="2">
        <f>B683</f>
        <v/>
      </c>
      <c r="F683" s="3">
        <f>B683</f>
        <v/>
      </c>
      <c r="G683" s="96" t="n">
        <v>681</v>
      </c>
      <c r="H683" s="97" t="n"/>
      <c r="I683" s="97" t="n"/>
      <c r="J683" s="97" t="n">
        <v>45.87024</v>
      </c>
      <c r="K683" s="97" t="n">
        <v>47.16996</v>
      </c>
      <c r="L683" s="97" t="n"/>
      <c r="M683" s="97" t="n"/>
      <c r="N683" s="97" t="n">
        <v>51.96617</v>
      </c>
      <c r="O683" s="97" t="n">
        <v>54.40457</v>
      </c>
      <c r="P683" s="97" t="n">
        <v>72.76864999999999</v>
      </c>
      <c r="Q683" s="97" t="n"/>
      <c r="R683" s="97" t="n">
        <v>38.32732</v>
      </c>
      <c r="S683" s="97" t="n">
        <v>70.16887</v>
      </c>
      <c r="T683" s="97" t="n">
        <v>73.1456</v>
      </c>
      <c r="U683" s="97" t="n">
        <v>86.77415999999999</v>
      </c>
      <c r="V683" s="97" t="n"/>
      <c r="W683" s="97" t="n">
        <v>5.470692</v>
      </c>
      <c r="X683" s="97" t="n"/>
      <c r="Y683" s="97" t="n"/>
      <c r="Z683" s="97" t="n">
        <v>74.16809000000001</v>
      </c>
      <c r="AA683" s="97" t="n">
        <v>52.41235</v>
      </c>
      <c r="AB683" s="97" t="n"/>
      <c r="AC683" s="97" t="n">
        <v>46.58126</v>
      </c>
      <c r="AD683" s="97" t="n"/>
      <c r="AE683" s="97" t="n"/>
      <c r="AF683" s="97" t="n">
        <v>59.52966</v>
      </c>
      <c r="AG683" s="97" t="n">
        <v>43.72706</v>
      </c>
      <c r="AH683" s="97" t="n">
        <v>43.75983</v>
      </c>
      <c r="AI683" s="97" t="n"/>
      <c r="AJ683" s="97" t="n">
        <v>50.95343</v>
      </c>
      <c r="AK683" s="97" t="n"/>
      <c r="AL683" s="97" t="n"/>
      <c r="AM683" s="97" t="n">
        <v>58.55391</v>
      </c>
      <c r="AN683" s="97" t="n"/>
      <c r="AO683" s="97" t="n">
        <v>41.27185</v>
      </c>
      <c r="AP683" s="97" t="n">
        <v>58.33027</v>
      </c>
      <c r="AQ683" s="97" t="n"/>
      <c r="AR683" s="97" t="n"/>
      <c r="AS683" s="97" t="n"/>
      <c r="AT683" s="97" t="n"/>
      <c r="AU683" s="97" t="n"/>
      <c r="AV683" s="97" t="n"/>
      <c r="AW683" s="97" t="n"/>
      <c r="AX683" s="97" t="n"/>
      <c r="AY683" s="97" t="n">
        <v>49.41428</v>
      </c>
    </row>
    <row r="684" s="135">
      <c r="A684" t="inlineStr">
        <is>
          <t>1975-11</t>
        </is>
      </c>
      <c r="B684" s="2" t="n">
        <v>27699</v>
      </c>
      <c r="C684" s="96" t="n">
        <v>684</v>
      </c>
      <c r="E684" s="2">
        <f>B684</f>
        <v/>
      </c>
      <c r="F684" s="3">
        <f>B684</f>
        <v/>
      </c>
      <c r="G684" s="96" t="n">
        <v>682</v>
      </c>
      <c r="H684" s="97" t="n"/>
      <c r="I684" s="97" t="n"/>
      <c r="J684" s="97" t="n">
        <v>47.22998</v>
      </c>
      <c r="K684" s="97" t="n">
        <v>48.23853</v>
      </c>
      <c r="L684" s="97" t="n"/>
      <c r="M684" s="97" t="n"/>
      <c r="N684" s="97" t="n">
        <v>52.70678</v>
      </c>
      <c r="O684" s="97" t="n">
        <v>55.02991</v>
      </c>
      <c r="P684" s="97" t="n">
        <v>72.08798</v>
      </c>
      <c r="Q684" s="97" t="n"/>
      <c r="R684" s="97" t="n">
        <v>39.59476</v>
      </c>
      <c r="S684" s="97" t="n">
        <v>68.94747</v>
      </c>
      <c r="T684" s="97" t="n">
        <v>73.24326000000001</v>
      </c>
      <c r="U684" s="97" t="n">
        <v>90.58548999999999</v>
      </c>
      <c r="V684" s="97" t="n"/>
      <c r="W684" s="97" t="n">
        <v>6.039275</v>
      </c>
      <c r="X684" s="97" t="n"/>
      <c r="Y684" s="97" t="n"/>
      <c r="Z684" s="97" t="n">
        <v>76.29268999999999</v>
      </c>
      <c r="AA684" s="97" t="n">
        <v>51.57106</v>
      </c>
      <c r="AB684" s="97" t="n"/>
      <c r="AC684" s="97" t="n">
        <v>47.38861</v>
      </c>
      <c r="AD684" s="97" t="n"/>
      <c r="AE684" s="97" t="n"/>
      <c r="AF684" s="97" t="n">
        <v>61.91085</v>
      </c>
      <c r="AG684" s="97" t="n">
        <v>44.28767</v>
      </c>
      <c r="AH684" s="97" t="n">
        <v>43.92633</v>
      </c>
      <c r="AI684" s="97" t="n"/>
      <c r="AJ684" s="97" t="n">
        <v>50.1684</v>
      </c>
      <c r="AK684" s="97" t="n"/>
      <c r="AL684" s="97" t="n"/>
      <c r="AM684" s="97" t="n">
        <v>59.35838</v>
      </c>
      <c r="AN684" s="97" t="n"/>
      <c r="AO684" s="97" t="n">
        <v>41.36089</v>
      </c>
      <c r="AP684" s="97" t="n">
        <v>58.80643</v>
      </c>
      <c r="AQ684" s="97" t="n"/>
      <c r="AR684" s="97" t="n"/>
      <c r="AS684" s="97" t="n"/>
      <c r="AT684" s="97" t="n"/>
      <c r="AU684" s="97" t="n"/>
      <c r="AV684" s="97" t="n"/>
      <c r="AW684" s="97" t="n"/>
      <c r="AX684" s="97" t="n"/>
      <c r="AY684" s="97" t="n">
        <v>51.00449</v>
      </c>
    </row>
    <row r="685" s="135">
      <c r="A685" t="inlineStr">
        <is>
          <t>1975-12</t>
        </is>
      </c>
      <c r="B685" s="2" t="n">
        <v>27729</v>
      </c>
      <c r="C685" s="96" t="n">
        <v>685</v>
      </c>
      <c r="E685" s="2">
        <f>B685</f>
        <v/>
      </c>
      <c r="F685" s="3">
        <f>B685</f>
        <v/>
      </c>
      <c r="G685" s="96" t="n">
        <v>683</v>
      </c>
      <c r="H685" s="97" t="n"/>
      <c r="I685" s="97" t="n"/>
      <c r="J685" s="97" t="n">
        <v>46.95476</v>
      </c>
      <c r="K685" s="97" t="n">
        <v>49.13371</v>
      </c>
      <c r="L685" s="97" t="n"/>
      <c r="M685" s="97" t="n"/>
      <c r="N685" s="97" t="n">
        <v>52.64507</v>
      </c>
      <c r="O685" s="97" t="n">
        <v>55.65525</v>
      </c>
      <c r="P685" s="97" t="n">
        <v>73.03351000000001</v>
      </c>
      <c r="Q685" s="97" t="n"/>
      <c r="R685" s="97" t="n">
        <v>38.58081</v>
      </c>
      <c r="S685" s="97" t="n">
        <v>72.48951</v>
      </c>
      <c r="T685" s="97" t="n">
        <v>72.85262</v>
      </c>
      <c r="U685" s="97" t="n">
        <v>90.2931</v>
      </c>
      <c r="V685" s="97" t="n"/>
      <c r="W685" s="97" t="n">
        <v>5.900971</v>
      </c>
      <c r="X685" s="97" t="n"/>
      <c r="Y685" s="97" t="n"/>
      <c r="Z685" s="97" t="n">
        <v>76.09954999999999</v>
      </c>
      <c r="AA685" s="97" t="n">
        <v>52.66473</v>
      </c>
      <c r="AB685" s="97" t="n"/>
      <c r="AC685" s="97" t="n">
        <v>48.14086</v>
      </c>
      <c r="AD685" s="97" t="n"/>
      <c r="AE685" s="97" t="n"/>
      <c r="AF685" s="97" t="n">
        <v>60.12496</v>
      </c>
      <c r="AG685" s="97" t="n">
        <v>40.36344</v>
      </c>
      <c r="AH685" s="97" t="n">
        <v>44.34184</v>
      </c>
      <c r="AI685" s="97" t="n"/>
      <c r="AJ685" s="97" t="n">
        <v>48.73384</v>
      </c>
      <c r="AK685" s="97" t="n"/>
      <c r="AL685" s="97" t="n"/>
      <c r="AM685" s="97" t="n">
        <v>58.61138</v>
      </c>
      <c r="AN685" s="97" t="n"/>
      <c r="AO685" s="97" t="n">
        <v>41.87562</v>
      </c>
      <c r="AP685" s="97" t="n">
        <v>59.18737</v>
      </c>
      <c r="AQ685" s="97" t="n"/>
      <c r="AR685" s="97" t="n"/>
      <c r="AS685" s="97" t="n"/>
      <c r="AT685" s="97" t="n"/>
      <c r="AU685" s="97" t="n"/>
      <c r="AV685" s="97" t="n"/>
      <c r="AW685" s="97" t="n"/>
      <c r="AX685" s="97" t="n"/>
      <c r="AY685" s="97" t="n">
        <v>49.94877</v>
      </c>
    </row>
    <row r="686" s="135">
      <c r="A686" t="inlineStr">
        <is>
          <t>1976-01</t>
        </is>
      </c>
      <c r="B686" s="2" t="n">
        <v>27760</v>
      </c>
      <c r="C686" s="96" t="n">
        <v>686</v>
      </c>
      <c r="E686" s="2">
        <f>B686</f>
        <v/>
      </c>
      <c r="F686" s="3">
        <f>B686</f>
        <v/>
      </c>
      <c r="G686" s="96" t="n">
        <v>684</v>
      </c>
      <c r="H686" s="97" t="n"/>
      <c r="I686" s="97" t="n"/>
      <c r="J686" s="97" t="n">
        <v>47.66048</v>
      </c>
      <c r="K686" s="97" t="n">
        <v>49.06886</v>
      </c>
      <c r="L686" s="97" t="n"/>
      <c r="M686" s="97" t="n"/>
      <c r="N686" s="97" t="n">
        <v>53.32396</v>
      </c>
      <c r="O686" s="97" t="n">
        <v>54.40457</v>
      </c>
      <c r="P686" s="97" t="n">
        <v>71.54741</v>
      </c>
      <c r="Q686" s="97" t="n"/>
      <c r="R686" s="97" t="n">
        <v>39.64545</v>
      </c>
      <c r="S686" s="97" t="n">
        <v>72.67271</v>
      </c>
      <c r="T686" s="97" t="n">
        <v>73.34090999999999</v>
      </c>
      <c r="U686" s="97" t="n">
        <v>92.84451</v>
      </c>
      <c r="V686" s="97" t="n"/>
      <c r="W686" s="97" t="n">
        <v>6.139162</v>
      </c>
      <c r="X686" s="97" t="n"/>
      <c r="Y686" s="97" t="n"/>
      <c r="Z686" s="97" t="n">
        <v>78.61045</v>
      </c>
      <c r="AA686" s="97" t="n">
        <v>53.59015</v>
      </c>
      <c r="AB686" s="97" t="n"/>
      <c r="AC686" s="97" t="n">
        <v>48.77354</v>
      </c>
      <c r="AD686" s="97" t="n"/>
      <c r="AE686" s="97" t="n"/>
      <c r="AF686" s="97" t="n">
        <v>63.10144</v>
      </c>
      <c r="AG686" s="97" t="n">
        <v>42.04525</v>
      </c>
      <c r="AH686" s="97" t="n">
        <v>44.87002</v>
      </c>
      <c r="AI686" s="97" t="n"/>
      <c r="AJ686" s="97" t="n">
        <v>49.02458</v>
      </c>
      <c r="AK686" s="97" t="n"/>
      <c r="AL686" s="97" t="n"/>
      <c r="AM686" s="97" t="n">
        <v>57.00244</v>
      </c>
      <c r="AN686" s="97" t="n"/>
      <c r="AO686" s="97" t="n">
        <v>42.48219</v>
      </c>
      <c r="AP686" s="97" t="n">
        <v>59.86352</v>
      </c>
      <c r="AQ686" s="97" t="n"/>
      <c r="AR686" s="97" t="n"/>
      <c r="AS686" s="97" t="n"/>
      <c r="AT686" s="97" t="n"/>
      <c r="AU686" s="97" t="n"/>
      <c r="AV686" s="97" t="n"/>
      <c r="AW686" s="97" t="n"/>
      <c r="AX686" s="97" t="n"/>
      <c r="AY686" s="97" t="n">
        <v>51.73227</v>
      </c>
    </row>
    <row r="687" s="135">
      <c r="A687" t="inlineStr">
        <is>
          <t>1976-02</t>
        </is>
      </c>
      <c r="B687" s="2" t="n">
        <v>27791</v>
      </c>
      <c r="C687" s="96" t="n">
        <v>687</v>
      </c>
      <c r="E687" s="2">
        <f>B687</f>
        <v/>
      </c>
      <c r="F687" s="3">
        <f>B687</f>
        <v/>
      </c>
      <c r="G687" s="96" t="n">
        <v>685</v>
      </c>
      <c r="H687" s="97" t="n"/>
      <c r="I687" s="97" t="n"/>
      <c r="J687" s="97" t="n">
        <v>48.72326</v>
      </c>
      <c r="K687" s="97" t="n">
        <v>49.38934</v>
      </c>
      <c r="L687" s="97" t="n"/>
      <c r="M687" s="97" t="n"/>
      <c r="N687" s="97" t="n">
        <v>54.37315</v>
      </c>
      <c r="O687" s="97" t="n">
        <v>56.90593</v>
      </c>
      <c r="P687" s="97" t="n">
        <v>70.95392</v>
      </c>
      <c r="Q687" s="97" t="n"/>
      <c r="R687" s="97" t="n">
        <v>39.39196</v>
      </c>
      <c r="S687" s="97" t="n">
        <v>72.79485</v>
      </c>
      <c r="T687" s="97" t="n">
        <v>74.21983</v>
      </c>
      <c r="U687" s="97" t="n">
        <v>88.49657999999999</v>
      </c>
      <c r="V687" s="97" t="n"/>
      <c r="W687" s="97" t="n">
        <v>5.847187</v>
      </c>
      <c r="X687" s="97" t="n"/>
      <c r="Y687" s="97" t="n"/>
      <c r="Z687" s="97" t="n">
        <v>78.03100999999999</v>
      </c>
      <c r="AA687" s="97" t="n">
        <v>54.93622</v>
      </c>
      <c r="AB687" s="97" t="n"/>
      <c r="AC687" s="97" t="n">
        <v>48.46727</v>
      </c>
      <c r="AD687" s="97" t="n"/>
      <c r="AE687" s="97" t="n"/>
      <c r="AF687" s="97" t="n">
        <v>63.10144</v>
      </c>
      <c r="AG687" s="97" t="n">
        <v>44.84827</v>
      </c>
      <c r="AH687" s="97" t="n">
        <v>45.34505</v>
      </c>
      <c r="AI687" s="97" t="n"/>
      <c r="AJ687" s="97" t="n">
        <v>50.14072</v>
      </c>
      <c r="AK687" s="97" t="n"/>
      <c r="AL687" s="97" t="n"/>
      <c r="AM687" s="97" t="n">
        <v>57.74945</v>
      </c>
      <c r="AN687" s="97" t="n"/>
      <c r="AO687" s="97" t="n">
        <v>42.90836</v>
      </c>
      <c r="AP687" s="97" t="n">
        <v>60.24445</v>
      </c>
      <c r="AQ687" s="97" t="n"/>
      <c r="AR687" s="97" t="n"/>
      <c r="AS687" s="97" t="n"/>
      <c r="AT687" s="97" t="n"/>
      <c r="AU687" s="97" t="n"/>
      <c r="AV687" s="97" t="n"/>
      <c r="AW687" s="97" t="n"/>
      <c r="AX687" s="97" t="n"/>
      <c r="AY687" s="97" t="n">
        <v>54.94237</v>
      </c>
    </row>
    <row r="688" s="135">
      <c r="A688" t="inlineStr">
        <is>
          <t>1976-03</t>
        </is>
      </c>
      <c r="B688" s="2" t="n">
        <v>27820</v>
      </c>
      <c r="C688" s="96" t="n">
        <v>688</v>
      </c>
      <c r="E688" s="2">
        <f>B688</f>
        <v/>
      </c>
      <c r="F688" s="3">
        <f>B688</f>
        <v/>
      </c>
      <c r="G688" s="96" t="n">
        <v>686</v>
      </c>
      <c r="H688" s="97" t="n"/>
      <c r="I688" s="97" t="n"/>
      <c r="J688" s="97" t="n">
        <v>48.25147</v>
      </c>
      <c r="K688" s="97" t="n">
        <v>50.15811</v>
      </c>
      <c r="L688" s="97" t="n"/>
      <c r="M688" s="97" t="n"/>
      <c r="N688" s="97" t="n">
        <v>54.31144</v>
      </c>
      <c r="O688" s="97" t="n">
        <v>56.28059</v>
      </c>
      <c r="P688" s="97" t="n">
        <v>73.76044</v>
      </c>
      <c r="Q688" s="97" t="n"/>
      <c r="R688" s="97" t="n">
        <v>39.54406</v>
      </c>
      <c r="S688" s="97" t="n">
        <v>73.58875999999999</v>
      </c>
      <c r="T688" s="97" t="n">
        <v>74.41515</v>
      </c>
      <c r="U688" s="97" t="n">
        <v>93.86011999999999</v>
      </c>
      <c r="V688" s="97" t="n"/>
      <c r="W688" s="97" t="n">
        <v>5.870237</v>
      </c>
      <c r="X688" s="97" t="n"/>
      <c r="Y688" s="97" t="n"/>
      <c r="Z688" s="97" t="n">
        <v>77.64471</v>
      </c>
      <c r="AA688" s="97" t="n">
        <v>55.77751</v>
      </c>
      <c r="AB688" s="97" t="n"/>
      <c r="AC688" s="97" t="n">
        <v>47.93152</v>
      </c>
      <c r="AD688" s="97" t="n"/>
      <c r="AE688" s="97" t="n"/>
      <c r="AF688" s="97" t="n">
        <v>62.50615</v>
      </c>
      <c r="AG688" s="97" t="n">
        <v>45.40887</v>
      </c>
      <c r="AH688" s="97" t="n">
        <v>45.56963</v>
      </c>
      <c r="AI688" s="97" t="n"/>
      <c r="AJ688" s="97" t="n">
        <v>50.45978</v>
      </c>
      <c r="AK688" s="97" t="n"/>
      <c r="AL688" s="97" t="n"/>
      <c r="AM688" s="97" t="n">
        <v>57.34721</v>
      </c>
      <c r="AN688" s="97" t="n"/>
      <c r="AO688" s="97" t="n">
        <v>42.94678</v>
      </c>
      <c r="AP688" s="97" t="n">
        <v>60.53968</v>
      </c>
      <c r="AQ688" s="97" t="n"/>
      <c r="AR688" s="97" t="n"/>
      <c r="AS688" s="97" t="n"/>
      <c r="AT688" s="97" t="n"/>
      <c r="AU688" s="97" t="n"/>
      <c r="AV688" s="97" t="n"/>
      <c r="AW688" s="97" t="n"/>
      <c r="AX688" s="97" t="n"/>
      <c r="AY688" s="97" t="n">
        <v>52.83868</v>
      </c>
    </row>
    <row r="689" s="135">
      <c r="A689" t="inlineStr">
        <is>
          <t>1976-04</t>
        </is>
      </c>
      <c r="B689" s="2" t="n">
        <v>27851</v>
      </c>
      <c r="C689" s="96" t="n">
        <v>689</v>
      </c>
      <c r="E689" s="2">
        <f>B689</f>
        <v/>
      </c>
      <c r="F689" s="3">
        <f>B689</f>
        <v/>
      </c>
      <c r="G689" s="96" t="n">
        <v>687</v>
      </c>
      <c r="H689" s="97" t="n"/>
      <c r="I689" s="97" t="n"/>
      <c r="J689" s="97" t="n">
        <v>49.88947</v>
      </c>
      <c r="K689" s="97" t="n">
        <v>50.77745</v>
      </c>
      <c r="L689" s="97" t="n"/>
      <c r="M689" s="97" t="n"/>
      <c r="N689" s="97" t="n">
        <v>54.62003</v>
      </c>
      <c r="O689" s="97" t="n">
        <v>57.53127</v>
      </c>
      <c r="P689" s="97" t="n">
        <v>75.25761</v>
      </c>
      <c r="Q689" s="97" t="n"/>
      <c r="R689" s="97" t="n">
        <v>39.44266</v>
      </c>
      <c r="S689" s="97" t="n">
        <v>74.5048</v>
      </c>
      <c r="T689" s="97" t="n">
        <v>75.09875</v>
      </c>
      <c r="U689" s="97" t="n">
        <v>94.97717</v>
      </c>
      <c r="V689" s="97" t="n"/>
      <c r="W689" s="97" t="n">
        <v>5.916338</v>
      </c>
      <c r="X689" s="97" t="n"/>
      <c r="Y689" s="97" t="n"/>
      <c r="Z689" s="97" t="n">
        <v>79.67274999999999</v>
      </c>
      <c r="AA689" s="97" t="n">
        <v>56.53467</v>
      </c>
      <c r="AB689" s="97" t="n"/>
      <c r="AC689" s="97" t="n">
        <v>48.6338</v>
      </c>
      <c r="AD689" s="97" t="n"/>
      <c r="AE689" s="97" t="n"/>
      <c r="AF689" s="97" t="n">
        <v>63.10144</v>
      </c>
      <c r="AG689" s="97" t="n">
        <v>44.84827</v>
      </c>
      <c r="AH689" s="97" t="n">
        <v>46.04044</v>
      </c>
      <c r="AI689" s="97" t="n"/>
      <c r="AJ689" s="97" t="n">
        <v>50.36467</v>
      </c>
      <c r="AK689" s="97" t="n"/>
      <c r="AL689" s="97" t="n"/>
      <c r="AM689" s="97" t="n">
        <v>58.66884</v>
      </c>
      <c r="AN689" s="97" t="n"/>
      <c r="AO689" s="97" t="n">
        <v>43.18864</v>
      </c>
      <c r="AP689" s="97" t="n">
        <v>61.30154</v>
      </c>
      <c r="AQ689" s="97" t="n"/>
      <c r="AR689" s="97" t="n"/>
      <c r="AS689" s="97" t="n"/>
      <c r="AT689" s="97" t="n"/>
      <c r="AU689" s="97" t="n"/>
      <c r="AV689" s="97" t="n"/>
      <c r="AW689" s="97" t="n"/>
      <c r="AX689" s="97" t="n"/>
      <c r="AY689" s="97" t="n">
        <v>53.889</v>
      </c>
    </row>
    <row r="690" s="135">
      <c r="A690" t="inlineStr">
        <is>
          <t>1976-05</t>
        </is>
      </c>
      <c r="B690" s="2" t="n">
        <v>27881</v>
      </c>
      <c r="C690" s="96" t="n">
        <v>690</v>
      </c>
      <c r="E690" s="2">
        <f>B690</f>
        <v/>
      </c>
      <c r="F690" s="3">
        <f>B690</f>
        <v/>
      </c>
      <c r="G690" s="96" t="n">
        <v>688</v>
      </c>
      <c r="H690" s="97" t="n"/>
      <c r="I690" s="97" t="n"/>
      <c r="J690" s="97" t="n">
        <v>48.96871</v>
      </c>
      <c r="K690" s="97" t="n">
        <v>51.44378</v>
      </c>
      <c r="L690" s="97" t="n"/>
      <c r="M690" s="97" t="n"/>
      <c r="N690" s="97" t="n">
        <v>54.92861</v>
      </c>
      <c r="O690" s="97" t="n">
        <v>60.03263</v>
      </c>
      <c r="P690" s="97" t="n">
        <v>76.28094</v>
      </c>
      <c r="Q690" s="97" t="n"/>
      <c r="R690" s="97" t="n">
        <v>40.60871</v>
      </c>
      <c r="S690" s="97" t="n">
        <v>74.5048</v>
      </c>
      <c r="T690" s="97" t="n">
        <v>76.27065</v>
      </c>
      <c r="U690" s="97" t="n">
        <v>95.65939</v>
      </c>
      <c r="V690" s="97" t="n"/>
      <c r="W690" s="97" t="n">
        <v>6.231364</v>
      </c>
      <c r="X690" s="97" t="n"/>
      <c r="Y690" s="97" t="n"/>
      <c r="Z690" s="97" t="n">
        <v>85.08083999999999</v>
      </c>
      <c r="AA690" s="97" t="n">
        <v>56.36641</v>
      </c>
      <c r="AB690" s="97" t="n"/>
      <c r="AC690" s="97" t="n">
        <v>52.73391</v>
      </c>
      <c r="AD690" s="97" t="n"/>
      <c r="AE690" s="97" t="n"/>
      <c r="AF690" s="97" t="n">
        <v>63.69674</v>
      </c>
      <c r="AG690" s="97" t="n">
        <v>45.40887</v>
      </c>
      <c r="AH690" s="97" t="n">
        <v>46.47152</v>
      </c>
      <c r="AI690" s="97" t="n"/>
      <c r="AJ690" s="97" t="n">
        <v>51.93979</v>
      </c>
      <c r="AK690" s="97" t="n"/>
      <c r="AL690" s="97" t="n"/>
      <c r="AM690" s="97" t="n">
        <v>58.78376</v>
      </c>
      <c r="AN690" s="97" t="n"/>
      <c r="AO690" s="97" t="n">
        <v>43.39015</v>
      </c>
      <c r="AP690" s="97" t="n">
        <v>62.45386</v>
      </c>
      <c r="AQ690" s="97" t="n"/>
      <c r="AR690" s="97" t="n"/>
      <c r="AS690" s="97" t="n"/>
      <c r="AT690" s="97" t="n"/>
      <c r="AU690" s="97" t="n"/>
      <c r="AV690" s="97" t="n"/>
      <c r="AW690" s="97" t="n"/>
      <c r="AX690" s="97" t="n"/>
      <c r="AY690" s="97" t="n">
        <v>54.9327</v>
      </c>
    </row>
    <row r="691" s="135">
      <c r="A691" t="inlineStr">
        <is>
          <t>1976-06</t>
        </is>
      </c>
      <c r="B691" s="2" t="n">
        <v>27912</v>
      </c>
      <c r="C691" s="96" t="n">
        <v>691</v>
      </c>
      <c r="E691" s="2">
        <f>B691</f>
        <v/>
      </c>
      <c r="F691" s="3">
        <f>B691</f>
        <v/>
      </c>
      <c r="G691" s="96" t="n">
        <v>689</v>
      </c>
      <c r="H691" s="97" t="n"/>
      <c r="I691" s="97" t="n"/>
      <c r="J691" s="97" t="n">
        <v>50.17759</v>
      </c>
      <c r="K691" s="97" t="n">
        <v>50.71448</v>
      </c>
      <c r="L691" s="97" t="n"/>
      <c r="M691" s="97" t="n"/>
      <c r="N691" s="97" t="n">
        <v>55.54579</v>
      </c>
      <c r="O691" s="97" t="n">
        <v>58.15661</v>
      </c>
      <c r="P691" s="97" t="n">
        <v>76.72186000000001</v>
      </c>
      <c r="Q691" s="97" t="n"/>
      <c r="R691" s="97" t="n">
        <v>40.10173</v>
      </c>
      <c r="S691" s="97" t="n">
        <v>74.68801000000001</v>
      </c>
      <c r="T691" s="97" t="n">
        <v>74.70811999999999</v>
      </c>
      <c r="U691" s="97" t="n">
        <v>97.5269</v>
      </c>
      <c r="V691" s="97" t="n"/>
      <c r="W691" s="97" t="n">
        <v>6.016224</v>
      </c>
      <c r="X691" s="97" t="n"/>
      <c r="Y691" s="97" t="n"/>
      <c r="Z691" s="97" t="n">
        <v>84.59798000000001</v>
      </c>
      <c r="AA691" s="97" t="n">
        <v>57.37596</v>
      </c>
      <c r="AB691" s="97" t="n"/>
      <c r="AC691" s="97" t="n">
        <v>49.68277</v>
      </c>
      <c r="AD691" s="97" t="n"/>
      <c r="AE691" s="97" t="n"/>
      <c r="AF691" s="97" t="n">
        <v>64.88733000000001</v>
      </c>
      <c r="AG691" s="97" t="n">
        <v>45.96948</v>
      </c>
      <c r="AH691" s="97" t="n">
        <v>46.60592</v>
      </c>
      <c r="AI691" s="97" t="n"/>
      <c r="AJ691" s="97" t="n">
        <v>50.9284</v>
      </c>
      <c r="AK691" s="97" t="n"/>
      <c r="AL691" s="97" t="n"/>
      <c r="AM691" s="97" t="n">
        <v>59.58823</v>
      </c>
      <c r="AN691" s="97" t="n"/>
      <c r="AO691" s="97" t="n">
        <v>43.3987</v>
      </c>
      <c r="AP691" s="97" t="n">
        <v>62.45386</v>
      </c>
      <c r="AQ691" s="97" t="n"/>
      <c r="AR691" s="97" t="n"/>
      <c r="AS691" s="97" t="n"/>
      <c r="AT691" s="97" t="n"/>
      <c r="AU691" s="97" t="n"/>
      <c r="AV691" s="97" t="n"/>
      <c r="AW691" s="97" t="n"/>
      <c r="AX691" s="97" t="n"/>
      <c r="AY691" s="97" t="n">
        <v>54.24702</v>
      </c>
    </row>
    <row r="692" s="135">
      <c r="A692" t="inlineStr">
        <is>
          <t>1976-07</t>
        </is>
      </c>
      <c r="B692" s="2" t="n">
        <v>27942</v>
      </c>
      <c r="C692" s="96" t="n">
        <v>692</v>
      </c>
      <c r="E692" s="2">
        <f>B692</f>
        <v/>
      </c>
      <c r="F692" s="3">
        <f>B692</f>
        <v/>
      </c>
      <c r="G692" s="96" t="n">
        <v>690</v>
      </c>
      <c r="H692" s="97" t="n"/>
      <c r="I692" s="97" t="n"/>
      <c r="J692" s="97" t="n">
        <v>49.94041</v>
      </c>
      <c r="K692" s="97" t="n">
        <v>50.74784</v>
      </c>
      <c r="L692" s="97" t="n"/>
      <c r="M692" s="97" t="n"/>
      <c r="N692" s="97" t="n">
        <v>53.50911</v>
      </c>
      <c r="O692" s="97" t="n">
        <v>58.15661</v>
      </c>
      <c r="P692" s="97" t="n">
        <v>77.31573</v>
      </c>
      <c r="Q692" s="97" t="n"/>
      <c r="R692" s="97" t="n">
        <v>38.93569</v>
      </c>
      <c r="S692" s="97" t="n">
        <v>75.78726</v>
      </c>
      <c r="T692" s="97" t="n">
        <v>75.00109</v>
      </c>
      <c r="U692" s="97" t="n">
        <v>96.9195</v>
      </c>
      <c r="V692" s="97" t="n"/>
      <c r="W692" s="97" t="n">
        <v>6.231364</v>
      </c>
      <c r="X692" s="97" t="n"/>
      <c r="Y692" s="97" t="n"/>
      <c r="Z692" s="97" t="n">
        <v>85.75685</v>
      </c>
      <c r="AA692" s="97" t="n">
        <v>57.88073</v>
      </c>
      <c r="AB692" s="97" t="n"/>
      <c r="AC692" s="97" t="n">
        <v>47.92882</v>
      </c>
      <c r="AD692" s="97" t="n"/>
      <c r="AE692" s="97" t="n"/>
      <c r="AF692" s="97" t="n">
        <v>64.29204</v>
      </c>
      <c r="AG692" s="97" t="n">
        <v>47.09068</v>
      </c>
      <c r="AH692" s="97" t="n">
        <v>46.66888</v>
      </c>
      <c r="AI692" s="97" t="n"/>
      <c r="AJ692" s="97" t="n">
        <v>50.71199</v>
      </c>
      <c r="AK692" s="97" t="n"/>
      <c r="AL692" s="97" t="n"/>
      <c r="AM692" s="97" t="n">
        <v>59.76062</v>
      </c>
      <c r="AN692" s="97" t="n"/>
      <c r="AO692" s="97" t="n">
        <v>43.65852</v>
      </c>
      <c r="AP692" s="97" t="n">
        <v>62.16816</v>
      </c>
      <c r="AQ692" s="97" t="n"/>
      <c r="AR692" s="97" t="n"/>
      <c r="AS692" s="97" t="n"/>
      <c r="AT692" s="97" t="n"/>
      <c r="AU692" s="97" t="n"/>
      <c r="AV692" s="97" t="n"/>
      <c r="AW692" s="97" t="n"/>
      <c r="AX692" s="97" t="n"/>
      <c r="AY692" s="97" t="n">
        <v>54.79598</v>
      </c>
    </row>
    <row r="693" s="135">
      <c r="A693" t="inlineStr">
        <is>
          <t>1976-08</t>
        </is>
      </c>
      <c r="B693" s="2" t="n">
        <v>27973</v>
      </c>
      <c r="C693" s="96" t="n">
        <v>693</v>
      </c>
      <c r="E693" s="2">
        <f>B693</f>
        <v/>
      </c>
      <c r="F693" s="3">
        <f>B693</f>
        <v/>
      </c>
      <c r="G693" s="96" t="n">
        <v>691</v>
      </c>
      <c r="H693" s="97" t="n"/>
      <c r="I693" s="97" t="n"/>
      <c r="J693" s="97" t="n">
        <v>49.62128</v>
      </c>
      <c r="K693" s="97" t="n">
        <v>51.26803</v>
      </c>
      <c r="L693" s="97" t="n"/>
      <c r="M693" s="97" t="n"/>
      <c r="N693" s="97" t="n">
        <v>55.2372</v>
      </c>
      <c r="O693" s="97" t="n">
        <v>58.15661</v>
      </c>
      <c r="P693" s="97" t="n">
        <v>78.13686</v>
      </c>
      <c r="Q693" s="97" t="n"/>
      <c r="R693" s="97" t="n">
        <v>40.20313</v>
      </c>
      <c r="S693" s="97" t="n">
        <v>75.78726</v>
      </c>
      <c r="T693" s="97" t="n">
        <v>74.80578</v>
      </c>
      <c r="U693" s="97" t="n">
        <v>96.84885</v>
      </c>
      <c r="V693" s="97" t="n"/>
      <c r="W693" s="97" t="n">
        <v>6.615542</v>
      </c>
      <c r="X693" s="97" t="n"/>
      <c r="Y693" s="97" t="n"/>
      <c r="Z693" s="97" t="n">
        <v>81.9905</v>
      </c>
      <c r="AA693" s="97" t="n">
        <v>58.04899</v>
      </c>
      <c r="AB693" s="97" t="n"/>
      <c r="AC693" s="97" t="n">
        <v>46.10236</v>
      </c>
      <c r="AD693" s="97" t="n"/>
      <c r="AE693" s="97" t="n"/>
      <c r="AF693" s="97" t="n">
        <v>64.29204</v>
      </c>
      <c r="AG693" s="97" t="n">
        <v>47.65129</v>
      </c>
      <c r="AH693" s="97" t="n">
        <v>46.84863</v>
      </c>
      <c r="AI693" s="97" t="n"/>
      <c r="AJ693" s="97" t="n">
        <v>46.74064</v>
      </c>
      <c r="AK693" s="97" t="n"/>
      <c r="AL693" s="97" t="n"/>
      <c r="AM693" s="97" t="n">
        <v>58.61138</v>
      </c>
      <c r="AN693" s="97" t="n"/>
      <c r="AO693" s="97" t="n">
        <v>43.96608</v>
      </c>
      <c r="AP693" s="97" t="n">
        <v>62.16816</v>
      </c>
      <c r="AQ693" s="97" t="n"/>
      <c r="AR693" s="97" t="n"/>
      <c r="AS693" s="97" t="n"/>
      <c r="AT693" s="97" t="n"/>
      <c r="AU693" s="97" t="n"/>
      <c r="AV693" s="97" t="n"/>
      <c r="AW693" s="97" t="n"/>
      <c r="AX693" s="97" t="n"/>
      <c r="AY693" s="97" t="n">
        <v>54.87015</v>
      </c>
    </row>
    <row r="694" s="135">
      <c r="A694" t="inlineStr">
        <is>
          <t>1976-09</t>
        </is>
      </c>
      <c r="B694" s="2" t="n">
        <v>28004</v>
      </c>
      <c r="C694" s="96" t="n">
        <v>694</v>
      </c>
      <c r="E694" s="2">
        <f>B694</f>
        <v/>
      </c>
      <c r="F694" s="3">
        <f>B694</f>
        <v/>
      </c>
      <c r="G694" s="96" t="n">
        <v>692</v>
      </c>
      <c r="H694" s="97" t="n"/>
      <c r="I694" s="97" t="n"/>
      <c r="J694" s="97" t="n">
        <v>50.72807</v>
      </c>
      <c r="K694" s="97" t="n">
        <v>51.39632</v>
      </c>
      <c r="L694" s="97" t="n"/>
      <c r="M694" s="97" t="n"/>
      <c r="N694" s="97" t="n">
        <v>55.79266</v>
      </c>
      <c r="O694" s="97" t="n">
        <v>58.15661</v>
      </c>
      <c r="P694" s="97" t="n">
        <v>76.98849</v>
      </c>
      <c r="Q694" s="97" t="n"/>
      <c r="R694" s="97" t="n">
        <v>41.01429</v>
      </c>
      <c r="S694" s="97" t="n">
        <v>78.47432000000001</v>
      </c>
      <c r="T694" s="97" t="n">
        <v>76.07532999999999</v>
      </c>
      <c r="U694" s="97" t="n">
        <v>97.82692</v>
      </c>
      <c r="V694" s="97" t="n"/>
      <c r="W694" s="97" t="n">
        <v>6.423453</v>
      </c>
      <c r="X694" s="97" t="n"/>
      <c r="Y694" s="97" t="n"/>
      <c r="Z694" s="97" t="n">
        <v>85.08083999999999</v>
      </c>
      <c r="AA694" s="97" t="n">
        <v>57.96486</v>
      </c>
      <c r="AB694" s="97" t="n"/>
      <c r="AC694" s="97" t="n">
        <v>52.6782</v>
      </c>
      <c r="AD694" s="97" t="n"/>
      <c r="AE694" s="97" t="n"/>
      <c r="AF694" s="97" t="n">
        <v>66.67322</v>
      </c>
      <c r="AG694" s="97" t="n">
        <v>47.09068</v>
      </c>
      <c r="AH694" s="97" t="n">
        <v>47.24697</v>
      </c>
      <c r="AI694" s="97" t="n"/>
      <c r="AJ694" s="97" t="n">
        <v>52.24604</v>
      </c>
      <c r="AK694" s="97" t="n"/>
      <c r="AL694" s="97" t="n"/>
      <c r="AM694" s="97" t="n">
        <v>57.46214</v>
      </c>
      <c r="AN694" s="97" t="n"/>
      <c r="AO694" s="97" t="n">
        <v>44.09037</v>
      </c>
      <c r="AP694" s="97" t="n">
        <v>63.41572</v>
      </c>
      <c r="AQ694" s="97" t="n"/>
      <c r="AR694" s="97" t="n"/>
      <c r="AS694" s="97" t="n"/>
      <c r="AT694" s="97" t="n"/>
      <c r="AU694" s="97" t="n"/>
      <c r="AV694" s="97" t="n"/>
      <c r="AW694" s="97" t="n"/>
      <c r="AX694" s="97" t="n"/>
      <c r="AY694" s="97" t="n">
        <v>55.07405</v>
      </c>
    </row>
    <row r="695" s="135">
      <c r="A695" t="inlineStr">
        <is>
          <t>1976-10</t>
        </is>
      </c>
      <c r="B695" s="2" t="n">
        <v>28034</v>
      </c>
      <c r="C695" s="96" t="n">
        <v>695</v>
      </c>
      <c r="E695" s="2">
        <f>B695</f>
        <v/>
      </c>
      <c r="F695" s="3">
        <f>B695</f>
        <v/>
      </c>
      <c r="G695" s="96" t="n">
        <v>693</v>
      </c>
      <c r="H695" s="97" t="n"/>
      <c r="I695" s="97" t="n"/>
      <c r="J695" s="97" t="n">
        <v>51.07889</v>
      </c>
      <c r="K695" s="97" t="n">
        <v>50.52511</v>
      </c>
      <c r="L695" s="97" t="n"/>
      <c r="M695" s="97" t="n"/>
      <c r="N695" s="97" t="n">
        <v>55.79266</v>
      </c>
      <c r="O695" s="97" t="n">
        <v>58.15661</v>
      </c>
      <c r="P695" s="97" t="n">
        <v>77.54633</v>
      </c>
      <c r="Q695" s="97" t="n"/>
      <c r="R695" s="97" t="n">
        <v>41.06498</v>
      </c>
      <c r="S695" s="97" t="n">
        <v>75.97047000000001</v>
      </c>
      <c r="T695" s="97" t="n">
        <v>77.7355</v>
      </c>
      <c r="U695" s="97" t="n">
        <v>99.53172000000001</v>
      </c>
      <c r="V695" s="97" t="n"/>
      <c r="W695" s="97" t="n">
        <v>6.423453</v>
      </c>
      <c r="X695" s="97" t="n"/>
      <c r="Y695" s="97" t="n"/>
      <c r="Z695" s="97" t="n">
        <v>87.39859</v>
      </c>
      <c r="AA695" s="97" t="n">
        <v>57.96486</v>
      </c>
      <c r="AB695" s="97" t="n"/>
      <c r="AC695" s="97" t="n">
        <v>53.09445</v>
      </c>
      <c r="AD695" s="97" t="n"/>
      <c r="AE695" s="97" t="n"/>
      <c r="AF695" s="97" t="n">
        <v>64.29204</v>
      </c>
      <c r="AG695" s="97" t="n">
        <v>46.53008</v>
      </c>
      <c r="AH695" s="97" t="n">
        <v>47.30972</v>
      </c>
      <c r="AI695" s="97" t="n"/>
      <c r="AJ695" s="97" t="n">
        <v>52.57091</v>
      </c>
      <c r="AK695" s="97" t="n"/>
      <c r="AL695" s="97" t="n"/>
      <c r="AM695" s="97" t="n">
        <v>58.61138</v>
      </c>
      <c r="AN695" s="97" t="n"/>
      <c r="AO695" s="97" t="n">
        <v>44.10727</v>
      </c>
      <c r="AP695" s="97" t="n">
        <v>63.60618</v>
      </c>
      <c r="AQ695" s="97" t="n"/>
      <c r="AR695" s="97" t="n"/>
      <c r="AS695" s="97" t="n"/>
      <c r="AT695" s="97" t="n"/>
      <c r="AU695" s="97" t="n"/>
      <c r="AV695" s="97" t="n"/>
      <c r="AW695" s="97" t="n"/>
      <c r="AX695" s="97" t="n"/>
      <c r="AY695" s="97" t="n">
        <v>55.54345</v>
      </c>
    </row>
    <row r="696" s="135">
      <c r="A696" t="inlineStr">
        <is>
          <t>1976-11</t>
        </is>
      </c>
      <c r="B696" s="2" t="n">
        <v>28065</v>
      </c>
      <c r="C696" s="96" t="n">
        <v>696</v>
      </c>
      <c r="E696" s="2">
        <f>B696</f>
        <v/>
      </c>
      <c r="F696" s="3">
        <f>B696</f>
        <v/>
      </c>
      <c r="G696" s="96" t="n">
        <v>694</v>
      </c>
      <c r="H696" s="97" t="n"/>
      <c r="I696" s="97" t="n"/>
      <c r="J696" s="97" t="n">
        <v>50.85612</v>
      </c>
      <c r="K696" s="97" t="n">
        <v>51.53635</v>
      </c>
      <c r="L696" s="97" t="n"/>
      <c r="M696" s="97" t="n"/>
      <c r="N696" s="97" t="n">
        <v>55.85438</v>
      </c>
      <c r="O696" s="97" t="n">
        <v>58.15661</v>
      </c>
      <c r="P696" s="97" t="n">
        <v>78.32061</v>
      </c>
      <c r="Q696" s="97" t="n"/>
      <c r="R696" s="97" t="n">
        <v>40.05103</v>
      </c>
      <c r="S696" s="97" t="n">
        <v>77.92469</v>
      </c>
      <c r="T696" s="97" t="n">
        <v>78.41911</v>
      </c>
      <c r="U696" s="97" t="n">
        <v>100.8233</v>
      </c>
      <c r="V696" s="97" t="n"/>
      <c r="W696" s="97" t="n">
        <v>6.415769</v>
      </c>
      <c r="X696" s="97" t="n"/>
      <c r="Y696" s="97" t="n"/>
      <c r="Z696" s="97" t="n">
        <v>87.49516</v>
      </c>
      <c r="AA696" s="97" t="n">
        <v>58.80615</v>
      </c>
      <c r="AB696" s="97" t="n"/>
      <c r="AC696" s="97" t="n">
        <v>49.33116</v>
      </c>
      <c r="AD696" s="97" t="n"/>
      <c r="AE696" s="97" t="n"/>
      <c r="AF696" s="97" t="n">
        <v>64.29204</v>
      </c>
      <c r="AG696" s="97" t="n">
        <v>44.84827</v>
      </c>
      <c r="AH696" s="97" t="n">
        <v>47.78882</v>
      </c>
      <c r="AI696" s="97" t="n"/>
      <c r="AJ696" s="97" t="n">
        <v>54.90369</v>
      </c>
      <c r="AK696" s="97" t="n"/>
      <c r="AL696" s="97" t="n"/>
      <c r="AM696" s="97" t="n">
        <v>57.97929</v>
      </c>
      <c r="AN696" s="97" t="n"/>
      <c r="AO696" s="97" t="n">
        <v>44.75763</v>
      </c>
      <c r="AP696" s="97" t="n">
        <v>63.99664</v>
      </c>
      <c r="AQ696" s="97" t="n"/>
      <c r="AR696" s="97" t="n"/>
      <c r="AS696" s="97" t="n"/>
      <c r="AT696" s="97" t="n"/>
      <c r="AU696" s="97" t="n"/>
      <c r="AV696" s="97" t="n"/>
      <c r="AW696" s="97" t="n"/>
      <c r="AX696" s="97" t="n"/>
      <c r="AY696" s="97" t="n">
        <v>54.63533</v>
      </c>
    </row>
    <row r="697" s="135">
      <c r="A697" t="inlineStr">
        <is>
          <t>1976-12</t>
        </is>
      </c>
      <c r="B697" s="2" t="n">
        <v>28095</v>
      </c>
      <c r="C697" s="96" t="n">
        <v>697</v>
      </c>
      <c r="E697" s="2">
        <f>B697</f>
        <v/>
      </c>
      <c r="F697" s="3">
        <f>B697</f>
        <v/>
      </c>
      <c r="G697" s="96" t="n">
        <v>695</v>
      </c>
      <c r="H697" s="97" t="n"/>
      <c r="I697" s="97" t="n"/>
      <c r="J697" s="97" t="n">
        <v>49.17077</v>
      </c>
      <c r="K697" s="97" t="n">
        <v>51.68907</v>
      </c>
      <c r="L697" s="97" t="n"/>
      <c r="M697" s="97" t="n"/>
      <c r="N697" s="97" t="n">
        <v>55.9161</v>
      </c>
      <c r="O697" s="97" t="n">
        <v>58.15661</v>
      </c>
      <c r="P697" s="97" t="n">
        <v>76.11002999999999</v>
      </c>
      <c r="Q697" s="97" t="n"/>
      <c r="R697" s="97" t="n">
        <v>41.57196</v>
      </c>
      <c r="S697" s="97" t="n">
        <v>77.68040999999999</v>
      </c>
      <c r="T697" s="97" t="n">
        <v>78.9074</v>
      </c>
      <c r="U697" s="97" t="n">
        <v>99.96048</v>
      </c>
      <c r="V697" s="97" t="n"/>
      <c r="W697" s="97" t="n">
        <v>6.239048</v>
      </c>
      <c r="X697" s="97" t="n"/>
      <c r="Y697" s="97" t="n"/>
      <c r="Z697" s="97" t="n">
        <v>87.88146</v>
      </c>
      <c r="AA697" s="97" t="n">
        <v>59.05854</v>
      </c>
      <c r="AB697" s="97" t="n"/>
      <c r="AC697" s="97" t="n">
        <v>43.98348</v>
      </c>
      <c r="AD697" s="97" t="n"/>
      <c r="AE697" s="97" t="n"/>
      <c r="AF697" s="97" t="n">
        <v>64.88733000000001</v>
      </c>
      <c r="AG697" s="97" t="n">
        <v>45.96948</v>
      </c>
      <c r="AH697" s="97" t="n">
        <v>47.98242</v>
      </c>
      <c r="AI697" s="97" t="n"/>
      <c r="AJ697" s="97" t="n">
        <v>55.03711</v>
      </c>
      <c r="AK697" s="97" t="n"/>
      <c r="AL697" s="97" t="n"/>
      <c r="AM697" s="97" t="n">
        <v>58.55391</v>
      </c>
      <c r="AN697" s="97" t="n"/>
      <c r="AO697" s="97" t="n">
        <v>45.22598</v>
      </c>
      <c r="AP697" s="97" t="n">
        <v>63.99664</v>
      </c>
      <c r="AQ697" s="97" t="n"/>
      <c r="AR697" s="97" t="n"/>
      <c r="AS697" s="97" t="n"/>
      <c r="AT697" s="97" t="n"/>
      <c r="AU697" s="97" t="n"/>
      <c r="AV697" s="97" t="n"/>
      <c r="AW697" s="97" t="n"/>
      <c r="AX697" s="97" t="n"/>
      <c r="AY697" s="97" t="n">
        <v>55.26041</v>
      </c>
    </row>
    <row r="698" s="135">
      <c r="A698" t="inlineStr">
        <is>
          <t>1977-01</t>
        </is>
      </c>
      <c r="B698" s="2" t="n">
        <v>28126</v>
      </c>
      <c r="C698" s="96" t="n">
        <v>698</v>
      </c>
      <c r="E698" s="2">
        <f>B698</f>
        <v/>
      </c>
      <c r="F698" s="3">
        <f>B698</f>
        <v/>
      </c>
      <c r="G698" s="96" t="n">
        <v>696</v>
      </c>
      <c r="H698" s="97" t="n"/>
      <c r="I698" s="97" t="n"/>
      <c r="J698" s="97" t="n">
        <v>50.16535</v>
      </c>
      <c r="K698" s="97" t="n">
        <v>52.65802</v>
      </c>
      <c r="L698" s="97" t="n"/>
      <c r="M698" s="97" t="n"/>
      <c r="N698" s="97" t="n">
        <v>56.22468</v>
      </c>
      <c r="O698" s="97" t="n">
        <v>60.03263</v>
      </c>
      <c r="P698" s="97" t="n">
        <v>79.16673</v>
      </c>
      <c r="Q698" s="97" t="n"/>
      <c r="R698" s="97" t="n">
        <v>41.57196</v>
      </c>
      <c r="S698" s="97" t="n">
        <v>78.47432000000001</v>
      </c>
      <c r="T698" s="97" t="n">
        <v>80.37226</v>
      </c>
      <c r="U698" s="97" t="n">
        <v>98.68953999999999</v>
      </c>
      <c r="V698" s="97" t="n"/>
      <c r="W698" s="97" t="n">
        <v>6.300516</v>
      </c>
      <c r="X698" s="97" t="n"/>
      <c r="Y698" s="97" t="n"/>
      <c r="Z698" s="97" t="n">
        <v>90.29577999999999</v>
      </c>
      <c r="AA698" s="97" t="n">
        <v>59.56331</v>
      </c>
      <c r="AB698" s="97" t="n"/>
      <c r="AC698" s="97" t="n">
        <v>50.10116</v>
      </c>
      <c r="AD698" s="97" t="n"/>
      <c r="AE698" s="97" t="n"/>
      <c r="AF698" s="97" t="n">
        <v>64.88733000000001</v>
      </c>
      <c r="AG698" s="97" t="n">
        <v>45.96948</v>
      </c>
      <c r="AH698" s="97" t="n">
        <v>48.2661</v>
      </c>
      <c r="AI698" s="97" t="n"/>
      <c r="AJ698" s="97" t="n">
        <v>55.71214</v>
      </c>
      <c r="AK698" s="97" t="n"/>
      <c r="AL698" s="97" t="n"/>
      <c r="AM698" s="97" t="n">
        <v>56.65767</v>
      </c>
      <c r="AN698" s="97" t="n"/>
      <c r="AO698" s="97" t="n">
        <v>44.97836</v>
      </c>
      <c r="AP698" s="97" t="n">
        <v>64.9585</v>
      </c>
      <c r="AQ698" s="97" t="n"/>
      <c r="AR698" s="97" t="n"/>
      <c r="AS698" s="97" t="n"/>
      <c r="AT698" s="97" t="n"/>
      <c r="AU698" s="97" t="n"/>
      <c r="AV698" s="97" t="n"/>
      <c r="AW698" s="97" t="n"/>
      <c r="AX698" s="97" t="n"/>
      <c r="AY698" s="97" t="n">
        <v>54.33595</v>
      </c>
    </row>
    <row r="699" s="135">
      <c r="A699" t="inlineStr">
        <is>
          <t>1977-02</t>
        </is>
      </c>
      <c r="B699" s="2" t="n">
        <v>28157</v>
      </c>
      <c r="C699" s="96" t="n">
        <v>699</v>
      </c>
      <c r="E699" s="2">
        <f>B699</f>
        <v/>
      </c>
      <c r="F699" s="3">
        <f>B699</f>
        <v/>
      </c>
      <c r="G699" s="96" t="n">
        <v>697</v>
      </c>
      <c r="H699" s="97" t="n"/>
      <c r="I699" s="97" t="n"/>
      <c r="J699" s="97" t="n">
        <v>50.00245</v>
      </c>
      <c r="K699" s="97" t="n">
        <v>51.97431</v>
      </c>
      <c r="L699" s="97" t="n"/>
      <c r="M699" s="97" t="n"/>
      <c r="N699" s="97" t="n">
        <v>56.03953</v>
      </c>
      <c r="O699" s="97" t="n">
        <v>59.40729</v>
      </c>
      <c r="P699" s="97" t="n">
        <v>80.59934</v>
      </c>
      <c r="Q699" s="97" t="n"/>
      <c r="R699" s="97" t="n">
        <v>42.12963</v>
      </c>
      <c r="S699" s="97" t="n">
        <v>77.61935</v>
      </c>
      <c r="T699" s="97" t="n">
        <v>80.07929</v>
      </c>
      <c r="U699" s="97" t="n">
        <v>97.25999</v>
      </c>
      <c r="V699" s="97" t="n"/>
      <c r="W699" s="97" t="n">
        <v>6.54639</v>
      </c>
      <c r="X699" s="97" t="n"/>
      <c r="Y699" s="97" t="n"/>
      <c r="Z699" s="97" t="n">
        <v>87.49516</v>
      </c>
      <c r="AA699" s="97" t="n">
        <v>58.72202</v>
      </c>
      <c r="AB699" s="97" t="n"/>
      <c r="AC699" s="97" t="n">
        <v>48.06694</v>
      </c>
      <c r="AD699" s="97" t="n"/>
      <c r="AE699" s="97" t="n"/>
      <c r="AF699" s="97" t="n">
        <v>64.29204</v>
      </c>
      <c r="AG699" s="97" t="n">
        <v>45.40887</v>
      </c>
      <c r="AH699" s="97" t="n">
        <v>48.2622</v>
      </c>
      <c r="AI699" s="97" t="n"/>
      <c r="AJ699" s="97" t="n">
        <v>55.80004</v>
      </c>
      <c r="AK699" s="97" t="n"/>
      <c r="AL699" s="97" t="n"/>
      <c r="AM699" s="97" t="n">
        <v>56.94498</v>
      </c>
      <c r="AN699" s="97" t="n"/>
      <c r="AO699" s="97" t="n">
        <v>45.66426</v>
      </c>
      <c r="AP699" s="97" t="n">
        <v>64.37757000000001</v>
      </c>
      <c r="AQ699" s="97" t="n"/>
      <c r="AR699" s="97" t="n"/>
      <c r="AS699" s="97" t="n"/>
      <c r="AT699" s="97" t="n"/>
      <c r="AU699" s="97" t="n"/>
      <c r="AV699" s="97" t="n"/>
      <c r="AW699" s="97" t="n"/>
      <c r="AX699" s="97" t="n"/>
      <c r="AY699" s="97" t="n">
        <v>54.59006</v>
      </c>
    </row>
    <row r="700" s="135">
      <c r="A700" t="inlineStr">
        <is>
          <t>1977-03</t>
        </is>
      </c>
      <c r="B700" s="2" t="n">
        <v>28185</v>
      </c>
      <c r="C700" s="96" t="n">
        <v>700</v>
      </c>
      <c r="E700" s="2">
        <f>B700</f>
        <v/>
      </c>
      <c r="F700" s="3">
        <f>B700</f>
        <v/>
      </c>
      <c r="G700" s="96" t="n">
        <v>698</v>
      </c>
      <c r="H700" s="97" t="n"/>
      <c r="I700" s="97" t="n"/>
      <c r="J700" s="97" t="n">
        <v>50.15634</v>
      </c>
      <c r="K700" s="97" t="n">
        <v>52.06124</v>
      </c>
      <c r="L700" s="97" t="n"/>
      <c r="M700" s="97" t="n"/>
      <c r="N700" s="97" t="n">
        <v>56.6567</v>
      </c>
      <c r="O700" s="97" t="n">
        <v>58.15661</v>
      </c>
      <c r="P700" s="97" t="n">
        <v>80.52421</v>
      </c>
      <c r="Q700" s="97" t="n"/>
      <c r="R700" s="97" t="n">
        <v>37.05988</v>
      </c>
      <c r="S700" s="97" t="n">
        <v>78.1079</v>
      </c>
      <c r="T700" s="97" t="n">
        <v>80.17695000000001</v>
      </c>
      <c r="U700" s="97" t="n">
        <v>94.37976</v>
      </c>
      <c r="V700" s="97" t="n"/>
      <c r="W700" s="97" t="n">
        <v>6.43882</v>
      </c>
      <c r="X700" s="97" t="n"/>
      <c r="Y700" s="97" t="n"/>
      <c r="Z700" s="97" t="n">
        <v>83.82539</v>
      </c>
      <c r="AA700" s="97" t="n">
        <v>59.56331</v>
      </c>
      <c r="AB700" s="97" t="n"/>
      <c r="AC700" s="97" t="n">
        <v>49.25571</v>
      </c>
      <c r="AD700" s="97" t="n"/>
      <c r="AE700" s="97" t="n"/>
      <c r="AF700" s="97" t="n">
        <v>63.69674</v>
      </c>
      <c r="AG700" s="97" t="n">
        <v>45.96948</v>
      </c>
      <c r="AH700" s="97" t="n">
        <v>48.47206</v>
      </c>
      <c r="AI700" s="97" t="n"/>
      <c r="AJ700" s="97" t="n">
        <v>55.56164</v>
      </c>
      <c r="AK700" s="97" t="n"/>
      <c r="AL700" s="97" t="n"/>
      <c r="AM700" s="97" t="n">
        <v>56.31289</v>
      </c>
      <c r="AN700" s="97" t="n"/>
      <c r="AO700" s="97" t="n">
        <v>46.23029</v>
      </c>
      <c r="AP700" s="97" t="n">
        <v>64.09187</v>
      </c>
      <c r="AQ700" s="97" t="n"/>
      <c r="AR700" s="97" t="n"/>
      <c r="AS700" s="97" t="n"/>
      <c r="AT700" s="97" t="n"/>
      <c r="AU700" s="97" t="n"/>
      <c r="AV700" s="97" t="n"/>
      <c r="AW700" s="97" t="n"/>
      <c r="AX700" s="97" t="n"/>
      <c r="AY700" s="97" t="n">
        <v>55.93583</v>
      </c>
    </row>
    <row r="701" s="135">
      <c r="A701" t="inlineStr">
        <is>
          <t>1977-04</t>
        </is>
      </c>
      <c r="B701" s="2" t="n">
        <v>28216</v>
      </c>
      <c r="C701" s="96" t="n">
        <v>701</v>
      </c>
      <c r="E701" s="2">
        <f>B701</f>
        <v/>
      </c>
      <c r="F701" s="3">
        <f>B701</f>
        <v/>
      </c>
      <c r="G701" s="96" t="n">
        <v>699</v>
      </c>
      <c r="H701" s="97" t="n"/>
      <c r="I701" s="97" t="n"/>
      <c r="J701" s="97" t="n">
        <v>49.54245</v>
      </c>
      <c r="K701" s="97" t="n">
        <v>51.69283</v>
      </c>
      <c r="L701" s="97" t="n"/>
      <c r="M701" s="97" t="n"/>
      <c r="N701" s="97" t="n">
        <v>56.03953</v>
      </c>
      <c r="O701" s="97" t="n">
        <v>55.02991</v>
      </c>
      <c r="P701" s="97" t="n">
        <v>80.78830000000001</v>
      </c>
      <c r="Q701" s="97" t="n"/>
      <c r="R701" s="97" t="n">
        <v>37.66825</v>
      </c>
      <c r="S701" s="97" t="n">
        <v>76.09260999999999</v>
      </c>
      <c r="T701" s="97" t="n">
        <v>79.39569</v>
      </c>
      <c r="U701" s="97" t="n">
        <v>94.51394999999999</v>
      </c>
      <c r="V701" s="97" t="n"/>
      <c r="W701" s="97" t="n">
        <v>6.492605</v>
      </c>
      <c r="X701" s="97" t="n"/>
      <c r="Y701" s="97" t="n"/>
      <c r="Z701" s="97" t="n">
        <v>87.97803</v>
      </c>
      <c r="AA701" s="97" t="n">
        <v>59.2268</v>
      </c>
      <c r="AB701" s="97" t="n"/>
      <c r="AC701" s="97" t="n">
        <v>49.33324</v>
      </c>
      <c r="AD701" s="97" t="n"/>
      <c r="AE701" s="97" t="n"/>
      <c r="AF701" s="97" t="n">
        <v>64.88733000000001</v>
      </c>
      <c r="AG701" s="97" t="n">
        <v>43.72706</v>
      </c>
      <c r="AH701" s="97" t="n">
        <v>48.59325</v>
      </c>
      <c r="AI701" s="97" t="n"/>
      <c r="AJ701" s="97" t="n">
        <v>56.74598</v>
      </c>
      <c r="AK701" s="97" t="n"/>
      <c r="AL701" s="97" t="n"/>
      <c r="AM701" s="97" t="n">
        <v>55.91066</v>
      </c>
      <c r="AN701" s="97" t="n"/>
      <c r="AO701" s="97" t="n">
        <v>46.6652</v>
      </c>
      <c r="AP701" s="97" t="n">
        <v>64.09187</v>
      </c>
      <c r="AQ701" s="97" t="n"/>
      <c r="AR701" s="97" t="n"/>
      <c r="AS701" s="97" t="n"/>
      <c r="AT701" s="97" t="n"/>
      <c r="AU701" s="97" t="n"/>
      <c r="AV701" s="97" t="n"/>
      <c r="AW701" s="97" t="n"/>
      <c r="AX701" s="97" t="n"/>
      <c r="AY701" s="97" t="n">
        <v>55.33654</v>
      </c>
    </row>
    <row r="702" s="135">
      <c r="A702" t="inlineStr">
        <is>
          <t>1977-05</t>
        </is>
      </c>
      <c r="B702" s="2" t="n">
        <v>28246</v>
      </c>
      <c r="C702" s="96" t="n">
        <v>702</v>
      </c>
      <c r="E702" s="2">
        <f>B702</f>
        <v/>
      </c>
      <c r="F702" s="3">
        <f>B702</f>
        <v/>
      </c>
      <c r="G702" s="96" t="n">
        <v>700</v>
      </c>
      <c r="H702" s="97" t="n"/>
      <c r="I702" s="97" t="n"/>
      <c r="J702" s="97" t="n">
        <v>49.55741</v>
      </c>
      <c r="K702" s="97" t="n">
        <v>52.31029</v>
      </c>
      <c r="L702" s="97" t="n"/>
      <c r="M702" s="97" t="n"/>
      <c r="N702" s="97" t="n">
        <v>55.54579</v>
      </c>
      <c r="O702" s="97" t="n">
        <v>56.28059</v>
      </c>
      <c r="P702" s="97" t="n">
        <v>79.53975</v>
      </c>
      <c r="Q702" s="97" t="n"/>
      <c r="R702" s="97" t="n">
        <v>39.79755</v>
      </c>
      <c r="S702" s="97" t="n">
        <v>75.42085</v>
      </c>
      <c r="T702" s="97" t="n">
        <v>81.54416000000001</v>
      </c>
      <c r="U702" s="97" t="n">
        <v>95.74693000000001</v>
      </c>
      <c r="V702" s="97" t="n"/>
      <c r="W702" s="97" t="n">
        <v>6.592492</v>
      </c>
      <c r="X702" s="97" t="n"/>
      <c r="Y702" s="97" t="n"/>
      <c r="Z702" s="97" t="n">
        <v>84.5014</v>
      </c>
      <c r="AA702" s="97" t="n">
        <v>58.97441</v>
      </c>
      <c r="AB702" s="97" t="n"/>
      <c r="AC702" s="97" t="n">
        <v>51.36145</v>
      </c>
      <c r="AD702" s="97" t="n"/>
      <c r="AE702" s="97" t="n"/>
      <c r="AF702" s="97" t="n">
        <v>63.69674</v>
      </c>
      <c r="AG702" s="97" t="n">
        <v>41.48465</v>
      </c>
      <c r="AH702" s="97" t="n">
        <v>48.57008</v>
      </c>
      <c r="AI702" s="97" t="n"/>
      <c r="AJ702" s="97" t="n">
        <v>57.00194</v>
      </c>
      <c r="AK702" s="97" t="n"/>
      <c r="AL702" s="97" t="n"/>
      <c r="AM702" s="97" t="n">
        <v>55.68081</v>
      </c>
      <c r="AN702" s="97" t="n"/>
      <c r="AO702" s="97" t="n">
        <v>47.0545</v>
      </c>
      <c r="AP702" s="97" t="n">
        <v>63.60618</v>
      </c>
      <c r="AQ702" s="97" t="n"/>
      <c r="AR702" s="97" t="n"/>
      <c r="AS702" s="97" t="n"/>
      <c r="AT702" s="97" t="n"/>
      <c r="AU702" s="97" t="n"/>
      <c r="AV702" s="97" t="n"/>
      <c r="AW702" s="97" t="n"/>
      <c r="AX702" s="97" t="n"/>
      <c r="AY702" s="97" t="n">
        <v>57.26403</v>
      </c>
    </row>
    <row r="703" s="135">
      <c r="A703" t="inlineStr">
        <is>
          <t>1977-06</t>
        </is>
      </c>
      <c r="B703" s="2" t="n">
        <v>28277</v>
      </c>
      <c r="C703" s="96" t="n">
        <v>703</v>
      </c>
      <c r="E703" s="2">
        <f>B703</f>
        <v/>
      </c>
      <c r="F703" s="3">
        <f>B703</f>
        <v/>
      </c>
      <c r="G703" s="96" t="n">
        <v>701</v>
      </c>
      <c r="H703" s="97" t="n"/>
      <c r="I703" s="97" t="n"/>
      <c r="J703" s="97" t="n">
        <v>49.36541</v>
      </c>
      <c r="K703" s="97" t="n">
        <v>52.84364</v>
      </c>
      <c r="L703" s="97" t="n"/>
      <c r="M703" s="97" t="n"/>
      <c r="N703" s="97" t="n">
        <v>56.53327</v>
      </c>
      <c r="O703" s="97" t="n">
        <v>58.15661</v>
      </c>
      <c r="P703" s="97" t="n">
        <v>78.50157</v>
      </c>
      <c r="Q703" s="97" t="n"/>
      <c r="R703" s="97" t="n">
        <v>41.31847</v>
      </c>
      <c r="S703" s="97" t="n">
        <v>78.23004</v>
      </c>
      <c r="T703" s="97" t="n">
        <v>78.22378999999999</v>
      </c>
      <c r="U703" s="97" t="n">
        <v>98.4435</v>
      </c>
      <c r="V703" s="97" t="n"/>
      <c r="W703" s="97" t="n">
        <v>6.738479</v>
      </c>
      <c r="X703" s="97" t="n"/>
      <c r="Y703" s="97" t="n"/>
      <c r="Z703" s="97" t="n">
        <v>80.54191</v>
      </c>
      <c r="AA703" s="97" t="n">
        <v>59.47918</v>
      </c>
      <c r="AB703" s="97" t="n"/>
      <c r="AC703" s="97" t="n">
        <v>50.10806</v>
      </c>
      <c r="AD703" s="97" t="n"/>
      <c r="AE703" s="97" t="n"/>
      <c r="AF703" s="97" t="n">
        <v>64.88733000000001</v>
      </c>
      <c r="AG703" s="97" t="n">
        <v>45.40887</v>
      </c>
      <c r="AH703" s="97" t="n">
        <v>48.72004</v>
      </c>
      <c r="AI703" s="97" t="n"/>
      <c r="AJ703" s="97" t="n">
        <v>58.23325</v>
      </c>
      <c r="AK703" s="97" t="n"/>
      <c r="AL703" s="97" t="n"/>
      <c r="AM703" s="97" t="n">
        <v>55.22111</v>
      </c>
      <c r="AN703" s="97" t="n"/>
      <c r="AO703" s="97" t="n">
        <v>47.39423</v>
      </c>
      <c r="AP703" s="97" t="n">
        <v>63.32048</v>
      </c>
      <c r="AQ703" s="97" t="n"/>
      <c r="AR703" s="97" t="n"/>
      <c r="AS703" s="97" t="n"/>
      <c r="AT703" s="97" t="n"/>
      <c r="AU703" s="97" t="n"/>
      <c r="AV703" s="97" t="n"/>
      <c r="AW703" s="97" t="n"/>
      <c r="AX703" s="97" t="n"/>
      <c r="AY703" s="97" t="n">
        <v>55.84837</v>
      </c>
    </row>
    <row r="704" s="135">
      <c r="A704" t="inlineStr">
        <is>
          <t>1977-07</t>
        </is>
      </c>
      <c r="B704" s="2" t="n">
        <v>28307</v>
      </c>
      <c r="C704" s="96" t="n">
        <v>704</v>
      </c>
      <c r="E704" s="2">
        <f>B704</f>
        <v/>
      </c>
      <c r="F704" s="3">
        <f>B704</f>
        <v/>
      </c>
      <c r="G704" s="96" t="n">
        <v>702</v>
      </c>
      <c r="H704" s="97" t="n"/>
      <c r="I704" s="97" t="n"/>
      <c r="J704" s="97" t="n">
        <v>50.15001</v>
      </c>
      <c r="K704" s="97" t="n">
        <v>52.54196</v>
      </c>
      <c r="L704" s="97" t="n"/>
      <c r="M704" s="97" t="n"/>
      <c r="N704" s="97" t="n">
        <v>54.12629</v>
      </c>
      <c r="O704" s="97" t="n">
        <v>57.53127</v>
      </c>
      <c r="P704" s="97" t="n">
        <v>79.61914</v>
      </c>
      <c r="Q704" s="97" t="n"/>
      <c r="R704" s="97" t="n">
        <v>38.6315</v>
      </c>
      <c r="S704" s="97" t="n">
        <v>76.03154000000001</v>
      </c>
      <c r="T704" s="97" t="n">
        <v>78.61443</v>
      </c>
      <c r="U704" s="97" t="n">
        <v>100.2752</v>
      </c>
      <c r="V704" s="97" t="n"/>
      <c r="W704" s="97" t="n">
        <v>6.638593</v>
      </c>
      <c r="X704" s="97" t="n"/>
      <c r="Y704" s="97" t="n"/>
      <c r="Z704" s="97" t="n">
        <v>83.4391</v>
      </c>
      <c r="AA704" s="97" t="n">
        <v>58.30138</v>
      </c>
      <c r="AB704" s="97" t="n"/>
      <c r="AC704" s="97" t="n">
        <v>49.46687</v>
      </c>
      <c r="AD704" s="97" t="n"/>
      <c r="AE704" s="97" t="n"/>
      <c r="AF704" s="97" t="n">
        <v>64.88733000000001</v>
      </c>
      <c r="AG704" s="97" t="n">
        <v>42.60586</v>
      </c>
      <c r="AH704" s="97" t="n">
        <v>48.41343</v>
      </c>
      <c r="AI704" s="97" t="n"/>
      <c r="AJ704" s="97" t="n">
        <v>57.58564</v>
      </c>
      <c r="AK704" s="97" t="n"/>
      <c r="AL704" s="97" t="n"/>
      <c r="AM704" s="97" t="n">
        <v>55.45096</v>
      </c>
      <c r="AN704" s="97" t="n"/>
      <c r="AO704" s="97" t="n">
        <v>47.4607</v>
      </c>
      <c r="AP704" s="97" t="n">
        <v>62.74908</v>
      </c>
      <c r="AQ704" s="97" t="n"/>
      <c r="AR704" s="97" t="n"/>
      <c r="AS704" s="97" t="n"/>
      <c r="AT704" s="97" t="n"/>
      <c r="AU704" s="97" t="n"/>
      <c r="AV704" s="97" t="n"/>
      <c r="AW704" s="97" t="n"/>
      <c r="AX704" s="97" t="n"/>
      <c r="AY704" s="97" t="n">
        <v>56.00558</v>
      </c>
    </row>
    <row r="705" s="135">
      <c r="A705" t="inlineStr">
        <is>
          <t>1977-08</t>
        </is>
      </c>
      <c r="B705" s="2" t="n">
        <v>28338</v>
      </c>
      <c r="C705" s="96" t="n">
        <v>705</v>
      </c>
      <c r="E705" s="2">
        <f>B705</f>
        <v/>
      </c>
      <c r="F705" s="3">
        <f>B705</f>
        <v/>
      </c>
      <c r="G705" s="96" t="n">
        <v>703</v>
      </c>
      <c r="H705" s="97" t="n"/>
      <c r="I705" s="97" t="n"/>
      <c r="J705" s="97" t="n">
        <v>50.71523</v>
      </c>
      <c r="K705" s="97" t="n">
        <v>52.6881</v>
      </c>
      <c r="L705" s="97" t="n"/>
      <c r="M705" s="97" t="n"/>
      <c r="N705" s="97" t="n">
        <v>56.47155</v>
      </c>
      <c r="O705" s="97" t="n">
        <v>61.28331</v>
      </c>
      <c r="P705" s="97" t="n">
        <v>80.31197</v>
      </c>
      <c r="Q705" s="97" t="n"/>
      <c r="R705" s="97" t="n">
        <v>40.6594</v>
      </c>
      <c r="S705" s="97" t="n">
        <v>76.03154000000001</v>
      </c>
      <c r="T705" s="97" t="n">
        <v>79.39569</v>
      </c>
      <c r="U705" s="97" t="n">
        <v>99.17814</v>
      </c>
      <c r="V705" s="97" t="n"/>
      <c r="W705" s="97" t="n">
        <v>6.746162</v>
      </c>
      <c r="X705" s="97" t="n"/>
      <c r="Y705" s="97" t="n"/>
      <c r="Z705" s="97" t="n">
        <v>82.56994</v>
      </c>
      <c r="AA705" s="97" t="n">
        <v>59.56331</v>
      </c>
      <c r="AB705" s="97" t="n"/>
      <c r="AC705" s="97" t="n">
        <v>45.61328</v>
      </c>
      <c r="AD705" s="97" t="n"/>
      <c r="AE705" s="97" t="n"/>
      <c r="AF705" s="97" t="n">
        <v>63.69674</v>
      </c>
      <c r="AG705" s="97" t="n">
        <v>44.84827</v>
      </c>
      <c r="AH705" s="97" t="n">
        <v>48.83831</v>
      </c>
      <c r="AI705" s="97" t="n"/>
      <c r="AJ705" s="97" t="n">
        <v>58.15233</v>
      </c>
      <c r="AK705" s="97" t="n"/>
      <c r="AL705" s="97" t="n"/>
      <c r="AM705" s="97" t="n">
        <v>54.53157</v>
      </c>
      <c r="AN705" s="97" t="n"/>
      <c r="AO705" s="97" t="n">
        <v>47.47405</v>
      </c>
      <c r="AP705" s="97" t="n">
        <v>63.60618</v>
      </c>
      <c r="AQ705" s="97" t="n"/>
      <c r="AR705" s="97" t="n"/>
      <c r="AS705" s="97" t="n"/>
      <c r="AT705" s="97" t="n"/>
      <c r="AU705" s="97" t="n"/>
      <c r="AV705" s="97" t="n"/>
      <c r="AW705" s="97" t="n"/>
      <c r="AX705" s="97" t="n"/>
      <c r="AY705" s="97" t="n">
        <v>55.55684</v>
      </c>
    </row>
    <row r="706" s="135">
      <c r="A706" t="inlineStr">
        <is>
          <t>1977-09</t>
        </is>
      </c>
      <c r="B706" s="2" t="n">
        <v>28369</v>
      </c>
      <c r="C706" s="96" t="n">
        <v>706</v>
      </c>
      <c r="E706" s="2">
        <f>B706</f>
        <v/>
      </c>
      <c r="F706" s="3">
        <f>B706</f>
        <v/>
      </c>
      <c r="G706" s="96" t="n">
        <v>704</v>
      </c>
      <c r="H706" s="97" t="n"/>
      <c r="I706" s="97" t="n"/>
      <c r="J706" s="97" t="n">
        <v>48.97172</v>
      </c>
      <c r="K706" s="97" t="n">
        <v>52.46019</v>
      </c>
      <c r="L706" s="97" t="n"/>
      <c r="M706" s="97" t="n"/>
      <c r="N706" s="97" t="n">
        <v>56.59499</v>
      </c>
      <c r="O706" s="97" t="n">
        <v>60.03263</v>
      </c>
      <c r="P706" s="97" t="n">
        <v>80.02682</v>
      </c>
      <c r="Q706" s="97" t="n"/>
      <c r="R706" s="97" t="n">
        <v>41.97754</v>
      </c>
      <c r="S706" s="97" t="n">
        <v>76.45902</v>
      </c>
      <c r="T706" s="97" t="n">
        <v>79.68866</v>
      </c>
      <c r="U706" s="97" t="n">
        <v>101.4324</v>
      </c>
      <c r="V706" s="97" t="n"/>
      <c r="W706" s="97" t="n">
        <v>6.784581</v>
      </c>
      <c r="X706" s="97" t="n"/>
      <c r="Y706" s="97" t="n"/>
      <c r="Z706" s="97" t="n">
        <v>82.37679</v>
      </c>
      <c r="AA706" s="97" t="n">
        <v>59.56331</v>
      </c>
      <c r="AB706" s="97" t="n"/>
      <c r="AC706" s="97" t="n">
        <v>48.91133</v>
      </c>
      <c r="AD706" s="97" t="n"/>
      <c r="AE706" s="97" t="n"/>
      <c r="AF706" s="97" t="n">
        <v>64.29204</v>
      </c>
      <c r="AG706" s="97" t="n">
        <v>45.40887</v>
      </c>
      <c r="AH706" s="97" t="n">
        <v>48.95772</v>
      </c>
      <c r="AI706" s="97" t="n"/>
      <c r="AJ706" s="97" t="n">
        <v>61.35731</v>
      </c>
      <c r="AK706" s="97" t="n"/>
      <c r="AL706" s="97" t="n"/>
      <c r="AM706" s="97" t="n">
        <v>54.87634</v>
      </c>
      <c r="AN706" s="97" t="n"/>
      <c r="AO706" s="97" t="n">
        <v>47.70265</v>
      </c>
      <c r="AP706" s="97" t="n">
        <v>63.71094</v>
      </c>
      <c r="AQ706" s="97" t="n"/>
      <c r="AR706" s="97" t="n"/>
      <c r="AS706" s="97" t="n"/>
      <c r="AT706" s="97" t="n"/>
      <c r="AU706" s="97" t="n"/>
      <c r="AV706" s="97" t="n"/>
      <c r="AW706" s="97" t="n"/>
      <c r="AX706" s="97" t="n"/>
      <c r="AY706" s="97" t="n">
        <v>55.39902</v>
      </c>
    </row>
    <row r="707" s="135">
      <c r="A707" t="inlineStr">
        <is>
          <t>1977-10</t>
        </is>
      </c>
      <c r="B707" s="2" t="n">
        <v>28399</v>
      </c>
      <c r="C707" s="96" t="n">
        <v>707</v>
      </c>
      <c r="E707" s="2">
        <f>B707</f>
        <v/>
      </c>
      <c r="F707" s="3">
        <f>B707</f>
        <v/>
      </c>
      <c r="G707" s="96" t="n">
        <v>705</v>
      </c>
      <c r="H707" s="97" t="n"/>
      <c r="I707" s="97" t="n"/>
      <c r="J707" s="97" t="n">
        <v>49.42338</v>
      </c>
      <c r="K707" s="97" t="n">
        <v>52.81826</v>
      </c>
      <c r="L707" s="97" t="n"/>
      <c r="M707" s="97" t="n"/>
      <c r="N707" s="97" t="n">
        <v>56.34812</v>
      </c>
      <c r="O707" s="97" t="n">
        <v>58.15661</v>
      </c>
      <c r="P707" s="97" t="n">
        <v>80.28156</v>
      </c>
      <c r="Q707" s="97" t="n"/>
      <c r="R707" s="97" t="n">
        <v>41.77475</v>
      </c>
      <c r="S707" s="97" t="n">
        <v>75.54298</v>
      </c>
      <c r="T707" s="97" t="n">
        <v>79.39569</v>
      </c>
      <c r="U707" s="97" t="n">
        <v>101.9518</v>
      </c>
      <c r="V707" s="97" t="n"/>
      <c r="W707" s="97" t="n">
        <v>6.961302</v>
      </c>
      <c r="X707" s="97" t="n"/>
      <c r="Y707" s="97" t="n"/>
      <c r="Z707" s="97" t="n">
        <v>83.4391</v>
      </c>
      <c r="AA707" s="97" t="n">
        <v>59.05854</v>
      </c>
      <c r="AB707" s="97" t="n"/>
      <c r="AC707" s="97" t="n">
        <v>50.34667</v>
      </c>
      <c r="AD707" s="97" t="n"/>
      <c r="AE707" s="97" t="n"/>
      <c r="AF707" s="97" t="n">
        <v>63.69674</v>
      </c>
      <c r="AG707" s="97" t="n">
        <v>47.09068</v>
      </c>
      <c r="AH707" s="97" t="n">
        <v>48.92039</v>
      </c>
      <c r="AI707" s="97" t="n"/>
      <c r="AJ707" s="97" t="n">
        <v>59.96997</v>
      </c>
      <c r="AK707" s="97" t="n"/>
      <c r="AL707" s="97" t="n"/>
      <c r="AM707" s="97" t="n">
        <v>54.01441</v>
      </c>
      <c r="AN707" s="97" t="n"/>
      <c r="AO707" s="97" t="n">
        <v>47.79419</v>
      </c>
      <c r="AP707" s="97" t="n">
        <v>63.60618</v>
      </c>
      <c r="AQ707" s="97" t="n"/>
      <c r="AR707" s="97" t="n"/>
      <c r="AS707" s="97" t="n"/>
      <c r="AT707" s="97" t="n"/>
      <c r="AU707" s="97" t="n"/>
      <c r="AV707" s="97" t="n"/>
      <c r="AW707" s="97" t="n"/>
      <c r="AX707" s="97" t="n"/>
      <c r="AY707" s="97" t="n">
        <v>55.69178</v>
      </c>
    </row>
    <row r="708" s="135">
      <c r="A708" t="inlineStr">
        <is>
          <t>1977-11</t>
        </is>
      </c>
      <c r="B708" s="2" t="n">
        <v>28430</v>
      </c>
      <c r="C708" s="96" t="n">
        <v>708</v>
      </c>
      <c r="E708" s="2">
        <f>B708</f>
        <v/>
      </c>
      <c r="F708" s="3">
        <f>B708</f>
        <v/>
      </c>
      <c r="G708" s="96" t="n">
        <v>706</v>
      </c>
      <c r="H708" s="97" t="n"/>
      <c r="I708" s="97" t="n"/>
      <c r="J708" s="97" t="n">
        <v>50.16089</v>
      </c>
      <c r="K708" s="97" t="n">
        <v>52.97662</v>
      </c>
      <c r="L708" s="97" t="n"/>
      <c r="M708" s="97" t="n"/>
      <c r="N708" s="97" t="n">
        <v>56.40984</v>
      </c>
      <c r="O708" s="97" t="n">
        <v>57.53127</v>
      </c>
      <c r="P708" s="97" t="n">
        <v>78.17977999999999</v>
      </c>
      <c r="Q708" s="97" t="n"/>
      <c r="R708" s="97" t="n">
        <v>41.36917</v>
      </c>
      <c r="S708" s="97" t="n">
        <v>76.88651</v>
      </c>
      <c r="T708" s="97" t="n">
        <v>78.80974999999999</v>
      </c>
      <c r="U708" s="97" t="n">
        <v>99.66315</v>
      </c>
      <c r="V708" s="97" t="n"/>
      <c r="W708" s="97" t="n">
        <v>6.930567</v>
      </c>
      <c r="X708" s="97" t="n"/>
      <c r="Y708" s="97" t="n"/>
      <c r="Z708" s="97" t="n">
        <v>80.63848</v>
      </c>
      <c r="AA708" s="97" t="n">
        <v>60.23634</v>
      </c>
      <c r="AB708" s="97" t="n"/>
      <c r="AC708" s="97" t="n">
        <v>49.97197</v>
      </c>
      <c r="AD708" s="97" t="n"/>
      <c r="AE708" s="97" t="n"/>
      <c r="AF708" s="97" t="n">
        <v>63.10144</v>
      </c>
      <c r="AG708" s="97" t="n">
        <v>47.65129</v>
      </c>
      <c r="AH708" s="97" t="n">
        <v>48.92567</v>
      </c>
      <c r="AI708" s="97" t="n"/>
      <c r="AJ708" s="97" t="n">
        <v>60.33053</v>
      </c>
      <c r="AK708" s="97" t="n"/>
      <c r="AL708" s="97" t="n"/>
      <c r="AM708" s="97" t="n">
        <v>53.09501</v>
      </c>
      <c r="AN708" s="97" t="n"/>
      <c r="AO708" s="97" t="n">
        <v>47.84461</v>
      </c>
      <c r="AP708" s="97" t="n">
        <v>63.13002</v>
      </c>
      <c r="AQ708" s="97" t="n"/>
      <c r="AR708" s="97" t="n"/>
      <c r="AS708" s="97" t="n"/>
      <c r="AT708" s="97" t="n"/>
      <c r="AU708" s="97" t="n"/>
      <c r="AV708" s="97" t="n"/>
      <c r="AW708" s="97" t="n"/>
      <c r="AX708" s="97" t="n"/>
      <c r="AY708" s="97" t="n">
        <v>56.35696</v>
      </c>
    </row>
    <row r="709" s="135">
      <c r="A709" t="inlineStr">
        <is>
          <t>1977-12</t>
        </is>
      </c>
      <c r="B709" s="2" t="n">
        <v>28460</v>
      </c>
      <c r="C709" s="96" t="n">
        <v>709</v>
      </c>
      <c r="E709" s="2">
        <f>B709</f>
        <v/>
      </c>
      <c r="F709" s="3">
        <f>B709</f>
        <v/>
      </c>
      <c r="G709" s="96" t="n">
        <v>707</v>
      </c>
      <c r="H709" s="97" t="n"/>
      <c r="I709" s="97" t="n"/>
      <c r="J709" s="97" t="n">
        <v>49.45784</v>
      </c>
      <c r="K709" s="97" t="n">
        <v>53.11149</v>
      </c>
      <c r="L709" s="97" t="n"/>
      <c r="M709" s="97" t="n"/>
      <c r="N709" s="97" t="n">
        <v>57.52075</v>
      </c>
      <c r="O709" s="97" t="n">
        <v>59.40729</v>
      </c>
      <c r="P709" s="97" t="n">
        <v>80.98139999999999</v>
      </c>
      <c r="Q709" s="97" t="n"/>
      <c r="R709" s="97" t="n">
        <v>40.45661</v>
      </c>
      <c r="S709" s="97" t="n">
        <v>74.81014999999999</v>
      </c>
      <c r="T709" s="97" t="n">
        <v>80.17695000000001</v>
      </c>
      <c r="U709" s="97" t="n">
        <v>102.2348</v>
      </c>
      <c r="V709" s="97" t="n"/>
      <c r="W709" s="97" t="n">
        <v>7.176442</v>
      </c>
      <c r="X709" s="97" t="n"/>
      <c r="Y709" s="97" t="n"/>
      <c r="Z709" s="97" t="n">
        <v>82.95623000000001</v>
      </c>
      <c r="AA709" s="97" t="n">
        <v>60.65699</v>
      </c>
      <c r="AB709" s="97" t="n"/>
      <c r="AC709" s="97" t="n">
        <v>49.62537</v>
      </c>
      <c r="AD709" s="97" t="n"/>
      <c r="AE709" s="97" t="n"/>
      <c r="AF709" s="97" t="n">
        <v>64.88733000000001</v>
      </c>
      <c r="AG709" s="97" t="n">
        <v>48.7725</v>
      </c>
      <c r="AH709" s="97" t="n">
        <v>49.28629</v>
      </c>
      <c r="AI709" s="97" t="n"/>
      <c r="AJ709" s="97" t="n">
        <v>60.55969</v>
      </c>
      <c r="AK709" s="97" t="n"/>
      <c r="AL709" s="97" t="n"/>
      <c r="AM709" s="97" t="n">
        <v>53.15247</v>
      </c>
      <c r="AN709" s="97" t="n"/>
      <c r="AO709" s="97" t="n">
        <v>47.92453</v>
      </c>
      <c r="AP709" s="97" t="n">
        <v>63.99664</v>
      </c>
      <c r="AQ709" s="97" t="n"/>
      <c r="AR709" s="97" t="n"/>
      <c r="AS709" s="97" t="n"/>
      <c r="AT709" s="97" t="n"/>
      <c r="AU709" s="97" t="n"/>
      <c r="AV709" s="97" t="n"/>
      <c r="AW709" s="97" t="n"/>
      <c r="AX709" s="97" t="n"/>
      <c r="AY709" s="97" t="n">
        <v>56.75259</v>
      </c>
    </row>
    <row r="710" s="135">
      <c r="A710" t="inlineStr">
        <is>
          <t>1978-01</t>
        </is>
      </c>
      <c r="B710" s="2" t="n">
        <v>28491</v>
      </c>
      <c r="C710" s="96" t="n">
        <v>710</v>
      </c>
      <c r="E710" s="2">
        <f>B710</f>
        <v/>
      </c>
      <c r="F710" s="3">
        <f>B710</f>
        <v/>
      </c>
      <c r="G710" s="96" t="n">
        <v>708</v>
      </c>
      <c r="H710" s="97" t="n"/>
      <c r="I710" s="97" t="n"/>
      <c r="J710" s="97" t="n">
        <v>49.20936</v>
      </c>
      <c r="K710" s="97" t="n">
        <v>53.21158</v>
      </c>
      <c r="L710" s="97" t="n"/>
      <c r="M710" s="97" t="n"/>
      <c r="N710" s="97" t="n">
        <v>57.7059</v>
      </c>
      <c r="O710" s="97" t="n">
        <v>61.28331</v>
      </c>
      <c r="P710" s="97" t="n">
        <v>81.80885000000001</v>
      </c>
      <c r="Q710" s="97" t="n"/>
      <c r="R710" s="97" t="n">
        <v>41.36917</v>
      </c>
      <c r="S710" s="97" t="n">
        <v>76.58116</v>
      </c>
      <c r="T710" s="97" t="n">
        <v>80.17695000000001</v>
      </c>
      <c r="U710" s="97" t="n">
        <v>97.95623000000001</v>
      </c>
      <c r="V710" s="97" t="n"/>
      <c r="W710" s="97" t="n">
        <v>7.145707</v>
      </c>
      <c r="X710" s="97" t="n"/>
      <c r="Y710" s="97" t="n"/>
      <c r="Z710" s="97" t="n">
        <v>82.18365</v>
      </c>
      <c r="AA710" s="97" t="n">
        <v>61.24589</v>
      </c>
      <c r="AB710" s="97" t="n"/>
      <c r="AC710" s="97" t="n">
        <v>52.40272</v>
      </c>
      <c r="AD710" s="97" t="n"/>
      <c r="AE710" s="97" t="n"/>
      <c r="AF710" s="97" t="n">
        <v>64.88733000000001</v>
      </c>
      <c r="AG710" s="97" t="n">
        <v>48.7725</v>
      </c>
      <c r="AH710" s="97" t="n">
        <v>49.21147</v>
      </c>
      <c r="AI710" s="97" t="n"/>
      <c r="AJ710" s="97" t="n">
        <v>61.97639</v>
      </c>
      <c r="AK710" s="97" t="n"/>
      <c r="AL710" s="97" t="n"/>
      <c r="AM710" s="97" t="n">
        <v>54.81887</v>
      </c>
      <c r="AN710" s="97" t="n"/>
      <c r="AO710" s="97" t="n">
        <v>47.26341</v>
      </c>
      <c r="AP710" s="97" t="n">
        <v>64.28234</v>
      </c>
      <c r="AQ710" s="97" t="n"/>
      <c r="AR710" s="97" t="n"/>
      <c r="AS710" s="97" t="n"/>
      <c r="AT710" s="97" t="n"/>
      <c r="AU710" s="97" t="n"/>
      <c r="AV710" s="97" t="n"/>
      <c r="AW710" s="97" t="n"/>
      <c r="AX710" s="97" t="n"/>
      <c r="AY710" s="97" t="n">
        <v>57.22014</v>
      </c>
    </row>
    <row r="711" s="135">
      <c r="A711" t="inlineStr">
        <is>
          <t>1978-02</t>
        </is>
      </c>
      <c r="B711" s="2" t="n">
        <v>28522</v>
      </c>
      <c r="C711" s="96" t="n">
        <v>711</v>
      </c>
      <c r="E711" s="2">
        <f>B711</f>
        <v/>
      </c>
      <c r="F711" s="3">
        <f>B711</f>
        <v/>
      </c>
      <c r="G711" s="96" t="n">
        <v>709</v>
      </c>
      <c r="H711" s="97" t="n"/>
      <c r="I711" s="97" t="n"/>
      <c r="J711" s="97" t="n">
        <v>49.19484</v>
      </c>
      <c r="K711" s="97" t="n">
        <v>53.60677</v>
      </c>
      <c r="L711" s="97" t="n"/>
      <c r="M711" s="97" t="n"/>
      <c r="N711" s="97" t="n">
        <v>56.03953</v>
      </c>
      <c r="O711" s="97" t="n">
        <v>57.53127</v>
      </c>
      <c r="P711" s="97" t="n">
        <v>81.5188</v>
      </c>
      <c r="Q711" s="97" t="n"/>
      <c r="R711" s="97" t="n">
        <v>42.28172</v>
      </c>
      <c r="S711" s="97" t="n">
        <v>76.39796</v>
      </c>
      <c r="T711" s="97" t="n">
        <v>80.07929</v>
      </c>
      <c r="U711" s="97" t="n">
        <v>105.396</v>
      </c>
      <c r="V711" s="97" t="n"/>
      <c r="W711" s="97" t="n">
        <v>6.938251</v>
      </c>
      <c r="X711" s="97" t="n"/>
      <c r="Y711" s="97" t="n"/>
      <c r="Z711" s="97" t="n">
        <v>82.28022</v>
      </c>
      <c r="AA711" s="97" t="n">
        <v>60.82524</v>
      </c>
      <c r="AB711" s="97" t="n"/>
      <c r="AC711" s="97" t="n">
        <v>50.21707</v>
      </c>
      <c r="AD711" s="97" t="n"/>
      <c r="AE711" s="97" t="n"/>
      <c r="AF711" s="97" t="n">
        <v>64.88733000000001</v>
      </c>
      <c r="AG711" s="97" t="n">
        <v>48.7725</v>
      </c>
      <c r="AH711" s="97" t="n">
        <v>49.07955</v>
      </c>
      <c r="AI711" s="97" t="n"/>
      <c r="AJ711" s="97" t="n">
        <v>60.54063</v>
      </c>
      <c r="AK711" s="97" t="n"/>
      <c r="AL711" s="97" t="n"/>
      <c r="AM711" s="97" t="n">
        <v>53.95694</v>
      </c>
      <c r="AN711" s="97" t="n"/>
      <c r="AO711" s="97" t="n">
        <v>47.49739</v>
      </c>
      <c r="AP711" s="97" t="n">
        <v>63.71094</v>
      </c>
      <c r="AQ711" s="97" t="n"/>
      <c r="AR711" s="97" t="n"/>
      <c r="AS711" s="97" t="n"/>
      <c r="AT711" s="97" t="n"/>
      <c r="AU711" s="97" t="n"/>
      <c r="AV711" s="97" t="n"/>
      <c r="AW711" s="97" t="n"/>
      <c r="AX711" s="97" t="n"/>
      <c r="AY711" s="97" t="n">
        <v>57.20105</v>
      </c>
    </row>
    <row r="712" s="135">
      <c r="A712" t="inlineStr">
        <is>
          <t>1978-03</t>
        </is>
      </c>
      <c r="B712" s="2" t="n">
        <v>28550</v>
      </c>
      <c r="C712" s="96" t="n">
        <v>712</v>
      </c>
      <c r="E712" s="2">
        <f>B712</f>
        <v/>
      </c>
      <c r="F712" s="3">
        <f>B712</f>
        <v/>
      </c>
      <c r="G712" s="96" t="n">
        <v>710</v>
      </c>
      <c r="H712" s="97" t="n"/>
      <c r="I712" s="97" t="n"/>
      <c r="J712" s="97" t="n">
        <v>50.37812</v>
      </c>
      <c r="K712" s="97" t="n">
        <v>53.41223</v>
      </c>
      <c r="L712" s="97" t="n"/>
      <c r="M712" s="97" t="n"/>
      <c r="N712" s="97" t="n">
        <v>54.8669</v>
      </c>
      <c r="O712" s="97" t="n">
        <v>53.15389</v>
      </c>
      <c r="P712" s="97" t="n">
        <v>82.00475</v>
      </c>
      <c r="Q712" s="97" t="n"/>
      <c r="R712" s="97" t="n">
        <v>41.87614</v>
      </c>
      <c r="S712" s="97" t="n">
        <v>77.55826999999999</v>
      </c>
      <c r="T712" s="97" t="n">
        <v>79.20037000000001</v>
      </c>
      <c r="U712" s="97" t="n">
        <v>105.9975</v>
      </c>
      <c r="V712" s="97" t="n"/>
      <c r="W712" s="97" t="n">
        <v>7.114974</v>
      </c>
      <c r="X712" s="97" t="n"/>
      <c r="Y712" s="97" t="n"/>
      <c r="Z712" s="97" t="n">
        <v>81.02477</v>
      </c>
      <c r="AA712" s="97" t="n">
        <v>62.17131</v>
      </c>
      <c r="AB712" s="97" t="n"/>
      <c r="AC712" s="97" t="n">
        <v>49.65854</v>
      </c>
      <c r="AD712" s="97" t="n"/>
      <c r="AE712" s="97" t="n"/>
      <c r="AF712" s="97" t="n">
        <v>64.29204</v>
      </c>
      <c r="AG712" s="97" t="n">
        <v>49.3331</v>
      </c>
      <c r="AH712" s="97" t="n">
        <v>49.40913</v>
      </c>
      <c r="AI712" s="97" t="n"/>
      <c r="AJ712" s="97" t="n">
        <v>60.79605</v>
      </c>
      <c r="AK712" s="97" t="n"/>
      <c r="AL712" s="97" t="n"/>
      <c r="AM712" s="97" t="n">
        <v>54.01441</v>
      </c>
      <c r="AN712" s="97" t="n"/>
      <c r="AO712" s="97" t="n">
        <v>48.40276</v>
      </c>
      <c r="AP712" s="97" t="n">
        <v>63.22525</v>
      </c>
      <c r="AQ712" s="97" t="n"/>
      <c r="AR712" s="97" t="n"/>
      <c r="AS712" s="97" t="n"/>
      <c r="AT712" s="97" t="n"/>
      <c r="AU712" s="97" t="n"/>
      <c r="AV712" s="97" t="n"/>
      <c r="AW712" s="97" t="n"/>
      <c r="AX712" s="97" t="n"/>
      <c r="AY712" s="97" t="n">
        <v>57.99633</v>
      </c>
    </row>
    <row r="713" s="135">
      <c r="A713" t="inlineStr">
        <is>
          <t>1978-04</t>
        </is>
      </c>
      <c r="B713" s="2" t="n">
        <v>28581</v>
      </c>
      <c r="C713" s="96" t="n">
        <v>713</v>
      </c>
      <c r="E713" s="2">
        <f>B713</f>
        <v/>
      </c>
      <c r="F713" s="3">
        <f>B713</f>
        <v/>
      </c>
      <c r="G713" s="96" t="n">
        <v>711</v>
      </c>
      <c r="H713" s="97" t="n"/>
      <c r="I713" s="97" t="n"/>
      <c r="J713" s="97" t="n">
        <v>49.72929</v>
      </c>
      <c r="K713" s="97" t="n">
        <v>54.41172</v>
      </c>
      <c r="L713" s="97" t="n"/>
      <c r="M713" s="97" t="n"/>
      <c r="N713" s="97" t="n">
        <v>55.97781</v>
      </c>
      <c r="O713" s="97" t="n">
        <v>63.78466</v>
      </c>
      <c r="P713" s="97" t="n">
        <v>79.54561</v>
      </c>
      <c r="Q713" s="97" t="n"/>
      <c r="R713" s="97" t="n">
        <v>41.87614</v>
      </c>
      <c r="S713" s="97" t="n">
        <v>80.18427</v>
      </c>
      <c r="T713" s="97" t="n">
        <v>84.08326</v>
      </c>
      <c r="U713" s="97" t="n">
        <v>106.4819</v>
      </c>
      <c r="V713" s="97" t="n"/>
      <c r="W713" s="97" t="n">
        <v>7.13034</v>
      </c>
      <c r="X713" s="97" t="n"/>
      <c r="Y713" s="97" t="n"/>
      <c r="Z713" s="97" t="n">
        <v>85.46713</v>
      </c>
      <c r="AA713" s="97" t="n">
        <v>62.17131</v>
      </c>
      <c r="AB713" s="97" t="n"/>
      <c r="AC713" s="97" t="n">
        <v>50.50833</v>
      </c>
      <c r="AD713" s="97" t="n"/>
      <c r="AE713" s="97" t="n"/>
      <c r="AF713" s="97" t="n">
        <v>63.69674</v>
      </c>
      <c r="AG713" s="97" t="n">
        <v>49.8937</v>
      </c>
      <c r="AH713" s="97" t="n">
        <v>50.41441</v>
      </c>
      <c r="AI713" s="97" t="n"/>
      <c r="AJ713" s="97" t="n">
        <v>61.42779</v>
      </c>
      <c r="AK713" s="97" t="n"/>
      <c r="AL713" s="97" t="n"/>
      <c r="AM713" s="97" t="n">
        <v>54.01441</v>
      </c>
      <c r="AN713" s="97" t="n"/>
      <c r="AO713" s="97" t="n">
        <v>49.40554</v>
      </c>
      <c r="AP713" s="97" t="n">
        <v>65.14896</v>
      </c>
      <c r="AQ713" s="97" t="n"/>
      <c r="AR713" s="97" t="n"/>
      <c r="AS713" s="97" t="n"/>
      <c r="AT713" s="97" t="n"/>
      <c r="AU713" s="97" t="n"/>
      <c r="AV713" s="97" t="n"/>
      <c r="AW713" s="97" t="n"/>
      <c r="AX713" s="97" t="n"/>
      <c r="AY713" s="97" t="n">
        <v>60.26082</v>
      </c>
    </row>
    <row r="714" s="135">
      <c r="A714" t="inlineStr">
        <is>
          <t>1978-05</t>
        </is>
      </c>
      <c r="B714" s="2" t="n">
        <v>28611</v>
      </c>
      <c r="C714" s="96" t="n">
        <v>714</v>
      </c>
      <c r="E714" s="2">
        <f>B714</f>
        <v/>
      </c>
      <c r="F714" s="3">
        <f>B714</f>
        <v/>
      </c>
      <c r="G714" s="96" t="n">
        <v>712</v>
      </c>
      <c r="H714" s="97" t="n"/>
      <c r="I714" s="97" t="n"/>
      <c r="J714" s="97" t="n">
        <v>50.93796</v>
      </c>
      <c r="K714" s="97" t="n">
        <v>53.75808</v>
      </c>
      <c r="L714" s="97" t="n"/>
      <c r="M714" s="97" t="n"/>
      <c r="N714" s="97" t="n">
        <v>55.9161</v>
      </c>
      <c r="O714" s="97" t="n">
        <v>60.65797</v>
      </c>
      <c r="P714" s="97" t="n">
        <v>80.61060999999999</v>
      </c>
      <c r="Q714" s="97" t="n"/>
      <c r="R714" s="97" t="n">
        <v>42.07893</v>
      </c>
      <c r="S714" s="97" t="n">
        <v>78.77966000000001</v>
      </c>
      <c r="T714" s="97" t="n">
        <v>81.25118000000001</v>
      </c>
      <c r="U714" s="97" t="n">
        <v>104.1187</v>
      </c>
      <c r="V714" s="97" t="n"/>
      <c r="W714" s="97" t="n">
        <v>6.97667</v>
      </c>
      <c r="X714" s="97" t="n"/>
      <c r="Y714" s="97" t="n"/>
      <c r="Z714" s="97" t="n">
        <v>83.24596</v>
      </c>
      <c r="AA714" s="97" t="n">
        <v>62.33957</v>
      </c>
      <c r="AB714" s="97" t="n"/>
      <c r="AC714" s="97" t="n">
        <v>49.79076</v>
      </c>
      <c r="AD714" s="97" t="n"/>
      <c r="AE714" s="97" t="n"/>
      <c r="AF714" s="97" t="n">
        <v>63.10144</v>
      </c>
      <c r="AG714" s="97" t="n">
        <v>47.09068</v>
      </c>
      <c r="AH714" s="97" t="n">
        <v>50.20579</v>
      </c>
      <c r="AI714" s="97" t="n"/>
      <c r="AJ714" s="97" t="n">
        <v>61.58453</v>
      </c>
      <c r="AK714" s="97" t="n"/>
      <c r="AL714" s="97" t="n"/>
      <c r="AM714" s="97" t="n">
        <v>53.20994</v>
      </c>
      <c r="AN714" s="97" t="n"/>
      <c r="AO714" s="97" t="n">
        <v>49.5888</v>
      </c>
      <c r="AP714" s="97" t="n">
        <v>64.1871</v>
      </c>
      <c r="AQ714" s="97" t="n"/>
      <c r="AR714" s="97" t="n"/>
      <c r="AS714" s="97" t="n"/>
      <c r="AT714" s="97" t="n"/>
      <c r="AU714" s="97" t="n"/>
      <c r="AV714" s="97" t="n"/>
      <c r="AW714" s="97" t="n"/>
      <c r="AX714" s="97" t="n"/>
      <c r="AY714" s="97" t="n">
        <v>58.06886</v>
      </c>
    </row>
    <row r="715" s="135">
      <c r="A715" t="inlineStr">
        <is>
          <t>1978-06</t>
        </is>
      </c>
      <c r="B715" s="2" t="n">
        <v>28642</v>
      </c>
      <c r="C715" s="96" t="n">
        <v>715</v>
      </c>
      <c r="E715" s="2">
        <f>B715</f>
        <v/>
      </c>
      <c r="F715" s="3">
        <f>B715</f>
        <v/>
      </c>
      <c r="G715" s="96" t="n">
        <v>713</v>
      </c>
      <c r="H715" s="97" t="n"/>
      <c r="I715" s="97" t="n"/>
      <c r="J715" s="97" t="n">
        <v>49.30867</v>
      </c>
      <c r="K715" s="97" t="n">
        <v>54.83887</v>
      </c>
      <c r="L715" s="97" t="n"/>
      <c r="M715" s="97" t="n"/>
      <c r="N715" s="97" t="n">
        <v>55.60751</v>
      </c>
      <c r="O715" s="97" t="n">
        <v>60.03263</v>
      </c>
      <c r="P715" s="97" t="n">
        <v>81.42852999999999</v>
      </c>
      <c r="Q715" s="97" t="n"/>
      <c r="R715" s="97" t="n">
        <v>41.47056</v>
      </c>
      <c r="S715" s="97" t="n">
        <v>77.31399999999999</v>
      </c>
      <c r="T715" s="97" t="n">
        <v>81.25118000000001</v>
      </c>
      <c r="U715" s="97" t="n">
        <v>104.405</v>
      </c>
      <c r="V715" s="97" t="n"/>
      <c r="W715" s="97" t="n">
        <v>7.368531</v>
      </c>
      <c r="X715" s="97" t="n"/>
      <c r="Y715" s="97" t="n"/>
      <c r="Z715" s="97" t="n">
        <v>84.30826</v>
      </c>
      <c r="AA715" s="97" t="n">
        <v>62.67608</v>
      </c>
      <c r="AB715" s="97" t="n"/>
      <c r="AC715" s="97" t="n">
        <v>49.56828</v>
      </c>
      <c r="AD715" s="97" t="n"/>
      <c r="AE715" s="97" t="n"/>
      <c r="AF715" s="97" t="n">
        <v>64.29204</v>
      </c>
      <c r="AG715" s="97" t="n">
        <v>49.3331</v>
      </c>
      <c r="AH715" s="97" t="n">
        <v>50.38945</v>
      </c>
      <c r="AI715" s="97" t="n"/>
      <c r="AJ715" s="97" t="n">
        <v>62.03344</v>
      </c>
      <c r="AK715" s="97" t="n"/>
      <c r="AL715" s="97" t="n"/>
      <c r="AM715" s="97" t="n">
        <v>52.98009</v>
      </c>
      <c r="AN715" s="97" t="n"/>
      <c r="AO715" s="97" t="n">
        <v>49.93045</v>
      </c>
      <c r="AP715" s="97" t="n">
        <v>64.09187</v>
      </c>
      <c r="AQ715" s="97" t="n"/>
      <c r="AR715" s="97" t="n"/>
      <c r="AS715" s="97" t="n"/>
      <c r="AT715" s="97" t="n"/>
      <c r="AU715" s="97" t="n"/>
      <c r="AV715" s="97" t="n"/>
      <c r="AW715" s="97" t="n"/>
      <c r="AX715" s="97" t="n"/>
      <c r="AY715" s="97" t="n">
        <v>57.87614</v>
      </c>
    </row>
    <row r="716" s="135">
      <c r="A716" t="inlineStr">
        <is>
          <t>1978-07</t>
        </is>
      </c>
      <c r="B716" s="2" t="n">
        <v>28672</v>
      </c>
      <c r="C716" s="96" t="n">
        <v>716</v>
      </c>
      <c r="E716" s="2">
        <f>B716</f>
        <v/>
      </c>
      <c r="F716" s="3">
        <f>B716</f>
        <v/>
      </c>
      <c r="G716" s="96" t="n">
        <v>714</v>
      </c>
      <c r="H716" s="97" t="n"/>
      <c r="I716" s="97" t="n"/>
      <c r="J716" s="97" t="n">
        <v>51.04786</v>
      </c>
      <c r="K716" s="97" t="n">
        <v>54.02734</v>
      </c>
      <c r="L716" s="97" t="n"/>
      <c r="M716" s="97" t="n"/>
      <c r="N716" s="97" t="n">
        <v>57.08873</v>
      </c>
      <c r="O716" s="97" t="n">
        <v>59.40729</v>
      </c>
      <c r="P716" s="97" t="n">
        <v>80.99786</v>
      </c>
      <c r="Q716" s="97" t="n"/>
      <c r="R716" s="97" t="n">
        <v>38.6822</v>
      </c>
      <c r="S716" s="97" t="n">
        <v>77.25293000000001</v>
      </c>
      <c r="T716" s="97" t="n">
        <v>82.42307</v>
      </c>
      <c r="U716" s="97" t="n">
        <v>106.0147</v>
      </c>
      <c r="V716" s="97" t="n"/>
      <c r="W716" s="97" t="n">
        <v>7.4761</v>
      </c>
      <c r="X716" s="97" t="n"/>
      <c r="Y716" s="97" t="n"/>
      <c r="Z716" s="97" t="n">
        <v>86.43286000000001</v>
      </c>
      <c r="AA716" s="97" t="n">
        <v>63.09673</v>
      </c>
      <c r="AB716" s="97" t="n"/>
      <c r="AC716" s="97" t="n">
        <v>52.53705</v>
      </c>
      <c r="AD716" s="97" t="n"/>
      <c r="AE716" s="97" t="n"/>
      <c r="AF716" s="97" t="n">
        <v>65.48263</v>
      </c>
      <c r="AG716" s="97" t="n">
        <v>49.3331</v>
      </c>
      <c r="AH716" s="97" t="n">
        <v>50.72794</v>
      </c>
      <c r="AI716" s="97" t="n"/>
      <c r="AJ716" s="97" t="n">
        <v>61.98483</v>
      </c>
      <c r="AK716" s="97" t="n"/>
      <c r="AL716" s="97" t="n"/>
      <c r="AM716" s="97" t="n">
        <v>53.32486</v>
      </c>
      <c r="AN716" s="97" t="n"/>
      <c r="AO716" s="97" t="n">
        <v>49.90731</v>
      </c>
      <c r="AP716" s="97" t="n">
        <v>64.9585</v>
      </c>
      <c r="AQ716" s="97" t="n"/>
      <c r="AR716" s="97" t="n"/>
      <c r="AS716" s="97" t="n"/>
      <c r="AT716" s="97" t="n"/>
      <c r="AU716" s="97" t="n"/>
      <c r="AV716" s="97" t="n"/>
      <c r="AW716" s="97" t="n"/>
      <c r="AX716" s="97" t="n"/>
      <c r="AY716" s="97" t="n">
        <v>59.06673</v>
      </c>
    </row>
    <row r="717" s="135">
      <c r="A717" t="inlineStr">
        <is>
          <t>1978-08</t>
        </is>
      </c>
      <c r="B717" s="2" t="n">
        <v>28703</v>
      </c>
      <c r="C717" s="96" t="n">
        <v>717</v>
      </c>
      <c r="E717" s="2">
        <f>B717</f>
        <v/>
      </c>
      <c r="F717" s="3">
        <f>B717</f>
        <v/>
      </c>
      <c r="G717" s="96" t="n">
        <v>715</v>
      </c>
      <c r="H717" s="97" t="n"/>
      <c r="I717" s="97" t="n"/>
      <c r="J717" s="97" t="n">
        <v>51.0915</v>
      </c>
      <c r="K717" s="97" t="n">
        <v>54.28673</v>
      </c>
      <c r="L717" s="97" t="n"/>
      <c r="M717" s="97" t="n"/>
      <c r="N717" s="97" t="n">
        <v>57.64418</v>
      </c>
      <c r="O717" s="97" t="n">
        <v>60.65797</v>
      </c>
      <c r="P717" s="97" t="n">
        <v>81.62635</v>
      </c>
      <c r="Q717" s="97" t="n"/>
      <c r="R717" s="97" t="n">
        <v>42.58591</v>
      </c>
      <c r="S717" s="97" t="n">
        <v>77.25293000000001</v>
      </c>
      <c r="T717" s="97" t="n">
        <v>83.20434</v>
      </c>
      <c r="U717" s="97" t="n">
        <v>105.8098</v>
      </c>
      <c r="V717" s="97" t="n"/>
      <c r="W717" s="97" t="n">
        <v>6.784581</v>
      </c>
      <c r="X717" s="97" t="n"/>
      <c r="Y717" s="97" t="n"/>
      <c r="Z717" s="97" t="n">
        <v>86.23972000000001</v>
      </c>
      <c r="AA717" s="97" t="n">
        <v>63.93801</v>
      </c>
      <c r="AB717" s="97" t="n"/>
      <c r="AC717" s="97" t="n">
        <v>51.94389</v>
      </c>
      <c r="AD717" s="97" t="n"/>
      <c r="AE717" s="97" t="n"/>
      <c r="AF717" s="97" t="n">
        <v>64.29204</v>
      </c>
      <c r="AG717" s="97" t="n">
        <v>51.01491</v>
      </c>
      <c r="AH717" s="97" t="n">
        <v>51.01481</v>
      </c>
      <c r="AI717" s="97" t="n"/>
      <c r="AJ717" s="97" t="n">
        <v>61.53156</v>
      </c>
      <c r="AK717" s="97" t="n"/>
      <c r="AL717" s="97" t="n"/>
      <c r="AM717" s="97" t="n">
        <v>54.53157</v>
      </c>
      <c r="AN717" s="97" t="n"/>
      <c r="AO717" s="97" t="n">
        <v>50.0947</v>
      </c>
      <c r="AP717" s="97" t="n">
        <v>65.33942</v>
      </c>
      <c r="AQ717" s="97" t="n"/>
      <c r="AR717" s="97" t="n"/>
      <c r="AS717" s="97" t="n"/>
      <c r="AT717" s="97" t="n"/>
      <c r="AU717" s="97" t="n"/>
      <c r="AV717" s="97" t="n"/>
      <c r="AW717" s="97" t="n"/>
      <c r="AX717" s="97" t="n"/>
      <c r="AY717" s="97" t="n">
        <v>59.76232</v>
      </c>
    </row>
    <row r="718" s="135">
      <c r="A718" t="inlineStr">
        <is>
          <t>1978-09</t>
        </is>
      </c>
      <c r="B718" s="2" t="n">
        <v>28734</v>
      </c>
      <c r="C718" s="96" t="n">
        <v>718</v>
      </c>
      <c r="E718" s="2">
        <f>B718</f>
        <v/>
      </c>
      <c r="F718" s="3">
        <f>B718</f>
        <v/>
      </c>
      <c r="G718" s="96" t="n">
        <v>716</v>
      </c>
      <c r="H718" s="97" t="n"/>
      <c r="I718" s="97" t="n"/>
      <c r="J718" s="97" t="n">
        <v>51.90584</v>
      </c>
      <c r="K718" s="97" t="n">
        <v>55.65041</v>
      </c>
      <c r="L718" s="97" t="n"/>
      <c r="M718" s="97" t="n"/>
      <c r="N718" s="97" t="n">
        <v>58.56995</v>
      </c>
      <c r="O718" s="97" t="n">
        <v>60.65797</v>
      </c>
      <c r="P718" s="97" t="n">
        <v>83.59312</v>
      </c>
      <c r="Q718" s="97" t="n"/>
      <c r="R718" s="97" t="n">
        <v>43.44777</v>
      </c>
      <c r="S718" s="97" t="n">
        <v>78.59645999999999</v>
      </c>
      <c r="T718" s="97" t="n">
        <v>83.10668</v>
      </c>
      <c r="U718" s="97" t="n">
        <v>106.5555</v>
      </c>
      <c r="V718" s="97" t="n"/>
      <c r="W718" s="97" t="n">
        <v>7.399265</v>
      </c>
      <c r="X718" s="97" t="n"/>
      <c r="Y718" s="97" t="n"/>
      <c r="Z718" s="97" t="n">
        <v>87.39859</v>
      </c>
      <c r="AA718" s="97" t="n">
        <v>64.44279</v>
      </c>
      <c r="AB718" s="97" t="n"/>
      <c r="AC718" s="97" t="n">
        <v>51.59977</v>
      </c>
      <c r="AD718" s="97" t="n"/>
      <c r="AE718" s="97" t="n"/>
      <c r="AF718" s="97" t="n">
        <v>64.29204</v>
      </c>
      <c r="AG718" s="97" t="n">
        <v>51.57551</v>
      </c>
      <c r="AH718" s="97" t="n">
        <v>51.43551</v>
      </c>
      <c r="AI718" s="97" t="n"/>
      <c r="AJ718" s="97" t="n">
        <v>61.95261</v>
      </c>
      <c r="AK718" s="97" t="n"/>
      <c r="AL718" s="97" t="n"/>
      <c r="AM718" s="97" t="n">
        <v>55.22111</v>
      </c>
      <c r="AN718" s="97" t="n"/>
      <c r="AO718" s="97" t="n">
        <v>50.2212</v>
      </c>
      <c r="AP718" s="97" t="n">
        <v>66.20605</v>
      </c>
      <c r="AQ718" s="97" t="n"/>
      <c r="AR718" s="97" t="n"/>
      <c r="AS718" s="97" t="n"/>
      <c r="AT718" s="97" t="n"/>
      <c r="AU718" s="97" t="n"/>
      <c r="AV718" s="97" t="n"/>
      <c r="AW718" s="97" t="n"/>
      <c r="AX718" s="97" t="n"/>
      <c r="AY718" s="97" t="n">
        <v>60.05502</v>
      </c>
    </row>
    <row r="719" s="135">
      <c r="A719" t="inlineStr">
        <is>
          <t>1978-10</t>
        </is>
      </c>
      <c r="B719" s="2" t="n">
        <v>28764</v>
      </c>
      <c r="C719" s="96" t="n">
        <v>719</v>
      </c>
      <c r="E719" s="2">
        <f>B719</f>
        <v/>
      </c>
      <c r="F719" s="3">
        <f>B719</f>
        <v/>
      </c>
      <c r="G719" s="96" t="n">
        <v>717</v>
      </c>
      <c r="H719" s="97" t="n"/>
      <c r="I719" s="97" t="n"/>
      <c r="J719" s="97" t="n">
        <v>53.04664</v>
      </c>
      <c r="K719" s="97" t="n">
        <v>55.83649</v>
      </c>
      <c r="L719" s="97" t="n"/>
      <c r="M719" s="97" t="n"/>
      <c r="N719" s="97" t="n">
        <v>57.58247</v>
      </c>
      <c r="O719" s="97" t="n">
        <v>60.65797</v>
      </c>
      <c r="P719" s="97" t="n">
        <v>83.33789</v>
      </c>
      <c r="Q719" s="97" t="n"/>
      <c r="R719" s="97" t="n">
        <v>43.80265</v>
      </c>
      <c r="S719" s="97" t="n">
        <v>79.75677</v>
      </c>
      <c r="T719" s="97" t="n">
        <v>81.54416000000001</v>
      </c>
      <c r="U719" s="97" t="n">
        <v>107.5505</v>
      </c>
      <c r="V719" s="97" t="n"/>
      <c r="W719" s="97" t="n">
        <v>7.34548</v>
      </c>
      <c r="X719" s="97" t="n"/>
      <c r="Y719" s="97" t="n"/>
      <c r="Z719" s="97" t="n">
        <v>88.4609</v>
      </c>
      <c r="AA719" s="97" t="n">
        <v>64.52692</v>
      </c>
      <c r="AB719" s="97" t="n"/>
      <c r="AC719" s="97" t="n">
        <v>51.60043</v>
      </c>
      <c r="AD719" s="97" t="n"/>
      <c r="AE719" s="97" t="n"/>
      <c r="AF719" s="97" t="n">
        <v>64.88733000000001</v>
      </c>
      <c r="AG719" s="97" t="n">
        <v>51.57551</v>
      </c>
      <c r="AH719" s="97" t="n">
        <v>51.55624</v>
      </c>
      <c r="AI719" s="97" t="n"/>
      <c r="AJ719" s="97" t="n">
        <v>61.27647</v>
      </c>
      <c r="AK719" s="97" t="n"/>
      <c r="AL719" s="97" t="n"/>
      <c r="AM719" s="97" t="n">
        <v>55.62334</v>
      </c>
      <c r="AN719" s="97" t="n"/>
      <c r="AO719" s="97" t="n">
        <v>50.62404</v>
      </c>
      <c r="AP719" s="97" t="n">
        <v>66.01558</v>
      </c>
      <c r="AQ719" s="97" t="n"/>
      <c r="AR719" s="97" t="n"/>
      <c r="AS719" s="97" t="n"/>
      <c r="AT719" s="97" t="n"/>
      <c r="AU719" s="97" t="n"/>
      <c r="AV719" s="97" t="n"/>
      <c r="AW719" s="97" t="n"/>
      <c r="AX719" s="97" t="n"/>
      <c r="AY719" s="97" t="n">
        <v>60.63088</v>
      </c>
    </row>
    <row r="720" s="135">
      <c r="A720" t="inlineStr">
        <is>
          <t>1978-11</t>
        </is>
      </c>
      <c r="B720" s="2" t="n">
        <v>28795</v>
      </c>
      <c r="C720" s="96" t="n">
        <v>720</v>
      </c>
      <c r="E720" s="2">
        <f>B720</f>
        <v/>
      </c>
      <c r="F720" s="3">
        <f>B720</f>
        <v/>
      </c>
      <c r="G720" s="96" t="n">
        <v>718</v>
      </c>
      <c r="H720" s="97" t="n"/>
      <c r="I720" s="97" t="n"/>
      <c r="J720" s="97" t="n">
        <v>52.34248</v>
      </c>
      <c r="K720" s="97" t="n">
        <v>56.36843</v>
      </c>
      <c r="L720" s="97" t="n"/>
      <c r="M720" s="97" t="n"/>
      <c r="N720" s="97" t="n">
        <v>58.01449</v>
      </c>
      <c r="O720" s="97" t="n">
        <v>60.65797</v>
      </c>
      <c r="P720" s="97" t="n">
        <v>83.42028000000001</v>
      </c>
      <c r="Q720" s="97" t="n"/>
      <c r="R720" s="97" t="n">
        <v>44.05614</v>
      </c>
      <c r="S720" s="97" t="n">
        <v>80.24533</v>
      </c>
      <c r="T720" s="97" t="n">
        <v>82.03245</v>
      </c>
      <c r="U720" s="97" t="n">
        <v>110.2616</v>
      </c>
      <c r="V720" s="97" t="n"/>
      <c r="W720" s="97" t="n">
        <v>7.599037</v>
      </c>
      <c r="X720" s="97" t="n"/>
      <c r="Y720" s="97" t="n"/>
      <c r="Z720" s="97" t="n">
        <v>88.36433</v>
      </c>
      <c r="AA720" s="97" t="n">
        <v>64.86342999999999</v>
      </c>
      <c r="AB720" s="97" t="n"/>
      <c r="AC720" s="97" t="n">
        <v>51.10551</v>
      </c>
      <c r="AD720" s="97" t="n"/>
      <c r="AE720" s="97" t="n"/>
      <c r="AF720" s="97" t="n">
        <v>66.07792999999999</v>
      </c>
      <c r="AG720" s="97" t="n">
        <v>52.13611</v>
      </c>
      <c r="AH720" s="97" t="n">
        <v>51.87143</v>
      </c>
      <c r="AI720" s="97" t="n"/>
      <c r="AJ720" s="97" t="n">
        <v>64.15754</v>
      </c>
      <c r="AK720" s="97" t="n"/>
      <c r="AL720" s="97" t="n"/>
      <c r="AM720" s="97" t="n">
        <v>55.91066</v>
      </c>
      <c r="AN720" s="97" t="n"/>
      <c r="AO720" s="97" t="n">
        <v>51.00757</v>
      </c>
      <c r="AP720" s="97" t="n">
        <v>66.30128000000001</v>
      </c>
      <c r="AQ720" s="97" t="n"/>
      <c r="AR720" s="97" t="n"/>
      <c r="AS720" s="97" t="n"/>
      <c r="AT720" s="97" t="n"/>
      <c r="AU720" s="97" t="n"/>
      <c r="AV720" s="97" t="n"/>
      <c r="AW720" s="97" t="n"/>
      <c r="AX720" s="97" t="n"/>
      <c r="AY720" s="97" t="n">
        <v>60.36314</v>
      </c>
    </row>
    <row r="721" s="135">
      <c r="A721" t="inlineStr">
        <is>
          <t>1978-12</t>
        </is>
      </c>
      <c r="B721" s="2" t="n">
        <v>28825</v>
      </c>
      <c r="C721" s="96" t="n">
        <v>721</v>
      </c>
      <c r="E721" s="2">
        <f>B721</f>
        <v/>
      </c>
      <c r="F721" s="3">
        <f>B721</f>
        <v/>
      </c>
      <c r="G721" s="96" t="n">
        <v>719</v>
      </c>
      <c r="H721" s="97" t="n"/>
      <c r="I721" s="97" t="n"/>
      <c r="J721" s="97" t="n">
        <v>54.47289</v>
      </c>
      <c r="K721" s="97" t="n">
        <v>57.2481</v>
      </c>
      <c r="L721" s="97" t="n"/>
      <c r="M721" s="97" t="n"/>
      <c r="N721" s="97" t="n">
        <v>59.86602</v>
      </c>
      <c r="O721" s="97" t="n">
        <v>61.90865</v>
      </c>
      <c r="P721" s="97" t="n">
        <v>83.667</v>
      </c>
      <c r="Q721" s="97" t="n"/>
      <c r="R721" s="97" t="n">
        <v>44.7659</v>
      </c>
      <c r="S721" s="97" t="n">
        <v>80.42854</v>
      </c>
      <c r="T721" s="97" t="n">
        <v>84.57155</v>
      </c>
      <c r="U721" s="97" t="n">
        <v>111.0767</v>
      </c>
      <c r="V721" s="97" t="n"/>
      <c r="W721" s="97" t="n">
        <v>7.568304</v>
      </c>
      <c r="X721" s="97" t="n"/>
      <c r="Y721" s="97" t="n"/>
      <c r="Z721" s="97" t="n">
        <v>93.86899</v>
      </c>
      <c r="AA721" s="97" t="n">
        <v>65.45234000000001</v>
      </c>
      <c r="AB721" s="97" t="n"/>
      <c r="AC721" s="97" t="n">
        <v>51.44015</v>
      </c>
      <c r="AD721" s="97" t="n"/>
      <c r="AE721" s="97" t="n"/>
      <c r="AF721" s="97" t="n">
        <v>68.45911</v>
      </c>
      <c r="AG721" s="97" t="n">
        <v>51.01491</v>
      </c>
      <c r="AH721" s="97" t="n">
        <v>52.67587</v>
      </c>
      <c r="AI721" s="97" t="n"/>
      <c r="AJ721" s="97" t="n">
        <v>65.37273</v>
      </c>
      <c r="AK721" s="97" t="n"/>
      <c r="AL721" s="97" t="n"/>
      <c r="AM721" s="97" t="n">
        <v>55.79573</v>
      </c>
      <c r="AN721" s="97" t="n"/>
      <c r="AO721" s="97" t="n">
        <v>51.28026</v>
      </c>
      <c r="AP721" s="97" t="n">
        <v>68.32022000000001</v>
      </c>
      <c r="AQ721" s="97" t="n"/>
      <c r="AR721" s="97" t="n"/>
      <c r="AS721" s="97" t="n"/>
      <c r="AT721" s="97" t="n"/>
      <c r="AU721" s="97" t="n"/>
      <c r="AV721" s="97" t="n"/>
      <c r="AW721" s="97" t="n"/>
      <c r="AX721" s="97" t="n"/>
      <c r="AY721" s="97" t="n">
        <v>61.97607</v>
      </c>
    </row>
    <row r="722" s="135">
      <c r="A722" t="inlineStr">
        <is>
          <t>1979-01</t>
        </is>
      </c>
      <c r="B722" s="2" t="n">
        <v>28856</v>
      </c>
      <c r="C722" s="96" t="n">
        <v>722</v>
      </c>
      <c r="E722" s="2">
        <f>B722</f>
        <v/>
      </c>
      <c r="F722" s="3">
        <f>B722</f>
        <v/>
      </c>
      <c r="G722" s="96" t="n">
        <v>720</v>
      </c>
      <c r="H722" s="97" t="n"/>
      <c r="I722" s="97" t="n"/>
      <c r="J722" s="97" t="n">
        <v>49.27787</v>
      </c>
      <c r="K722" s="97" t="n">
        <v>57.15976</v>
      </c>
      <c r="L722" s="97" t="n"/>
      <c r="M722" s="97" t="n"/>
      <c r="N722" s="97" t="n">
        <v>58.26136</v>
      </c>
      <c r="O722" s="97" t="n">
        <v>57.53127</v>
      </c>
      <c r="P722" s="97" t="n">
        <v>83.40101</v>
      </c>
      <c r="Q722" s="97" t="n"/>
      <c r="R722" s="97" t="n">
        <v>45.57706</v>
      </c>
      <c r="S722" s="97" t="n">
        <v>79.57357</v>
      </c>
      <c r="T722" s="97" t="n">
        <v>78.71208</v>
      </c>
      <c r="U722" s="97" t="n">
        <v>111.7376</v>
      </c>
      <c r="V722" s="97" t="n"/>
      <c r="W722" s="97" t="n">
        <v>7.460733</v>
      </c>
      <c r="X722" s="97" t="n"/>
      <c r="Y722" s="97" t="n"/>
      <c r="Z722" s="97" t="n">
        <v>87.78489</v>
      </c>
      <c r="AA722" s="97" t="n">
        <v>65.36821</v>
      </c>
      <c r="AB722" s="97" t="n"/>
      <c r="AC722" s="97" t="n">
        <v>50.21392</v>
      </c>
      <c r="AD722" s="97" t="n"/>
      <c r="AE722" s="97" t="n"/>
      <c r="AF722" s="97" t="n">
        <v>66.30116</v>
      </c>
      <c r="AG722" s="97" t="n">
        <v>50.4543</v>
      </c>
      <c r="AH722" s="97" t="n">
        <v>51.76291</v>
      </c>
      <c r="AI722" s="97" t="n"/>
      <c r="AJ722" s="97" t="n">
        <v>62.8397</v>
      </c>
      <c r="AK722" s="97" t="n"/>
      <c r="AL722" s="97" t="n"/>
      <c r="AM722" s="97" t="n">
        <v>55.33604</v>
      </c>
      <c r="AN722" s="97" t="n"/>
      <c r="AO722" s="97" t="n">
        <v>50.95052</v>
      </c>
      <c r="AP722" s="97" t="n">
        <v>65.72036</v>
      </c>
      <c r="AQ722" s="97" t="n"/>
      <c r="AR722" s="97" t="n"/>
      <c r="AS722" s="97" t="n"/>
      <c r="AT722" s="97" t="n"/>
      <c r="AU722" s="97" t="n"/>
      <c r="AV722" s="97" t="n"/>
      <c r="AW722" s="97" t="n"/>
      <c r="AX722" s="97" t="n"/>
      <c r="AY722" s="97" t="n">
        <v>62.509</v>
      </c>
    </row>
    <row r="723" s="135">
      <c r="A723" t="inlineStr">
        <is>
          <t>1979-02</t>
        </is>
      </c>
      <c r="B723" s="2" t="n">
        <v>28887</v>
      </c>
      <c r="C723" s="96" t="n">
        <v>723</v>
      </c>
      <c r="E723" s="2">
        <f>B723</f>
        <v/>
      </c>
      <c r="F723" s="3">
        <f>B723</f>
        <v/>
      </c>
      <c r="G723" s="96" t="n">
        <v>721</v>
      </c>
      <c r="H723" s="97" t="n"/>
      <c r="I723" s="97" t="n"/>
      <c r="J723" s="97" t="n">
        <v>51.62173</v>
      </c>
      <c r="K723" s="97" t="n">
        <v>57.25045</v>
      </c>
      <c r="L723" s="97" t="n"/>
      <c r="M723" s="97" t="n"/>
      <c r="N723" s="97" t="n">
        <v>58.07621</v>
      </c>
      <c r="O723" s="97" t="n">
        <v>58.78195</v>
      </c>
      <c r="P723" s="97" t="n">
        <v>78.68275</v>
      </c>
      <c r="Q723" s="97" t="n"/>
      <c r="R723" s="97" t="n">
        <v>46.23613</v>
      </c>
      <c r="S723" s="97" t="n">
        <v>79.75677</v>
      </c>
      <c r="T723" s="97" t="n">
        <v>84.57155</v>
      </c>
      <c r="U723" s="97" t="n">
        <v>110.9094</v>
      </c>
      <c r="V723" s="97" t="n"/>
      <c r="W723" s="97" t="n">
        <v>7.56062</v>
      </c>
      <c r="X723" s="97" t="n"/>
      <c r="Y723" s="97" t="n"/>
      <c r="Z723" s="97" t="n">
        <v>90.48893</v>
      </c>
      <c r="AA723" s="97" t="n">
        <v>65.28408</v>
      </c>
      <c r="AB723" s="97" t="n"/>
      <c r="AC723" s="97" t="n">
        <v>53.65768</v>
      </c>
      <c r="AD723" s="97" t="n"/>
      <c r="AE723" s="97" t="n"/>
      <c r="AF723" s="97" t="n">
        <v>65.63145</v>
      </c>
      <c r="AG723" s="97" t="n">
        <v>50.4543</v>
      </c>
      <c r="AH723" s="97" t="n">
        <v>52.12605</v>
      </c>
      <c r="AI723" s="97" t="n"/>
      <c r="AJ723" s="97" t="n">
        <v>60.59092</v>
      </c>
      <c r="AK723" s="97" t="n"/>
      <c r="AL723" s="97" t="n"/>
      <c r="AM723" s="97" t="n">
        <v>55.91066</v>
      </c>
      <c r="AN723" s="97" t="n"/>
      <c r="AO723" s="97" t="n">
        <v>51.22426</v>
      </c>
      <c r="AP723" s="97" t="n">
        <v>66.58698</v>
      </c>
      <c r="AQ723" s="97" t="n"/>
      <c r="AR723" s="97" t="n"/>
      <c r="AS723" s="97" t="n"/>
      <c r="AT723" s="97" t="n"/>
      <c r="AU723" s="97" t="n"/>
      <c r="AV723" s="97" t="n"/>
      <c r="AW723" s="97" t="n"/>
      <c r="AX723" s="97" t="n"/>
      <c r="AY723" s="97" t="n">
        <v>62.25169</v>
      </c>
    </row>
    <row r="724" s="135">
      <c r="A724" t="inlineStr">
        <is>
          <t>1979-03</t>
        </is>
      </c>
      <c r="B724" s="2" t="n">
        <v>28915</v>
      </c>
      <c r="C724" s="96" t="n">
        <v>724</v>
      </c>
      <c r="E724" s="2">
        <f>B724</f>
        <v/>
      </c>
      <c r="F724" s="3">
        <f>B724</f>
        <v/>
      </c>
      <c r="G724" s="96" t="n">
        <v>722</v>
      </c>
      <c r="H724" s="97" t="n"/>
      <c r="I724" s="97" t="n"/>
      <c r="J724" s="97" t="n">
        <v>51.56176</v>
      </c>
      <c r="K724" s="97" t="n">
        <v>57.12592</v>
      </c>
      <c r="L724" s="97" t="n"/>
      <c r="M724" s="97" t="n"/>
      <c r="N724" s="97" t="n">
        <v>58.32308</v>
      </c>
      <c r="O724" s="97" t="n">
        <v>60.65797</v>
      </c>
      <c r="P724" s="97" t="n">
        <v>81.42655999999999</v>
      </c>
      <c r="Q724" s="97" t="n"/>
      <c r="R724" s="97" t="n">
        <v>46.8952</v>
      </c>
      <c r="S724" s="97" t="n">
        <v>80.85603</v>
      </c>
      <c r="T724" s="97" t="n">
        <v>85.74344000000001</v>
      </c>
      <c r="U724" s="97" t="n">
        <v>113.4617</v>
      </c>
      <c r="V724" s="97" t="n"/>
      <c r="W724" s="97" t="n">
        <v>7.79881</v>
      </c>
      <c r="X724" s="97" t="n"/>
      <c r="Y724" s="97" t="n"/>
      <c r="Z724" s="97" t="n">
        <v>89.61977</v>
      </c>
      <c r="AA724" s="97" t="n">
        <v>65.87299</v>
      </c>
      <c r="AB724" s="97" t="n"/>
      <c r="AC724" s="97" t="n">
        <v>53.69893</v>
      </c>
      <c r="AD724" s="97" t="n"/>
      <c r="AE724" s="97" t="n"/>
      <c r="AF724" s="97" t="n">
        <v>66.30116</v>
      </c>
      <c r="AG724" s="97" t="n">
        <v>51.01491</v>
      </c>
      <c r="AH724" s="97" t="n">
        <v>52.45618</v>
      </c>
      <c r="AI724" s="97" t="n"/>
      <c r="AJ724" s="97" t="n">
        <v>67.73116</v>
      </c>
      <c r="AK724" s="97" t="n"/>
      <c r="AL724" s="97" t="n"/>
      <c r="AM724" s="97" t="n">
        <v>55.96812</v>
      </c>
      <c r="AN724" s="97" t="n"/>
      <c r="AO724" s="97" t="n">
        <v>51.38467</v>
      </c>
      <c r="AP724" s="97" t="n">
        <v>67.26313</v>
      </c>
      <c r="AQ724" s="97" t="n"/>
      <c r="AR724" s="97" t="n"/>
      <c r="AS724" s="97" t="n"/>
      <c r="AT724" s="97" t="n"/>
      <c r="AU724" s="97" t="n"/>
      <c r="AV724" s="97" t="n"/>
      <c r="AW724" s="97" t="n"/>
      <c r="AX724" s="97" t="n"/>
      <c r="AY724" s="97" t="n">
        <v>61.5597</v>
      </c>
    </row>
    <row r="725" s="135">
      <c r="A725" t="inlineStr">
        <is>
          <t>1979-04</t>
        </is>
      </c>
      <c r="B725" s="2" t="n">
        <v>28946</v>
      </c>
      <c r="C725" s="96" t="n">
        <v>725</v>
      </c>
      <c r="E725" s="2">
        <f>B725</f>
        <v/>
      </c>
      <c r="F725" s="3">
        <f>B725</f>
        <v/>
      </c>
      <c r="G725" s="96" t="n">
        <v>723</v>
      </c>
      <c r="H725" s="97" t="n"/>
      <c r="I725" s="97" t="n"/>
      <c r="J725" s="97" t="n">
        <v>53.60945</v>
      </c>
      <c r="K725" s="97" t="n">
        <v>56.75986</v>
      </c>
      <c r="L725" s="97" t="n"/>
      <c r="M725" s="97" t="n"/>
      <c r="N725" s="97" t="n">
        <v>59.68086</v>
      </c>
      <c r="O725" s="97" t="n">
        <v>60.65797</v>
      </c>
      <c r="P725" s="97" t="n">
        <v>81.39041</v>
      </c>
      <c r="Q725" s="97" t="n"/>
      <c r="R725" s="97" t="n">
        <v>47.09799</v>
      </c>
      <c r="S725" s="97" t="n">
        <v>79.45143</v>
      </c>
      <c r="T725" s="97" t="n">
        <v>85.64578</v>
      </c>
      <c r="U725" s="97" t="n">
        <v>113.9227</v>
      </c>
      <c r="V725" s="97" t="n"/>
      <c r="W725" s="97" t="n">
        <v>7.829545</v>
      </c>
      <c r="X725" s="97" t="n"/>
      <c r="Y725" s="97" t="n"/>
      <c r="Z725" s="97" t="n">
        <v>90.00606999999999</v>
      </c>
      <c r="AA725" s="97" t="n">
        <v>66.12537</v>
      </c>
      <c r="AB725" s="97" t="n"/>
      <c r="AC725" s="97" t="n">
        <v>52.89107</v>
      </c>
      <c r="AD725" s="97" t="n"/>
      <c r="AE725" s="97" t="n"/>
      <c r="AF725" s="97" t="n">
        <v>68.31028999999999</v>
      </c>
      <c r="AG725" s="97" t="n">
        <v>51.57551</v>
      </c>
      <c r="AH725" s="97" t="n">
        <v>52.43865</v>
      </c>
      <c r="AI725" s="97" t="n"/>
      <c r="AJ725" s="97" t="n">
        <v>66.25326</v>
      </c>
      <c r="AK725" s="97" t="n"/>
      <c r="AL725" s="97" t="n"/>
      <c r="AM725" s="97" t="n">
        <v>57.23228</v>
      </c>
      <c r="AN725" s="97" t="n"/>
      <c r="AO725" s="97" t="n">
        <v>50.805</v>
      </c>
      <c r="AP725" s="97" t="n">
        <v>67.64407</v>
      </c>
      <c r="AQ725" s="97" t="n"/>
      <c r="AR725" s="97" t="n"/>
      <c r="AS725" s="97" t="n"/>
      <c r="AT725" s="97" t="n"/>
      <c r="AU725" s="97" t="n"/>
      <c r="AV725" s="97" t="n"/>
      <c r="AW725" s="97" t="n"/>
      <c r="AX725" s="97" t="n"/>
      <c r="AY725" s="97" t="n">
        <v>63.55589</v>
      </c>
    </row>
    <row r="726" s="135">
      <c r="A726" t="inlineStr">
        <is>
          <t>1979-05</t>
        </is>
      </c>
      <c r="B726" s="2" t="n">
        <v>28976</v>
      </c>
      <c r="C726" s="96" t="n">
        <v>726</v>
      </c>
      <c r="E726" s="2">
        <f>B726</f>
        <v/>
      </c>
      <c r="F726" s="3">
        <f>B726</f>
        <v/>
      </c>
      <c r="G726" s="96" t="n">
        <v>724</v>
      </c>
      <c r="H726" s="97" t="n"/>
      <c r="I726" s="97" t="n"/>
      <c r="J726" s="97" t="n">
        <v>53.006</v>
      </c>
      <c r="K726" s="97" t="n">
        <v>57.72741</v>
      </c>
      <c r="L726" s="97" t="n"/>
      <c r="M726" s="97" t="n"/>
      <c r="N726" s="97" t="n">
        <v>59.55743</v>
      </c>
      <c r="O726" s="97" t="n">
        <v>62.53399</v>
      </c>
      <c r="P726" s="97" t="n">
        <v>83.15049</v>
      </c>
      <c r="Q726" s="97" t="n"/>
      <c r="R726" s="97" t="n">
        <v>46.7431</v>
      </c>
      <c r="S726" s="97" t="n">
        <v>81.77207</v>
      </c>
      <c r="T726" s="97" t="n">
        <v>86.91533</v>
      </c>
      <c r="U726" s="97" t="n">
        <v>115.1066</v>
      </c>
      <c r="V726" s="97" t="n"/>
      <c r="W726" s="97" t="n">
        <v>7.675873</v>
      </c>
      <c r="X726" s="97" t="n"/>
      <c r="Y726" s="97" t="n"/>
      <c r="Z726" s="97" t="n">
        <v>87.88146</v>
      </c>
      <c r="AA726" s="97" t="n">
        <v>67.55556</v>
      </c>
      <c r="AB726" s="97" t="n"/>
      <c r="AC726" s="97" t="n">
        <v>51.54556</v>
      </c>
      <c r="AD726" s="97" t="n"/>
      <c r="AE726" s="97" t="n"/>
      <c r="AF726" s="97" t="n">
        <v>67.64058</v>
      </c>
      <c r="AG726" s="97" t="n">
        <v>52.69672</v>
      </c>
      <c r="AH726" s="97" t="n">
        <v>52.85915</v>
      </c>
      <c r="AI726" s="97" t="n"/>
      <c r="AJ726" s="97" t="n">
        <v>66.30721</v>
      </c>
      <c r="AK726" s="97" t="n"/>
      <c r="AL726" s="97" t="n"/>
      <c r="AM726" s="97" t="n">
        <v>57.80691</v>
      </c>
      <c r="AN726" s="97" t="n"/>
      <c r="AO726" s="97" t="n">
        <v>51.21312</v>
      </c>
      <c r="AP726" s="97" t="n">
        <v>67.92976</v>
      </c>
      <c r="AQ726" s="97" t="n"/>
      <c r="AR726" s="97" t="n"/>
      <c r="AS726" s="97" t="n"/>
      <c r="AT726" s="97" t="n"/>
      <c r="AU726" s="97" t="n"/>
      <c r="AV726" s="97" t="n"/>
      <c r="AW726" s="97" t="n"/>
      <c r="AX726" s="97" t="n"/>
      <c r="AY726" s="97" t="n">
        <v>62.65954</v>
      </c>
    </row>
    <row r="727" s="135">
      <c r="A727" t="inlineStr">
        <is>
          <t>1979-06</t>
        </is>
      </c>
      <c r="B727" s="2" t="n">
        <v>29007</v>
      </c>
      <c r="C727" s="96" t="n">
        <v>727</v>
      </c>
      <c r="E727" s="2">
        <f>B727</f>
        <v/>
      </c>
      <c r="F727" s="3">
        <f>B727</f>
        <v/>
      </c>
      <c r="G727" s="96" t="n">
        <v>725</v>
      </c>
      <c r="H727" s="97" t="n"/>
      <c r="I727" s="97" t="n"/>
      <c r="J727" s="97" t="n">
        <v>54.98892</v>
      </c>
      <c r="K727" s="97" t="n">
        <v>57.34114</v>
      </c>
      <c r="L727" s="97" t="n"/>
      <c r="M727" s="97" t="n"/>
      <c r="N727" s="97" t="n">
        <v>60.73006</v>
      </c>
      <c r="O727" s="97" t="n">
        <v>61.90865</v>
      </c>
      <c r="P727" s="97" t="n">
        <v>84.17778</v>
      </c>
      <c r="Q727" s="97" t="n"/>
      <c r="R727" s="97" t="n">
        <v>46.7938</v>
      </c>
      <c r="S727" s="97" t="n">
        <v>82.38276999999999</v>
      </c>
      <c r="T727" s="97" t="n">
        <v>88.3802</v>
      </c>
      <c r="U727" s="97" t="n">
        <v>113.8987</v>
      </c>
      <c r="V727" s="97" t="n"/>
      <c r="W727" s="97" t="n">
        <v>7.637456</v>
      </c>
      <c r="X727" s="97" t="n"/>
      <c r="Y727" s="97" t="n"/>
      <c r="Z727" s="97" t="n">
        <v>87.39859</v>
      </c>
      <c r="AA727" s="97" t="n">
        <v>67.80795000000001</v>
      </c>
      <c r="AB727" s="97" t="n"/>
      <c r="AC727" s="97" t="n">
        <v>53.18587</v>
      </c>
      <c r="AD727" s="97" t="n"/>
      <c r="AE727" s="97" t="n"/>
      <c r="AF727" s="97" t="n">
        <v>66.97087000000001</v>
      </c>
      <c r="AG727" s="97" t="n">
        <v>52.13611</v>
      </c>
      <c r="AH727" s="97" t="n">
        <v>53.1191</v>
      </c>
      <c r="AI727" s="97" t="n"/>
      <c r="AJ727" s="97" t="n">
        <v>65.75937999999999</v>
      </c>
      <c r="AK727" s="97" t="n"/>
      <c r="AL727" s="97" t="n"/>
      <c r="AM727" s="97" t="n">
        <v>59.12854</v>
      </c>
      <c r="AN727" s="97" t="n"/>
      <c r="AO727" s="97" t="n">
        <v>51.21024</v>
      </c>
      <c r="AP727" s="97" t="n">
        <v>68.70116</v>
      </c>
      <c r="AQ727" s="97" t="n"/>
      <c r="AR727" s="97" t="n"/>
      <c r="AS727" s="97" t="n"/>
      <c r="AT727" s="97" t="n"/>
      <c r="AU727" s="97" t="n"/>
      <c r="AV727" s="97" t="n"/>
      <c r="AW727" s="97" t="n"/>
      <c r="AX727" s="97" t="n"/>
      <c r="AY727" s="97" t="n">
        <v>63.07228</v>
      </c>
    </row>
    <row r="728" s="135">
      <c r="A728" t="inlineStr">
        <is>
          <t>1979-07</t>
        </is>
      </c>
      <c r="B728" s="2" t="n">
        <v>29037</v>
      </c>
      <c r="C728" s="96" t="n">
        <v>728</v>
      </c>
      <c r="E728" s="2">
        <f>B728</f>
        <v/>
      </c>
      <c r="F728" s="3">
        <f>B728</f>
        <v/>
      </c>
      <c r="G728" s="96" t="n">
        <v>726</v>
      </c>
      <c r="H728" s="97" t="n"/>
      <c r="I728" s="97" t="n"/>
      <c r="J728" s="97" t="n">
        <v>54.08666</v>
      </c>
      <c r="K728" s="97" t="n">
        <v>57.97505</v>
      </c>
      <c r="L728" s="97" t="n"/>
      <c r="M728" s="97" t="n"/>
      <c r="N728" s="97" t="n">
        <v>61.03865</v>
      </c>
      <c r="O728" s="97" t="n">
        <v>64.41</v>
      </c>
      <c r="P728" s="97" t="n">
        <v>83.70538999999999</v>
      </c>
      <c r="Q728" s="97" t="n"/>
      <c r="R728" s="97" t="n">
        <v>47.75705</v>
      </c>
      <c r="S728" s="97" t="n">
        <v>84.21485</v>
      </c>
      <c r="T728" s="97" t="n">
        <v>87.30596</v>
      </c>
      <c r="U728" s="97" t="n">
        <v>111.645</v>
      </c>
      <c r="V728" s="97" t="n"/>
      <c r="W728" s="97" t="n">
        <v>7.760393</v>
      </c>
      <c r="X728" s="97" t="n"/>
      <c r="Y728" s="97" t="n"/>
      <c r="Z728" s="97" t="n">
        <v>86.72257999999999</v>
      </c>
      <c r="AA728" s="97" t="n">
        <v>68.31272</v>
      </c>
      <c r="AB728" s="97" t="n"/>
      <c r="AC728" s="97" t="n">
        <v>51.13551</v>
      </c>
      <c r="AD728" s="97" t="n"/>
      <c r="AE728" s="97" t="n"/>
      <c r="AF728" s="97" t="n">
        <v>68.31028999999999</v>
      </c>
      <c r="AG728" s="97" t="n">
        <v>53.25732</v>
      </c>
      <c r="AH728" s="97" t="n">
        <v>53.20111</v>
      </c>
      <c r="AI728" s="97" t="n"/>
      <c r="AJ728" s="97" t="n">
        <v>62.37681</v>
      </c>
      <c r="AK728" s="97" t="n"/>
      <c r="AL728" s="97" t="n"/>
      <c r="AM728" s="97" t="n">
        <v>58.03675</v>
      </c>
      <c r="AN728" s="97" t="n"/>
      <c r="AO728" s="97" t="n">
        <v>51.1407</v>
      </c>
      <c r="AP728" s="97" t="n">
        <v>68.70116</v>
      </c>
      <c r="AQ728" s="97" t="n"/>
      <c r="AR728" s="97" t="n"/>
      <c r="AS728" s="97" t="n"/>
      <c r="AT728" s="97" t="n"/>
      <c r="AU728" s="97" t="n"/>
      <c r="AV728" s="97" t="n"/>
      <c r="AW728" s="97" t="n"/>
      <c r="AX728" s="97" t="n"/>
      <c r="AY728" s="97" t="n">
        <v>62.45861</v>
      </c>
    </row>
    <row r="729" s="135">
      <c r="A729" t="inlineStr">
        <is>
          <t>1979-08</t>
        </is>
      </c>
      <c r="B729" s="2" t="n">
        <v>29068</v>
      </c>
      <c r="C729" s="96" t="n">
        <v>729</v>
      </c>
      <c r="E729" s="2">
        <f>B729</f>
        <v/>
      </c>
      <c r="F729" s="3">
        <f>B729</f>
        <v/>
      </c>
      <c r="G729" s="96" t="n">
        <v>727</v>
      </c>
      <c r="H729" s="97" t="n"/>
      <c r="I729" s="97" t="n"/>
      <c r="J729" s="97" t="n">
        <v>54.33974</v>
      </c>
      <c r="K729" s="97" t="n">
        <v>57.94779</v>
      </c>
      <c r="L729" s="97" t="n"/>
      <c r="M729" s="97" t="n"/>
      <c r="N729" s="97" t="n">
        <v>60.17461</v>
      </c>
      <c r="O729" s="97" t="n">
        <v>62.53399</v>
      </c>
      <c r="P729" s="97" t="n">
        <v>84.56075</v>
      </c>
      <c r="Q729" s="97" t="n"/>
      <c r="R729" s="97" t="n">
        <v>47.19938</v>
      </c>
      <c r="S729" s="97" t="n">
        <v>84.21485</v>
      </c>
      <c r="T729" s="97" t="n">
        <v>84.27857</v>
      </c>
      <c r="U729" s="97" t="n">
        <v>113.4592</v>
      </c>
      <c r="V729" s="97" t="n"/>
      <c r="W729" s="97" t="n">
        <v>7.806493</v>
      </c>
      <c r="X729" s="97" t="n"/>
      <c r="Y729" s="97" t="n"/>
      <c r="Z729" s="97" t="n">
        <v>93.86899</v>
      </c>
      <c r="AA729" s="97" t="n">
        <v>69.32227</v>
      </c>
      <c r="AB729" s="97" t="n"/>
      <c r="AC729" s="97" t="n">
        <v>52.03103</v>
      </c>
      <c r="AD729" s="97" t="n"/>
      <c r="AE729" s="97" t="n"/>
      <c r="AF729" s="97" t="n">
        <v>67.64058</v>
      </c>
      <c r="AG729" s="97" t="n">
        <v>55.49973</v>
      </c>
      <c r="AH729" s="97" t="n">
        <v>53.31844</v>
      </c>
      <c r="AI729" s="97" t="n"/>
      <c r="AJ729" s="97" t="n">
        <v>70.53513</v>
      </c>
      <c r="AK729" s="97" t="n"/>
      <c r="AL729" s="97" t="n"/>
      <c r="AM729" s="97" t="n">
        <v>59.53077</v>
      </c>
      <c r="AN729" s="97" t="n"/>
      <c r="AO729" s="97" t="n">
        <v>50.80125</v>
      </c>
      <c r="AP729" s="97" t="n">
        <v>69.09161</v>
      </c>
      <c r="AQ729" s="97" t="n"/>
      <c r="AR729" s="97" t="n"/>
      <c r="AS729" s="97" t="n"/>
      <c r="AT729" s="97" t="n"/>
      <c r="AU729" s="97" t="n"/>
      <c r="AV729" s="97" t="n"/>
      <c r="AW729" s="97" t="n"/>
      <c r="AX729" s="97" t="n"/>
      <c r="AY729" s="97" t="n">
        <v>63.87566</v>
      </c>
    </row>
    <row r="730" s="135">
      <c r="A730" t="inlineStr">
        <is>
          <t>1979-09</t>
        </is>
      </c>
      <c r="B730" s="2" t="n">
        <v>29099</v>
      </c>
      <c r="C730" s="96" t="n">
        <v>730</v>
      </c>
      <c r="E730" s="2">
        <f>B730</f>
        <v/>
      </c>
      <c r="F730" s="3">
        <f>B730</f>
        <v/>
      </c>
      <c r="G730" s="96" t="n">
        <v>728</v>
      </c>
      <c r="H730" s="97" t="n"/>
      <c r="I730" s="97" t="n"/>
      <c r="J730" s="97" t="n">
        <v>55.07673</v>
      </c>
      <c r="K730" s="97" t="n">
        <v>57.82843</v>
      </c>
      <c r="L730" s="97" t="n"/>
      <c r="M730" s="97" t="n"/>
      <c r="N730" s="97" t="n">
        <v>60.29804</v>
      </c>
      <c r="O730" s="97" t="n">
        <v>62.53399</v>
      </c>
      <c r="P730" s="97" t="n">
        <v>83.30963</v>
      </c>
      <c r="Q730" s="97" t="n"/>
      <c r="R730" s="97" t="n">
        <v>46.9459</v>
      </c>
      <c r="S730" s="97" t="n">
        <v>82.99346</v>
      </c>
      <c r="T730" s="97" t="n">
        <v>83.98560000000001</v>
      </c>
      <c r="U730" s="97" t="n">
        <v>111.8584</v>
      </c>
      <c r="V730" s="97" t="n"/>
      <c r="W730" s="97" t="n">
        <v>8.106152</v>
      </c>
      <c r="X730" s="97" t="n"/>
      <c r="Y730" s="97" t="n"/>
      <c r="Z730" s="97" t="n">
        <v>95.6073</v>
      </c>
      <c r="AA730" s="97" t="n">
        <v>68.06032999999999</v>
      </c>
      <c r="AB730" s="97" t="n"/>
      <c r="AC730" s="97" t="n">
        <v>54.2356</v>
      </c>
      <c r="AD730" s="97" t="n"/>
      <c r="AE730" s="97" t="n"/>
      <c r="AF730" s="97" t="n">
        <v>68.98</v>
      </c>
      <c r="AG730" s="97" t="n">
        <v>57.74215</v>
      </c>
      <c r="AH730" s="97" t="n">
        <v>53.22599</v>
      </c>
      <c r="AI730" s="97" t="n"/>
      <c r="AJ730" s="97" t="n">
        <v>68.29803</v>
      </c>
      <c r="AK730" s="97" t="n"/>
      <c r="AL730" s="97" t="n"/>
      <c r="AM730" s="97" t="n">
        <v>60.04793</v>
      </c>
      <c r="AN730" s="97" t="n"/>
      <c r="AO730" s="97" t="n">
        <v>50.85764</v>
      </c>
      <c r="AP730" s="97" t="n">
        <v>69.18684</v>
      </c>
      <c r="AQ730" s="97" t="n"/>
      <c r="AR730" s="97" t="n"/>
      <c r="AS730" s="97" t="n"/>
      <c r="AT730" s="97" t="n"/>
      <c r="AU730" s="97" t="n"/>
      <c r="AV730" s="97" t="n"/>
      <c r="AW730" s="97" t="n"/>
      <c r="AX730" s="97" t="n"/>
      <c r="AY730" s="97" t="n">
        <v>62.66731</v>
      </c>
    </row>
    <row r="731" s="135">
      <c r="A731" t="inlineStr">
        <is>
          <t>1979-10</t>
        </is>
      </c>
      <c r="B731" s="2" t="n">
        <v>29129</v>
      </c>
      <c r="C731" s="96" t="n">
        <v>731</v>
      </c>
      <c r="E731" s="2">
        <f>B731</f>
        <v/>
      </c>
      <c r="F731" s="3">
        <f>B731</f>
        <v/>
      </c>
      <c r="G731" s="96" t="n">
        <v>729</v>
      </c>
      <c r="H731" s="97" t="n"/>
      <c r="I731" s="97" t="n"/>
      <c r="J731" s="97" t="n">
        <v>53.93938</v>
      </c>
      <c r="K731" s="97" t="n">
        <v>57.7415</v>
      </c>
      <c r="L731" s="97" t="n"/>
      <c r="M731" s="97" t="n"/>
      <c r="N731" s="97" t="n">
        <v>59.61915</v>
      </c>
      <c r="O731" s="97" t="n">
        <v>65.66068</v>
      </c>
      <c r="P731" s="97" t="n">
        <v>82.49706999999999</v>
      </c>
      <c r="Q731" s="97" t="n"/>
      <c r="R731" s="97" t="n">
        <v>47.40217</v>
      </c>
      <c r="S731" s="97" t="n">
        <v>82.26063000000001</v>
      </c>
      <c r="T731" s="97" t="n">
        <v>84.27857</v>
      </c>
      <c r="U731" s="97" t="n">
        <v>114.3577</v>
      </c>
      <c r="V731" s="97" t="n"/>
      <c r="W731" s="97" t="n">
        <v>7.998582</v>
      </c>
      <c r="X731" s="97" t="n"/>
      <c r="Y731" s="97" t="n"/>
      <c r="Z731" s="97" t="n">
        <v>94.83472</v>
      </c>
      <c r="AA731" s="97" t="n">
        <v>69.49053000000001</v>
      </c>
      <c r="AB731" s="97" t="n"/>
      <c r="AC731" s="97" t="n">
        <v>50.94241</v>
      </c>
      <c r="AD731" s="97" t="n"/>
      <c r="AE731" s="97" t="n"/>
      <c r="AF731" s="97" t="n">
        <v>68.31028999999999</v>
      </c>
      <c r="AG731" s="97" t="n">
        <v>54.93913</v>
      </c>
      <c r="AH731" s="97" t="n">
        <v>53.31814</v>
      </c>
      <c r="AI731" s="97" t="n"/>
      <c r="AJ731" s="97" t="n">
        <v>69.04288</v>
      </c>
      <c r="AK731" s="97" t="n"/>
      <c r="AL731" s="97" t="n"/>
      <c r="AM731" s="97" t="n">
        <v>58.61138</v>
      </c>
      <c r="AN731" s="97" t="n"/>
      <c r="AO731" s="97" t="n">
        <v>51.13657</v>
      </c>
      <c r="AP731" s="97" t="n">
        <v>68.60592</v>
      </c>
      <c r="AQ731" s="97" t="n"/>
      <c r="AR731" s="97" t="n"/>
      <c r="AS731" s="97" t="n"/>
      <c r="AT731" s="97" t="n"/>
      <c r="AU731" s="97" t="n"/>
      <c r="AV731" s="97" t="n"/>
      <c r="AW731" s="97" t="n"/>
      <c r="AX731" s="97" t="n"/>
      <c r="AY731" s="97" t="n">
        <v>64.90552</v>
      </c>
    </row>
    <row r="732" s="135">
      <c r="A732" t="inlineStr">
        <is>
          <t>1979-11</t>
        </is>
      </c>
      <c r="B732" s="2" t="n">
        <v>29160</v>
      </c>
      <c r="C732" s="96" t="n">
        <v>732</v>
      </c>
      <c r="E732" s="2">
        <f>B732</f>
        <v/>
      </c>
      <c r="F732" s="3">
        <f>B732</f>
        <v/>
      </c>
      <c r="G732" s="96" t="n">
        <v>730</v>
      </c>
      <c r="H732" s="97" t="n"/>
      <c r="I732" s="97" t="n"/>
      <c r="J732" s="97" t="n">
        <v>53.82787</v>
      </c>
      <c r="K732" s="97" t="n">
        <v>57.25515</v>
      </c>
      <c r="L732" s="97" t="n"/>
      <c r="M732" s="97" t="n"/>
      <c r="N732" s="97" t="n">
        <v>61.16209</v>
      </c>
      <c r="O732" s="97" t="n">
        <v>65.66068</v>
      </c>
      <c r="P732" s="97" t="n">
        <v>82.21011</v>
      </c>
      <c r="Q732" s="97" t="n"/>
      <c r="R732" s="97" t="n">
        <v>48.56821</v>
      </c>
      <c r="S732" s="97" t="n">
        <v>82.62703999999999</v>
      </c>
      <c r="T732" s="97" t="n">
        <v>85.35281000000001</v>
      </c>
      <c r="U732" s="97" t="n">
        <v>108.1005</v>
      </c>
      <c r="V732" s="97" t="n"/>
      <c r="W732" s="97" t="n">
        <v>8.037000000000001</v>
      </c>
      <c r="X732" s="97" t="n"/>
      <c r="Y732" s="97" t="n"/>
      <c r="Z732" s="97" t="n">
        <v>95.41415000000001</v>
      </c>
      <c r="AA732" s="97" t="n">
        <v>70.33181999999999</v>
      </c>
      <c r="AB732" s="97" t="n"/>
      <c r="AC732" s="97" t="n">
        <v>52.91794</v>
      </c>
      <c r="AD732" s="97" t="n"/>
      <c r="AE732" s="97" t="n"/>
      <c r="AF732" s="97" t="n">
        <v>69.6497</v>
      </c>
      <c r="AG732" s="97" t="n">
        <v>57.18155</v>
      </c>
      <c r="AH732" s="97" t="n">
        <v>53.63465</v>
      </c>
      <c r="AI732" s="97" t="n"/>
      <c r="AJ732" s="97" t="n">
        <v>69.7411</v>
      </c>
      <c r="AK732" s="97" t="n"/>
      <c r="AL732" s="97" t="n"/>
      <c r="AM732" s="97" t="n">
        <v>59.07108</v>
      </c>
      <c r="AN732" s="97" t="n"/>
      <c r="AO732" s="97" t="n">
        <v>51.09123</v>
      </c>
      <c r="AP732" s="97" t="n">
        <v>69.37730999999999</v>
      </c>
      <c r="AQ732" s="97" t="n"/>
      <c r="AR732" s="97" t="n"/>
      <c r="AS732" s="97" t="n"/>
      <c r="AT732" s="97" t="n"/>
      <c r="AU732" s="97" t="n"/>
      <c r="AV732" s="97" t="n"/>
      <c r="AW732" s="97" t="n"/>
      <c r="AX732" s="97" t="n"/>
      <c r="AY732" s="97" t="n">
        <v>64.20690999999999</v>
      </c>
    </row>
    <row r="733" s="135">
      <c r="A733" t="inlineStr">
        <is>
          <t>1979-12</t>
        </is>
      </c>
      <c r="B733" s="2" t="n">
        <v>29190</v>
      </c>
      <c r="C733" s="96" t="n">
        <v>733</v>
      </c>
      <c r="E733" s="2">
        <f>B733</f>
        <v/>
      </c>
      <c r="F733" s="3">
        <f>B733</f>
        <v/>
      </c>
      <c r="G733" s="96" t="n">
        <v>731</v>
      </c>
      <c r="H733" s="97" t="n"/>
      <c r="I733" s="97" t="n"/>
      <c r="J733" s="97" t="n">
        <v>55.83507</v>
      </c>
      <c r="K733" s="97" t="n">
        <v>56.51128</v>
      </c>
      <c r="L733" s="97" t="n"/>
      <c r="M733" s="97" t="n"/>
      <c r="N733" s="97" t="n">
        <v>62.08785</v>
      </c>
      <c r="O733" s="97" t="n">
        <v>65.03534999999999</v>
      </c>
      <c r="P733" s="97" t="n">
        <v>80.66682</v>
      </c>
      <c r="Q733" s="97" t="n"/>
      <c r="R733" s="97" t="n">
        <v>48.21333</v>
      </c>
      <c r="S733" s="97" t="n">
        <v>82.50491</v>
      </c>
      <c r="T733" s="97" t="n">
        <v>85.84108999999999</v>
      </c>
      <c r="U733" s="97" t="n">
        <v>112.7032</v>
      </c>
      <c r="V733" s="97" t="n"/>
      <c r="W733" s="97" t="n">
        <v>7.729658</v>
      </c>
      <c r="X733" s="97" t="n"/>
      <c r="Y733" s="97" t="n"/>
      <c r="Z733" s="97" t="n">
        <v>98.31135</v>
      </c>
      <c r="AA733" s="97" t="n">
        <v>70.07943</v>
      </c>
      <c r="AB733" s="97" t="n"/>
      <c r="AC733" s="97" t="n">
        <v>55.31723</v>
      </c>
      <c r="AD733" s="97" t="n"/>
      <c r="AE733" s="97" t="n"/>
      <c r="AF733" s="97" t="n">
        <v>66.30116</v>
      </c>
      <c r="AG733" s="97" t="n">
        <v>56.06034</v>
      </c>
      <c r="AH733" s="97" t="n">
        <v>53.85188</v>
      </c>
      <c r="AI733" s="97" t="n"/>
      <c r="AJ733" s="97" t="n">
        <v>69.61237</v>
      </c>
      <c r="AK733" s="97" t="n"/>
      <c r="AL733" s="97" t="n"/>
      <c r="AM733" s="97" t="n">
        <v>60.73748</v>
      </c>
      <c r="AN733" s="97" t="n"/>
      <c r="AO733" s="97" t="n">
        <v>51.15702</v>
      </c>
      <c r="AP733" s="97" t="n">
        <v>70.14870000000001</v>
      </c>
      <c r="AQ733" s="97" t="n"/>
      <c r="AR733" s="97" t="n"/>
      <c r="AS733" s="97" t="n"/>
      <c r="AT733" s="97" t="n"/>
      <c r="AU733" s="97" t="n"/>
      <c r="AV733" s="97" t="n"/>
      <c r="AW733" s="97" t="n"/>
      <c r="AX733" s="97" t="n"/>
      <c r="AY733" s="97" t="n">
        <v>65.44978</v>
      </c>
    </row>
    <row r="734" s="135">
      <c r="A734" t="inlineStr">
        <is>
          <t>1980-01</t>
        </is>
      </c>
      <c r="B734" s="2" t="n">
        <v>29221</v>
      </c>
      <c r="C734" s="96" t="n">
        <v>734</v>
      </c>
      <c r="E734" s="2">
        <f>B734</f>
        <v/>
      </c>
      <c r="F734" s="3">
        <f>B734</f>
        <v/>
      </c>
      <c r="G734" s="96" t="n">
        <v>732</v>
      </c>
      <c r="H734" s="97" t="n"/>
      <c r="I734" s="97" t="n"/>
      <c r="J734" s="97" t="n">
        <v>55.37201</v>
      </c>
      <c r="K734" s="97" t="n">
        <v>57.2716</v>
      </c>
      <c r="L734" s="97" t="n"/>
      <c r="M734" s="97" t="n"/>
      <c r="N734" s="97" t="n">
        <v>61.71754</v>
      </c>
      <c r="O734" s="97" t="n">
        <v>64.41</v>
      </c>
      <c r="P734" s="97" t="n">
        <v>83.35979</v>
      </c>
      <c r="Q734" s="97" t="n"/>
      <c r="R734" s="97" t="n">
        <v>49.58216</v>
      </c>
      <c r="S734" s="97" t="n">
        <v>82.01649</v>
      </c>
      <c r="T734" s="97" t="n">
        <v>85.35281000000001</v>
      </c>
      <c r="U734" s="97" t="n">
        <v>112.9633</v>
      </c>
      <c r="V734" s="97" t="n"/>
      <c r="W734" s="97" t="n">
        <v>7.868233</v>
      </c>
      <c r="X734" s="97" t="n"/>
      <c r="Y734" s="97" t="n"/>
      <c r="Z734" s="97" t="n">
        <v>97.38666000000001</v>
      </c>
      <c r="AA734" s="97" t="n">
        <v>70.58421</v>
      </c>
      <c r="AB734" s="97" t="n"/>
      <c r="AC734" s="97" t="n">
        <v>54.50422</v>
      </c>
      <c r="AD734" s="97" t="n"/>
      <c r="AE734" s="97" t="n">
        <v>54.65603</v>
      </c>
      <c r="AF734" s="97" t="n">
        <v>68.98</v>
      </c>
      <c r="AG734" s="97" t="n">
        <v>57.74215</v>
      </c>
      <c r="AH734" s="97" t="n">
        <v>53.99166</v>
      </c>
      <c r="AI734" s="97" t="n"/>
      <c r="AJ734" s="97" t="n">
        <v>71.70283000000001</v>
      </c>
      <c r="AK734" s="97" t="n"/>
      <c r="AL734" s="97" t="n"/>
      <c r="AM734" s="97" t="n">
        <v>60.04793</v>
      </c>
      <c r="AN734" s="97" t="n"/>
      <c r="AO734" s="97" t="n">
        <v>51.39081</v>
      </c>
      <c r="AP734" s="97" t="n">
        <v>68.14715</v>
      </c>
      <c r="AQ734" s="97" t="n"/>
      <c r="AR734" s="97" t="n"/>
      <c r="AS734" s="97" t="n"/>
      <c r="AT734" s="97" t="n"/>
      <c r="AU734" s="97" t="n"/>
      <c r="AV734" s="97" t="n"/>
      <c r="AW734" s="97" t="n"/>
      <c r="AX734" s="97" t="n"/>
      <c r="AY734" s="97" t="n">
        <v>66.45305</v>
      </c>
    </row>
    <row r="735" s="135">
      <c r="A735" t="inlineStr">
        <is>
          <t>1980-02</t>
        </is>
      </c>
      <c r="B735" s="2" t="n">
        <v>29252</v>
      </c>
      <c r="C735" s="96" t="n">
        <v>735</v>
      </c>
      <c r="E735" s="2">
        <f>B735</f>
        <v/>
      </c>
      <c r="F735" s="3">
        <f>B735</f>
        <v/>
      </c>
      <c r="G735" s="96" t="n">
        <v>733</v>
      </c>
      <c r="H735" s="97" t="n"/>
      <c r="I735" s="97" t="n"/>
      <c r="J735" s="97" t="n">
        <v>54.11776</v>
      </c>
      <c r="K735" s="97" t="n">
        <v>56.25048</v>
      </c>
      <c r="L735" s="97" t="n"/>
      <c r="M735" s="97" t="n"/>
      <c r="N735" s="97" t="n">
        <v>61.65583</v>
      </c>
      <c r="O735" s="97" t="n">
        <v>63.78466</v>
      </c>
      <c r="P735" s="97" t="n">
        <v>82.78931</v>
      </c>
      <c r="Q735" s="97" t="n"/>
      <c r="R735" s="97" t="n">
        <v>49.12589</v>
      </c>
      <c r="S735" s="97" t="n">
        <v>81.77216</v>
      </c>
      <c r="T735" s="97" t="n">
        <v>83.30199</v>
      </c>
      <c r="U735" s="97" t="n">
        <v>112.8488</v>
      </c>
      <c r="V735" s="97" t="n"/>
      <c r="W735" s="97" t="n">
        <v>7.575984</v>
      </c>
      <c r="X735" s="97" t="n"/>
      <c r="Y735" s="97" t="n"/>
      <c r="Z735" s="97" t="n">
        <v>98.97094</v>
      </c>
      <c r="AA735" s="97" t="n">
        <v>73.1922</v>
      </c>
      <c r="AB735" s="97" t="n"/>
      <c r="AC735" s="97" t="n">
        <v>52.3973</v>
      </c>
      <c r="AD735" s="97" t="n"/>
      <c r="AE735" s="97" t="n">
        <v>54.22225</v>
      </c>
      <c r="AF735" s="97" t="n">
        <v>66.30116</v>
      </c>
      <c r="AG735" s="97" t="n">
        <v>58.86335</v>
      </c>
      <c r="AH735" s="97" t="n">
        <v>54.10785</v>
      </c>
      <c r="AI735" s="97" t="n"/>
      <c r="AJ735" s="97" t="n">
        <v>69.95049</v>
      </c>
      <c r="AK735" s="97" t="n"/>
      <c r="AL735" s="97" t="n"/>
      <c r="AM735" s="97" t="n">
        <v>59.58823</v>
      </c>
      <c r="AN735" s="97" t="n"/>
      <c r="AO735" s="97" t="n">
        <v>51.39235</v>
      </c>
      <c r="AP735" s="97" t="n">
        <v>67.56469</v>
      </c>
      <c r="AQ735" s="97" t="n"/>
      <c r="AR735" s="97" t="n"/>
      <c r="AS735" s="97" t="n"/>
      <c r="AT735" s="97" t="n"/>
      <c r="AU735" s="97" t="n"/>
      <c r="AV735" s="97" t="n"/>
      <c r="AW735" s="97" t="n"/>
      <c r="AX735" s="97" t="n"/>
      <c r="AY735" s="97" t="n">
        <v>67.28445000000001</v>
      </c>
    </row>
    <row r="736" s="135">
      <c r="A736" t="inlineStr">
        <is>
          <t>1980-03</t>
        </is>
      </c>
      <c r="B736" s="2" t="n">
        <v>29281</v>
      </c>
      <c r="C736" s="96" t="n">
        <v>736</v>
      </c>
      <c r="E736" s="2">
        <f>B736</f>
        <v/>
      </c>
      <c r="F736" s="3">
        <f>B736</f>
        <v/>
      </c>
      <c r="G736" s="96" t="n">
        <v>734</v>
      </c>
      <c r="H736" s="97" t="n"/>
      <c r="I736" s="97" t="n"/>
      <c r="J736" s="97" t="n">
        <v>54.9492</v>
      </c>
      <c r="K736" s="97" t="n">
        <v>56.90366</v>
      </c>
      <c r="L736" s="97" t="n"/>
      <c r="M736" s="97" t="n"/>
      <c r="N736" s="97" t="n">
        <v>61.10037</v>
      </c>
      <c r="O736" s="97" t="n">
        <v>64.41</v>
      </c>
      <c r="P736" s="97" t="n">
        <v>85.77445</v>
      </c>
      <c r="Q736" s="97" t="n"/>
      <c r="R736" s="97" t="n">
        <v>50.19054</v>
      </c>
      <c r="S736" s="97" t="n">
        <v>82.34228</v>
      </c>
      <c r="T736" s="97" t="n">
        <v>82.81371</v>
      </c>
      <c r="U736" s="97" t="n">
        <v>113.7096</v>
      </c>
      <c r="V736" s="97" t="n"/>
      <c r="W736" s="97" t="n">
        <v>7.710868</v>
      </c>
      <c r="X736" s="97" t="n"/>
      <c r="Y736" s="97" t="n"/>
      <c r="Z736" s="97" t="n">
        <v>101.394</v>
      </c>
      <c r="AA736" s="97" t="n">
        <v>71.25724</v>
      </c>
      <c r="AB736" s="97" t="n"/>
      <c r="AC736" s="97" t="n">
        <v>53.5668</v>
      </c>
      <c r="AD736" s="97" t="n"/>
      <c r="AE736" s="97" t="n">
        <v>55.2344</v>
      </c>
      <c r="AF736" s="97" t="n">
        <v>69.6497</v>
      </c>
      <c r="AG736" s="97" t="n">
        <v>56.62094</v>
      </c>
      <c r="AH736" s="97" t="n">
        <v>54.10537</v>
      </c>
      <c r="AI736" s="97" t="n"/>
      <c r="AJ736" s="97" t="n">
        <v>70.82854</v>
      </c>
      <c r="AK736" s="97" t="n"/>
      <c r="AL736" s="97" t="n"/>
      <c r="AM736" s="97" t="n">
        <v>60.3927</v>
      </c>
      <c r="AN736" s="97" t="n"/>
      <c r="AO736" s="97" t="n">
        <v>51.2234</v>
      </c>
      <c r="AP736" s="97" t="n">
        <v>67.5975</v>
      </c>
      <c r="AQ736" s="97" t="n"/>
      <c r="AR736" s="97" t="n"/>
      <c r="AS736" s="97" t="n"/>
      <c r="AT736" s="97" t="n"/>
      <c r="AU736" s="97" t="n"/>
      <c r="AV736" s="97" t="n"/>
      <c r="AW736" s="97" t="n"/>
      <c r="AX736" s="97" t="n"/>
      <c r="AY736" s="97" t="n">
        <v>69.76600000000001</v>
      </c>
    </row>
    <row r="737" s="135">
      <c r="A737" t="inlineStr">
        <is>
          <t>1980-04</t>
        </is>
      </c>
      <c r="B737" s="2" t="n">
        <v>29312</v>
      </c>
      <c r="C737" s="96" t="n">
        <v>737</v>
      </c>
      <c r="E737" s="2">
        <f>B737</f>
        <v/>
      </c>
      <c r="F737" s="3">
        <f>B737</f>
        <v/>
      </c>
      <c r="G737" s="96" t="n">
        <v>735</v>
      </c>
      <c r="H737" s="97" t="n"/>
      <c r="I737" s="97" t="n"/>
      <c r="J737" s="97" t="n">
        <v>53.21466</v>
      </c>
      <c r="K737" s="97" t="n">
        <v>55.6396</v>
      </c>
      <c r="L737" s="97" t="n"/>
      <c r="M737" s="97" t="n"/>
      <c r="N737" s="97" t="n">
        <v>60.48319</v>
      </c>
      <c r="O737" s="97" t="n">
        <v>63.78466</v>
      </c>
      <c r="P737" s="97" t="n">
        <v>82.62034</v>
      </c>
      <c r="Q737" s="97" t="n"/>
      <c r="R737" s="97" t="n">
        <v>50.44402</v>
      </c>
      <c r="S737" s="97" t="n">
        <v>82.34228</v>
      </c>
      <c r="T737" s="97" t="n">
        <v>80.46992</v>
      </c>
      <c r="U737" s="97" t="n">
        <v>115.655</v>
      </c>
      <c r="V737" s="97" t="n"/>
      <c r="W737" s="97" t="n">
        <v>7.665906</v>
      </c>
      <c r="X737" s="97" t="n"/>
      <c r="Y737" s="97" t="n"/>
      <c r="Z737" s="97" t="n">
        <v>99.71648</v>
      </c>
      <c r="AA737" s="97" t="n">
        <v>72.51917</v>
      </c>
      <c r="AB737" s="97" t="n"/>
      <c r="AC737" s="97" t="n">
        <v>54.43686</v>
      </c>
      <c r="AD737" s="97" t="n"/>
      <c r="AE737" s="97" t="n">
        <v>54.94522</v>
      </c>
      <c r="AF737" s="97" t="n">
        <v>66.97087000000001</v>
      </c>
      <c r="AG737" s="97" t="n">
        <v>57.18155</v>
      </c>
      <c r="AH737" s="97" t="n">
        <v>53.4581</v>
      </c>
      <c r="AI737" s="97" t="n"/>
      <c r="AJ737" s="97" t="n">
        <v>69.71375</v>
      </c>
      <c r="AK737" s="97" t="n"/>
      <c r="AL737" s="97" t="n"/>
      <c r="AM737" s="97" t="n">
        <v>59.53077</v>
      </c>
      <c r="AN737" s="97" t="n"/>
      <c r="AO737" s="97" t="n">
        <v>50.17087</v>
      </c>
      <c r="AP737" s="97" t="n">
        <v>67.44164000000001</v>
      </c>
      <c r="AQ737" s="97" t="n"/>
      <c r="AR737" s="97" t="n"/>
      <c r="AS737" s="97" t="n"/>
      <c r="AT737" s="97" t="n"/>
      <c r="AU737" s="97" t="n"/>
      <c r="AV737" s="97" t="n"/>
      <c r="AW737" s="97" t="n"/>
      <c r="AX737" s="97" t="n"/>
      <c r="AY737" s="97" t="n">
        <v>66.7307</v>
      </c>
    </row>
    <row r="738" s="135">
      <c r="A738" t="inlineStr">
        <is>
          <t>1980-05</t>
        </is>
      </c>
      <c r="B738" s="2" t="n">
        <v>29342</v>
      </c>
      <c r="C738" s="96" t="n">
        <v>738</v>
      </c>
      <c r="E738" s="2">
        <f>B738</f>
        <v/>
      </c>
      <c r="F738" s="3">
        <f>B738</f>
        <v/>
      </c>
      <c r="G738" s="96" t="n">
        <v>736</v>
      </c>
      <c r="H738" s="97" t="n"/>
      <c r="I738" s="97" t="n"/>
      <c r="J738" s="97" t="n">
        <v>53.29696</v>
      </c>
      <c r="K738" s="97" t="n">
        <v>54.26793</v>
      </c>
      <c r="L738" s="97" t="n"/>
      <c r="M738" s="97" t="n"/>
      <c r="N738" s="97" t="n">
        <v>60.42147</v>
      </c>
      <c r="O738" s="97" t="n">
        <v>62.53399</v>
      </c>
      <c r="P738" s="97" t="n">
        <v>82.1168</v>
      </c>
      <c r="Q738" s="97" t="n"/>
      <c r="R738" s="97" t="n">
        <v>49.17659</v>
      </c>
      <c r="S738" s="97" t="n">
        <v>80.30612000000001</v>
      </c>
      <c r="T738" s="97" t="n">
        <v>80.66524</v>
      </c>
      <c r="U738" s="97" t="n">
        <v>115.252</v>
      </c>
      <c r="V738" s="97" t="n"/>
      <c r="W738" s="97" t="n">
        <v>7.823271</v>
      </c>
      <c r="X738" s="97" t="n"/>
      <c r="Y738" s="97" t="n"/>
      <c r="Z738" s="97" t="n">
        <v>97.38666000000001</v>
      </c>
      <c r="AA738" s="97" t="n">
        <v>72.01439999999999</v>
      </c>
      <c r="AB738" s="97" t="n"/>
      <c r="AC738" s="97" t="n">
        <v>52.73711</v>
      </c>
      <c r="AD738" s="97" t="n"/>
      <c r="AE738" s="97" t="n">
        <v>55.01751</v>
      </c>
      <c r="AF738" s="97" t="n">
        <v>67.64058</v>
      </c>
      <c r="AG738" s="97" t="n">
        <v>57.18155</v>
      </c>
      <c r="AH738" s="97" t="n">
        <v>52.63578</v>
      </c>
      <c r="AI738" s="97" t="n"/>
      <c r="AJ738" s="97" t="n">
        <v>69.19548</v>
      </c>
      <c r="AK738" s="97" t="n"/>
      <c r="AL738" s="97" t="n"/>
      <c r="AM738" s="97" t="n">
        <v>45.96971</v>
      </c>
      <c r="AN738" s="97" t="n"/>
      <c r="AO738" s="97" t="n">
        <v>48.95121</v>
      </c>
      <c r="AP738" s="97" t="n">
        <v>66.6705</v>
      </c>
      <c r="AQ738" s="97" t="n"/>
      <c r="AR738" s="97" t="n"/>
      <c r="AS738" s="97" t="n"/>
      <c r="AT738" s="97" t="n"/>
      <c r="AU738" s="97" t="n"/>
      <c r="AV738" s="97" t="n"/>
      <c r="AW738" s="97" t="n"/>
      <c r="AX738" s="97" t="n"/>
      <c r="AY738" s="97" t="n">
        <v>69.00111</v>
      </c>
    </row>
    <row r="739" s="135">
      <c r="A739" t="inlineStr">
        <is>
          <t>1980-06</t>
        </is>
      </c>
      <c r="B739" s="2" t="n">
        <v>29373</v>
      </c>
      <c r="C739" s="96" t="n">
        <v>739</v>
      </c>
      <c r="E739" s="2">
        <f>B739</f>
        <v/>
      </c>
      <c r="F739" s="3">
        <f>B739</f>
        <v/>
      </c>
      <c r="G739" s="96" t="n">
        <v>737</v>
      </c>
      <c r="H739" s="97" t="n"/>
      <c r="I739" s="97" t="n"/>
      <c r="J739" s="97" t="n">
        <v>52.66265</v>
      </c>
      <c r="K739" s="97" t="n">
        <v>53.92537</v>
      </c>
      <c r="L739" s="97" t="n"/>
      <c r="M739" s="97" t="n"/>
      <c r="N739" s="97" t="n">
        <v>59.86602</v>
      </c>
      <c r="O739" s="97" t="n">
        <v>62.53399</v>
      </c>
      <c r="P739" s="97" t="n">
        <v>83.24897</v>
      </c>
      <c r="Q739" s="97" t="n"/>
      <c r="R739" s="97" t="n">
        <v>51.86355</v>
      </c>
      <c r="S739" s="97" t="n">
        <v>80.71335000000001</v>
      </c>
      <c r="T739" s="97" t="n">
        <v>80.66524</v>
      </c>
      <c r="U739" s="97" t="n">
        <v>115.2015</v>
      </c>
      <c r="V739" s="97" t="n"/>
      <c r="W739" s="97" t="n">
        <v>7.710868</v>
      </c>
      <c r="X739" s="97" t="n"/>
      <c r="Y739" s="97" t="n"/>
      <c r="Z739" s="97" t="n">
        <v>96.54792</v>
      </c>
      <c r="AA739" s="97" t="n">
        <v>71.25724</v>
      </c>
      <c r="AB739" s="97" t="n"/>
      <c r="AC739" s="97" t="n">
        <v>51.99043</v>
      </c>
      <c r="AD739" s="97" t="n"/>
      <c r="AE739" s="97" t="n">
        <v>55.59588</v>
      </c>
      <c r="AF739" s="97" t="n">
        <v>66.97087000000001</v>
      </c>
      <c r="AG739" s="97" t="n">
        <v>58.30275</v>
      </c>
      <c r="AH739" s="97" t="n">
        <v>52.43985</v>
      </c>
      <c r="AI739" s="97" t="n"/>
      <c r="AJ739" s="97" t="n">
        <v>70.69895</v>
      </c>
      <c r="AK739" s="97" t="n"/>
      <c r="AL739" s="97" t="n"/>
      <c r="AM739" s="97" t="n">
        <v>59.24346</v>
      </c>
      <c r="AN739" s="97" t="n"/>
      <c r="AO739" s="97" t="n">
        <v>48.34705</v>
      </c>
      <c r="AP739" s="97" t="n">
        <v>67.05607000000001</v>
      </c>
      <c r="AQ739" s="97" t="n"/>
      <c r="AR739" s="97" t="n"/>
      <c r="AS739" s="97" t="n"/>
      <c r="AT739" s="97" t="n"/>
      <c r="AU739" s="97" t="n"/>
      <c r="AV739" s="97" t="n"/>
      <c r="AW739" s="97" t="n"/>
      <c r="AX739" s="97" t="n"/>
      <c r="AY739" s="97" t="n">
        <v>69.73269999999999</v>
      </c>
    </row>
    <row r="740" s="135">
      <c r="A740" t="inlineStr">
        <is>
          <t>1980-07</t>
        </is>
      </c>
      <c r="B740" s="2" t="n">
        <v>29403</v>
      </c>
      <c r="C740" s="96" t="n">
        <v>740</v>
      </c>
      <c r="E740" s="2">
        <f>B740</f>
        <v/>
      </c>
      <c r="F740" s="3">
        <f>B740</f>
        <v/>
      </c>
      <c r="G740" s="96" t="n">
        <v>738</v>
      </c>
      <c r="H740" s="97" t="n"/>
      <c r="I740" s="97" t="n"/>
      <c r="J740" s="97" t="n">
        <v>52.30042</v>
      </c>
      <c r="K740" s="97" t="n">
        <v>54.40938</v>
      </c>
      <c r="L740" s="97" t="n"/>
      <c r="M740" s="97" t="n"/>
      <c r="N740" s="97" t="n">
        <v>60.17461</v>
      </c>
      <c r="O740" s="97" t="n">
        <v>64.41</v>
      </c>
      <c r="P740" s="97" t="n">
        <v>82.11312</v>
      </c>
      <c r="Q740" s="97" t="n"/>
      <c r="R740" s="97" t="n">
        <v>55.81796</v>
      </c>
      <c r="S740" s="97" t="n">
        <v>81.44637</v>
      </c>
      <c r="T740" s="97" t="n">
        <v>78.9074</v>
      </c>
      <c r="U740" s="97" t="n">
        <v>114.4</v>
      </c>
      <c r="V740" s="97" t="n"/>
      <c r="W740" s="97" t="n">
        <v>7.4411</v>
      </c>
      <c r="X740" s="97" t="n"/>
      <c r="Y740" s="97" t="n"/>
      <c r="Z740" s="97" t="n">
        <v>93.75214</v>
      </c>
      <c r="AA740" s="97" t="n">
        <v>71.17310999999999</v>
      </c>
      <c r="AB740" s="97" t="n"/>
      <c r="AC740" s="97" t="n">
        <v>52.3511</v>
      </c>
      <c r="AD740" s="97" t="n"/>
      <c r="AE740" s="97" t="n">
        <v>54.65603</v>
      </c>
      <c r="AF740" s="97" t="n">
        <v>66.30116</v>
      </c>
      <c r="AG740" s="97" t="n">
        <v>49.3331</v>
      </c>
      <c r="AH740" s="97" t="n">
        <v>52.09078</v>
      </c>
      <c r="AI740" s="97" t="n"/>
      <c r="AJ740" s="97" t="n">
        <v>70.17189999999999</v>
      </c>
      <c r="AK740" s="97" t="n"/>
      <c r="AL740" s="97" t="n"/>
      <c r="AM740" s="97" t="n">
        <v>60.10539</v>
      </c>
      <c r="AN740" s="97" t="n"/>
      <c r="AO740" s="97" t="n">
        <v>47.9738</v>
      </c>
      <c r="AP740" s="97" t="n">
        <v>66.47362</v>
      </c>
      <c r="AQ740" s="97" t="n"/>
      <c r="AR740" s="97" t="n"/>
      <c r="AS740" s="97" t="n"/>
      <c r="AT740" s="97" t="n"/>
      <c r="AU740" s="97" t="n"/>
      <c r="AV740" s="97" t="n"/>
      <c r="AW740" s="97" t="n"/>
      <c r="AX740" s="97" t="n"/>
      <c r="AY740" s="97" t="n">
        <v>68.94213999999999</v>
      </c>
    </row>
    <row r="741" s="135">
      <c r="A741" t="inlineStr">
        <is>
          <t>1980-08</t>
        </is>
      </c>
      <c r="B741" s="2" t="n">
        <v>29434</v>
      </c>
      <c r="C741" s="96" t="n">
        <v>741</v>
      </c>
      <c r="E741" s="2">
        <f>B741</f>
        <v/>
      </c>
      <c r="F741" s="3">
        <f>B741</f>
        <v/>
      </c>
      <c r="G741" s="96" t="n">
        <v>739</v>
      </c>
      <c r="H741" s="97" t="n"/>
      <c r="I741" s="97" t="n"/>
      <c r="J741" s="97" t="n">
        <v>53.02118</v>
      </c>
      <c r="K741" s="97" t="n">
        <v>54.15657</v>
      </c>
      <c r="L741" s="97" t="n"/>
      <c r="M741" s="97" t="n"/>
      <c r="N741" s="97" t="n">
        <v>60.29804</v>
      </c>
      <c r="O741" s="97" t="n">
        <v>60.65797</v>
      </c>
      <c r="P741" s="97" t="n">
        <v>81.83293999999999</v>
      </c>
      <c r="Q741" s="97" t="n"/>
      <c r="R741" s="97" t="n">
        <v>50.951</v>
      </c>
      <c r="S741" s="97" t="n">
        <v>81.44637</v>
      </c>
      <c r="T741" s="97" t="n">
        <v>77.7355</v>
      </c>
      <c r="U741" s="97" t="n">
        <v>111.5478</v>
      </c>
      <c r="V741" s="97" t="n"/>
      <c r="W741" s="97" t="n">
        <v>7.620945</v>
      </c>
      <c r="X741" s="97" t="n"/>
      <c r="Y741" s="97" t="n"/>
      <c r="Z741" s="97" t="n">
        <v>97.29346</v>
      </c>
      <c r="AA741" s="97" t="n">
        <v>69.06989</v>
      </c>
      <c r="AB741" s="97" t="n"/>
      <c r="AC741" s="97" t="n">
        <v>46.95355</v>
      </c>
      <c r="AD741" s="97" t="n"/>
      <c r="AE741" s="97" t="n">
        <v>56.31884</v>
      </c>
      <c r="AF741" s="97" t="n">
        <v>65.63145</v>
      </c>
      <c r="AG741" s="97" t="n">
        <v>56.06034</v>
      </c>
      <c r="AH741" s="97" t="n">
        <v>52.05762</v>
      </c>
      <c r="AI741" s="97" t="n"/>
      <c r="AJ741" s="97" t="n">
        <v>67.61494</v>
      </c>
      <c r="AK741" s="97" t="n"/>
      <c r="AL741" s="97" t="n"/>
      <c r="AM741" s="97" t="n">
        <v>58.32407</v>
      </c>
      <c r="AN741" s="97" t="n"/>
      <c r="AO741" s="97" t="n">
        <v>48.14612</v>
      </c>
      <c r="AP741" s="97" t="n">
        <v>67.75337</v>
      </c>
      <c r="AQ741" s="97" t="n"/>
      <c r="AR741" s="97" t="n"/>
      <c r="AS741" s="97" t="n"/>
      <c r="AT741" s="97" t="n"/>
      <c r="AU741" s="97" t="n"/>
      <c r="AV741" s="97" t="n"/>
      <c r="AW741" s="97" t="n"/>
      <c r="AX741" s="97" t="n"/>
      <c r="AY741" s="97" t="n">
        <v>68.6326</v>
      </c>
    </row>
    <row r="742" s="135">
      <c r="A742" t="inlineStr">
        <is>
          <t>1980-09</t>
        </is>
      </c>
      <c r="B742" s="2" t="n">
        <v>29465</v>
      </c>
      <c r="C742" s="96" t="n">
        <v>742</v>
      </c>
      <c r="E742" s="2">
        <f>B742</f>
        <v/>
      </c>
      <c r="F742" s="3">
        <f>B742</f>
        <v/>
      </c>
      <c r="G742" s="96" t="n">
        <v>740</v>
      </c>
      <c r="H742" s="97" t="n"/>
      <c r="I742" s="97" t="n"/>
      <c r="J742" s="97" t="n">
        <v>51.29192</v>
      </c>
      <c r="K742" s="97" t="n">
        <v>55.40323</v>
      </c>
      <c r="L742" s="97" t="n"/>
      <c r="M742" s="97" t="n"/>
      <c r="N742" s="97" t="n">
        <v>58.19964</v>
      </c>
      <c r="O742" s="97" t="n">
        <v>61.28331</v>
      </c>
      <c r="P742" s="97" t="n">
        <v>82.40428</v>
      </c>
      <c r="Q742" s="97" t="n"/>
      <c r="R742" s="97" t="n">
        <v>50.7989</v>
      </c>
      <c r="S742" s="97" t="n">
        <v>79.89888999999999</v>
      </c>
      <c r="T742" s="97" t="n">
        <v>76.3683</v>
      </c>
      <c r="U742" s="97" t="n">
        <v>112.89</v>
      </c>
      <c r="V742" s="97" t="n"/>
      <c r="W742" s="97" t="n">
        <v>7.418619</v>
      </c>
      <c r="X742" s="97" t="n"/>
      <c r="Y742" s="97" t="n"/>
      <c r="Z742" s="97" t="n">
        <v>91.42231</v>
      </c>
      <c r="AA742" s="97" t="n">
        <v>70.16356</v>
      </c>
      <c r="AB742" s="97" t="n"/>
      <c r="AC742" s="97" t="n">
        <v>47.94241</v>
      </c>
      <c r="AD742" s="97" t="n"/>
      <c r="AE742" s="97" t="n">
        <v>56.46344</v>
      </c>
      <c r="AF742" s="97" t="n">
        <v>63.62233</v>
      </c>
      <c r="AG742" s="97" t="n">
        <v>54.93913</v>
      </c>
      <c r="AH742" s="97" t="n">
        <v>51.90992</v>
      </c>
      <c r="AI742" s="97" t="n"/>
      <c r="AJ742" s="97" t="n">
        <v>67.30817</v>
      </c>
      <c r="AK742" s="97" t="n"/>
      <c r="AL742" s="97" t="n"/>
      <c r="AM742" s="97" t="n">
        <v>57.5196</v>
      </c>
      <c r="AN742" s="97" t="n"/>
      <c r="AO742" s="97" t="n">
        <v>48.92701</v>
      </c>
      <c r="AP742" s="97" t="n">
        <v>65.66965999999999</v>
      </c>
      <c r="AQ742" s="97" t="n"/>
      <c r="AR742" s="97" t="n"/>
      <c r="AS742" s="97" t="n"/>
      <c r="AT742" s="97" t="n"/>
      <c r="AU742" s="97" t="n"/>
      <c r="AV742" s="97" t="n"/>
      <c r="AW742" s="97" t="n"/>
      <c r="AX742" s="97" t="n"/>
      <c r="AY742" s="97" t="n">
        <v>71.17592999999999</v>
      </c>
    </row>
    <row r="743" s="135">
      <c r="A743" t="inlineStr">
        <is>
          <t>1980-10</t>
        </is>
      </c>
      <c r="B743" s="2" t="n">
        <v>29495</v>
      </c>
      <c r="C743" s="96" t="n">
        <v>743</v>
      </c>
      <c r="E743" s="2">
        <f>B743</f>
        <v/>
      </c>
      <c r="F743" s="3">
        <f>B743</f>
        <v/>
      </c>
      <c r="G743" s="96" t="n">
        <v>741</v>
      </c>
      <c r="H743" s="97" t="n"/>
      <c r="I743" s="97" t="n"/>
      <c r="J743" s="97" t="n">
        <v>50.95789</v>
      </c>
      <c r="K743" s="97" t="n">
        <v>56.04419</v>
      </c>
      <c r="L743" s="97" t="n"/>
      <c r="M743" s="97" t="n"/>
      <c r="N743" s="97" t="n">
        <v>58.50823</v>
      </c>
      <c r="O743" s="97" t="n">
        <v>61.28331</v>
      </c>
      <c r="P743" s="97" t="n">
        <v>82.95878</v>
      </c>
      <c r="Q743" s="97" t="n"/>
      <c r="R743" s="97" t="n">
        <v>51.00169</v>
      </c>
      <c r="S743" s="97" t="n">
        <v>79.5731</v>
      </c>
      <c r="T743" s="97" t="n">
        <v>76.07532999999999</v>
      </c>
      <c r="U743" s="97" t="n">
        <v>109.3097</v>
      </c>
      <c r="V743" s="97" t="n"/>
      <c r="W743" s="97" t="n">
        <v>7.531023</v>
      </c>
      <c r="X743" s="97" t="n"/>
      <c r="Y743" s="97" t="n"/>
      <c r="Z743" s="97" t="n">
        <v>92.35424</v>
      </c>
      <c r="AA743" s="97" t="n">
        <v>70.58421</v>
      </c>
      <c r="AB743" s="97" t="n"/>
      <c r="AC743" s="97" t="n">
        <v>46.8387</v>
      </c>
      <c r="AD743" s="97" t="n"/>
      <c r="AE743" s="97" t="n">
        <v>57.40329</v>
      </c>
      <c r="AF743" s="97" t="n">
        <v>66.30116</v>
      </c>
      <c r="AG743" s="97" t="n">
        <v>56.62094</v>
      </c>
      <c r="AH743" s="97" t="n">
        <v>52.38274</v>
      </c>
      <c r="AI743" s="97" t="n"/>
      <c r="AJ743" s="97" t="n">
        <v>71.33132999999999</v>
      </c>
      <c r="AK743" s="97" t="n"/>
      <c r="AL743" s="97" t="n"/>
      <c r="AM743" s="97" t="n">
        <v>58.15168</v>
      </c>
      <c r="AN743" s="97" t="n"/>
      <c r="AO743" s="97" t="n">
        <v>49.54433</v>
      </c>
      <c r="AP743" s="97" t="n">
        <v>65.7599</v>
      </c>
      <c r="AQ743" s="97" t="n"/>
      <c r="AR743" s="97" t="n"/>
      <c r="AS743" s="97" t="n"/>
      <c r="AT743" s="97" t="n"/>
      <c r="AU743" s="97" t="n"/>
      <c r="AV743" s="97" t="n"/>
      <c r="AW743" s="97" t="n"/>
      <c r="AX743" s="97" t="n"/>
      <c r="AY743" s="97" t="n">
        <v>69.4541</v>
      </c>
    </row>
    <row r="744" s="135">
      <c r="A744" t="inlineStr">
        <is>
          <t>1980-11</t>
        </is>
      </c>
      <c r="B744" s="2" t="n">
        <v>29526</v>
      </c>
      <c r="C744" s="96" t="n">
        <v>744</v>
      </c>
      <c r="E744" s="2">
        <f>B744</f>
        <v/>
      </c>
      <c r="F744" s="3">
        <f>B744</f>
        <v/>
      </c>
      <c r="G744" s="96" t="n">
        <v>742</v>
      </c>
      <c r="H744" s="97" t="n"/>
      <c r="I744" s="97" t="n"/>
      <c r="J744" s="97" t="n">
        <v>51.05711</v>
      </c>
      <c r="K744" s="97" t="n">
        <v>56.15321</v>
      </c>
      <c r="L744" s="97" t="n"/>
      <c r="M744" s="97" t="n"/>
      <c r="N744" s="97" t="n">
        <v>59.49571</v>
      </c>
      <c r="O744" s="97" t="n">
        <v>60.65797</v>
      </c>
      <c r="P744" s="97" t="n">
        <v>83.05871999999999</v>
      </c>
      <c r="Q744" s="97" t="n"/>
      <c r="R744" s="97" t="n">
        <v>51.20449</v>
      </c>
      <c r="S744" s="97" t="n">
        <v>79.08443</v>
      </c>
      <c r="T744" s="97" t="n">
        <v>76.07532999999999</v>
      </c>
      <c r="U744" s="97" t="n">
        <v>110.1444</v>
      </c>
      <c r="V744" s="97" t="n"/>
      <c r="W744" s="97" t="n">
        <v>7.508542</v>
      </c>
      <c r="X744" s="97" t="n"/>
      <c r="Y744" s="97" t="n"/>
      <c r="Z744" s="97" t="n">
        <v>96.92068999999999</v>
      </c>
      <c r="AA744" s="97" t="n">
        <v>69.65877999999999</v>
      </c>
      <c r="AB744" s="97" t="n"/>
      <c r="AC744" s="97" t="n">
        <v>48.70047</v>
      </c>
      <c r="AD744" s="97" t="n"/>
      <c r="AE744" s="97" t="n">
        <v>58.27085</v>
      </c>
      <c r="AF744" s="97" t="n">
        <v>68.31028999999999</v>
      </c>
      <c r="AG744" s="97" t="n">
        <v>55.49973</v>
      </c>
      <c r="AH744" s="97" t="n">
        <v>52.9306</v>
      </c>
      <c r="AI744" s="97" t="n"/>
      <c r="AJ744" s="97" t="n">
        <v>70.27746999999999</v>
      </c>
      <c r="AK744" s="97" t="n"/>
      <c r="AL744" s="97" t="n"/>
      <c r="AM744" s="97" t="n">
        <v>58.38153</v>
      </c>
      <c r="AN744" s="97" t="n"/>
      <c r="AO744" s="97" t="n">
        <v>50.39957</v>
      </c>
      <c r="AP744" s="97" t="n">
        <v>66.35056</v>
      </c>
      <c r="AQ744" s="97" t="n"/>
      <c r="AR744" s="97" t="n"/>
      <c r="AS744" s="97" t="n"/>
      <c r="AT744" s="97" t="n"/>
      <c r="AU744" s="97" t="n"/>
      <c r="AV744" s="97" t="n"/>
      <c r="AW744" s="97" t="n"/>
      <c r="AX744" s="97" t="n"/>
      <c r="AY744" s="97" t="n">
        <v>70.66719999999999</v>
      </c>
    </row>
    <row r="745" s="135">
      <c r="A745" t="inlineStr">
        <is>
          <t>1980-12</t>
        </is>
      </c>
      <c r="B745" s="2" t="n">
        <v>29556</v>
      </c>
      <c r="C745" s="96" t="n">
        <v>745</v>
      </c>
      <c r="E745" s="2">
        <f>B745</f>
        <v/>
      </c>
      <c r="F745" s="3">
        <f>B745</f>
        <v/>
      </c>
      <c r="G745" s="96" t="n">
        <v>743</v>
      </c>
      <c r="H745" s="97" t="n"/>
      <c r="I745" s="97" t="n"/>
      <c r="J745" s="97" t="n">
        <v>49.5336</v>
      </c>
      <c r="K745" s="97" t="n">
        <v>56.6015</v>
      </c>
      <c r="L745" s="97" t="n"/>
      <c r="M745" s="97" t="n"/>
      <c r="N745" s="97" t="n">
        <v>58.63166</v>
      </c>
      <c r="O745" s="97" t="n">
        <v>61.28331</v>
      </c>
      <c r="P745" s="97" t="n">
        <v>81.68217</v>
      </c>
      <c r="Q745" s="97" t="n"/>
      <c r="R745" s="97" t="n">
        <v>52.01564</v>
      </c>
      <c r="S745" s="97" t="n">
        <v>80.38757</v>
      </c>
      <c r="T745" s="97" t="n">
        <v>75.58704</v>
      </c>
      <c r="U745" s="97" t="n">
        <v>114.9808</v>
      </c>
      <c r="V745" s="97" t="n"/>
      <c r="W745" s="97" t="n">
        <v>7.216293</v>
      </c>
      <c r="X745" s="97" t="n"/>
      <c r="Y745" s="97" t="n"/>
      <c r="Z745" s="97" t="n">
        <v>95.5228</v>
      </c>
      <c r="AA745" s="97" t="n">
        <v>70.66833</v>
      </c>
      <c r="AB745" s="97" t="n"/>
      <c r="AC745" s="97" t="n">
        <v>47.38928</v>
      </c>
      <c r="AD745" s="97" t="n"/>
      <c r="AE745" s="97" t="n">
        <v>58.77692</v>
      </c>
      <c r="AF745" s="97" t="n">
        <v>66.97087000000001</v>
      </c>
      <c r="AG745" s="97" t="n">
        <v>54.93913</v>
      </c>
      <c r="AH745" s="97" t="n">
        <v>53.01883</v>
      </c>
      <c r="AI745" s="97" t="n"/>
      <c r="AJ745" s="97" t="n">
        <v>71.20175</v>
      </c>
      <c r="AK745" s="97" t="n"/>
      <c r="AL745" s="97" t="n"/>
      <c r="AM745" s="97" t="n">
        <v>57.0599</v>
      </c>
      <c r="AN745" s="97" t="n"/>
      <c r="AO745" s="97" t="n">
        <v>50.68465</v>
      </c>
      <c r="AP745" s="97" t="n">
        <v>66.35876</v>
      </c>
      <c r="AQ745" s="97" t="n"/>
      <c r="AR745" s="97" t="n"/>
      <c r="AS745" s="97" t="n"/>
      <c r="AT745" s="97" t="n"/>
      <c r="AU745" s="97" t="n"/>
      <c r="AV745" s="97" t="n"/>
      <c r="AW745" s="97" t="n"/>
      <c r="AX745" s="97" t="n"/>
      <c r="AY745" s="97" t="n">
        <v>67.88968</v>
      </c>
    </row>
    <row r="746" s="135">
      <c r="A746" t="inlineStr">
        <is>
          <t>1981-01</t>
        </is>
      </c>
      <c r="B746" s="2" t="n">
        <v>29587</v>
      </c>
      <c r="C746" s="96" t="n">
        <v>746</v>
      </c>
      <c r="E746" s="2">
        <f>B746</f>
        <v/>
      </c>
      <c r="F746" s="3">
        <f>B746</f>
        <v/>
      </c>
      <c r="G746" s="96" t="n">
        <v>744</v>
      </c>
      <c r="H746" s="97" t="n"/>
      <c r="I746" s="97" t="n"/>
      <c r="J746" s="97" t="n">
        <v>49.97418</v>
      </c>
      <c r="K746" s="97" t="n">
        <v>55.98122</v>
      </c>
      <c r="L746" s="97" t="n"/>
      <c r="M746" s="97" t="n"/>
      <c r="N746" s="97" t="n">
        <v>58.3848</v>
      </c>
      <c r="O746" s="97" t="n">
        <v>61.90865</v>
      </c>
      <c r="P746" s="97" t="n">
        <v>81.30009</v>
      </c>
      <c r="Q746" s="97" t="n"/>
      <c r="R746" s="97" t="n">
        <v>50.7989</v>
      </c>
      <c r="S746" s="97" t="n">
        <v>80.06178</v>
      </c>
      <c r="T746" s="97" t="n">
        <v>75.48938</v>
      </c>
      <c r="U746" s="97" t="n">
        <v>110.7008</v>
      </c>
      <c r="V746" s="97" t="n"/>
      <c r="W746" s="97" t="n">
        <v>7.823271</v>
      </c>
      <c r="X746" s="97" t="n"/>
      <c r="Y746" s="97" t="n"/>
      <c r="Z746" s="97" t="n">
        <v>94.78555</v>
      </c>
      <c r="AA746" s="97" t="n">
        <v>70.75246</v>
      </c>
      <c r="AB746" s="97" t="n"/>
      <c r="AC746" s="97" t="n">
        <v>46.66556</v>
      </c>
      <c r="AD746" s="97" t="n"/>
      <c r="AE746" s="97" t="n">
        <v>58.99381</v>
      </c>
      <c r="AF746" s="97" t="n">
        <v>66.30116</v>
      </c>
      <c r="AG746" s="97" t="n">
        <v>54.93913</v>
      </c>
      <c r="AH746" s="97" t="n">
        <v>52.79497</v>
      </c>
      <c r="AI746" s="97" t="n"/>
      <c r="AJ746" s="97" t="n">
        <v>69.62309</v>
      </c>
      <c r="AK746" s="97" t="n"/>
      <c r="AL746" s="97" t="n"/>
      <c r="AM746" s="97" t="n">
        <v>57.74945</v>
      </c>
      <c r="AN746" s="97" t="n"/>
      <c r="AO746" s="97" t="n">
        <v>50.39486</v>
      </c>
      <c r="AP746" s="97" t="n">
        <v>65.21026999999999</v>
      </c>
      <c r="AQ746" s="97" t="n"/>
      <c r="AR746" s="97" t="n"/>
      <c r="AS746" s="97" t="n"/>
      <c r="AT746" s="97" t="n"/>
      <c r="AU746" s="97" t="n"/>
      <c r="AV746" s="97" t="n"/>
      <c r="AW746" s="97" t="n"/>
      <c r="AX746" s="97" t="n"/>
      <c r="AY746" s="97" t="n">
        <v>68.10499</v>
      </c>
    </row>
    <row r="747" s="135">
      <c r="A747" t="inlineStr">
        <is>
          <t>1981-02</t>
        </is>
      </c>
      <c r="B747" s="2" t="n">
        <v>29618</v>
      </c>
      <c r="C747" s="96" t="n">
        <v>747</v>
      </c>
      <c r="E747" s="2">
        <f>B747</f>
        <v/>
      </c>
      <c r="F747" s="3">
        <f>B747</f>
        <v/>
      </c>
      <c r="G747" s="96" t="n">
        <v>745</v>
      </c>
      <c r="H747" s="97" t="n"/>
      <c r="I747" s="97" t="n"/>
      <c r="J747" s="97" t="n">
        <v>51.07727</v>
      </c>
      <c r="K747" s="97" t="n">
        <v>56.32003</v>
      </c>
      <c r="L747" s="97" t="n"/>
      <c r="M747" s="97" t="n"/>
      <c r="N747" s="97" t="n">
        <v>59.49571</v>
      </c>
      <c r="O747" s="97" t="n">
        <v>63.15932</v>
      </c>
      <c r="P747" s="97" t="n">
        <v>82.96818</v>
      </c>
      <c r="Q747" s="97" t="n"/>
      <c r="R747" s="97" t="n">
        <v>51.76216</v>
      </c>
      <c r="S747" s="97" t="n">
        <v>80.7948</v>
      </c>
      <c r="T747" s="97" t="n">
        <v>76.07532999999999</v>
      </c>
      <c r="U747" s="97" t="n">
        <v>111.5977</v>
      </c>
      <c r="V747" s="97" t="n"/>
      <c r="W747" s="97" t="n">
        <v>7.845752</v>
      </c>
      <c r="X747" s="97" t="n"/>
      <c r="Y747" s="97" t="n"/>
      <c r="Z747" s="97" t="n">
        <v>95.25771</v>
      </c>
      <c r="AA747" s="97" t="n">
        <v>70.50008</v>
      </c>
      <c r="AB747" s="97" t="n"/>
      <c r="AC747" s="97" t="n">
        <v>47.168</v>
      </c>
      <c r="AD747" s="97" t="n"/>
      <c r="AE747" s="97" t="n">
        <v>59.64448</v>
      </c>
      <c r="AF747" s="97" t="n">
        <v>68.31028999999999</v>
      </c>
      <c r="AG747" s="97" t="n">
        <v>55.49973</v>
      </c>
      <c r="AH747" s="97" t="n">
        <v>53.03177</v>
      </c>
      <c r="AI747" s="97" t="n"/>
      <c r="AJ747" s="97" t="n">
        <v>72.91043000000001</v>
      </c>
      <c r="AK747" s="97" t="n"/>
      <c r="AL747" s="97" t="n"/>
      <c r="AM747" s="97" t="n">
        <v>57.92183</v>
      </c>
      <c r="AN747" s="97" t="n"/>
      <c r="AO747" s="97" t="n">
        <v>50.16357</v>
      </c>
      <c r="AP747" s="97" t="n">
        <v>66.27673</v>
      </c>
      <c r="AQ747" s="97" t="n"/>
      <c r="AR747" s="97" t="n"/>
      <c r="AS747" s="97" t="n"/>
      <c r="AT747" s="97" t="n"/>
      <c r="AU747" s="97" t="n"/>
      <c r="AV747" s="97" t="n"/>
      <c r="AW747" s="97" t="n"/>
      <c r="AX747" s="97" t="n"/>
      <c r="AY747" s="97" t="n">
        <v>70.91383999999999</v>
      </c>
    </row>
    <row r="748" s="135">
      <c r="A748" t="inlineStr">
        <is>
          <t>1981-03</t>
        </is>
      </c>
      <c r="B748" s="2" t="n">
        <v>29646</v>
      </c>
      <c r="C748" s="96" t="n">
        <v>748</v>
      </c>
      <c r="E748" s="2">
        <f>B748</f>
        <v/>
      </c>
      <c r="F748" s="3">
        <f>B748</f>
        <v/>
      </c>
      <c r="G748" s="96" t="n">
        <v>746</v>
      </c>
      <c r="H748" s="97" t="n"/>
      <c r="I748" s="97" t="n"/>
      <c r="J748" s="97" t="n">
        <v>51.25364</v>
      </c>
      <c r="K748" s="97" t="n">
        <v>56.19879</v>
      </c>
      <c r="L748" s="97" t="n"/>
      <c r="M748" s="97" t="n"/>
      <c r="N748" s="97" t="n">
        <v>59.24884</v>
      </c>
      <c r="O748" s="97" t="n">
        <v>61.90865</v>
      </c>
      <c r="P748" s="97" t="n">
        <v>82.14614</v>
      </c>
      <c r="Q748" s="97" t="n"/>
      <c r="R748" s="97" t="n">
        <v>51.25518</v>
      </c>
      <c r="S748" s="97" t="n">
        <v>79.24731</v>
      </c>
      <c r="T748" s="97" t="n">
        <v>76.17298</v>
      </c>
      <c r="U748" s="97" t="n">
        <v>112.1051</v>
      </c>
      <c r="V748" s="97" t="n"/>
      <c r="W748" s="97" t="n">
        <v>7.643426</v>
      </c>
      <c r="X748" s="97" t="n"/>
      <c r="Y748" s="97" t="n"/>
      <c r="Z748" s="97" t="n">
        <v>95.13967</v>
      </c>
      <c r="AA748" s="97" t="n">
        <v>70.75246</v>
      </c>
      <c r="AB748" s="97" t="n"/>
      <c r="AC748" s="97" t="n">
        <v>47.47328</v>
      </c>
      <c r="AD748" s="97" t="n"/>
      <c r="AE748" s="97" t="n">
        <v>60.15055</v>
      </c>
      <c r="AF748" s="97" t="n">
        <v>65.63145</v>
      </c>
      <c r="AG748" s="97" t="n">
        <v>56.06034</v>
      </c>
      <c r="AH748" s="97" t="n">
        <v>53.02901</v>
      </c>
      <c r="AI748" s="97" t="n"/>
      <c r="AJ748" s="97" t="n">
        <v>71.03952</v>
      </c>
      <c r="AK748" s="97" t="n"/>
      <c r="AL748" s="97" t="n"/>
      <c r="AM748" s="97" t="n">
        <v>57.5196</v>
      </c>
      <c r="AN748" s="97" t="n"/>
      <c r="AO748" s="97" t="n">
        <v>50.42915</v>
      </c>
      <c r="AP748" s="97" t="n">
        <v>65.42355999999999</v>
      </c>
      <c r="AQ748" s="97" t="n"/>
      <c r="AR748" s="97" t="n"/>
      <c r="AS748" s="97" t="n"/>
      <c r="AT748" s="97" t="n"/>
      <c r="AU748" s="97" t="n"/>
      <c r="AV748" s="97" t="n"/>
      <c r="AW748" s="97" t="n"/>
      <c r="AX748" s="97" t="n"/>
      <c r="AY748" s="97" t="n">
        <v>64.08779</v>
      </c>
    </row>
    <row r="749" s="135">
      <c r="A749" t="inlineStr">
        <is>
          <t>1981-04</t>
        </is>
      </c>
      <c r="B749" s="2" t="n">
        <v>29677</v>
      </c>
      <c r="C749" s="96" t="n">
        <v>749</v>
      </c>
      <c r="E749" s="2">
        <f>B749</f>
        <v/>
      </c>
      <c r="F749" s="3">
        <f>B749</f>
        <v/>
      </c>
      <c r="G749" s="96" t="n">
        <v>747</v>
      </c>
      <c r="H749" s="97" t="n"/>
      <c r="I749" s="97" t="n"/>
      <c r="J749" s="97" t="n">
        <v>50.67826</v>
      </c>
      <c r="K749" s="97" t="n">
        <v>57.37215</v>
      </c>
      <c r="L749" s="97" t="n"/>
      <c r="M749" s="97" t="n"/>
      <c r="N749" s="97" t="n">
        <v>58.69338</v>
      </c>
      <c r="O749" s="97" t="n">
        <v>61.28331</v>
      </c>
      <c r="P749" s="97" t="n">
        <v>82.83465</v>
      </c>
      <c r="Q749" s="97" t="n"/>
      <c r="R749" s="97" t="n">
        <v>51.91425</v>
      </c>
      <c r="S749" s="97" t="n">
        <v>79.16587</v>
      </c>
      <c r="T749" s="97" t="n">
        <v>76.46596</v>
      </c>
      <c r="U749" s="97" t="n">
        <v>110.1181</v>
      </c>
      <c r="V749" s="97" t="n"/>
      <c r="W749" s="97" t="n">
        <v>7.980636</v>
      </c>
      <c r="X749" s="97" t="n"/>
      <c r="Y749" s="97" t="n"/>
      <c r="Z749" s="97" t="n">
        <v>95.37575</v>
      </c>
      <c r="AA749" s="97" t="n">
        <v>70.75246</v>
      </c>
      <c r="AB749" s="97" t="n"/>
      <c r="AC749" s="97" t="n">
        <v>44.71216</v>
      </c>
      <c r="AD749" s="97" t="n"/>
      <c r="AE749" s="97" t="n">
        <v>60.72892</v>
      </c>
      <c r="AF749" s="97" t="n">
        <v>66.30116</v>
      </c>
      <c r="AG749" s="97" t="n">
        <v>55.49973</v>
      </c>
      <c r="AH749" s="97" t="n">
        <v>52.95143</v>
      </c>
      <c r="AI749" s="97" t="n"/>
      <c r="AJ749" s="97" t="n">
        <v>72.31366</v>
      </c>
      <c r="AK749" s="97" t="n"/>
      <c r="AL749" s="97" t="n"/>
      <c r="AM749" s="97" t="n">
        <v>56.94498</v>
      </c>
      <c r="AN749" s="97" t="n"/>
      <c r="AO749" s="97" t="n">
        <v>50.20497</v>
      </c>
      <c r="AP749" s="97" t="n">
        <v>65.48098</v>
      </c>
      <c r="AQ749" s="97" t="n"/>
      <c r="AR749" s="97" t="n"/>
      <c r="AS749" s="97" t="n"/>
      <c r="AT749" s="97" t="n"/>
      <c r="AU749" s="97" t="n"/>
      <c r="AV749" s="97" t="n"/>
      <c r="AW749" s="97" t="n"/>
      <c r="AX749" s="97" t="n"/>
      <c r="AY749" s="97" t="n">
        <v>62.96829</v>
      </c>
    </row>
    <row r="750" s="135">
      <c r="A750" t="inlineStr">
        <is>
          <t>1981-05</t>
        </is>
      </c>
      <c r="B750" s="2" t="n">
        <v>29707</v>
      </c>
      <c r="C750" s="96" t="n">
        <v>750</v>
      </c>
      <c r="E750" s="2">
        <f>B750</f>
        <v/>
      </c>
      <c r="F750" s="3">
        <f>B750</f>
        <v/>
      </c>
      <c r="G750" s="96" t="n">
        <v>748</v>
      </c>
      <c r="H750" s="97" t="n"/>
      <c r="I750" s="97" t="n"/>
      <c r="J750" s="97" t="n">
        <v>50.86378</v>
      </c>
      <c r="K750" s="97" t="n">
        <v>56.48027</v>
      </c>
      <c r="L750" s="97" t="n"/>
      <c r="M750" s="97" t="n"/>
      <c r="N750" s="97" t="n">
        <v>59.06369</v>
      </c>
      <c r="O750" s="97" t="n">
        <v>61.90865</v>
      </c>
      <c r="P750" s="97" t="n">
        <v>82.78111</v>
      </c>
      <c r="Q750" s="97" t="n"/>
      <c r="R750" s="97" t="n">
        <v>53.33378</v>
      </c>
      <c r="S750" s="97" t="n">
        <v>80.14323</v>
      </c>
      <c r="T750" s="97" t="n">
        <v>75.39172000000001</v>
      </c>
      <c r="U750" s="97" t="n">
        <v>111.8004</v>
      </c>
      <c r="V750" s="97" t="n"/>
      <c r="W750" s="97" t="n">
        <v>7.913194</v>
      </c>
      <c r="X750" s="97" t="n"/>
      <c r="Y750" s="97" t="n"/>
      <c r="Z750" s="97" t="n">
        <v>96.43810000000001</v>
      </c>
      <c r="AA750" s="97" t="n">
        <v>69.65877999999999</v>
      </c>
      <c r="AB750" s="97" t="n"/>
      <c r="AC750" s="97" t="n">
        <v>48.98803</v>
      </c>
      <c r="AD750" s="97" t="n"/>
      <c r="AE750" s="97" t="n">
        <v>60.94581</v>
      </c>
      <c r="AF750" s="97" t="n">
        <v>65.63145</v>
      </c>
      <c r="AG750" s="97" t="n">
        <v>57.74215</v>
      </c>
      <c r="AH750" s="97" t="n">
        <v>53.00282</v>
      </c>
      <c r="AI750" s="97" t="n"/>
      <c r="AJ750" s="97" t="n">
        <v>72.27835</v>
      </c>
      <c r="AK750" s="97" t="n"/>
      <c r="AL750" s="97" t="n"/>
      <c r="AM750" s="97" t="n">
        <v>56.08304</v>
      </c>
      <c r="AN750" s="97" t="n"/>
      <c r="AO750" s="97" t="n">
        <v>50.50388</v>
      </c>
      <c r="AP750" s="97" t="n">
        <v>66.36696999999999</v>
      </c>
      <c r="AQ750" s="97" t="n"/>
      <c r="AR750" s="97" t="n"/>
      <c r="AS750" s="97" t="n"/>
      <c r="AT750" s="97" t="n"/>
      <c r="AU750" s="97" t="n"/>
      <c r="AV750" s="97" t="n"/>
      <c r="AW750" s="97" t="n"/>
      <c r="AX750" s="97" t="n"/>
      <c r="AY750" s="97" t="n">
        <v>62.14525</v>
      </c>
    </row>
    <row r="751" s="135">
      <c r="A751" t="inlineStr">
        <is>
          <t>1981-06</t>
        </is>
      </c>
      <c r="B751" s="2" t="n">
        <v>29738</v>
      </c>
      <c r="C751" s="96" t="n">
        <v>751</v>
      </c>
      <c r="E751" s="2">
        <f>B751</f>
        <v/>
      </c>
      <c r="F751" s="3">
        <f>B751</f>
        <v/>
      </c>
      <c r="G751" s="96" t="n">
        <v>749</v>
      </c>
      <c r="H751" s="97" t="n"/>
      <c r="I751" s="97" t="n"/>
      <c r="J751" s="97" t="n">
        <v>51.76117</v>
      </c>
      <c r="K751" s="97" t="n">
        <v>56.82142</v>
      </c>
      <c r="L751" s="97" t="n"/>
      <c r="M751" s="97" t="n"/>
      <c r="N751" s="97" t="n">
        <v>58.3848</v>
      </c>
      <c r="O751" s="97" t="n">
        <v>61.28331</v>
      </c>
      <c r="P751" s="97" t="n">
        <v>83.43640000000001</v>
      </c>
      <c r="Q751" s="97" t="n"/>
      <c r="R751" s="97" t="n">
        <v>50.08914</v>
      </c>
      <c r="S751" s="97" t="n">
        <v>80.55046</v>
      </c>
      <c r="T751" s="97" t="n">
        <v>77.0519</v>
      </c>
      <c r="U751" s="97" t="n">
        <v>114.1643</v>
      </c>
      <c r="V751" s="97" t="n"/>
      <c r="W751" s="97" t="n">
        <v>8.003117</v>
      </c>
      <c r="X751" s="97" t="n"/>
      <c r="Y751" s="97" t="n"/>
      <c r="Z751" s="97" t="n">
        <v>96.32006</v>
      </c>
      <c r="AA751" s="97" t="n">
        <v>71.42549</v>
      </c>
      <c r="AB751" s="97" t="n"/>
      <c r="AC751" s="97" t="n">
        <v>48.92382</v>
      </c>
      <c r="AD751" s="97" t="n"/>
      <c r="AE751" s="97" t="n">
        <v>60.94581</v>
      </c>
      <c r="AF751" s="97" t="n">
        <v>64.96174999999999</v>
      </c>
      <c r="AG751" s="97" t="n">
        <v>56.62094</v>
      </c>
      <c r="AH751" s="97" t="n">
        <v>53.28542</v>
      </c>
      <c r="AI751" s="97" t="n"/>
      <c r="AJ751" s="97" t="n">
        <v>69.64597000000001</v>
      </c>
      <c r="AK751" s="97" t="n"/>
      <c r="AL751" s="97" t="n"/>
      <c r="AM751" s="97" t="n">
        <v>56.08304</v>
      </c>
      <c r="AN751" s="97" t="n"/>
      <c r="AO751" s="97" t="n">
        <v>50.74218</v>
      </c>
      <c r="AP751" s="97" t="n">
        <v>65.68607</v>
      </c>
      <c r="AQ751" s="97" t="n"/>
      <c r="AR751" s="97" t="n"/>
      <c r="AS751" s="97" t="n"/>
      <c r="AT751" s="97" t="n"/>
      <c r="AU751" s="97" t="n"/>
      <c r="AV751" s="97" t="n"/>
      <c r="AW751" s="97" t="n"/>
      <c r="AX751" s="97" t="n"/>
      <c r="AY751" s="97" t="n">
        <v>61.49865</v>
      </c>
    </row>
    <row r="752" s="135">
      <c r="A752" t="inlineStr">
        <is>
          <t>1981-07</t>
        </is>
      </c>
      <c r="B752" s="2" t="n">
        <v>29768</v>
      </c>
      <c r="C752" s="96" t="n">
        <v>752</v>
      </c>
      <c r="E752" s="2">
        <f>B752</f>
        <v/>
      </c>
      <c r="F752" s="3">
        <f>B752</f>
        <v/>
      </c>
      <c r="G752" s="96" t="n">
        <v>750</v>
      </c>
      <c r="H752" s="97" t="n"/>
      <c r="I752" s="97" t="n"/>
      <c r="J752" s="97" t="n">
        <v>50.40075</v>
      </c>
      <c r="K752" s="97" t="n">
        <v>56.87734</v>
      </c>
      <c r="L752" s="97" t="n"/>
      <c r="M752" s="97" t="n"/>
      <c r="N752" s="97" t="n">
        <v>58.87854</v>
      </c>
      <c r="O752" s="97" t="n">
        <v>66.28603</v>
      </c>
      <c r="P752" s="97" t="n">
        <v>84.37560999999999</v>
      </c>
      <c r="Q752" s="97" t="n"/>
      <c r="R752" s="97" t="n">
        <v>53.48587</v>
      </c>
      <c r="S752" s="97" t="n">
        <v>79.5731</v>
      </c>
      <c r="T752" s="97" t="n">
        <v>77.24722</v>
      </c>
      <c r="U752" s="97" t="n">
        <v>114.7003</v>
      </c>
      <c r="V752" s="97" t="n"/>
      <c r="W752" s="97" t="n">
        <v>8.205442</v>
      </c>
      <c r="X752" s="97" t="n"/>
      <c r="Y752" s="97" t="n"/>
      <c r="Z752" s="97" t="n">
        <v>94.78555</v>
      </c>
      <c r="AA752" s="97" t="n">
        <v>72.01439999999999</v>
      </c>
      <c r="AB752" s="97" t="n"/>
      <c r="AC752" s="97" t="n">
        <v>47.97294</v>
      </c>
      <c r="AD752" s="97" t="n"/>
      <c r="AE752" s="97" t="n">
        <v>61.45189</v>
      </c>
      <c r="AF752" s="97" t="n">
        <v>66.30116</v>
      </c>
      <c r="AG752" s="97" t="n">
        <v>58.30275</v>
      </c>
      <c r="AH752" s="97" t="n">
        <v>53.59515</v>
      </c>
      <c r="AI752" s="97" t="n"/>
      <c r="AJ752" s="97" t="n">
        <v>70.61642000000001</v>
      </c>
      <c r="AK752" s="97" t="n"/>
      <c r="AL752" s="97" t="n"/>
      <c r="AM752" s="97" t="n">
        <v>56.65767</v>
      </c>
      <c r="AN752" s="97" t="n"/>
      <c r="AO752" s="97" t="n">
        <v>51.07519</v>
      </c>
      <c r="AP752" s="97" t="n">
        <v>66.16188</v>
      </c>
      <c r="AQ752" s="97" t="n"/>
      <c r="AR752" s="97" t="n"/>
      <c r="AS752" s="97" t="n"/>
      <c r="AT752" s="97" t="n"/>
      <c r="AU752" s="97" t="n"/>
      <c r="AV752" s="97" t="n"/>
      <c r="AW752" s="97" t="n"/>
      <c r="AX752" s="97" t="n"/>
      <c r="AY752" s="97" t="n">
        <v>61.88579</v>
      </c>
    </row>
    <row r="753" s="135">
      <c r="A753" t="inlineStr">
        <is>
          <t>1981-08</t>
        </is>
      </c>
      <c r="B753" s="2" t="n">
        <v>29799</v>
      </c>
      <c r="C753" s="96" t="n">
        <v>753</v>
      </c>
      <c r="E753" s="2">
        <f>B753</f>
        <v/>
      </c>
      <c r="F753" s="3">
        <f>B753</f>
        <v/>
      </c>
      <c r="G753" s="96" t="n">
        <v>751</v>
      </c>
      <c r="H753" s="97" t="n"/>
      <c r="I753" s="97" t="n"/>
      <c r="J753" s="97" t="n">
        <v>50.88323</v>
      </c>
      <c r="K753" s="97" t="n">
        <v>54.73596</v>
      </c>
      <c r="L753" s="97" t="n"/>
      <c r="M753" s="97" t="n"/>
      <c r="N753" s="97" t="n">
        <v>58.94025</v>
      </c>
      <c r="O753" s="97" t="n">
        <v>64.41</v>
      </c>
      <c r="P753" s="97" t="n">
        <v>78.68940000000001</v>
      </c>
      <c r="Q753" s="97" t="n"/>
      <c r="R753" s="97" t="n">
        <v>53.33378</v>
      </c>
      <c r="S753" s="97" t="n">
        <v>79.5731</v>
      </c>
      <c r="T753" s="97" t="n">
        <v>77.44253999999999</v>
      </c>
      <c r="U753" s="97" t="n">
        <v>119.9966</v>
      </c>
      <c r="V753" s="97" t="n"/>
      <c r="W753" s="97" t="n">
        <v>8.227923000000001</v>
      </c>
      <c r="X753" s="97" t="n"/>
      <c r="Y753" s="97" t="n"/>
      <c r="Z753" s="97" t="n">
        <v>93.84124</v>
      </c>
      <c r="AA753" s="97" t="n">
        <v>71.76201</v>
      </c>
      <c r="AB753" s="97" t="n"/>
      <c r="AC753" s="97" t="n">
        <v>48.64318</v>
      </c>
      <c r="AD753" s="97" t="n"/>
      <c r="AE753" s="97" t="n">
        <v>62.10255</v>
      </c>
      <c r="AF753" s="97" t="n">
        <v>64.29204</v>
      </c>
      <c r="AG753" s="97" t="n">
        <v>48.7725</v>
      </c>
      <c r="AH753" s="97" t="n">
        <v>53.33786</v>
      </c>
      <c r="AI753" s="97" t="n"/>
      <c r="AJ753" s="97" t="n">
        <v>67.76828</v>
      </c>
      <c r="AK753" s="97" t="n"/>
      <c r="AL753" s="97" t="n"/>
      <c r="AM753" s="97" t="n">
        <v>57.0599</v>
      </c>
      <c r="AN753" s="97" t="n"/>
      <c r="AO753" s="97" t="n">
        <v>51.06828</v>
      </c>
      <c r="AP753" s="97" t="n">
        <v>65.02979000000001</v>
      </c>
      <c r="AQ753" s="97" t="n"/>
      <c r="AR753" s="97" t="n"/>
      <c r="AS753" s="97" t="n"/>
      <c r="AT753" s="97" t="n"/>
      <c r="AU753" s="97" t="n"/>
      <c r="AV753" s="97" t="n"/>
      <c r="AW753" s="97" t="n"/>
      <c r="AX753" s="97" t="n"/>
      <c r="AY753" s="97" t="n">
        <v>60.11751</v>
      </c>
    </row>
    <row r="754" s="135">
      <c r="A754" t="inlineStr">
        <is>
          <t>1981-09</t>
        </is>
      </c>
      <c r="B754" s="2" t="n">
        <v>29830</v>
      </c>
      <c r="C754" s="96" t="n">
        <v>754</v>
      </c>
      <c r="E754" s="2">
        <f>B754</f>
        <v/>
      </c>
      <c r="F754" s="3">
        <f>B754</f>
        <v/>
      </c>
      <c r="G754" s="96" t="n">
        <v>752</v>
      </c>
      <c r="H754" s="97" t="n"/>
      <c r="I754" s="97" t="n"/>
      <c r="J754" s="97" t="n">
        <v>51.5313</v>
      </c>
      <c r="K754" s="97" t="n">
        <v>56.08742</v>
      </c>
      <c r="L754" s="97" t="n"/>
      <c r="M754" s="97" t="n"/>
      <c r="N754" s="97" t="n">
        <v>59.1254</v>
      </c>
      <c r="O754" s="97" t="n">
        <v>63.78466</v>
      </c>
      <c r="P754" s="97" t="n">
        <v>80.82067000000001</v>
      </c>
      <c r="Q754" s="97" t="n"/>
      <c r="R754" s="97" t="n">
        <v>52.8775</v>
      </c>
      <c r="S754" s="97" t="n">
        <v>80.6319</v>
      </c>
      <c r="T754" s="97" t="n">
        <v>77.63785</v>
      </c>
      <c r="U754" s="97" t="n">
        <v>117.3729</v>
      </c>
      <c r="V754" s="97" t="n"/>
      <c r="W754" s="97" t="n">
        <v>8.295365</v>
      </c>
      <c r="X754" s="97" t="n"/>
      <c r="Y754" s="97" t="n"/>
      <c r="Z754" s="97" t="n">
        <v>95.13967</v>
      </c>
      <c r="AA754" s="97" t="n">
        <v>72.93982</v>
      </c>
      <c r="AB754" s="97" t="n"/>
      <c r="AC754" s="97" t="n">
        <v>49.20462</v>
      </c>
      <c r="AD754" s="97" t="n"/>
      <c r="AE754" s="97" t="n">
        <v>62.39174</v>
      </c>
      <c r="AF754" s="97" t="n">
        <v>62.95262</v>
      </c>
      <c r="AG754" s="97" t="n">
        <v>57.18155</v>
      </c>
      <c r="AH754" s="97" t="n">
        <v>53.62101</v>
      </c>
      <c r="AI754" s="97" t="n"/>
      <c r="AJ754" s="97" t="n">
        <v>75.06823</v>
      </c>
      <c r="AK754" s="97" t="n"/>
      <c r="AL754" s="97" t="n"/>
      <c r="AM754" s="97" t="n">
        <v>56.14051</v>
      </c>
      <c r="AN754" s="97" t="n"/>
      <c r="AO754" s="97" t="n">
        <v>50.76427</v>
      </c>
      <c r="AP754" s="97" t="n">
        <v>66.07984</v>
      </c>
      <c r="AQ754" s="97" t="n"/>
      <c r="AR754" s="97" t="n"/>
      <c r="AS754" s="97" t="n"/>
      <c r="AT754" s="97" t="n"/>
      <c r="AU754" s="97" t="n"/>
      <c r="AV754" s="97" t="n"/>
      <c r="AW754" s="97" t="n"/>
      <c r="AX754" s="97" t="n"/>
      <c r="AY754" s="97" t="n">
        <v>58.83677</v>
      </c>
    </row>
    <row r="755" s="135">
      <c r="A755" t="inlineStr">
        <is>
          <t>1981-10</t>
        </is>
      </c>
      <c r="B755" s="2" t="n">
        <v>29860</v>
      </c>
      <c r="C755" s="96" t="n">
        <v>755</v>
      </c>
      <c r="E755" s="2">
        <f>B755</f>
        <v/>
      </c>
      <c r="F755" s="3">
        <f>B755</f>
        <v/>
      </c>
      <c r="G755" s="96" t="n">
        <v>753</v>
      </c>
      <c r="H755" s="97" t="n"/>
      <c r="I755" s="97" t="n"/>
      <c r="J755" s="97" t="n">
        <v>51.60985</v>
      </c>
      <c r="K755" s="97" t="n">
        <v>55.26931</v>
      </c>
      <c r="L755" s="97" t="n"/>
      <c r="M755" s="97" t="n"/>
      <c r="N755" s="97" t="n">
        <v>59.43399</v>
      </c>
      <c r="O755" s="97" t="n">
        <v>63.15932</v>
      </c>
      <c r="P755" s="97" t="n">
        <v>82.35545</v>
      </c>
      <c r="Q755" s="97" t="n"/>
      <c r="R755" s="97" t="n">
        <v>53.43518</v>
      </c>
      <c r="S755" s="97" t="n">
        <v>80.06178</v>
      </c>
      <c r="T755" s="97" t="n">
        <v>79.39569</v>
      </c>
      <c r="U755" s="97" t="n">
        <v>114.7975</v>
      </c>
      <c r="V755" s="97" t="n"/>
      <c r="W755" s="97" t="n">
        <v>7.958155</v>
      </c>
      <c r="X755" s="97" t="n"/>
      <c r="Y755" s="97" t="n"/>
      <c r="Z755" s="97" t="n">
        <v>95.13967</v>
      </c>
      <c r="AA755" s="97" t="n">
        <v>73.36046</v>
      </c>
      <c r="AB755" s="97" t="n"/>
      <c r="AC755" s="97" t="n">
        <v>50.11403</v>
      </c>
      <c r="AD755" s="97" t="n"/>
      <c r="AE755" s="97" t="n">
        <v>62.10255</v>
      </c>
      <c r="AF755" s="97" t="n">
        <v>66.30116</v>
      </c>
      <c r="AG755" s="97" t="n">
        <v>54.37853</v>
      </c>
      <c r="AH755" s="97" t="n">
        <v>53.60461</v>
      </c>
      <c r="AI755" s="97" t="n"/>
      <c r="AJ755" s="97" t="n">
        <v>74.21451</v>
      </c>
      <c r="AK755" s="97" t="n"/>
      <c r="AL755" s="97" t="n"/>
      <c r="AM755" s="97" t="n">
        <v>56.54274</v>
      </c>
      <c r="AN755" s="97" t="n"/>
      <c r="AO755" s="97" t="n">
        <v>50.42185</v>
      </c>
      <c r="AP755" s="97" t="n">
        <v>66.38338</v>
      </c>
      <c r="AQ755" s="97" t="n"/>
      <c r="AR755" s="97" t="n"/>
      <c r="AS755" s="97" t="n"/>
      <c r="AT755" s="97" t="n"/>
      <c r="AU755" s="97" t="n"/>
      <c r="AV755" s="97" t="n"/>
      <c r="AW755" s="97" t="n"/>
      <c r="AX755" s="97" t="n"/>
      <c r="AY755" s="97" t="n">
        <v>58.59376</v>
      </c>
    </row>
    <row r="756" s="135">
      <c r="A756" t="inlineStr">
        <is>
          <t>1981-11</t>
        </is>
      </c>
      <c r="B756" s="2" t="n">
        <v>29891</v>
      </c>
      <c r="C756" s="96" t="n">
        <v>756</v>
      </c>
      <c r="E756" s="2">
        <f>B756</f>
        <v/>
      </c>
      <c r="F756" s="3">
        <f>B756</f>
        <v/>
      </c>
      <c r="G756" s="96" t="n">
        <v>754</v>
      </c>
      <c r="H756" s="97" t="n"/>
      <c r="I756" s="97" t="n"/>
      <c r="J756" s="97" t="n">
        <v>51.85619</v>
      </c>
      <c r="K756" s="97" t="n">
        <v>54.2341</v>
      </c>
      <c r="L756" s="97" t="n"/>
      <c r="M756" s="97" t="n"/>
      <c r="N756" s="97" t="n">
        <v>58.94025</v>
      </c>
      <c r="O756" s="97" t="n">
        <v>62.53399</v>
      </c>
      <c r="P756" s="97" t="n">
        <v>81.93925</v>
      </c>
      <c r="Q756" s="97" t="n"/>
      <c r="R756" s="97" t="n">
        <v>51.86355</v>
      </c>
      <c r="S756" s="97" t="n">
        <v>80.06178</v>
      </c>
      <c r="T756" s="97" t="n">
        <v>78.41911</v>
      </c>
      <c r="U756" s="97" t="n">
        <v>117.507</v>
      </c>
      <c r="V756" s="97" t="n"/>
      <c r="W756" s="97" t="n">
        <v>8.160481000000001</v>
      </c>
      <c r="X756" s="97" t="n"/>
      <c r="Y756" s="97" t="n"/>
      <c r="Z756" s="97" t="n">
        <v>95.84791</v>
      </c>
      <c r="AA756" s="97" t="n">
        <v>73.36046</v>
      </c>
      <c r="AB756" s="97" t="n"/>
      <c r="AC756" s="97" t="n">
        <v>50.53955</v>
      </c>
      <c r="AD756" s="97" t="n"/>
      <c r="AE756" s="97" t="n">
        <v>62.10255</v>
      </c>
      <c r="AF756" s="97" t="n">
        <v>64.96174999999999</v>
      </c>
      <c r="AG756" s="97" t="n">
        <v>56.06034</v>
      </c>
      <c r="AH756" s="97" t="n">
        <v>53.3007</v>
      </c>
      <c r="AI756" s="97" t="n"/>
      <c r="AJ756" s="97" t="n">
        <v>73.78028</v>
      </c>
      <c r="AK756" s="97" t="n"/>
      <c r="AL756" s="97" t="n"/>
      <c r="AM756" s="97" t="n">
        <v>56.65767</v>
      </c>
      <c r="AN756" s="97" t="n"/>
      <c r="AO756" s="97" t="n">
        <v>49.84468</v>
      </c>
      <c r="AP756" s="97" t="n">
        <v>65.82553</v>
      </c>
      <c r="AQ756" s="97" t="n"/>
      <c r="AR756" s="97" t="n"/>
      <c r="AS756" s="97" t="n"/>
      <c r="AT756" s="97" t="n"/>
      <c r="AU756" s="97" t="n"/>
      <c r="AV756" s="97" t="n"/>
      <c r="AW756" s="97" t="n"/>
      <c r="AX756" s="97" t="n"/>
      <c r="AY756" s="97" t="n">
        <v>59.53197</v>
      </c>
    </row>
    <row r="757" s="135">
      <c r="A757" t="inlineStr">
        <is>
          <t>1981-12</t>
        </is>
      </c>
      <c r="B757" s="2" t="n">
        <v>29921</v>
      </c>
      <c r="C757" s="96" t="n">
        <v>757</v>
      </c>
      <c r="E757" s="2">
        <f>B757</f>
        <v/>
      </c>
      <c r="F757" s="3">
        <f>B757</f>
        <v/>
      </c>
      <c r="G757" s="96" t="n">
        <v>755</v>
      </c>
      <c r="H757" s="97" t="n"/>
      <c r="I757" s="97" t="n"/>
      <c r="J757" s="97" t="n">
        <v>52.17639</v>
      </c>
      <c r="K757" s="97" t="n">
        <v>54.55646</v>
      </c>
      <c r="L757" s="97" t="n"/>
      <c r="M757" s="97" t="n"/>
      <c r="N757" s="97" t="n">
        <v>58.44651</v>
      </c>
      <c r="O757" s="97" t="n">
        <v>60.03263</v>
      </c>
      <c r="P757" s="97" t="n">
        <v>82.01306</v>
      </c>
      <c r="Q757" s="97" t="n"/>
      <c r="R757" s="97" t="n">
        <v>52.57332</v>
      </c>
      <c r="S757" s="97" t="n">
        <v>81.60926000000001</v>
      </c>
      <c r="T757" s="97" t="n">
        <v>77.24722</v>
      </c>
      <c r="U757" s="97" t="n">
        <v>117.948</v>
      </c>
      <c r="V757" s="97" t="n"/>
      <c r="W757" s="97" t="n">
        <v>8.003117</v>
      </c>
      <c r="X757" s="97" t="n"/>
      <c r="Y757" s="97" t="n"/>
      <c r="Z757" s="97" t="n">
        <v>92.42477</v>
      </c>
      <c r="AA757" s="97" t="n">
        <v>73.10807</v>
      </c>
      <c r="AB757" s="97" t="n"/>
      <c r="AC757" s="97" t="n">
        <v>46.22157</v>
      </c>
      <c r="AD757" s="97" t="n"/>
      <c r="AE757" s="97" t="n">
        <v>61.59648</v>
      </c>
      <c r="AF757" s="97" t="n">
        <v>66.97087000000001</v>
      </c>
      <c r="AG757" s="97" t="n">
        <v>56.06034</v>
      </c>
      <c r="AH757" s="97" t="n">
        <v>52.9013</v>
      </c>
      <c r="AI757" s="97" t="n"/>
      <c r="AJ757" s="97" t="n">
        <v>69.16858999999999</v>
      </c>
      <c r="AK757" s="97" t="n"/>
      <c r="AL757" s="97" t="n"/>
      <c r="AM757" s="97" t="n">
        <v>56.54274</v>
      </c>
      <c r="AN757" s="97" t="n"/>
      <c r="AO757" s="97" t="n">
        <v>49.30046</v>
      </c>
      <c r="AP757" s="97" t="n">
        <v>65.19386</v>
      </c>
      <c r="AQ757" s="97" t="n"/>
      <c r="AR757" s="97" t="n"/>
      <c r="AS757" s="97" t="n"/>
      <c r="AT757" s="97" t="n"/>
      <c r="AU757" s="97" t="n"/>
      <c r="AV757" s="97" t="n"/>
      <c r="AW757" s="97" t="n"/>
      <c r="AX757" s="97" t="n"/>
      <c r="AY757" s="97" t="n">
        <v>57.73461</v>
      </c>
    </row>
    <row r="758" s="135">
      <c r="A758" t="inlineStr">
        <is>
          <t>1982-01</t>
        </is>
      </c>
      <c r="B758" s="2" t="n">
        <v>29952</v>
      </c>
      <c r="C758" s="96" t="n">
        <v>758</v>
      </c>
      <c r="E758" s="2">
        <f>B758</f>
        <v/>
      </c>
      <c r="F758" s="3">
        <f>B758</f>
        <v/>
      </c>
      <c r="G758" s="96" t="n">
        <v>756</v>
      </c>
      <c r="H758" s="97" t="n"/>
      <c r="I758" s="97" t="n"/>
      <c r="J758" s="97" t="n">
        <v>52.49829</v>
      </c>
      <c r="K758" s="97" t="n">
        <v>53.77688</v>
      </c>
      <c r="L758" s="97" t="n"/>
      <c r="M758" s="97" t="n"/>
      <c r="N758" s="97" t="n">
        <v>58.69338</v>
      </c>
      <c r="O758" s="97" t="n">
        <v>62.53399</v>
      </c>
      <c r="P758" s="97" t="n">
        <v>80.52795</v>
      </c>
      <c r="Q758" s="97" t="n"/>
      <c r="R758" s="97" t="n">
        <v>53.43518</v>
      </c>
      <c r="S758" s="97" t="n">
        <v>80.22467</v>
      </c>
      <c r="T758" s="97" t="n">
        <v>77.24722</v>
      </c>
      <c r="U758" s="97" t="n">
        <v>116.9188</v>
      </c>
      <c r="V758" s="97" t="n"/>
      <c r="W758" s="97" t="n">
        <v>7.710868</v>
      </c>
      <c r="X758" s="97" t="n"/>
      <c r="Y758" s="97" t="n"/>
      <c r="Z758" s="97" t="n">
        <v>96.67418000000001</v>
      </c>
      <c r="AA758" s="97" t="n">
        <v>72.68743000000001</v>
      </c>
      <c r="AB758" s="97" t="n"/>
      <c r="AC758" s="97" t="n">
        <v>48.78677</v>
      </c>
      <c r="AD758" s="97" t="n"/>
      <c r="AE758" s="97" t="n">
        <v>62.03025</v>
      </c>
      <c r="AF758" s="97" t="n">
        <v>65.63145</v>
      </c>
      <c r="AG758" s="97" t="n">
        <v>57.18155</v>
      </c>
      <c r="AH758" s="97" t="n">
        <v>52.66619</v>
      </c>
      <c r="AI758" s="97" t="n"/>
      <c r="AJ758" s="97" t="n">
        <v>76.90295</v>
      </c>
      <c r="AK758" s="97" t="n"/>
      <c r="AL758" s="97" t="n"/>
      <c r="AM758" s="97" t="n">
        <v>55.56588</v>
      </c>
      <c r="AN758" s="97" t="n"/>
      <c r="AO758" s="97" t="n">
        <v>48.31776</v>
      </c>
      <c r="AP758" s="97" t="n">
        <v>65.79272</v>
      </c>
      <c r="AQ758" s="97" t="n"/>
      <c r="AR758" s="97" t="n"/>
      <c r="AS758" s="97" t="n"/>
      <c r="AT758" s="97" t="n"/>
      <c r="AU758" s="97" t="n"/>
      <c r="AV758" s="97" t="n"/>
      <c r="AW758" s="97" t="n"/>
      <c r="AX758" s="97" t="n"/>
      <c r="AY758" s="97" t="n">
        <v>59.43324</v>
      </c>
    </row>
    <row r="759" s="135">
      <c r="A759" t="inlineStr">
        <is>
          <t>1982-02</t>
        </is>
      </c>
      <c r="B759" s="2" t="n">
        <v>29983</v>
      </c>
      <c r="C759" s="96" t="n">
        <v>759</v>
      </c>
      <c r="E759" s="2">
        <f>B759</f>
        <v/>
      </c>
      <c r="F759" s="3">
        <f>B759</f>
        <v/>
      </c>
      <c r="G759" s="96" t="n">
        <v>757</v>
      </c>
      <c r="H759" s="97" t="n"/>
      <c r="I759" s="97" t="n"/>
      <c r="J759" s="97" t="n">
        <v>51.20219</v>
      </c>
      <c r="K759" s="97" t="n">
        <v>53.84972</v>
      </c>
      <c r="L759" s="97" t="n"/>
      <c r="M759" s="97" t="n"/>
      <c r="N759" s="97" t="n">
        <v>58.26136</v>
      </c>
      <c r="O759" s="97" t="n">
        <v>63.78466</v>
      </c>
      <c r="P759" s="97" t="n">
        <v>80.70003</v>
      </c>
      <c r="Q759" s="97" t="n"/>
      <c r="R759" s="97" t="n">
        <v>52.9789</v>
      </c>
      <c r="S759" s="97" t="n">
        <v>79.5731</v>
      </c>
      <c r="T759" s="97" t="n">
        <v>77.7355</v>
      </c>
      <c r="U759" s="97" t="n">
        <v>117.7168</v>
      </c>
      <c r="V759" s="97" t="n"/>
      <c r="W759" s="97" t="n">
        <v>7.890713</v>
      </c>
      <c r="X759" s="97" t="n"/>
      <c r="Y759" s="97" t="n"/>
      <c r="Z759" s="97" t="n">
        <v>94.19535</v>
      </c>
      <c r="AA759" s="97" t="n">
        <v>72.18266</v>
      </c>
      <c r="AB759" s="97" t="n"/>
      <c r="AC759" s="97" t="n">
        <v>53.27773</v>
      </c>
      <c r="AD759" s="97" t="n"/>
      <c r="AE759" s="97" t="n">
        <v>62.17485</v>
      </c>
      <c r="AF759" s="97" t="n">
        <v>63.62233</v>
      </c>
      <c r="AG759" s="97" t="n">
        <v>56.62094</v>
      </c>
      <c r="AH759" s="97" t="n">
        <v>52.80648</v>
      </c>
      <c r="AI759" s="97" t="n"/>
      <c r="AJ759" s="97" t="n">
        <v>74.40954000000001</v>
      </c>
      <c r="AK759" s="97" t="n"/>
      <c r="AL759" s="97" t="n"/>
      <c r="AM759" s="97" t="n">
        <v>55.91066</v>
      </c>
      <c r="AN759" s="97" t="n"/>
      <c r="AO759" s="97" t="n">
        <v>49.27568</v>
      </c>
      <c r="AP759" s="97" t="n">
        <v>65.11181999999999</v>
      </c>
      <c r="AQ759" s="97" t="n"/>
      <c r="AR759" s="97" t="n"/>
      <c r="AS759" s="97" t="n"/>
      <c r="AT759" s="97" t="n"/>
      <c r="AU759" s="97" t="n"/>
      <c r="AV759" s="97" t="n"/>
      <c r="AW759" s="97" t="n"/>
      <c r="AX759" s="97" t="n"/>
      <c r="AY759" s="97" t="n">
        <v>60.01718</v>
      </c>
    </row>
    <row r="760" s="135">
      <c r="A760" t="inlineStr">
        <is>
          <t>1982-03</t>
        </is>
      </c>
      <c r="B760" s="2" t="n">
        <v>30011</v>
      </c>
      <c r="C760" s="96" t="n">
        <v>760</v>
      </c>
      <c r="E760" s="2">
        <f>B760</f>
        <v/>
      </c>
      <c r="F760" s="3">
        <f>B760</f>
        <v/>
      </c>
      <c r="G760" s="96" t="n">
        <v>758</v>
      </c>
      <c r="H760" s="97" t="n"/>
      <c r="I760" s="97" t="n"/>
      <c r="J760" s="97" t="n">
        <v>49.75841</v>
      </c>
      <c r="K760" s="97" t="n">
        <v>53.19654</v>
      </c>
      <c r="L760" s="97" t="n"/>
      <c r="M760" s="97" t="n"/>
      <c r="N760" s="97" t="n">
        <v>58.81682</v>
      </c>
      <c r="O760" s="97" t="n">
        <v>63.78466</v>
      </c>
      <c r="P760" s="97" t="n">
        <v>84.16009</v>
      </c>
      <c r="Q760" s="97" t="n"/>
      <c r="R760" s="97" t="n">
        <v>52.9789</v>
      </c>
      <c r="S760" s="97" t="n">
        <v>80.6319</v>
      </c>
      <c r="T760" s="97" t="n">
        <v>77.93082</v>
      </c>
      <c r="U760" s="97" t="n">
        <v>116.2652</v>
      </c>
      <c r="V760" s="97" t="n"/>
      <c r="W760" s="97" t="n">
        <v>7.958155</v>
      </c>
      <c r="X760" s="97" t="n"/>
      <c r="Y760" s="97" t="n"/>
      <c r="Z760" s="97" t="n">
        <v>92.5428</v>
      </c>
      <c r="AA760" s="97" t="n">
        <v>72.93982</v>
      </c>
      <c r="AB760" s="97" t="n"/>
      <c r="AC760" s="97" t="n">
        <v>50.06411</v>
      </c>
      <c r="AD760" s="97" t="n"/>
      <c r="AE760" s="97" t="n">
        <v>61.45189</v>
      </c>
      <c r="AF760" s="97" t="n">
        <v>64.29204</v>
      </c>
      <c r="AG760" s="97" t="n">
        <v>57.18155</v>
      </c>
      <c r="AH760" s="97" t="n">
        <v>52.80787</v>
      </c>
      <c r="AI760" s="97" t="n"/>
      <c r="AJ760" s="97" t="n">
        <v>79.50378000000001</v>
      </c>
      <c r="AK760" s="97" t="n"/>
      <c r="AL760" s="97" t="n"/>
      <c r="AM760" s="97" t="n">
        <v>55.8532</v>
      </c>
      <c r="AN760" s="97" t="n"/>
      <c r="AO760" s="97" t="n">
        <v>48.89993</v>
      </c>
      <c r="AP760" s="97" t="n">
        <v>65.00517000000001</v>
      </c>
      <c r="AQ760" s="97" t="n"/>
      <c r="AR760" s="97" t="n"/>
      <c r="AS760" s="97" t="n"/>
      <c r="AT760" s="97" t="n"/>
      <c r="AU760" s="97" t="n"/>
      <c r="AV760" s="97" t="n"/>
      <c r="AW760" s="97" t="n"/>
      <c r="AX760" s="97" t="n"/>
      <c r="AY760" s="97" t="n">
        <v>62.71852</v>
      </c>
    </row>
    <row r="761" s="135">
      <c r="A761" t="inlineStr">
        <is>
          <t>1982-04</t>
        </is>
      </c>
      <c r="B761" s="2" t="n">
        <v>30042</v>
      </c>
      <c r="C761" s="96" t="n">
        <v>761</v>
      </c>
      <c r="E761" s="2">
        <f>B761</f>
        <v/>
      </c>
      <c r="F761" s="3">
        <f>B761</f>
        <v/>
      </c>
      <c r="G761" s="96" t="n">
        <v>759</v>
      </c>
      <c r="H761" s="97" t="n"/>
      <c r="I761" s="97" t="n"/>
      <c r="J761" s="97" t="n">
        <v>52.05415</v>
      </c>
      <c r="K761" s="97" t="n">
        <v>51.71586</v>
      </c>
      <c r="L761" s="97" t="n"/>
      <c r="M761" s="97" t="n"/>
      <c r="N761" s="97" t="n">
        <v>58.69338</v>
      </c>
      <c r="O761" s="97" t="n">
        <v>65.66068</v>
      </c>
      <c r="P761" s="97" t="n">
        <v>81.29442</v>
      </c>
      <c r="Q761" s="97" t="n"/>
      <c r="R761" s="97" t="n">
        <v>52.21844</v>
      </c>
      <c r="S761" s="97" t="n">
        <v>80.55046</v>
      </c>
      <c r="T761" s="97" t="n">
        <v>78.9074</v>
      </c>
      <c r="U761" s="97" t="n">
        <v>115.3354</v>
      </c>
      <c r="V761" s="97" t="n"/>
      <c r="W761" s="97" t="n">
        <v>7.935675</v>
      </c>
      <c r="X761" s="97" t="n"/>
      <c r="Y761" s="97" t="n"/>
      <c r="Z761" s="97" t="n">
        <v>95.72987000000001</v>
      </c>
      <c r="AA761" s="97" t="n">
        <v>71.93026999999999</v>
      </c>
      <c r="AB761" s="97" t="n"/>
      <c r="AC761" s="97" t="n">
        <v>47.82214</v>
      </c>
      <c r="AD761" s="97" t="n"/>
      <c r="AE761" s="97" t="n">
        <v>61.0904</v>
      </c>
      <c r="AF761" s="97" t="n">
        <v>64.96174999999999</v>
      </c>
      <c r="AG761" s="97" t="n">
        <v>57.74215</v>
      </c>
      <c r="AH761" s="97" t="n">
        <v>52.6074</v>
      </c>
      <c r="AI761" s="97" t="n"/>
      <c r="AJ761" s="97" t="n">
        <v>76.68838</v>
      </c>
      <c r="AK761" s="97" t="n"/>
      <c r="AL761" s="97" t="n"/>
      <c r="AM761" s="97" t="n">
        <v>55.73827</v>
      </c>
      <c r="AN761" s="97" t="n"/>
      <c r="AO761" s="97" t="n">
        <v>48.46991</v>
      </c>
      <c r="AP761" s="97" t="n">
        <v>65.66146000000001</v>
      </c>
      <c r="AQ761" s="97" t="n"/>
      <c r="AR761" s="97" t="n"/>
      <c r="AS761" s="97" t="n"/>
      <c r="AT761" s="97" t="n"/>
      <c r="AU761" s="97" t="n"/>
      <c r="AV761" s="97" t="n"/>
      <c r="AW761" s="97" t="n"/>
      <c r="AX761" s="97" t="n"/>
      <c r="AY761" s="97" t="n">
        <v>63.26547</v>
      </c>
    </row>
    <row r="762" s="135">
      <c r="A762" t="inlineStr">
        <is>
          <t>1982-05</t>
        </is>
      </c>
      <c r="B762" s="2" t="n">
        <v>30072</v>
      </c>
      <c r="C762" s="96" t="n">
        <v>762</v>
      </c>
      <c r="E762" s="2">
        <f>B762</f>
        <v/>
      </c>
      <c r="F762" s="3">
        <f>B762</f>
        <v/>
      </c>
      <c r="G762" s="96" t="n">
        <v>760</v>
      </c>
      <c r="H762" s="97" t="n"/>
      <c r="I762" s="97" t="n"/>
      <c r="J762" s="97" t="n">
        <v>52.06203</v>
      </c>
      <c r="K762" s="97" t="n">
        <v>52.11951</v>
      </c>
      <c r="L762" s="97" t="n"/>
      <c r="M762" s="97" t="n"/>
      <c r="N762" s="97" t="n">
        <v>58.69338</v>
      </c>
      <c r="O762" s="97" t="n">
        <v>63.15932</v>
      </c>
      <c r="P762" s="97" t="n">
        <v>81.69707</v>
      </c>
      <c r="Q762" s="97" t="n"/>
      <c r="R762" s="97" t="n">
        <v>52.21844</v>
      </c>
      <c r="S762" s="97" t="n">
        <v>80.30612000000001</v>
      </c>
      <c r="T762" s="97" t="n">
        <v>79.59099999999999</v>
      </c>
      <c r="U762" s="97" t="n">
        <v>117.8326</v>
      </c>
      <c r="V762" s="97" t="n"/>
      <c r="W762" s="97" t="n">
        <v>7.958155</v>
      </c>
      <c r="X762" s="97" t="n"/>
      <c r="Y762" s="97" t="n"/>
      <c r="Z762" s="97" t="n">
        <v>91.95261000000001</v>
      </c>
      <c r="AA762" s="97" t="n">
        <v>71.25724</v>
      </c>
      <c r="AB762" s="97" t="n"/>
      <c r="AC762" s="97" t="n">
        <v>49.5677</v>
      </c>
      <c r="AD762" s="97" t="n"/>
      <c r="AE762" s="97" t="n">
        <v>60.94581</v>
      </c>
      <c r="AF762" s="97" t="n">
        <v>63.62233</v>
      </c>
      <c r="AG762" s="97" t="n">
        <v>54.37853</v>
      </c>
      <c r="AH762" s="97" t="n">
        <v>52.2865</v>
      </c>
      <c r="AI762" s="97" t="n"/>
      <c r="AJ762" s="97" t="n">
        <v>72.01231</v>
      </c>
      <c r="AK762" s="97" t="n"/>
      <c r="AL762" s="97" t="n"/>
      <c r="AM762" s="97" t="n">
        <v>55.91066</v>
      </c>
      <c r="AN762" s="97" t="n"/>
      <c r="AO762" s="97" t="n">
        <v>48.15803</v>
      </c>
      <c r="AP762" s="97" t="n">
        <v>64.92314</v>
      </c>
      <c r="AQ762" s="97" t="n"/>
      <c r="AR762" s="97" t="n"/>
      <c r="AS762" s="97" t="n"/>
      <c r="AT762" s="97" t="n"/>
      <c r="AU762" s="97" t="n"/>
      <c r="AV762" s="97" t="n"/>
      <c r="AW762" s="97" t="n"/>
      <c r="AX762" s="97" t="n"/>
      <c r="AY762" s="97" t="n">
        <v>63.81888</v>
      </c>
    </row>
    <row r="763" s="135">
      <c r="A763" t="inlineStr">
        <is>
          <t>1982-06</t>
        </is>
      </c>
      <c r="B763" s="2" t="n">
        <v>30103</v>
      </c>
      <c r="C763" s="96" t="n">
        <v>763</v>
      </c>
      <c r="E763" s="2">
        <f>B763</f>
        <v/>
      </c>
      <c r="F763" s="3">
        <f>B763</f>
        <v/>
      </c>
      <c r="G763" s="96" t="n">
        <v>761</v>
      </c>
      <c r="H763" s="97" t="n"/>
      <c r="I763" s="97" t="n"/>
      <c r="J763" s="97" t="n">
        <v>50.78466</v>
      </c>
      <c r="K763" s="97" t="n">
        <v>51.21681</v>
      </c>
      <c r="L763" s="97" t="n"/>
      <c r="M763" s="97" t="n"/>
      <c r="N763" s="97" t="n">
        <v>57.27388</v>
      </c>
      <c r="O763" s="97" t="n">
        <v>66.28603</v>
      </c>
      <c r="P763" s="97" t="n">
        <v>79.82917999999999</v>
      </c>
      <c r="Q763" s="97" t="n"/>
      <c r="R763" s="97" t="n">
        <v>53.23239</v>
      </c>
      <c r="S763" s="97" t="n">
        <v>80.46901</v>
      </c>
      <c r="T763" s="97" t="n">
        <v>78.51676999999999</v>
      </c>
      <c r="U763" s="97" t="n">
        <v>113.4993</v>
      </c>
      <c r="V763" s="97" t="n"/>
      <c r="W763" s="97" t="n">
        <v>7.868233</v>
      </c>
      <c r="X763" s="97" t="n"/>
      <c r="Y763" s="97" t="n"/>
      <c r="Z763" s="97" t="n">
        <v>89.11967</v>
      </c>
      <c r="AA763" s="97" t="n">
        <v>72.18266</v>
      </c>
      <c r="AB763" s="97" t="n"/>
      <c r="AC763" s="97" t="n">
        <v>49.97245</v>
      </c>
      <c r="AD763" s="97" t="n"/>
      <c r="AE763" s="97" t="n">
        <v>60.43974</v>
      </c>
      <c r="AF763" s="97" t="n">
        <v>62.95262</v>
      </c>
      <c r="AG763" s="97" t="n">
        <v>54.93913</v>
      </c>
      <c r="AH763" s="97" t="n">
        <v>51.96004</v>
      </c>
      <c r="AI763" s="97" t="n"/>
      <c r="AJ763" s="97" t="n">
        <v>78.55034000000001</v>
      </c>
      <c r="AK763" s="97" t="n"/>
      <c r="AL763" s="97" t="n"/>
      <c r="AM763" s="97" t="n">
        <v>56.19797</v>
      </c>
      <c r="AN763" s="97" t="n"/>
      <c r="AO763" s="97" t="n">
        <v>47.99589</v>
      </c>
      <c r="AP763" s="97" t="n">
        <v>63.72542</v>
      </c>
      <c r="AQ763" s="97" t="n"/>
      <c r="AR763" s="97" t="n"/>
      <c r="AS763" s="97" t="n"/>
      <c r="AT763" s="97" t="n"/>
      <c r="AU763" s="97" t="n"/>
      <c r="AV763" s="97" t="n"/>
      <c r="AW763" s="97" t="n"/>
      <c r="AX763" s="97" t="n"/>
      <c r="AY763" s="97" t="n">
        <v>63.43091</v>
      </c>
    </row>
    <row r="764" s="135">
      <c r="A764" t="inlineStr">
        <is>
          <t>1982-07</t>
        </is>
      </c>
      <c r="B764" s="2" t="n">
        <v>30133</v>
      </c>
      <c r="C764" s="96" t="n">
        <v>764</v>
      </c>
      <c r="E764" s="2">
        <f>B764</f>
        <v/>
      </c>
      <c r="F764" s="3">
        <f>B764</f>
        <v/>
      </c>
      <c r="G764" s="96" t="n">
        <v>762</v>
      </c>
      <c r="H764" s="97" t="n"/>
      <c r="I764" s="97" t="n"/>
      <c r="J764" s="97" t="n">
        <v>51.51428</v>
      </c>
      <c r="K764" s="97" t="n">
        <v>50.19382</v>
      </c>
      <c r="L764" s="97" t="n"/>
      <c r="M764" s="97" t="n"/>
      <c r="N764" s="97" t="n">
        <v>55.36064</v>
      </c>
      <c r="O764" s="97" t="n">
        <v>63.15932</v>
      </c>
      <c r="P764" s="97" t="n">
        <v>81.55766</v>
      </c>
      <c r="Q764" s="97" t="n"/>
      <c r="R764" s="97" t="n">
        <v>51.71146</v>
      </c>
      <c r="S764" s="97" t="n">
        <v>78.10706</v>
      </c>
      <c r="T764" s="97" t="n">
        <v>78.51676999999999</v>
      </c>
      <c r="U764" s="97" t="n">
        <v>113.7708</v>
      </c>
      <c r="V764" s="97" t="n"/>
      <c r="W764" s="97" t="n">
        <v>8.070558999999999</v>
      </c>
      <c r="X764" s="97" t="n"/>
      <c r="Y764" s="97" t="n"/>
      <c r="Z764" s="97" t="n">
        <v>92.42477</v>
      </c>
      <c r="AA764" s="97" t="n">
        <v>72.01439999999999</v>
      </c>
      <c r="AB764" s="97" t="n"/>
      <c r="AC764" s="97" t="n">
        <v>48.57793</v>
      </c>
      <c r="AD764" s="97" t="n"/>
      <c r="AE764" s="97" t="n">
        <v>59.49989</v>
      </c>
      <c r="AF764" s="97" t="n">
        <v>62.95262</v>
      </c>
      <c r="AG764" s="97" t="n">
        <v>55.49973</v>
      </c>
      <c r="AH764" s="97" t="n">
        <v>51.69467</v>
      </c>
      <c r="AI764" s="97" t="n"/>
      <c r="AJ764" s="97" t="n">
        <v>78.70587999999999</v>
      </c>
      <c r="AK764" s="97" t="n"/>
      <c r="AL764" s="97" t="n"/>
      <c r="AM764" s="97" t="n">
        <v>56.71513</v>
      </c>
      <c r="AN764" s="97" t="n"/>
      <c r="AO764" s="97" t="n">
        <v>47.84663</v>
      </c>
      <c r="AP764" s="97" t="n">
        <v>64.09457999999999</v>
      </c>
      <c r="AQ764" s="97" t="n"/>
      <c r="AR764" s="97" t="n"/>
      <c r="AS764" s="97" t="n"/>
      <c r="AT764" s="97" t="n"/>
      <c r="AU764" s="97" t="n"/>
      <c r="AV764" s="97" t="n"/>
      <c r="AW764" s="97" t="n"/>
      <c r="AX764" s="97" t="n"/>
      <c r="AY764" s="97" t="n">
        <v>63.97797</v>
      </c>
    </row>
    <row r="765" s="135">
      <c r="A765" t="inlineStr">
        <is>
          <t>1982-08</t>
        </is>
      </c>
      <c r="B765" s="2" t="n">
        <v>30164</v>
      </c>
      <c r="C765" s="96" t="n">
        <v>765</v>
      </c>
      <c r="E765" s="2">
        <f>B765</f>
        <v/>
      </c>
      <c r="F765" s="3">
        <f>B765</f>
        <v/>
      </c>
      <c r="G765" s="96" t="n">
        <v>763</v>
      </c>
      <c r="H765" s="97" t="n"/>
      <c r="I765" s="97" t="n"/>
      <c r="J765" s="97" t="n">
        <v>50.09268</v>
      </c>
      <c r="K765" s="97" t="n">
        <v>51.14116</v>
      </c>
      <c r="L765" s="97" t="n"/>
      <c r="M765" s="97" t="n"/>
      <c r="N765" s="97" t="n">
        <v>56.53327</v>
      </c>
      <c r="O765" s="97" t="n">
        <v>63.15932</v>
      </c>
      <c r="P765" s="97" t="n">
        <v>76.74245000000001</v>
      </c>
      <c r="Q765" s="97" t="n"/>
      <c r="R765" s="97" t="n">
        <v>52.67471</v>
      </c>
      <c r="S765" s="97" t="n">
        <v>78.10706</v>
      </c>
      <c r="T765" s="97" t="n">
        <v>79.20037000000001</v>
      </c>
      <c r="U765" s="97" t="n">
        <v>111.6981</v>
      </c>
      <c r="V765" s="97" t="n"/>
      <c r="W765" s="97" t="n">
        <v>7.890713</v>
      </c>
      <c r="X765" s="97" t="n"/>
      <c r="Y765" s="97" t="n"/>
      <c r="Z765" s="97" t="n">
        <v>90.65416999999999</v>
      </c>
      <c r="AA765" s="97" t="n">
        <v>72.09853</v>
      </c>
      <c r="AB765" s="97" t="n"/>
      <c r="AC765" s="97" t="n">
        <v>49.45038</v>
      </c>
      <c r="AD765" s="97" t="n"/>
      <c r="AE765" s="97" t="n">
        <v>59.1384</v>
      </c>
      <c r="AF765" s="97" t="n">
        <v>60.94349</v>
      </c>
      <c r="AG765" s="97" t="n">
        <v>54.93913</v>
      </c>
      <c r="AH765" s="97" t="n">
        <v>51.47596</v>
      </c>
      <c r="AI765" s="97" t="n"/>
      <c r="AJ765" s="97" t="n">
        <v>75.45084</v>
      </c>
      <c r="AK765" s="97" t="n"/>
      <c r="AL765" s="97" t="n"/>
      <c r="AM765" s="97" t="n">
        <v>55.45096</v>
      </c>
      <c r="AN765" s="97" t="n"/>
      <c r="AO765" s="97" t="n">
        <v>47.42737</v>
      </c>
      <c r="AP765" s="97" t="n">
        <v>63.41368</v>
      </c>
      <c r="AQ765" s="97" t="n"/>
      <c r="AR765" s="97" t="n"/>
      <c r="AS765" s="97" t="n"/>
      <c r="AT765" s="97" t="n"/>
      <c r="AU765" s="97" t="n"/>
      <c r="AV765" s="97" t="n"/>
      <c r="AW765" s="97" t="n"/>
      <c r="AX765" s="97" t="n"/>
      <c r="AY765" s="97" t="n">
        <v>63.96724</v>
      </c>
    </row>
    <row r="766" s="135">
      <c r="A766" t="inlineStr">
        <is>
          <t>1982-09</t>
        </is>
      </c>
      <c r="B766" s="2" t="n">
        <v>30195</v>
      </c>
      <c r="C766" s="96" t="n">
        <v>766</v>
      </c>
      <c r="E766" s="2">
        <f>B766</f>
        <v/>
      </c>
      <c r="F766" s="3">
        <f>B766</f>
        <v/>
      </c>
      <c r="G766" s="96" t="n">
        <v>764</v>
      </c>
      <c r="H766" s="97" t="n"/>
      <c r="I766" s="97" t="n"/>
      <c r="J766" s="97" t="n">
        <v>51.42764</v>
      </c>
      <c r="K766" s="97" t="n">
        <v>50.53638</v>
      </c>
      <c r="L766" s="97" t="n"/>
      <c r="M766" s="97" t="n"/>
      <c r="N766" s="97" t="n">
        <v>56.2864</v>
      </c>
      <c r="O766" s="97" t="n">
        <v>63.15932</v>
      </c>
      <c r="P766" s="97" t="n">
        <v>83.87902</v>
      </c>
      <c r="Q766" s="97" t="n"/>
      <c r="R766" s="97" t="n">
        <v>52.77611</v>
      </c>
      <c r="S766" s="97" t="n">
        <v>78.67719</v>
      </c>
      <c r="T766" s="97" t="n">
        <v>79.29803</v>
      </c>
      <c r="U766" s="97" t="n">
        <v>120.1778</v>
      </c>
      <c r="V766" s="97" t="n"/>
      <c r="W766" s="97" t="n">
        <v>7.958155</v>
      </c>
      <c r="X766" s="97" t="n"/>
      <c r="Y766" s="97" t="n"/>
      <c r="Z766" s="97" t="n">
        <v>91.00829</v>
      </c>
      <c r="AA766" s="97" t="n">
        <v>72.43504</v>
      </c>
      <c r="AB766" s="97" t="n"/>
      <c r="AC766" s="97" t="n">
        <v>49.88655</v>
      </c>
      <c r="AD766" s="97" t="n"/>
      <c r="AE766" s="97" t="n">
        <v>58.19855</v>
      </c>
      <c r="AF766" s="97" t="n">
        <v>62.28291</v>
      </c>
      <c r="AG766" s="97" t="n">
        <v>53.81792</v>
      </c>
      <c r="AH766" s="97" t="n">
        <v>51.63329</v>
      </c>
      <c r="AI766" s="97" t="n"/>
      <c r="AJ766" s="97" t="n">
        <v>76.98872</v>
      </c>
      <c r="AK766" s="97" t="n"/>
      <c r="AL766" s="97" t="n"/>
      <c r="AM766" s="97" t="n">
        <v>55.91066</v>
      </c>
      <c r="AN766" s="97" t="n"/>
      <c r="AO766" s="97" t="n">
        <v>47.28204</v>
      </c>
      <c r="AP766" s="97" t="n">
        <v>63.9223</v>
      </c>
      <c r="AQ766" s="97" t="n"/>
      <c r="AR766" s="97" t="n"/>
      <c r="AS766" s="97" t="n"/>
      <c r="AT766" s="97" t="n"/>
      <c r="AU766" s="97" t="n"/>
      <c r="AV766" s="97" t="n"/>
      <c r="AW766" s="97" t="n"/>
      <c r="AX766" s="97" t="n"/>
      <c r="AY766" s="97" t="n">
        <v>63.22181</v>
      </c>
    </row>
    <row r="767" s="135">
      <c r="A767" t="inlineStr">
        <is>
          <t>1982-10</t>
        </is>
      </c>
      <c r="B767" s="2" t="n">
        <v>30225</v>
      </c>
      <c r="C767" s="96" t="n">
        <v>767</v>
      </c>
      <c r="E767" s="2">
        <f>B767</f>
        <v/>
      </c>
      <c r="F767" s="3">
        <f>B767</f>
        <v/>
      </c>
      <c r="G767" s="96" t="n">
        <v>765</v>
      </c>
      <c r="H767" s="97" t="n"/>
      <c r="I767" s="97" t="n"/>
      <c r="J767" s="97" t="n">
        <v>51.79912</v>
      </c>
      <c r="K767" s="97" t="n">
        <v>49.58952</v>
      </c>
      <c r="L767" s="97" t="n"/>
      <c r="M767" s="97" t="n"/>
      <c r="N767" s="97" t="n">
        <v>55.66922</v>
      </c>
      <c r="O767" s="97" t="n">
        <v>63.78466</v>
      </c>
      <c r="P767" s="97" t="n">
        <v>80.62622</v>
      </c>
      <c r="Q767" s="97" t="n"/>
      <c r="R767" s="97" t="n">
        <v>51.96495</v>
      </c>
      <c r="S767" s="97" t="n">
        <v>79.24731</v>
      </c>
      <c r="T767" s="97" t="n">
        <v>78.80974999999999</v>
      </c>
      <c r="U767" s="97" t="n">
        <v>115.562</v>
      </c>
      <c r="V767" s="97" t="n"/>
      <c r="W767" s="97" t="n">
        <v>8.227923000000001</v>
      </c>
      <c r="X767" s="97" t="n"/>
      <c r="Y767" s="97" t="n"/>
      <c r="Z767" s="97" t="n">
        <v>90.06398</v>
      </c>
      <c r="AA767" s="97" t="n">
        <v>70.33181999999999</v>
      </c>
      <c r="AB767" s="97" t="n"/>
      <c r="AC767" s="97" t="n">
        <v>49.39364</v>
      </c>
      <c r="AD767" s="97" t="n"/>
      <c r="AE767" s="97" t="n">
        <v>56.46344</v>
      </c>
      <c r="AF767" s="97" t="n">
        <v>61.6132</v>
      </c>
      <c r="AG767" s="97" t="n">
        <v>52.13611</v>
      </c>
      <c r="AH767" s="97" t="n">
        <v>50.91795</v>
      </c>
      <c r="AI767" s="97" t="n"/>
      <c r="AJ767" s="97" t="n">
        <v>78.3541</v>
      </c>
      <c r="AK767" s="97" t="n"/>
      <c r="AL767" s="97" t="n"/>
      <c r="AM767" s="97" t="n">
        <v>55.68081</v>
      </c>
      <c r="AN767" s="97" t="n"/>
      <c r="AO767" s="97" t="n">
        <v>46.86076</v>
      </c>
      <c r="AP767" s="97" t="n">
        <v>63.30703</v>
      </c>
      <c r="AQ767" s="97" t="n"/>
      <c r="AR767" s="97" t="n"/>
      <c r="AS767" s="97" t="n"/>
      <c r="AT767" s="97" t="n"/>
      <c r="AU767" s="97" t="n"/>
      <c r="AV767" s="97" t="n"/>
      <c r="AW767" s="97" t="n"/>
      <c r="AX767" s="97" t="n"/>
      <c r="AY767" s="97" t="n">
        <v>61.21705</v>
      </c>
    </row>
    <row r="768" s="135">
      <c r="A768" t="inlineStr">
        <is>
          <t>1982-11</t>
        </is>
      </c>
      <c r="B768" s="2" t="n">
        <v>30256</v>
      </c>
      <c r="C768" s="96" t="n">
        <v>768</v>
      </c>
      <c r="E768" s="2">
        <f>B768</f>
        <v/>
      </c>
      <c r="F768" s="3">
        <f>B768</f>
        <v/>
      </c>
      <c r="G768" s="96" t="n">
        <v>766</v>
      </c>
      <c r="H768" s="97" t="n"/>
      <c r="I768" s="97" t="n"/>
      <c r="J768" s="97" t="n">
        <v>50.85032</v>
      </c>
      <c r="K768" s="97" t="n">
        <v>50.40998</v>
      </c>
      <c r="L768" s="97" t="n"/>
      <c r="M768" s="97" t="n"/>
      <c r="N768" s="97" t="n">
        <v>54.99033</v>
      </c>
      <c r="O768" s="97" t="n">
        <v>65.03534999999999</v>
      </c>
      <c r="P768" s="97" t="n">
        <v>82.17874</v>
      </c>
      <c r="Q768" s="97" t="n"/>
      <c r="R768" s="97" t="n">
        <v>52.37053</v>
      </c>
      <c r="S768" s="97" t="n">
        <v>78.75864</v>
      </c>
      <c r="T768" s="97" t="n">
        <v>77.44253999999999</v>
      </c>
      <c r="U768" s="97" t="n">
        <v>114.5007</v>
      </c>
      <c r="V768" s="97" t="n"/>
      <c r="W768" s="97" t="n">
        <v>8.070558999999999</v>
      </c>
      <c r="X768" s="97" t="n"/>
      <c r="Y768" s="97" t="n"/>
      <c r="Z768" s="97" t="n">
        <v>88.52946</v>
      </c>
      <c r="AA768" s="97" t="n">
        <v>72.09853</v>
      </c>
      <c r="AB768" s="97" t="n"/>
      <c r="AC768" s="97" t="n">
        <v>47.70149</v>
      </c>
      <c r="AD768" s="97" t="n"/>
      <c r="AE768" s="97" t="n">
        <v>56.82492</v>
      </c>
      <c r="AF768" s="97" t="n">
        <v>60.94349</v>
      </c>
      <c r="AG768" s="97" t="n">
        <v>56.06034</v>
      </c>
      <c r="AH768" s="97" t="n">
        <v>50.92028</v>
      </c>
      <c r="AI768" s="97" t="n"/>
      <c r="AJ768" s="97" t="n">
        <v>78.11005</v>
      </c>
      <c r="AK768" s="97" t="n"/>
      <c r="AL768" s="97" t="n"/>
      <c r="AM768" s="97" t="n">
        <v>55.22111</v>
      </c>
      <c r="AN768" s="97" t="n"/>
      <c r="AO768" s="97" t="n">
        <v>46.67308</v>
      </c>
      <c r="AP768" s="97" t="n">
        <v>62.70817</v>
      </c>
      <c r="AQ768" s="97" t="n"/>
      <c r="AR768" s="97" t="n"/>
      <c r="AS768" s="97" t="n"/>
      <c r="AT768" s="97" t="n"/>
      <c r="AU768" s="97" t="n"/>
      <c r="AV768" s="97" t="n"/>
      <c r="AW768" s="97" t="n"/>
      <c r="AX768" s="97" t="n"/>
      <c r="AY768" s="97" t="n">
        <v>59.78606</v>
      </c>
    </row>
    <row r="769" s="135">
      <c r="A769" t="inlineStr">
        <is>
          <t>1982-12</t>
        </is>
      </c>
      <c r="B769" s="2" t="n">
        <v>30286</v>
      </c>
      <c r="C769" s="96" t="n">
        <v>769</v>
      </c>
      <c r="E769" s="2">
        <f>B769</f>
        <v/>
      </c>
      <c r="F769" s="3">
        <f>B769</f>
        <v/>
      </c>
      <c r="G769" s="96" t="n">
        <v>767</v>
      </c>
      <c r="H769" s="97" t="n"/>
      <c r="I769" s="97" t="n"/>
      <c r="J769" s="97" t="n">
        <v>49.95319</v>
      </c>
      <c r="K769" s="97" t="n">
        <v>50.05285</v>
      </c>
      <c r="L769" s="97" t="n"/>
      <c r="M769" s="97" t="n"/>
      <c r="N769" s="97" t="n">
        <v>55.2372</v>
      </c>
      <c r="O769" s="97" t="n">
        <v>64.41</v>
      </c>
      <c r="P769" s="97" t="n">
        <v>80.27538</v>
      </c>
      <c r="Q769" s="97" t="n"/>
      <c r="R769" s="97" t="n">
        <v>52.9789</v>
      </c>
      <c r="S769" s="97" t="n">
        <v>79.08443</v>
      </c>
      <c r="T769" s="97" t="n">
        <v>78.51676999999999</v>
      </c>
      <c r="U769" s="97" t="n">
        <v>111.9263</v>
      </c>
      <c r="V769" s="97" t="n"/>
      <c r="W769" s="97" t="n">
        <v>7.755829</v>
      </c>
      <c r="X769" s="97" t="n"/>
      <c r="Y769" s="97" t="n"/>
      <c r="Z769" s="97" t="n">
        <v>89.47378999999999</v>
      </c>
      <c r="AA769" s="97" t="n">
        <v>71.34135999999999</v>
      </c>
      <c r="AB769" s="97" t="n"/>
      <c r="AC769" s="97" t="n">
        <v>45.16009</v>
      </c>
      <c r="AD769" s="97" t="n"/>
      <c r="AE769" s="97" t="n">
        <v>56.10196</v>
      </c>
      <c r="AF769" s="97" t="n">
        <v>62.95262</v>
      </c>
      <c r="AG769" s="97" t="n">
        <v>57.18155</v>
      </c>
      <c r="AH769" s="97" t="n">
        <v>50.76622</v>
      </c>
      <c r="AI769" s="97" t="n"/>
      <c r="AJ769" s="97" t="n">
        <v>80.05128000000001</v>
      </c>
      <c r="AK769" s="97" t="n"/>
      <c r="AL769" s="97" t="n"/>
      <c r="AM769" s="97" t="n">
        <v>56.31289</v>
      </c>
      <c r="AN769" s="97" t="n"/>
      <c r="AO769" s="97" t="n">
        <v>46.33728</v>
      </c>
      <c r="AP769" s="97" t="n">
        <v>62.28159</v>
      </c>
      <c r="AQ769" s="97" t="n"/>
      <c r="AR769" s="97" t="n"/>
      <c r="AS769" s="97" t="n"/>
      <c r="AT769" s="97" t="n"/>
      <c r="AU769" s="97" t="n"/>
      <c r="AV769" s="97" t="n"/>
      <c r="AW769" s="97" t="n"/>
      <c r="AX769" s="97" t="n"/>
      <c r="AY769" s="97" t="n">
        <v>59.16664</v>
      </c>
    </row>
    <row r="770" s="135">
      <c r="A770" t="inlineStr">
        <is>
          <t>1983-01</t>
        </is>
      </c>
      <c r="B770" s="2" t="n">
        <v>30317</v>
      </c>
      <c r="C770" s="96" t="n">
        <v>770</v>
      </c>
      <c r="E770" s="2">
        <f>B770</f>
        <v/>
      </c>
      <c r="F770" s="3">
        <f>B770</f>
        <v/>
      </c>
      <c r="G770" s="96" t="n">
        <v>768</v>
      </c>
      <c r="H770" s="97" t="n"/>
      <c r="I770" s="97" t="n"/>
      <c r="J770" s="97" t="n">
        <v>51.42221</v>
      </c>
      <c r="K770" s="97" t="n">
        <v>50.97716</v>
      </c>
      <c r="L770" s="97" t="n"/>
      <c r="M770" s="97" t="n"/>
      <c r="N770" s="97" t="n">
        <v>56.10125</v>
      </c>
      <c r="O770" s="97" t="n">
        <v>65.03534999999999</v>
      </c>
      <c r="P770" s="97" t="n">
        <v>83.78417</v>
      </c>
      <c r="Q770" s="97" t="n"/>
      <c r="R770" s="97" t="n">
        <v>52.42123</v>
      </c>
      <c r="S770" s="97" t="n">
        <v>79.24731</v>
      </c>
      <c r="T770" s="97" t="n">
        <v>79.59099999999999</v>
      </c>
      <c r="U770" s="97" t="n">
        <v>114.0322</v>
      </c>
      <c r="V770" s="97" t="n"/>
      <c r="W770" s="97" t="n">
        <v>8.879863</v>
      </c>
      <c r="X770" s="97" t="n"/>
      <c r="Y770" s="97" t="n"/>
      <c r="Z770" s="97" t="n">
        <v>89.70986000000001</v>
      </c>
      <c r="AA770" s="97" t="n">
        <v>71.93026999999999</v>
      </c>
      <c r="AB770" s="97" t="n"/>
      <c r="AC770" s="97" t="n">
        <v>47.49792</v>
      </c>
      <c r="AD770" s="97" t="n"/>
      <c r="AE770" s="97" t="n">
        <v>55.45129</v>
      </c>
      <c r="AF770" s="97" t="n">
        <v>62.28291</v>
      </c>
      <c r="AG770" s="97" t="n">
        <v>56.62094</v>
      </c>
      <c r="AH770" s="97" t="n">
        <v>51.37852</v>
      </c>
      <c r="AI770" s="97" t="n"/>
      <c r="AJ770" s="97" t="n">
        <v>79.31065</v>
      </c>
      <c r="AK770" s="97" t="n"/>
      <c r="AL770" s="97" t="n"/>
      <c r="AM770" s="97" t="n">
        <v>56.31289</v>
      </c>
      <c r="AN770" s="97" t="n"/>
      <c r="AO770" s="97" t="n">
        <v>47.23421</v>
      </c>
      <c r="AP770" s="97" t="n">
        <v>63.13476</v>
      </c>
      <c r="AQ770" s="97" t="n"/>
      <c r="AR770" s="97" t="n"/>
      <c r="AS770" s="97" t="n"/>
      <c r="AT770" s="97" t="n"/>
      <c r="AU770" s="97" t="n"/>
      <c r="AV770" s="97" t="n"/>
      <c r="AW770" s="97" t="n"/>
      <c r="AX770" s="97" t="n"/>
      <c r="AY770" s="97" t="n">
        <v>58.07689</v>
      </c>
    </row>
    <row r="771" s="135">
      <c r="A771" t="inlineStr">
        <is>
          <t>1983-02</t>
        </is>
      </c>
      <c r="B771" s="2" t="n">
        <v>30348</v>
      </c>
      <c r="C771" s="96" t="n">
        <v>771</v>
      </c>
      <c r="E771" s="2">
        <f>B771</f>
        <v/>
      </c>
      <c r="F771" s="3">
        <f>B771</f>
        <v/>
      </c>
      <c r="G771" s="96" t="n">
        <v>769</v>
      </c>
      <c r="H771" s="97" t="n"/>
      <c r="I771" s="97" t="n"/>
      <c r="J771" s="97" t="n">
        <v>51.54961</v>
      </c>
      <c r="K771" s="97" t="n">
        <v>51.0218</v>
      </c>
      <c r="L771" s="97" t="n"/>
      <c r="M771" s="97" t="n"/>
      <c r="N771" s="97" t="n">
        <v>55.60751</v>
      </c>
      <c r="O771" s="97" t="n">
        <v>64.41</v>
      </c>
      <c r="P771" s="97" t="n">
        <v>83.02045</v>
      </c>
      <c r="Q771" s="97" t="n"/>
      <c r="R771" s="97" t="n">
        <v>53.23239</v>
      </c>
      <c r="S771" s="97" t="n">
        <v>78.92153</v>
      </c>
      <c r="T771" s="97" t="n">
        <v>80.66524</v>
      </c>
      <c r="U771" s="97" t="n">
        <v>114.972</v>
      </c>
      <c r="V771" s="97" t="n"/>
      <c r="W771" s="97" t="n">
        <v>8.475210000000001</v>
      </c>
      <c r="X771" s="97" t="n"/>
      <c r="Y771" s="97" t="n"/>
      <c r="Z771" s="97" t="n">
        <v>89.35574</v>
      </c>
      <c r="AA771" s="97" t="n">
        <v>71.67788</v>
      </c>
      <c r="AB771" s="97" t="n"/>
      <c r="AC771" s="97" t="n">
        <v>50.07364</v>
      </c>
      <c r="AD771" s="97" t="n"/>
      <c r="AE771" s="97" t="n">
        <v>54.58373</v>
      </c>
      <c r="AF771" s="97" t="n">
        <v>63.62233</v>
      </c>
      <c r="AG771" s="97" t="n">
        <v>58.86335</v>
      </c>
      <c r="AH771" s="97" t="n">
        <v>51.22321</v>
      </c>
      <c r="AI771" s="97" t="n"/>
      <c r="AJ771" s="97" t="n">
        <v>81.0446</v>
      </c>
      <c r="AK771" s="97" t="n"/>
      <c r="AL771" s="97" t="n"/>
      <c r="AM771" s="97" t="n">
        <v>56.65767</v>
      </c>
      <c r="AN771" s="97" t="n"/>
      <c r="AO771" s="97" t="n">
        <v>46.93895</v>
      </c>
      <c r="AP771" s="97" t="n">
        <v>63.40548</v>
      </c>
      <c r="AQ771" s="97" t="n"/>
      <c r="AR771" s="97" t="n"/>
      <c r="AS771" s="97" t="n"/>
      <c r="AT771" s="97" t="n"/>
      <c r="AU771" s="97" t="n"/>
      <c r="AV771" s="97" t="n"/>
      <c r="AW771" s="97" t="n"/>
      <c r="AX771" s="97" t="n"/>
      <c r="AY771" s="97" t="n">
        <v>56.85143</v>
      </c>
    </row>
    <row r="772" s="135">
      <c r="A772" t="inlineStr">
        <is>
          <t>1983-03</t>
        </is>
      </c>
      <c r="B772" s="2" t="n">
        <v>30376</v>
      </c>
      <c r="C772" s="96" t="n">
        <v>772</v>
      </c>
      <c r="E772" s="2">
        <f>B772</f>
        <v/>
      </c>
      <c r="F772" s="3">
        <f>B772</f>
        <v/>
      </c>
      <c r="G772" s="96" t="n">
        <v>770</v>
      </c>
      <c r="H772" s="97" t="n"/>
      <c r="I772" s="97" t="n"/>
      <c r="J772" s="97" t="n">
        <v>51.64131</v>
      </c>
      <c r="K772" s="97" t="n">
        <v>51.36812</v>
      </c>
      <c r="L772" s="97" t="n"/>
      <c r="M772" s="97" t="n"/>
      <c r="N772" s="97" t="n">
        <v>56.59499</v>
      </c>
      <c r="O772" s="97" t="n">
        <v>63.15932</v>
      </c>
      <c r="P772" s="97" t="n">
        <v>84.73887999999999</v>
      </c>
      <c r="Q772" s="97" t="n"/>
      <c r="R772" s="97" t="n">
        <v>53.18169</v>
      </c>
      <c r="S772" s="97" t="n">
        <v>79.73599</v>
      </c>
      <c r="T772" s="97" t="n">
        <v>79.59099999999999</v>
      </c>
      <c r="U772" s="97" t="n">
        <v>113.7134</v>
      </c>
      <c r="V772" s="97" t="n"/>
      <c r="W772" s="97" t="n">
        <v>8.250403</v>
      </c>
      <c r="X772" s="97" t="n"/>
      <c r="Y772" s="97" t="n"/>
      <c r="Z772" s="97" t="n">
        <v>88.88357999999999</v>
      </c>
      <c r="AA772" s="97" t="n">
        <v>72.68743000000001</v>
      </c>
      <c r="AB772" s="97" t="n"/>
      <c r="AC772" s="97" t="n">
        <v>48.37643</v>
      </c>
      <c r="AD772" s="97" t="n"/>
      <c r="AE772" s="97" t="n">
        <v>53.71618</v>
      </c>
      <c r="AF772" s="97" t="n">
        <v>64.29204</v>
      </c>
      <c r="AG772" s="97" t="n">
        <v>56.62094</v>
      </c>
      <c r="AH772" s="97" t="n">
        <v>51.52083</v>
      </c>
      <c r="AI772" s="97" t="n"/>
      <c r="AJ772" s="97" t="n">
        <v>81.07961</v>
      </c>
      <c r="AK772" s="97" t="n"/>
      <c r="AL772" s="97" t="n"/>
      <c r="AM772" s="97" t="n">
        <v>56.31289</v>
      </c>
      <c r="AN772" s="97" t="n"/>
      <c r="AO772" s="97" t="n">
        <v>47.31989</v>
      </c>
      <c r="AP772" s="97" t="n">
        <v>63.99614</v>
      </c>
      <c r="AQ772" s="97" t="n"/>
      <c r="AR772" s="97" t="n"/>
      <c r="AS772" s="97" t="n"/>
      <c r="AT772" s="97" t="n"/>
      <c r="AU772" s="97" t="n"/>
      <c r="AV772" s="97" t="n"/>
      <c r="AW772" s="97" t="n"/>
      <c r="AX772" s="97" t="n"/>
      <c r="AY772" s="97" t="n">
        <v>58.95898</v>
      </c>
    </row>
    <row r="773" s="135">
      <c r="A773" t="inlineStr">
        <is>
          <t>1983-04</t>
        </is>
      </c>
      <c r="B773" s="2" t="n">
        <v>30407</v>
      </c>
      <c r="C773" s="96" t="n">
        <v>773</v>
      </c>
      <c r="E773" s="2">
        <f>B773</f>
        <v/>
      </c>
      <c r="F773" s="3">
        <f>B773</f>
        <v/>
      </c>
      <c r="G773" s="96" t="n">
        <v>771</v>
      </c>
      <c r="H773" s="97" t="n"/>
      <c r="I773" s="97" t="n"/>
      <c r="J773" s="97" t="n">
        <v>51.647</v>
      </c>
      <c r="K773" s="97" t="n">
        <v>52.20879</v>
      </c>
      <c r="L773" s="97" t="n"/>
      <c r="M773" s="97" t="n"/>
      <c r="N773" s="97" t="n">
        <v>57.15044</v>
      </c>
      <c r="O773" s="97" t="n">
        <v>65.66068</v>
      </c>
      <c r="P773" s="97" t="n">
        <v>82.80904</v>
      </c>
      <c r="Q773" s="97" t="n"/>
      <c r="R773" s="97" t="n">
        <v>54.14494</v>
      </c>
      <c r="S773" s="97" t="n">
        <v>79.24731</v>
      </c>
      <c r="T773" s="97" t="n">
        <v>80.46992</v>
      </c>
      <c r="U773" s="97" t="n">
        <v>117.921</v>
      </c>
      <c r="V773" s="97" t="n"/>
      <c r="W773" s="97" t="n">
        <v>8.09304</v>
      </c>
      <c r="X773" s="97" t="n"/>
      <c r="Y773" s="97" t="n"/>
      <c r="Z773" s="97" t="n">
        <v>88.41143</v>
      </c>
      <c r="AA773" s="97" t="n">
        <v>72.68743000000001</v>
      </c>
      <c r="AB773" s="97" t="n"/>
      <c r="AC773" s="97" t="n">
        <v>51.36726</v>
      </c>
      <c r="AD773" s="97" t="n"/>
      <c r="AE773" s="97" t="n">
        <v>53.57159</v>
      </c>
      <c r="AF773" s="97" t="n">
        <v>64.29204</v>
      </c>
      <c r="AG773" s="97" t="n">
        <v>62.22697</v>
      </c>
      <c r="AH773" s="97" t="n">
        <v>51.90537</v>
      </c>
      <c r="AI773" s="97" t="n"/>
      <c r="AJ773" s="97" t="n">
        <v>79.87526</v>
      </c>
      <c r="AK773" s="97" t="n"/>
      <c r="AL773" s="97" t="n"/>
      <c r="AM773" s="97" t="n">
        <v>57.80691</v>
      </c>
      <c r="AN773" s="97" t="n"/>
      <c r="AO773" s="97" t="n">
        <v>47.89821</v>
      </c>
      <c r="AP773" s="97" t="n">
        <v>63.76643</v>
      </c>
      <c r="AQ773" s="97" t="n"/>
      <c r="AR773" s="97" t="n"/>
      <c r="AS773" s="97" t="n"/>
      <c r="AT773" s="97" t="n"/>
      <c r="AU773" s="97" t="n"/>
      <c r="AV773" s="97" t="n"/>
      <c r="AW773" s="97" t="n"/>
      <c r="AX773" s="97" t="n"/>
      <c r="AY773" s="97" t="n">
        <v>58.40549</v>
      </c>
    </row>
    <row r="774" s="135">
      <c r="A774" t="inlineStr">
        <is>
          <t>1983-05</t>
        </is>
      </c>
      <c r="B774" s="2" t="n">
        <v>30437</v>
      </c>
      <c r="C774" s="96" t="n">
        <v>774</v>
      </c>
      <c r="E774" s="2">
        <f>B774</f>
        <v/>
      </c>
      <c r="F774" s="3">
        <f>B774</f>
        <v/>
      </c>
      <c r="G774" s="96" t="n">
        <v>772</v>
      </c>
      <c r="H774" s="97" t="n"/>
      <c r="I774" s="97" t="n"/>
      <c r="J774" s="97" t="n">
        <v>51.32644</v>
      </c>
      <c r="K774" s="97" t="n">
        <v>52.53914</v>
      </c>
      <c r="L774" s="97" t="n"/>
      <c r="M774" s="97" t="n"/>
      <c r="N774" s="97" t="n">
        <v>56.78014</v>
      </c>
      <c r="O774" s="97" t="n">
        <v>66.28603</v>
      </c>
      <c r="P774" s="97" t="n">
        <v>83.44328</v>
      </c>
      <c r="Q774" s="97" t="n"/>
      <c r="R774" s="97" t="n">
        <v>54.80401</v>
      </c>
      <c r="S774" s="97" t="n">
        <v>79.89888999999999</v>
      </c>
      <c r="T774" s="97" t="n">
        <v>81.4465</v>
      </c>
      <c r="U774" s="97" t="n">
        <v>107.993</v>
      </c>
      <c r="V774" s="97" t="n"/>
      <c r="W774" s="97" t="n">
        <v>8.205442</v>
      </c>
      <c r="X774" s="97" t="n"/>
      <c r="Y774" s="97" t="n"/>
      <c r="Z774" s="97" t="n">
        <v>87.113</v>
      </c>
      <c r="AA774" s="97" t="n">
        <v>73.02395</v>
      </c>
      <c r="AB774" s="97" t="n"/>
      <c r="AC774" s="97" t="n">
        <v>51.69737</v>
      </c>
      <c r="AD774" s="97" t="n"/>
      <c r="AE774" s="97" t="n">
        <v>52.99321</v>
      </c>
      <c r="AF774" s="97" t="n">
        <v>66.30116</v>
      </c>
      <c r="AG774" s="97" t="n">
        <v>59.42396</v>
      </c>
      <c r="AH774" s="97" t="n">
        <v>52.01444</v>
      </c>
      <c r="AI774" s="97" t="n"/>
      <c r="AJ774" s="97" t="n">
        <v>79.1889</v>
      </c>
      <c r="AK774" s="97" t="n"/>
      <c r="AL774" s="97" t="n"/>
      <c r="AM774" s="97" t="n">
        <v>57.46214</v>
      </c>
      <c r="AN774" s="97" t="n"/>
      <c r="AO774" s="97" t="n">
        <v>48.22565</v>
      </c>
      <c r="AP774" s="97" t="n">
        <v>63.89769</v>
      </c>
      <c r="AQ774" s="97" t="n"/>
      <c r="AR774" s="97" t="n"/>
      <c r="AS774" s="97" t="n"/>
      <c r="AT774" s="97" t="n"/>
      <c r="AU774" s="97" t="n"/>
      <c r="AV774" s="97" t="n"/>
      <c r="AW774" s="97" t="n"/>
      <c r="AX774" s="97" t="n"/>
      <c r="AY774" s="97" t="n">
        <v>60.06529</v>
      </c>
    </row>
    <row r="775" s="135">
      <c r="A775" t="inlineStr">
        <is>
          <t>1983-06</t>
        </is>
      </c>
      <c r="B775" s="2" t="n">
        <v>30468</v>
      </c>
      <c r="C775" s="96" t="n">
        <v>775</v>
      </c>
      <c r="E775" s="2">
        <f>B775</f>
        <v/>
      </c>
      <c r="F775" s="3">
        <f>B775</f>
        <v/>
      </c>
      <c r="G775" s="96" t="n">
        <v>773</v>
      </c>
      <c r="H775" s="97" t="n"/>
      <c r="I775" s="97" t="n"/>
      <c r="J775" s="97" t="n">
        <v>51.94737</v>
      </c>
      <c r="K775" s="97" t="n">
        <v>54.15469</v>
      </c>
      <c r="L775" s="97" t="n"/>
      <c r="M775" s="97" t="n"/>
      <c r="N775" s="97" t="n">
        <v>58.69338</v>
      </c>
      <c r="O775" s="97" t="n">
        <v>66.91136</v>
      </c>
      <c r="P775" s="97" t="n">
        <v>83.18004000000001</v>
      </c>
      <c r="Q775" s="97" t="n"/>
      <c r="R775" s="97" t="n">
        <v>55.56447</v>
      </c>
      <c r="S775" s="97" t="n">
        <v>79.89888999999999</v>
      </c>
      <c r="T775" s="97" t="n">
        <v>80.27460000000001</v>
      </c>
      <c r="U775" s="97" t="n">
        <v>115.6263</v>
      </c>
      <c r="V775" s="97" t="n"/>
      <c r="W775" s="97" t="n">
        <v>8.430249</v>
      </c>
      <c r="X775" s="97" t="n"/>
      <c r="Y775" s="97" t="n"/>
      <c r="Z775" s="97" t="n">
        <v>87.46711999999999</v>
      </c>
      <c r="AA775" s="97" t="n">
        <v>73.78111</v>
      </c>
      <c r="AB775" s="97" t="n"/>
      <c r="AC775" s="97" t="n">
        <v>50.33099</v>
      </c>
      <c r="AD775" s="97" t="n"/>
      <c r="AE775" s="97" t="n">
        <v>52.99321</v>
      </c>
      <c r="AF775" s="97" t="n">
        <v>63.62233</v>
      </c>
      <c r="AG775" s="97" t="n">
        <v>60.54517</v>
      </c>
      <c r="AH775" s="97" t="n">
        <v>52.43801</v>
      </c>
      <c r="AI775" s="97" t="n"/>
      <c r="AJ775" s="97" t="n">
        <v>81.2283</v>
      </c>
      <c r="AK775" s="97" t="n"/>
      <c r="AL775" s="97" t="n"/>
      <c r="AM775" s="97" t="n">
        <v>57.80691</v>
      </c>
      <c r="AN775" s="97" t="n"/>
      <c r="AO775" s="97" t="n">
        <v>48.51428</v>
      </c>
      <c r="AP775" s="97" t="n">
        <v>64.38171</v>
      </c>
      <c r="AQ775" s="97" t="n"/>
      <c r="AR775" s="97" t="n"/>
      <c r="AS775" s="97" t="n"/>
      <c r="AT775" s="97" t="n"/>
      <c r="AU775" s="97" t="n"/>
      <c r="AV775" s="97" t="n"/>
      <c r="AW775" s="97" t="n"/>
      <c r="AX775" s="97" t="n"/>
      <c r="AY775" s="97" t="n">
        <v>58.01046</v>
      </c>
    </row>
    <row r="776" s="135">
      <c r="A776" t="inlineStr">
        <is>
          <t>1983-07</t>
        </is>
      </c>
      <c r="B776" s="2" t="n">
        <v>30498</v>
      </c>
      <c r="C776" s="96" t="n">
        <v>776</v>
      </c>
      <c r="E776" s="2">
        <f>B776</f>
        <v/>
      </c>
      <c r="F776" s="3">
        <f>B776</f>
        <v/>
      </c>
      <c r="G776" s="96" t="n">
        <v>774</v>
      </c>
      <c r="H776" s="97" t="n"/>
      <c r="I776" s="97" t="n"/>
      <c r="J776" s="97" t="n">
        <v>52.33246</v>
      </c>
      <c r="K776" s="97" t="n">
        <v>54.15281</v>
      </c>
      <c r="L776" s="97" t="n"/>
      <c r="M776" s="97" t="n"/>
      <c r="N776" s="97" t="n">
        <v>56.03953</v>
      </c>
      <c r="O776" s="97" t="n">
        <v>65.66068</v>
      </c>
      <c r="P776" s="97" t="n">
        <v>81.97673</v>
      </c>
      <c r="Q776" s="97" t="n"/>
      <c r="R776" s="97" t="n">
        <v>53.08029</v>
      </c>
      <c r="S776" s="97" t="n">
        <v>78.67719</v>
      </c>
      <c r="T776" s="97" t="n">
        <v>81.54416000000001</v>
      </c>
      <c r="U776" s="97" t="n">
        <v>116.4465</v>
      </c>
      <c r="V776" s="97" t="n"/>
      <c r="W776" s="97" t="n">
        <v>8.969785</v>
      </c>
      <c r="X776" s="97" t="n"/>
      <c r="Y776" s="97" t="n"/>
      <c r="Z776" s="97" t="n">
        <v>89.8279</v>
      </c>
      <c r="AA776" s="97" t="n">
        <v>73.52872000000001</v>
      </c>
      <c r="AB776" s="97" t="n"/>
      <c r="AC776" s="97" t="n">
        <v>51.8699</v>
      </c>
      <c r="AD776" s="97" t="n"/>
      <c r="AE776" s="97" t="n">
        <v>53.06551</v>
      </c>
      <c r="AF776" s="97" t="n">
        <v>64.29204</v>
      </c>
      <c r="AG776" s="97" t="n">
        <v>61.66637</v>
      </c>
      <c r="AH776" s="97" t="n">
        <v>52.53955</v>
      </c>
      <c r="AI776" s="97" t="n"/>
      <c r="AJ776" s="97" t="n">
        <v>78.87468</v>
      </c>
      <c r="AK776" s="97" t="n"/>
      <c r="AL776" s="97" t="n"/>
      <c r="AM776" s="97" t="n">
        <v>59.24346</v>
      </c>
      <c r="AN776" s="97" t="n"/>
      <c r="AO776" s="97" t="n">
        <v>49.24849</v>
      </c>
      <c r="AP776" s="97" t="n">
        <v>64.02894999999999</v>
      </c>
      <c r="AQ776" s="97" t="n"/>
      <c r="AR776" s="97" t="n"/>
      <c r="AS776" s="97" t="n"/>
      <c r="AT776" s="97" t="n"/>
      <c r="AU776" s="97" t="n"/>
      <c r="AV776" s="97" t="n"/>
      <c r="AW776" s="97" t="n"/>
      <c r="AX776" s="97" t="n"/>
      <c r="AY776" s="97" t="n">
        <v>57.86499</v>
      </c>
    </row>
    <row r="777" s="135">
      <c r="A777" t="inlineStr">
        <is>
          <t>1983-08</t>
        </is>
      </c>
      <c r="B777" s="2" t="n">
        <v>30529</v>
      </c>
      <c r="C777" s="96" t="n">
        <v>777</v>
      </c>
      <c r="E777" s="2">
        <f>B777</f>
        <v/>
      </c>
      <c r="F777" s="3">
        <f>B777</f>
        <v/>
      </c>
      <c r="G777" s="96" t="n">
        <v>775</v>
      </c>
      <c r="H777" s="97" t="n"/>
      <c r="I777" s="97" t="n"/>
      <c r="J777" s="97" t="n">
        <v>53.22142</v>
      </c>
      <c r="K777" s="97" t="n">
        <v>55.52447</v>
      </c>
      <c r="L777" s="97" t="n"/>
      <c r="M777" s="97" t="n"/>
      <c r="N777" s="97" t="n">
        <v>56.59499</v>
      </c>
      <c r="O777" s="97" t="n">
        <v>66.28603</v>
      </c>
      <c r="P777" s="97" t="n">
        <v>82.29709</v>
      </c>
      <c r="Q777" s="97" t="n"/>
      <c r="R777" s="97" t="n">
        <v>55.41238</v>
      </c>
      <c r="S777" s="97" t="n">
        <v>78.67719</v>
      </c>
      <c r="T777" s="97" t="n">
        <v>81.64182</v>
      </c>
      <c r="U777" s="97" t="n">
        <v>118.8584</v>
      </c>
      <c r="V777" s="97" t="n"/>
      <c r="W777" s="97" t="n">
        <v>8.610094</v>
      </c>
      <c r="X777" s="97" t="n"/>
      <c r="Y777" s="97" t="n"/>
      <c r="Z777" s="97" t="n">
        <v>91.24437</v>
      </c>
      <c r="AA777" s="97" t="n">
        <v>75.21129999999999</v>
      </c>
      <c r="AB777" s="97" t="n"/>
      <c r="AC777" s="97" t="n">
        <v>51.94299</v>
      </c>
      <c r="AD777" s="97" t="n"/>
      <c r="AE777" s="97" t="n">
        <v>52.92092</v>
      </c>
      <c r="AF777" s="97" t="n">
        <v>63.62233</v>
      </c>
      <c r="AG777" s="97" t="n">
        <v>60.54517</v>
      </c>
      <c r="AH777" s="97" t="n">
        <v>53.06441</v>
      </c>
      <c r="AI777" s="97" t="n"/>
      <c r="AJ777" s="97" t="n">
        <v>77.64584000000001</v>
      </c>
      <c r="AK777" s="97" t="n"/>
      <c r="AL777" s="97" t="n"/>
      <c r="AM777" s="97" t="n">
        <v>57.86437</v>
      </c>
      <c r="AN777" s="97" t="n"/>
      <c r="AO777" s="97" t="n">
        <v>49.798</v>
      </c>
      <c r="AP777" s="97" t="n">
        <v>64.3653</v>
      </c>
      <c r="AQ777" s="97" t="n"/>
      <c r="AR777" s="97" t="n"/>
      <c r="AS777" s="97" t="n"/>
      <c r="AT777" s="97" t="n"/>
      <c r="AU777" s="97" t="n"/>
      <c r="AV777" s="97" t="n"/>
      <c r="AW777" s="97" t="n"/>
      <c r="AX777" s="97" t="n"/>
      <c r="AY777" s="97" t="n">
        <v>59.20052</v>
      </c>
    </row>
    <row r="778" s="135">
      <c r="A778" t="inlineStr">
        <is>
          <t>1983-09</t>
        </is>
      </c>
      <c r="B778" s="2" t="n">
        <v>30560</v>
      </c>
      <c r="C778" s="96" t="n">
        <v>778</v>
      </c>
      <c r="E778" s="2">
        <f>B778</f>
        <v/>
      </c>
      <c r="F778" s="3">
        <f>B778</f>
        <v/>
      </c>
      <c r="G778" s="96" t="n">
        <v>776</v>
      </c>
      <c r="H778" s="97" t="n"/>
      <c r="I778" s="97" t="n"/>
      <c r="J778" s="97" t="n">
        <v>51.48923</v>
      </c>
      <c r="K778" s="97" t="n">
        <v>56.64896</v>
      </c>
      <c r="L778" s="97" t="n"/>
      <c r="M778" s="97" t="n"/>
      <c r="N778" s="97" t="n">
        <v>58.07621</v>
      </c>
      <c r="O778" s="97" t="n">
        <v>68.16204</v>
      </c>
      <c r="P778" s="97" t="n">
        <v>83.74316</v>
      </c>
      <c r="Q778" s="97" t="n"/>
      <c r="R778" s="97" t="n">
        <v>55.46308</v>
      </c>
      <c r="S778" s="97" t="n">
        <v>79.49165000000001</v>
      </c>
      <c r="T778" s="97" t="n">
        <v>82.03245</v>
      </c>
      <c r="U778" s="97" t="n">
        <v>114.5971</v>
      </c>
      <c r="V778" s="97" t="n"/>
      <c r="W778" s="97" t="n">
        <v>8.520172000000001</v>
      </c>
      <c r="X778" s="97" t="n"/>
      <c r="Y778" s="97" t="n"/>
      <c r="Z778" s="97" t="n">
        <v>89.35574</v>
      </c>
      <c r="AA778" s="97" t="n">
        <v>76.22085</v>
      </c>
      <c r="AB778" s="97" t="n"/>
      <c r="AC778" s="97" t="n">
        <v>53.19385</v>
      </c>
      <c r="AD778" s="97" t="n"/>
      <c r="AE778" s="97" t="n">
        <v>53.2101</v>
      </c>
      <c r="AF778" s="97" t="n">
        <v>63.62233</v>
      </c>
      <c r="AG778" s="97" t="n">
        <v>61.10577</v>
      </c>
      <c r="AH778" s="97" t="n">
        <v>53.64944</v>
      </c>
      <c r="AI778" s="97" t="n"/>
      <c r="AJ778" s="97" t="n">
        <v>80.45668999999999</v>
      </c>
      <c r="AK778" s="97" t="n"/>
      <c r="AL778" s="97" t="n"/>
      <c r="AM778" s="97" t="n">
        <v>58.61138</v>
      </c>
      <c r="AN778" s="97" t="n"/>
      <c r="AO778" s="97" t="n">
        <v>50.55191</v>
      </c>
      <c r="AP778" s="97" t="n">
        <v>65.02979000000001</v>
      </c>
      <c r="AQ778" s="97" t="n"/>
      <c r="AR778" s="97" t="n"/>
      <c r="AS778" s="97" t="n"/>
      <c r="AT778" s="97" t="n"/>
      <c r="AU778" s="97" t="n"/>
      <c r="AV778" s="97" t="n"/>
      <c r="AW778" s="97" t="n"/>
      <c r="AX778" s="97" t="n"/>
      <c r="AY778" s="97" t="n">
        <v>58.94696</v>
      </c>
    </row>
    <row r="779" s="135">
      <c r="A779" t="inlineStr">
        <is>
          <t>1983-10</t>
        </is>
      </c>
      <c r="B779" s="2" t="n">
        <v>30590</v>
      </c>
      <c r="C779" s="96" t="n">
        <v>779</v>
      </c>
      <c r="E779" s="2">
        <f>B779</f>
        <v/>
      </c>
      <c r="F779" s="3">
        <f>B779</f>
        <v/>
      </c>
      <c r="G779" s="96" t="n">
        <v>777</v>
      </c>
      <c r="H779" s="97" t="n"/>
      <c r="I779" s="97" t="n"/>
      <c r="J779" s="97" t="n">
        <v>52.71038</v>
      </c>
      <c r="K779" s="97" t="n">
        <v>56.14428</v>
      </c>
      <c r="L779" s="97" t="n"/>
      <c r="M779" s="97" t="n"/>
      <c r="N779" s="97" t="n">
        <v>57.89106</v>
      </c>
      <c r="O779" s="97" t="n">
        <v>66.91136</v>
      </c>
      <c r="P779" s="97" t="n">
        <v>82.78012</v>
      </c>
      <c r="Q779" s="97" t="n"/>
      <c r="R779" s="97" t="n">
        <v>54.9561</v>
      </c>
      <c r="S779" s="97" t="n">
        <v>78.75864</v>
      </c>
      <c r="T779" s="97" t="n">
        <v>82.81371</v>
      </c>
      <c r="U779" s="97" t="n">
        <v>114.659</v>
      </c>
      <c r="V779" s="97" t="n"/>
      <c r="W779" s="97" t="n">
        <v>8.700017000000001</v>
      </c>
      <c r="X779" s="97" t="n"/>
      <c r="Y779" s="97" t="n"/>
      <c r="Z779" s="97" t="n">
        <v>89.8279</v>
      </c>
      <c r="AA779" s="97" t="n">
        <v>75.88433000000001</v>
      </c>
      <c r="AB779" s="97" t="n"/>
      <c r="AC779" s="97" t="n">
        <v>54.21965</v>
      </c>
      <c r="AD779" s="97" t="n"/>
      <c r="AE779" s="97" t="n">
        <v>53.57159</v>
      </c>
      <c r="AF779" s="97" t="n">
        <v>63.62233</v>
      </c>
      <c r="AG779" s="97" t="n">
        <v>62.22697</v>
      </c>
      <c r="AH779" s="97" t="n">
        <v>53.8132</v>
      </c>
      <c r="AI779" s="97" t="n"/>
      <c r="AJ779" s="97" t="n">
        <v>80.1692</v>
      </c>
      <c r="AK779" s="97" t="n"/>
      <c r="AL779" s="97" t="n"/>
      <c r="AM779" s="97" t="n">
        <v>59.70316</v>
      </c>
      <c r="AN779" s="97" t="n"/>
      <c r="AO779" s="97" t="n">
        <v>50.97223</v>
      </c>
      <c r="AP779" s="97" t="n">
        <v>64.8411</v>
      </c>
      <c r="AQ779" s="97" t="n"/>
      <c r="AR779" s="97" t="n"/>
      <c r="AS779" s="97" t="n"/>
      <c r="AT779" s="97" t="n"/>
      <c r="AU779" s="97" t="n"/>
      <c r="AV779" s="97" t="n"/>
      <c r="AW779" s="97" t="n"/>
      <c r="AX779" s="97" t="n"/>
      <c r="AY779" s="97" t="n">
        <v>59.5078</v>
      </c>
    </row>
    <row r="780" s="135">
      <c r="A780" t="inlineStr">
        <is>
          <t>1983-11</t>
        </is>
      </c>
      <c r="B780" s="2" t="n">
        <v>30621</v>
      </c>
      <c r="C780" s="96" t="n">
        <v>780</v>
      </c>
      <c r="E780" s="2">
        <f>B780</f>
        <v/>
      </c>
      <c r="F780" s="3">
        <f>B780</f>
        <v/>
      </c>
      <c r="G780" s="96" t="n">
        <v>778</v>
      </c>
      <c r="H780" s="97" t="n"/>
      <c r="I780" s="97" t="n"/>
      <c r="J780" s="97" t="n">
        <v>53.99677</v>
      </c>
      <c r="K780" s="97" t="n">
        <v>56.90131</v>
      </c>
      <c r="L780" s="97" t="n"/>
      <c r="M780" s="97" t="n"/>
      <c r="N780" s="97" t="n">
        <v>58.63166</v>
      </c>
      <c r="O780" s="97" t="n">
        <v>67.53671</v>
      </c>
      <c r="P780" s="97" t="n">
        <v>83.08634000000001</v>
      </c>
      <c r="Q780" s="97" t="n"/>
      <c r="R780" s="97" t="n">
        <v>55.86866</v>
      </c>
      <c r="S780" s="97" t="n">
        <v>80.71335000000001</v>
      </c>
      <c r="T780" s="97" t="n">
        <v>82.71605</v>
      </c>
      <c r="U780" s="97" t="n">
        <v>116.2454</v>
      </c>
      <c r="V780" s="97" t="n"/>
      <c r="W780" s="97" t="n">
        <v>8.565132999999999</v>
      </c>
      <c r="X780" s="97" t="n"/>
      <c r="Y780" s="97" t="n"/>
      <c r="Z780" s="97" t="n">
        <v>91.48045</v>
      </c>
      <c r="AA780" s="97" t="n">
        <v>76.64149</v>
      </c>
      <c r="AB780" s="97" t="n"/>
      <c r="AC780" s="97" t="n">
        <v>55.67311</v>
      </c>
      <c r="AD780" s="97" t="n"/>
      <c r="AE780" s="97" t="n">
        <v>53.42699</v>
      </c>
      <c r="AF780" s="97" t="n">
        <v>64.96174999999999</v>
      </c>
      <c r="AG780" s="97" t="n">
        <v>61.66637</v>
      </c>
      <c r="AH780" s="97" t="n">
        <v>54.22152</v>
      </c>
      <c r="AI780" s="97" t="n"/>
      <c r="AJ780" s="97" t="n">
        <v>78.83862999999999</v>
      </c>
      <c r="AK780" s="97" t="n"/>
      <c r="AL780" s="97" t="n"/>
      <c r="AM780" s="97" t="n">
        <v>59.76062</v>
      </c>
      <c r="AN780" s="97" t="n"/>
      <c r="AO780" s="97" t="n">
        <v>51.1504</v>
      </c>
      <c r="AP780" s="97" t="n">
        <v>65.47278</v>
      </c>
      <c r="AQ780" s="97" t="n"/>
      <c r="AR780" s="97" t="n"/>
      <c r="AS780" s="97" t="n"/>
      <c r="AT780" s="97" t="n"/>
      <c r="AU780" s="97" t="n"/>
      <c r="AV780" s="97" t="n"/>
      <c r="AW780" s="97" t="n"/>
      <c r="AX780" s="97" t="n"/>
      <c r="AY780" s="97" t="n">
        <v>59.84797</v>
      </c>
    </row>
    <row r="781" s="135">
      <c r="A781" t="inlineStr">
        <is>
          <t>1983-12</t>
        </is>
      </c>
      <c r="B781" s="2" t="n">
        <v>30651</v>
      </c>
      <c r="C781" s="96" t="n">
        <v>781</v>
      </c>
      <c r="E781" s="2">
        <f>B781</f>
        <v/>
      </c>
      <c r="F781" s="3">
        <f>B781</f>
        <v/>
      </c>
      <c r="G781" s="96" t="n">
        <v>779</v>
      </c>
      <c r="H781" s="97" t="n"/>
      <c r="I781" s="97" t="n"/>
      <c r="J781" s="97" t="n">
        <v>52.29383</v>
      </c>
      <c r="K781" s="97" t="n">
        <v>58.62634</v>
      </c>
      <c r="L781" s="97" t="n"/>
      <c r="M781" s="97" t="n"/>
      <c r="N781" s="97" t="n">
        <v>59.8043</v>
      </c>
      <c r="O781" s="97" t="n">
        <v>70.03806</v>
      </c>
      <c r="P781" s="97" t="n">
        <v>85.05688000000001</v>
      </c>
      <c r="Q781" s="97" t="n"/>
      <c r="R781" s="97" t="n">
        <v>53.84076</v>
      </c>
      <c r="S781" s="97" t="n">
        <v>81.12058</v>
      </c>
      <c r="T781" s="97" t="n">
        <v>83.10668</v>
      </c>
      <c r="U781" s="97" t="n">
        <v>116.9944</v>
      </c>
      <c r="V781" s="97" t="n"/>
      <c r="W781" s="97" t="n">
        <v>9.217072</v>
      </c>
      <c r="X781" s="97" t="n"/>
      <c r="Y781" s="97" t="n"/>
      <c r="Z781" s="97" t="n">
        <v>91.83457</v>
      </c>
      <c r="AA781" s="97" t="n">
        <v>77.65103999999999</v>
      </c>
      <c r="AB781" s="97" t="n"/>
      <c r="AC781" s="97" t="n">
        <v>55.80736</v>
      </c>
      <c r="AD781" s="97" t="n"/>
      <c r="AE781" s="97" t="n">
        <v>54.43914</v>
      </c>
      <c r="AF781" s="97" t="n">
        <v>66.30116</v>
      </c>
      <c r="AG781" s="97" t="n">
        <v>62.78758</v>
      </c>
      <c r="AH781" s="97" t="n">
        <v>54.73335</v>
      </c>
      <c r="AI781" s="97" t="n"/>
      <c r="AJ781" s="97" t="n">
        <v>80.2655</v>
      </c>
      <c r="AK781" s="97" t="n"/>
      <c r="AL781" s="97" t="n"/>
      <c r="AM781" s="97" t="n">
        <v>59.47331</v>
      </c>
      <c r="AN781" s="97" t="n"/>
      <c r="AO781" s="97" t="n">
        <v>51.4202</v>
      </c>
      <c r="AP781" s="97" t="n">
        <v>66.19468999999999</v>
      </c>
      <c r="AQ781" s="97" t="n"/>
      <c r="AR781" s="97" t="n"/>
      <c r="AS781" s="97" t="n"/>
      <c r="AT781" s="97" t="n"/>
      <c r="AU781" s="97" t="n"/>
      <c r="AV781" s="97" t="n"/>
      <c r="AW781" s="97" t="n"/>
      <c r="AX781" s="97" t="n"/>
      <c r="AY781" s="97" t="n">
        <v>60.60732</v>
      </c>
    </row>
    <row r="782" s="135">
      <c r="A782" t="inlineStr">
        <is>
          <t>1984-01</t>
        </is>
      </c>
      <c r="B782" s="2" t="n">
        <v>30682</v>
      </c>
      <c r="C782" s="96" t="n">
        <v>782</v>
      </c>
      <c r="E782" s="2">
        <f>B782</f>
        <v/>
      </c>
      <c r="F782" s="3">
        <f>B782</f>
        <v/>
      </c>
      <c r="G782" s="96" t="n">
        <v>780</v>
      </c>
      <c r="H782" s="97" t="n"/>
      <c r="I782" s="97" t="n"/>
      <c r="J782" s="97" t="n">
        <v>53.20592</v>
      </c>
      <c r="K782" s="97" t="n">
        <v>58.25417</v>
      </c>
      <c r="L782" s="97" t="n"/>
      <c r="M782" s="97" t="n"/>
      <c r="N782" s="97" t="n">
        <v>59.06369</v>
      </c>
      <c r="O782" s="97" t="n">
        <v>70.66341</v>
      </c>
      <c r="P782" s="97" t="n">
        <v>84.97675</v>
      </c>
      <c r="Q782" s="97" t="n"/>
      <c r="R782" s="97" t="n">
        <v>55.81796</v>
      </c>
      <c r="S782" s="97" t="n">
        <v>81.44637</v>
      </c>
      <c r="T782" s="97" t="n">
        <v>84.37623000000001</v>
      </c>
      <c r="U782" s="97" t="n">
        <v>117.9161</v>
      </c>
      <c r="V782" s="97" t="n"/>
      <c r="W782" s="97" t="n">
        <v>8.812421000000001</v>
      </c>
      <c r="X782" s="97" t="n"/>
      <c r="Y782" s="97" t="n"/>
      <c r="Z782" s="97" t="n">
        <v>92.30672</v>
      </c>
      <c r="AA782" s="97" t="n">
        <v>78.23994</v>
      </c>
      <c r="AB782" s="97" t="n"/>
      <c r="AC782" s="97" t="n">
        <v>55.06539</v>
      </c>
      <c r="AD782" s="97" t="n"/>
      <c r="AE782" s="97" t="n">
        <v>54.36684</v>
      </c>
      <c r="AF782" s="97" t="n">
        <v>67.64058</v>
      </c>
      <c r="AG782" s="97" t="n">
        <v>64.46939</v>
      </c>
      <c r="AH782" s="97" t="n">
        <v>55.30391</v>
      </c>
      <c r="AI782" s="97" t="n"/>
      <c r="AJ782" s="97" t="n">
        <v>80.58244999999999</v>
      </c>
      <c r="AK782" s="97" t="n"/>
      <c r="AL782" s="97" t="n"/>
      <c r="AM782" s="97" t="n">
        <v>60.79494</v>
      </c>
      <c r="AN782" s="97" t="n"/>
      <c r="AO782" s="97" t="n">
        <v>52.44459</v>
      </c>
      <c r="AP782" s="97" t="n">
        <v>65.76810999999999</v>
      </c>
      <c r="AQ782" s="97" t="n"/>
      <c r="AR782" s="97" t="n"/>
      <c r="AS782" s="97" t="n"/>
      <c r="AT782" s="97" t="n"/>
      <c r="AU782" s="97" t="n"/>
      <c r="AV782" s="97" t="n"/>
      <c r="AW782" s="97" t="n"/>
      <c r="AX782" s="97" t="n"/>
      <c r="AY782" s="97" t="n">
        <v>59.39552</v>
      </c>
    </row>
    <row r="783" s="135">
      <c r="A783" t="inlineStr">
        <is>
          <t>1984-02</t>
        </is>
      </c>
      <c r="B783" s="2" t="n">
        <v>30713</v>
      </c>
      <c r="C783" s="96" t="n">
        <v>783</v>
      </c>
      <c r="E783" s="2">
        <f>B783</f>
        <v/>
      </c>
      <c r="F783" s="3">
        <f>B783</f>
        <v/>
      </c>
      <c r="G783" s="96" t="n">
        <v>781</v>
      </c>
      <c r="H783" s="97" t="n"/>
      <c r="I783" s="97" t="n"/>
      <c r="J783" s="97" t="n">
        <v>52.98836</v>
      </c>
      <c r="K783" s="97" t="n">
        <v>58.05728</v>
      </c>
      <c r="L783" s="97" t="n"/>
      <c r="M783" s="97" t="n"/>
      <c r="N783" s="97" t="n">
        <v>59.61915</v>
      </c>
      <c r="O783" s="97" t="n">
        <v>70.03806</v>
      </c>
      <c r="P783" s="97" t="n">
        <v>84.20097</v>
      </c>
      <c r="Q783" s="97" t="n"/>
      <c r="R783" s="97" t="n">
        <v>55.15889</v>
      </c>
      <c r="S783" s="97" t="n">
        <v>81.20202999999999</v>
      </c>
      <c r="T783" s="97" t="n">
        <v>83.59497</v>
      </c>
      <c r="U783" s="97" t="n">
        <v>112.3087</v>
      </c>
      <c r="V783" s="97" t="n"/>
      <c r="W783" s="97" t="n">
        <v>8.924823999999999</v>
      </c>
      <c r="X783" s="97" t="n"/>
      <c r="Y783" s="97" t="n"/>
      <c r="Z783" s="97" t="n">
        <v>88.88357999999999</v>
      </c>
      <c r="AA783" s="97" t="n">
        <v>80.17489999999999</v>
      </c>
      <c r="AB783" s="97" t="n"/>
      <c r="AC783" s="97" t="n">
        <v>55.95452</v>
      </c>
      <c r="AD783" s="97" t="n"/>
      <c r="AE783" s="97" t="n">
        <v>54.22225</v>
      </c>
      <c r="AF783" s="97" t="n">
        <v>66.97087000000001</v>
      </c>
      <c r="AG783" s="97" t="n">
        <v>62.22697</v>
      </c>
      <c r="AH783" s="97" t="n">
        <v>55.41216</v>
      </c>
      <c r="AI783" s="97" t="n"/>
      <c r="AJ783" s="97" t="n">
        <v>82.49702000000001</v>
      </c>
      <c r="AK783" s="97" t="n"/>
      <c r="AL783" s="97" t="n"/>
      <c r="AM783" s="97" t="n">
        <v>60.62255</v>
      </c>
      <c r="AN783" s="97" t="n"/>
      <c r="AO783" s="97" t="n">
        <v>52.66954</v>
      </c>
      <c r="AP783" s="97" t="n">
        <v>65.57943</v>
      </c>
      <c r="AQ783" s="97" t="n"/>
      <c r="AR783" s="97" t="n"/>
      <c r="AS783" s="97" t="n"/>
      <c r="AT783" s="97" t="n"/>
      <c r="AU783" s="97" t="n"/>
      <c r="AV783" s="97" t="n"/>
      <c r="AW783" s="97" t="n"/>
      <c r="AX783" s="97" t="n"/>
      <c r="AY783" s="97" t="n">
        <v>61.7224</v>
      </c>
    </row>
    <row r="784" s="135">
      <c r="A784" t="inlineStr">
        <is>
          <t>1984-03</t>
        </is>
      </c>
      <c r="B784" s="2" t="n">
        <v>30742</v>
      </c>
      <c r="C784" s="96" t="n">
        <v>784</v>
      </c>
      <c r="E784" s="2">
        <f>B784</f>
        <v/>
      </c>
      <c r="F784" s="3">
        <f>B784</f>
        <v/>
      </c>
      <c r="G784" s="96" t="n">
        <v>782</v>
      </c>
      <c r="H784" s="97" t="n"/>
      <c r="I784" s="97" t="n"/>
      <c r="J784" s="97" t="n">
        <v>53.11342</v>
      </c>
      <c r="K784" s="97" t="n">
        <v>58.88855</v>
      </c>
      <c r="L784" s="97" t="n"/>
      <c r="M784" s="97" t="n"/>
      <c r="N784" s="97" t="n">
        <v>58.69338</v>
      </c>
      <c r="O784" s="97" t="n">
        <v>71.91409</v>
      </c>
      <c r="P784" s="97" t="n">
        <v>82.77912000000001</v>
      </c>
      <c r="Q784" s="97" t="n"/>
      <c r="R784" s="97" t="n">
        <v>55.66587</v>
      </c>
      <c r="S784" s="97" t="n">
        <v>81.03914</v>
      </c>
      <c r="T784" s="97" t="n">
        <v>82.52074</v>
      </c>
      <c r="U784" s="97" t="n">
        <v>118.4347</v>
      </c>
      <c r="V784" s="97" t="n"/>
      <c r="W784" s="97" t="n">
        <v>9.12715</v>
      </c>
      <c r="X784" s="97" t="n"/>
      <c r="Y784" s="97" t="n"/>
      <c r="Z784" s="97" t="n">
        <v>90.53613</v>
      </c>
      <c r="AA784" s="97" t="n">
        <v>79.50188</v>
      </c>
      <c r="AB784" s="97" t="n"/>
      <c r="AC784" s="97" t="n">
        <v>55.92768</v>
      </c>
      <c r="AD784" s="97" t="n"/>
      <c r="AE784" s="97" t="n">
        <v>54.80062</v>
      </c>
      <c r="AF784" s="97" t="n">
        <v>68.31028999999999</v>
      </c>
      <c r="AG784" s="97" t="n">
        <v>62.78758</v>
      </c>
      <c r="AH784" s="97" t="n">
        <v>55.41268</v>
      </c>
      <c r="AI784" s="97" t="n"/>
      <c r="AJ784" s="97" t="n">
        <v>78.85169999999999</v>
      </c>
      <c r="AK784" s="97" t="n"/>
      <c r="AL784" s="97" t="n"/>
      <c r="AM784" s="97" t="n">
        <v>60.33524</v>
      </c>
      <c r="AN784" s="97" t="n"/>
      <c r="AO784" s="97" t="n">
        <v>52.92907</v>
      </c>
      <c r="AP784" s="97" t="n">
        <v>65.40715</v>
      </c>
      <c r="AQ784" s="97" t="n"/>
      <c r="AR784" s="97" t="n"/>
      <c r="AS784" s="97" t="n"/>
      <c r="AT784" s="97" t="n"/>
      <c r="AU784" s="97" t="n"/>
      <c r="AV784" s="97" t="n"/>
      <c r="AW784" s="97" t="n"/>
      <c r="AX784" s="97" t="n"/>
      <c r="AY784" s="97" t="n">
        <v>58.8949</v>
      </c>
    </row>
    <row r="785" s="135">
      <c r="A785" t="inlineStr">
        <is>
          <t>1984-04</t>
        </is>
      </c>
      <c r="B785" s="2" t="n">
        <v>30773</v>
      </c>
      <c r="C785" s="96" t="n">
        <v>785</v>
      </c>
      <c r="E785" s="2">
        <f>B785</f>
        <v/>
      </c>
      <c r="F785" s="3">
        <f>B785</f>
        <v/>
      </c>
      <c r="G785" s="96" t="n">
        <v>783</v>
      </c>
      <c r="H785" s="97" t="n"/>
      <c r="I785" s="97" t="n"/>
      <c r="J785" s="97" t="n">
        <v>52.77778</v>
      </c>
      <c r="K785" s="97" t="n">
        <v>60.65306</v>
      </c>
      <c r="L785" s="97" t="n"/>
      <c r="M785" s="97" t="n"/>
      <c r="N785" s="97" t="n">
        <v>58.26136</v>
      </c>
      <c r="O785" s="97" t="n">
        <v>70.03806</v>
      </c>
      <c r="P785" s="97" t="n">
        <v>83.63554999999999</v>
      </c>
      <c r="Q785" s="97" t="n"/>
      <c r="R785" s="97" t="n">
        <v>56.07145</v>
      </c>
      <c r="S785" s="97" t="n">
        <v>79.73599</v>
      </c>
      <c r="T785" s="97" t="n">
        <v>80.95820999999999</v>
      </c>
      <c r="U785" s="97" t="n">
        <v>116.1813</v>
      </c>
      <c r="V785" s="97" t="n"/>
      <c r="W785" s="97" t="n">
        <v>9.284514</v>
      </c>
      <c r="X785" s="97" t="n"/>
      <c r="Y785" s="97" t="n"/>
      <c r="Z785" s="97" t="n">
        <v>89.47378999999999</v>
      </c>
      <c r="AA785" s="97" t="n">
        <v>79.24948999999999</v>
      </c>
      <c r="AB785" s="97" t="n"/>
      <c r="AC785" s="97" t="n">
        <v>56.61066</v>
      </c>
      <c r="AD785" s="97" t="n"/>
      <c r="AE785" s="97" t="n">
        <v>55.37899</v>
      </c>
      <c r="AF785" s="97" t="n">
        <v>67.64058</v>
      </c>
      <c r="AG785" s="97" t="n">
        <v>62.78758</v>
      </c>
      <c r="AH785" s="97" t="n">
        <v>55.41614</v>
      </c>
      <c r="AI785" s="97" t="n"/>
      <c r="AJ785" s="97" t="n">
        <v>78.84381</v>
      </c>
      <c r="AK785" s="97" t="n"/>
      <c r="AL785" s="97" t="n"/>
      <c r="AM785" s="97" t="n">
        <v>60.96732</v>
      </c>
      <c r="AN785" s="97" t="n"/>
      <c r="AO785" s="97" t="n">
        <v>53.2616</v>
      </c>
      <c r="AP785" s="97" t="n">
        <v>65.34152</v>
      </c>
      <c r="AQ785" s="97" t="n"/>
      <c r="AR785" s="97" t="n"/>
      <c r="AS785" s="97" t="n"/>
      <c r="AT785" s="97" t="n"/>
      <c r="AU785" s="97" t="n"/>
      <c r="AV785" s="97" t="n"/>
      <c r="AW785" s="97" t="n"/>
      <c r="AX785" s="97" t="n"/>
      <c r="AY785" s="97" t="n">
        <v>61.35784</v>
      </c>
    </row>
    <row r="786" s="135">
      <c r="A786" t="inlineStr">
        <is>
          <t>1984-05</t>
        </is>
      </c>
      <c r="B786" s="2" t="n">
        <v>30803</v>
      </c>
      <c r="C786" s="96" t="n">
        <v>786</v>
      </c>
      <c r="E786" s="2">
        <f>B786</f>
        <v/>
      </c>
      <c r="F786" s="3">
        <f>B786</f>
        <v/>
      </c>
      <c r="G786" s="96" t="n">
        <v>784</v>
      </c>
      <c r="H786" s="97" t="n"/>
      <c r="I786" s="97" t="n"/>
      <c r="J786" s="97" t="n">
        <v>53.82056</v>
      </c>
      <c r="K786" s="97" t="n">
        <v>61.39833</v>
      </c>
      <c r="L786" s="97" t="n"/>
      <c r="M786" s="97" t="n"/>
      <c r="N786" s="97" t="n">
        <v>58.69338</v>
      </c>
      <c r="O786" s="97" t="n">
        <v>73.7901</v>
      </c>
      <c r="P786" s="97" t="n">
        <v>83.35023</v>
      </c>
      <c r="Q786" s="97" t="n"/>
      <c r="R786" s="97" t="n">
        <v>56.47703</v>
      </c>
      <c r="S786" s="97" t="n">
        <v>81.8536</v>
      </c>
      <c r="T786" s="97" t="n">
        <v>80.46992</v>
      </c>
      <c r="U786" s="97" t="n">
        <v>117.3332</v>
      </c>
      <c r="V786" s="97" t="n"/>
      <c r="W786" s="97" t="n">
        <v>9.306995000000001</v>
      </c>
      <c r="X786" s="97" t="n"/>
      <c r="Y786" s="97" t="n"/>
      <c r="Z786" s="97" t="n">
        <v>93.25104</v>
      </c>
      <c r="AA786" s="97" t="n">
        <v>80.67968</v>
      </c>
      <c r="AB786" s="97" t="n"/>
      <c r="AC786" s="97" t="n">
        <v>57.02649</v>
      </c>
      <c r="AD786" s="97" t="n"/>
      <c r="AE786" s="97" t="n">
        <v>54.87292</v>
      </c>
      <c r="AF786" s="97" t="n">
        <v>67.64058</v>
      </c>
      <c r="AG786" s="97" t="n">
        <v>65.59059000000001</v>
      </c>
      <c r="AH786" s="97" t="n">
        <v>55.97306</v>
      </c>
      <c r="AI786" s="97" t="n"/>
      <c r="AJ786" s="97" t="n">
        <v>81.39492</v>
      </c>
      <c r="AK786" s="97" t="n"/>
      <c r="AL786" s="97" t="n"/>
      <c r="AM786" s="97" t="n">
        <v>62.74865</v>
      </c>
      <c r="AN786" s="97" t="n"/>
      <c r="AO786" s="97" t="n">
        <v>53.51392</v>
      </c>
      <c r="AP786" s="97" t="n">
        <v>66.36696999999999</v>
      </c>
      <c r="AQ786" s="97" t="n"/>
      <c r="AR786" s="97" t="n"/>
      <c r="AS786" s="97" t="n"/>
      <c r="AT786" s="97" t="n"/>
      <c r="AU786" s="97" t="n"/>
      <c r="AV786" s="97" t="n"/>
      <c r="AW786" s="97" t="n"/>
      <c r="AX786" s="97" t="n"/>
      <c r="AY786" s="97" t="n">
        <v>63.28871</v>
      </c>
    </row>
    <row r="787" s="135">
      <c r="A787" t="inlineStr">
        <is>
          <t>1984-06</t>
        </is>
      </c>
      <c r="B787" s="2" t="n">
        <v>30834</v>
      </c>
      <c r="C787" s="96" t="n">
        <v>787</v>
      </c>
      <c r="E787" s="2">
        <f>B787</f>
        <v/>
      </c>
      <c r="F787" s="3">
        <f>B787</f>
        <v/>
      </c>
      <c r="G787" s="96" t="n">
        <v>785</v>
      </c>
      <c r="H787" s="97" t="n"/>
      <c r="I787" s="97" t="n"/>
      <c r="J787" s="97" t="n">
        <v>53.50855</v>
      </c>
      <c r="K787" s="97" t="n">
        <v>61.4082</v>
      </c>
      <c r="L787" s="97" t="n"/>
      <c r="M787" s="97" t="n"/>
      <c r="N787" s="97" t="n">
        <v>53.13881</v>
      </c>
      <c r="O787" s="97" t="n">
        <v>70.66341</v>
      </c>
      <c r="P787" s="97" t="n">
        <v>83.41801</v>
      </c>
      <c r="Q787" s="97" t="n"/>
      <c r="R787" s="97" t="n">
        <v>56.67982</v>
      </c>
      <c r="S787" s="97" t="n">
        <v>79.89888999999999</v>
      </c>
      <c r="T787" s="97" t="n">
        <v>81.05587</v>
      </c>
      <c r="U787" s="97" t="n">
        <v>116.8409</v>
      </c>
      <c r="V787" s="97" t="n"/>
      <c r="W787" s="97" t="n">
        <v>9.958933999999999</v>
      </c>
      <c r="X787" s="97" t="n"/>
      <c r="Y787" s="97" t="n"/>
      <c r="Z787" s="97" t="n">
        <v>93.72320000000001</v>
      </c>
      <c r="AA787" s="97" t="n">
        <v>81.18446</v>
      </c>
      <c r="AB787" s="97" t="n"/>
      <c r="AC787" s="97" t="n">
        <v>59.11013</v>
      </c>
      <c r="AD787" s="97" t="n"/>
      <c r="AE787" s="97" t="n">
        <v>56.17425</v>
      </c>
      <c r="AF787" s="97" t="n">
        <v>68.98</v>
      </c>
      <c r="AG787" s="97" t="n">
        <v>63.90879</v>
      </c>
      <c r="AH787" s="97" t="n">
        <v>55.5815</v>
      </c>
      <c r="AI787" s="97" t="n"/>
      <c r="AJ787" s="97" t="n">
        <v>80.834</v>
      </c>
      <c r="AK787" s="97" t="n"/>
      <c r="AL787" s="97" t="n"/>
      <c r="AM787" s="97" t="n">
        <v>61.48449</v>
      </c>
      <c r="AN787" s="97" t="n"/>
      <c r="AO787" s="97" t="n">
        <v>53.70065</v>
      </c>
      <c r="AP787" s="97" t="n">
        <v>63.02811</v>
      </c>
      <c r="AQ787" s="97" t="n"/>
      <c r="AR787" s="97" t="n"/>
      <c r="AS787" s="97" t="n"/>
      <c r="AT787" s="97" t="n"/>
      <c r="AU787" s="97" t="n"/>
      <c r="AV787" s="97" t="n"/>
      <c r="AW787" s="97" t="n"/>
      <c r="AX787" s="97" t="n"/>
      <c r="AY787" s="97" t="n">
        <v>64.3092</v>
      </c>
    </row>
    <row r="788" s="135">
      <c r="A788" t="inlineStr">
        <is>
          <t>1984-07</t>
        </is>
      </c>
      <c r="B788" s="2" t="n">
        <v>30864</v>
      </c>
      <c r="C788" s="96" t="n">
        <v>788</v>
      </c>
      <c r="E788" s="2">
        <f>B788</f>
        <v/>
      </c>
      <c r="F788" s="3">
        <f>B788</f>
        <v/>
      </c>
      <c r="G788" s="96" t="n">
        <v>786</v>
      </c>
      <c r="H788" s="97" t="n"/>
      <c r="I788" s="97" t="n"/>
      <c r="J788" s="97" t="n">
        <v>53.10048</v>
      </c>
      <c r="K788" s="97" t="n">
        <v>62.30855</v>
      </c>
      <c r="L788" s="97" t="n"/>
      <c r="M788" s="97" t="n"/>
      <c r="N788" s="97" t="n">
        <v>59.68086</v>
      </c>
      <c r="O788" s="97" t="n">
        <v>74.41544</v>
      </c>
      <c r="P788" s="97" t="n">
        <v>83.86906</v>
      </c>
      <c r="Q788" s="97" t="n"/>
      <c r="R788" s="97" t="n">
        <v>57.28819</v>
      </c>
      <c r="S788" s="97" t="n">
        <v>81.28348</v>
      </c>
      <c r="T788" s="97" t="n">
        <v>79.78632</v>
      </c>
      <c r="U788" s="97" t="n">
        <v>111.972</v>
      </c>
      <c r="V788" s="97" t="n"/>
      <c r="W788" s="97" t="n">
        <v>9.599244000000001</v>
      </c>
      <c r="X788" s="97" t="n"/>
      <c r="Y788" s="97" t="n"/>
      <c r="Z788" s="97" t="n">
        <v>90.77222</v>
      </c>
      <c r="AA788" s="97" t="n">
        <v>81.18446</v>
      </c>
      <c r="AB788" s="97" t="n"/>
      <c r="AC788" s="97" t="n">
        <v>57.21717</v>
      </c>
      <c r="AD788" s="97" t="n"/>
      <c r="AE788" s="97" t="n">
        <v>56.89722</v>
      </c>
      <c r="AF788" s="97" t="n">
        <v>66.97087000000001</v>
      </c>
      <c r="AG788" s="97" t="n">
        <v>62.78758</v>
      </c>
      <c r="AH788" s="97" t="n">
        <v>56.27075</v>
      </c>
      <c r="AI788" s="97" t="n"/>
      <c r="AJ788" s="97" t="n">
        <v>84.8888</v>
      </c>
      <c r="AK788" s="97" t="n"/>
      <c r="AL788" s="97" t="n"/>
      <c r="AM788" s="97" t="n">
        <v>60.68002</v>
      </c>
      <c r="AN788" s="97" t="n"/>
      <c r="AO788" s="97" t="n">
        <v>53.86941</v>
      </c>
      <c r="AP788" s="97" t="n">
        <v>66.64588999999999</v>
      </c>
      <c r="AQ788" s="97" t="n"/>
      <c r="AR788" s="97" t="n"/>
      <c r="AS788" s="97" t="n"/>
      <c r="AT788" s="97" t="n"/>
      <c r="AU788" s="97" t="n"/>
      <c r="AV788" s="97" t="n"/>
      <c r="AW788" s="97" t="n"/>
      <c r="AX788" s="97" t="n"/>
      <c r="AY788" s="97" t="n">
        <v>63.91793</v>
      </c>
    </row>
    <row r="789" s="135">
      <c r="A789" t="inlineStr">
        <is>
          <t>1984-08</t>
        </is>
      </c>
      <c r="B789" s="2" t="n">
        <v>30895</v>
      </c>
      <c r="C789" s="96" t="n">
        <v>789</v>
      </c>
      <c r="E789" s="2">
        <f>B789</f>
        <v/>
      </c>
      <c r="F789" s="3">
        <f>B789</f>
        <v/>
      </c>
      <c r="G789" s="96" t="n">
        <v>787</v>
      </c>
      <c r="H789" s="97" t="n"/>
      <c r="I789" s="97" t="n"/>
      <c r="J789" s="97" t="n">
        <v>53.57246</v>
      </c>
      <c r="K789" s="97" t="n">
        <v>62.37152</v>
      </c>
      <c r="L789" s="97" t="n"/>
      <c r="M789" s="97" t="n"/>
      <c r="N789" s="97" t="n">
        <v>59.06369</v>
      </c>
      <c r="O789" s="97" t="n">
        <v>75.04078</v>
      </c>
      <c r="P789" s="97" t="n">
        <v>87.5921</v>
      </c>
      <c r="Q789" s="97" t="n"/>
      <c r="R789" s="97" t="n">
        <v>56.73051</v>
      </c>
      <c r="S789" s="97" t="n">
        <v>81.28348</v>
      </c>
      <c r="T789" s="97" t="n">
        <v>79.49335000000001</v>
      </c>
      <c r="U789" s="97" t="n">
        <v>126.5435</v>
      </c>
      <c r="V789" s="97" t="n"/>
      <c r="W789" s="97" t="n">
        <v>8.857381999999999</v>
      </c>
      <c r="X789" s="97" t="n"/>
      <c r="Y789" s="97" t="n"/>
      <c r="Z789" s="97" t="n">
        <v>96.32006</v>
      </c>
      <c r="AA789" s="97" t="n">
        <v>82.36226000000001</v>
      </c>
      <c r="AB789" s="97" t="n"/>
      <c r="AC789" s="97" t="n">
        <v>59.3411</v>
      </c>
      <c r="AD789" s="97" t="n"/>
      <c r="AE789" s="97" t="n">
        <v>56.96951</v>
      </c>
      <c r="AF789" s="97" t="n">
        <v>68.98</v>
      </c>
      <c r="AG789" s="97" t="n">
        <v>63.90879</v>
      </c>
      <c r="AH789" s="97" t="n">
        <v>56.74465</v>
      </c>
      <c r="AI789" s="97" t="n"/>
      <c r="AJ789" s="97" t="n">
        <v>83.3091</v>
      </c>
      <c r="AK789" s="97" t="n"/>
      <c r="AL789" s="97" t="n"/>
      <c r="AM789" s="97" t="n">
        <v>62.34642</v>
      </c>
      <c r="AN789" s="97" t="n"/>
      <c r="AO789" s="97" t="n">
        <v>53.9207</v>
      </c>
      <c r="AP789" s="97" t="n">
        <v>68.11433</v>
      </c>
      <c r="AQ789" s="97" t="n"/>
      <c r="AR789" s="97" t="n"/>
      <c r="AS789" s="97" t="n"/>
      <c r="AT789" s="97" t="n"/>
      <c r="AU789" s="97" t="n"/>
      <c r="AV789" s="97" t="n"/>
      <c r="AW789" s="97" t="n"/>
      <c r="AX789" s="97" t="n"/>
      <c r="AY789" s="97" t="n">
        <v>63.53847</v>
      </c>
    </row>
    <row r="790" s="135">
      <c r="A790" t="inlineStr">
        <is>
          <t>1984-09</t>
        </is>
      </c>
      <c r="B790" s="2" t="n">
        <v>30926</v>
      </c>
      <c r="C790" s="96" t="n">
        <v>790</v>
      </c>
      <c r="E790" s="2">
        <f>B790</f>
        <v/>
      </c>
      <c r="F790" s="3">
        <f>B790</f>
        <v/>
      </c>
      <c r="G790" s="96" t="n">
        <v>788</v>
      </c>
      <c r="H790" s="97" t="n"/>
      <c r="I790" s="97" t="n"/>
      <c r="J790" s="97" t="n">
        <v>54.23834</v>
      </c>
      <c r="K790" s="97" t="n">
        <v>61.32362</v>
      </c>
      <c r="L790" s="97" t="n"/>
      <c r="M790" s="97" t="n"/>
      <c r="N790" s="97" t="n">
        <v>60.29804</v>
      </c>
      <c r="O790" s="97" t="n">
        <v>75.04078</v>
      </c>
      <c r="P790" s="97" t="n">
        <v>84.33144</v>
      </c>
      <c r="Q790" s="97" t="n"/>
      <c r="R790" s="97" t="n">
        <v>56.88261</v>
      </c>
      <c r="S790" s="97" t="n">
        <v>81.12058</v>
      </c>
      <c r="T790" s="97" t="n">
        <v>80.86055</v>
      </c>
      <c r="U790" s="97" t="n">
        <v>120.7981</v>
      </c>
      <c r="V790" s="97" t="n"/>
      <c r="W790" s="97" t="n">
        <v>9.734128</v>
      </c>
      <c r="X790" s="97" t="n"/>
      <c r="Y790" s="97" t="n"/>
      <c r="Z790" s="97" t="n">
        <v>94.43143000000001</v>
      </c>
      <c r="AA790" s="97" t="n">
        <v>81.18446</v>
      </c>
      <c r="AB790" s="97" t="n"/>
      <c r="AC790" s="97" t="n">
        <v>60.81321</v>
      </c>
      <c r="AD790" s="97" t="n"/>
      <c r="AE790" s="97" t="n">
        <v>58.19855</v>
      </c>
      <c r="AF790" s="97" t="n">
        <v>68.31028999999999</v>
      </c>
      <c r="AG790" s="97" t="n">
        <v>66.1512</v>
      </c>
      <c r="AH790" s="97" t="n">
        <v>56.68606</v>
      </c>
      <c r="AI790" s="97" t="n"/>
      <c r="AJ790" s="97" t="n">
        <v>84.07562</v>
      </c>
      <c r="AK790" s="97" t="n"/>
      <c r="AL790" s="97" t="n"/>
      <c r="AM790" s="97" t="n">
        <v>63.32327</v>
      </c>
      <c r="AN790" s="97" t="n"/>
      <c r="AO790" s="97" t="n">
        <v>53.82523</v>
      </c>
      <c r="AP790" s="97" t="n">
        <v>67.8108</v>
      </c>
      <c r="AQ790" s="97" t="n"/>
      <c r="AR790" s="97" t="n"/>
      <c r="AS790" s="97" t="n"/>
      <c r="AT790" s="97" t="n"/>
      <c r="AU790" s="97" t="n"/>
      <c r="AV790" s="97" t="n"/>
      <c r="AW790" s="97" t="n"/>
      <c r="AX790" s="97" t="n"/>
      <c r="AY790" s="97" t="n">
        <v>63.16583</v>
      </c>
    </row>
    <row r="791" s="135">
      <c r="A791" t="inlineStr">
        <is>
          <t>1984-10</t>
        </is>
      </c>
      <c r="B791" s="2" t="n">
        <v>30956</v>
      </c>
      <c r="C791" s="96" t="n">
        <v>791</v>
      </c>
      <c r="E791" s="2">
        <f>B791</f>
        <v/>
      </c>
      <c r="F791" s="3">
        <f>B791</f>
        <v/>
      </c>
      <c r="G791" s="96" t="n">
        <v>789</v>
      </c>
      <c r="H791" s="97" t="n"/>
      <c r="I791" s="97" t="n"/>
      <c r="J791" s="97" t="n">
        <v>53.65198</v>
      </c>
      <c r="K791" s="97" t="n">
        <v>62.57593</v>
      </c>
      <c r="L791" s="97" t="n"/>
      <c r="M791" s="97" t="n"/>
      <c r="N791" s="97" t="n">
        <v>60.05117</v>
      </c>
      <c r="O791" s="97" t="n">
        <v>75.66612000000001</v>
      </c>
      <c r="P791" s="97" t="n">
        <v>84.54026</v>
      </c>
      <c r="Q791" s="97" t="n"/>
      <c r="R791" s="97" t="n">
        <v>57.84586</v>
      </c>
      <c r="S791" s="97" t="n">
        <v>81.44637</v>
      </c>
      <c r="T791" s="97" t="n">
        <v>80.95820999999999</v>
      </c>
      <c r="U791" s="97" t="n">
        <v>120.174</v>
      </c>
      <c r="V791" s="97" t="n"/>
      <c r="W791" s="97" t="n">
        <v>9.531801</v>
      </c>
      <c r="X791" s="97" t="n"/>
      <c r="Y791" s="97" t="n"/>
      <c r="Z791" s="97" t="n">
        <v>93.95927</v>
      </c>
      <c r="AA791" s="97" t="n">
        <v>83.54007</v>
      </c>
      <c r="AB791" s="97" t="n"/>
      <c r="AC791" s="97" t="n">
        <v>56.14968</v>
      </c>
      <c r="AD791" s="97" t="n"/>
      <c r="AE791" s="97" t="n">
        <v>56.17425</v>
      </c>
      <c r="AF791" s="97" t="n">
        <v>66.30116</v>
      </c>
      <c r="AG791" s="97" t="n">
        <v>65.59059000000001</v>
      </c>
      <c r="AH791" s="97" t="n">
        <v>56.76887</v>
      </c>
      <c r="AI791" s="97" t="n"/>
      <c r="AJ791" s="97" t="n">
        <v>81.81001000000001</v>
      </c>
      <c r="AK791" s="97" t="n"/>
      <c r="AL791" s="97" t="n"/>
      <c r="AM791" s="97" t="n">
        <v>63.78297</v>
      </c>
      <c r="AN791" s="97" t="n"/>
      <c r="AO791" s="97" t="n">
        <v>53.73657</v>
      </c>
      <c r="AP791" s="97" t="n">
        <v>67.21194</v>
      </c>
      <c r="AQ791" s="97" t="n"/>
      <c r="AR791" s="97" t="n"/>
      <c r="AS791" s="97" t="n"/>
      <c r="AT791" s="97" t="n"/>
      <c r="AU791" s="97" t="n"/>
      <c r="AV791" s="97" t="n"/>
      <c r="AW791" s="97" t="n"/>
      <c r="AX791" s="97" t="n"/>
      <c r="AY791" s="97" t="n">
        <v>64.06464</v>
      </c>
    </row>
    <row r="792" s="135">
      <c r="A792" t="inlineStr">
        <is>
          <t>1984-11</t>
        </is>
      </c>
      <c r="B792" s="2" t="n">
        <v>30987</v>
      </c>
      <c r="C792" s="96" t="n">
        <v>792</v>
      </c>
      <c r="E792" s="2">
        <f>B792</f>
        <v/>
      </c>
      <c r="F792" s="3">
        <f>B792</f>
        <v/>
      </c>
      <c r="G792" s="96" t="n">
        <v>790</v>
      </c>
      <c r="H792" s="97" t="n"/>
      <c r="I792" s="97" t="n"/>
      <c r="J792" s="97" t="n">
        <v>52.43978</v>
      </c>
      <c r="K792" s="97" t="n">
        <v>62.37716</v>
      </c>
      <c r="L792" s="97" t="n"/>
      <c r="M792" s="97" t="n"/>
      <c r="N792" s="97" t="n">
        <v>60.54491</v>
      </c>
      <c r="O792" s="97" t="n">
        <v>76.29147</v>
      </c>
      <c r="P792" s="97" t="n">
        <v>83.44945</v>
      </c>
      <c r="Q792" s="97" t="n"/>
      <c r="R792" s="97" t="n">
        <v>58.65702</v>
      </c>
      <c r="S792" s="97" t="n">
        <v>80.22467</v>
      </c>
      <c r="T792" s="97" t="n">
        <v>80.46992</v>
      </c>
      <c r="U792" s="97" t="n">
        <v>116.8893</v>
      </c>
      <c r="V792" s="97" t="n"/>
      <c r="W792" s="97" t="n">
        <v>9.779089000000001</v>
      </c>
      <c r="X792" s="97" t="n"/>
      <c r="Y792" s="97" t="n"/>
      <c r="Z792" s="97" t="n">
        <v>91.83457</v>
      </c>
      <c r="AA792" s="97" t="n">
        <v>83.54007</v>
      </c>
      <c r="AB792" s="97" t="n"/>
      <c r="AC792" s="97" t="n">
        <v>60.41551</v>
      </c>
      <c r="AD792" s="97" t="n"/>
      <c r="AE792" s="97" t="n">
        <v>57.69247</v>
      </c>
      <c r="AF792" s="97" t="n">
        <v>67.64058</v>
      </c>
      <c r="AG792" s="97" t="n">
        <v>66.1512</v>
      </c>
      <c r="AH792" s="97" t="n">
        <v>56.82116</v>
      </c>
      <c r="AI792" s="97" t="n"/>
      <c r="AJ792" s="97" t="n">
        <v>85.03801</v>
      </c>
      <c r="AK792" s="97" t="n"/>
      <c r="AL792" s="97" t="n"/>
      <c r="AM792" s="97" t="n">
        <v>63.95536</v>
      </c>
      <c r="AN792" s="97" t="n"/>
      <c r="AO792" s="97" t="n">
        <v>53.94865</v>
      </c>
      <c r="AP792" s="97" t="n">
        <v>66.94942</v>
      </c>
      <c r="AQ792" s="97" t="n"/>
      <c r="AR792" s="97" t="n"/>
      <c r="AS792" s="97" t="n"/>
      <c r="AT792" s="97" t="n"/>
      <c r="AU792" s="97" t="n"/>
      <c r="AV792" s="97" t="n"/>
      <c r="AW792" s="97" t="n"/>
      <c r="AX792" s="97" t="n"/>
      <c r="AY792" s="97" t="n">
        <v>64.68476</v>
      </c>
    </row>
    <row r="793" s="135">
      <c r="A793" t="inlineStr">
        <is>
          <t>1984-12</t>
        </is>
      </c>
      <c r="B793" s="2" t="n">
        <v>31017</v>
      </c>
      <c r="C793" s="96" t="n">
        <v>793</v>
      </c>
      <c r="E793" s="2">
        <f>B793</f>
        <v/>
      </c>
      <c r="F793" s="3">
        <f>B793</f>
        <v/>
      </c>
      <c r="G793" s="96" t="n">
        <v>791</v>
      </c>
      <c r="H793" s="97" t="n"/>
      <c r="I793" s="97" t="n"/>
      <c r="J793" s="97" t="n">
        <v>55.47437</v>
      </c>
      <c r="K793" s="97" t="n">
        <v>62.45516</v>
      </c>
      <c r="L793" s="97" t="n"/>
      <c r="M793" s="97" t="n"/>
      <c r="N793" s="97" t="n">
        <v>60.91521</v>
      </c>
      <c r="O793" s="97" t="n">
        <v>76.91679999999999</v>
      </c>
      <c r="P793" s="97" t="n">
        <v>84.21674</v>
      </c>
      <c r="Q793" s="97" t="n"/>
      <c r="R793" s="97" t="n">
        <v>60.07655</v>
      </c>
      <c r="S793" s="97" t="n">
        <v>80.22467</v>
      </c>
      <c r="T793" s="97" t="n">
        <v>81.83713</v>
      </c>
      <c r="U793" s="97" t="n">
        <v>113.1407</v>
      </c>
      <c r="V793" s="97" t="n"/>
      <c r="W793" s="97" t="n">
        <v>10.0039</v>
      </c>
      <c r="X793" s="97" t="n"/>
      <c r="Y793" s="97" t="n"/>
      <c r="Z793" s="97" t="n">
        <v>93.95927</v>
      </c>
      <c r="AA793" s="97" t="n">
        <v>83.03529</v>
      </c>
      <c r="AB793" s="97" t="n"/>
      <c r="AC793" s="97" t="n">
        <v>62.02519</v>
      </c>
      <c r="AD793" s="97" t="n"/>
      <c r="AE793" s="97" t="n">
        <v>58.63233</v>
      </c>
      <c r="AF793" s="97" t="n">
        <v>66.30116</v>
      </c>
      <c r="AG793" s="97" t="n">
        <v>65.02999</v>
      </c>
      <c r="AH793" s="97" t="n">
        <v>57.09368</v>
      </c>
      <c r="AI793" s="97" t="n"/>
      <c r="AJ793" s="97" t="n">
        <v>81.39615999999999</v>
      </c>
      <c r="AK793" s="97" t="n"/>
      <c r="AL793" s="97" t="n"/>
      <c r="AM793" s="97" t="n">
        <v>65.79414</v>
      </c>
      <c r="AN793" s="97" t="n"/>
      <c r="AO793" s="97" t="n">
        <v>54.00907</v>
      </c>
      <c r="AP793" s="97" t="n">
        <v>67.8026</v>
      </c>
      <c r="AQ793" s="97" t="n"/>
      <c r="AR793" s="97" t="n"/>
      <c r="AS793" s="97" t="n"/>
      <c r="AT793" s="97" t="n"/>
      <c r="AU793" s="97" t="n"/>
      <c r="AV793" s="97" t="n"/>
      <c r="AW793" s="97" t="n"/>
      <c r="AX793" s="97" t="n"/>
      <c r="AY793" s="97" t="n">
        <v>66.17989</v>
      </c>
    </row>
    <row r="794" s="135">
      <c r="A794" t="inlineStr">
        <is>
          <t>1985-01</t>
        </is>
      </c>
      <c r="B794" s="2" t="n">
        <v>31048</v>
      </c>
      <c r="C794" s="96" t="n">
        <v>794</v>
      </c>
      <c r="E794" s="2">
        <f>B794</f>
        <v/>
      </c>
      <c r="F794" s="3">
        <f>B794</f>
        <v/>
      </c>
      <c r="G794" s="96" t="n">
        <v>792</v>
      </c>
      <c r="H794" s="97" t="n"/>
      <c r="I794" s="97" t="n"/>
      <c r="J794" s="97" t="n">
        <v>52.97454</v>
      </c>
      <c r="K794" s="97" t="n">
        <v>62.97864</v>
      </c>
      <c r="L794" s="97" t="n"/>
      <c r="M794" s="97" t="n"/>
      <c r="N794" s="97" t="n">
        <v>60.91521</v>
      </c>
      <c r="O794" s="97" t="n">
        <v>75.22083000000001</v>
      </c>
      <c r="P794" s="97" t="n">
        <v>84.46378</v>
      </c>
      <c r="Q794" s="97" t="n"/>
      <c r="R794" s="97" t="n">
        <v>58.25433</v>
      </c>
      <c r="S794" s="97" t="n">
        <v>80.85051</v>
      </c>
      <c r="T794" s="97" t="n">
        <v>83.30199</v>
      </c>
      <c r="U794" s="97" t="n">
        <v>118.0658</v>
      </c>
      <c r="V794" s="97" t="n">
        <v>44.22408</v>
      </c>
      <c r="W794" s="97" t="n">
        <v>9.82405</v>
      </c>
      <c r="X794" s="97" t="n"/>
      <c r="Y794" s="97" t="n"/>
      <c r="Z794" s="97" t="n">
        <v>90.65416999999999</v>
      </c>
      <c r="AA794" s="97" t="n">
        <v>83.87658</v>
      </c>
      <c r="AB794" s="97" t="n"/>
      <c r="AC794" s="97" t="n">
        <v>63.30757</v>
      </c>
      <c r="AD794" s="97" t="n"/>
      <c r="AE794" s="97" t="n">
        <v>58.56003</v>
      </c>
      <c r="AF794" s="97" t="n">
        <v>76.36687999999999</v>
      </c>
      <c r="AG794" s="97" t="n">
        <v>66.1512</v>
      </c>
      <c r="AH794" s="97" t="n">
        <v>57.37646</v>
      </c>
      <c r="AI794" s="97" t="n">
        <v>34.93184</v>
      </c>
      <c r="AJ794" s="97" t="n">
        <v>82.64512000000001</v>
      </c>
      <c r="AK794" s="97" t="n"/>
      <c r="AL794" s="97" t="n"/>
      <c r="AM794" s="97" t="n">
        <v>63.49566</v>
      </c>
      <c r="AN794" s="97" t="n"/>
      <c r="AO794" s="97" t="n">
        <v>53.92281</v>
      </c>
      <c r="AP794" s="97" t="n">
        <v>68.36784</v>
      </c>
      <c r="AQ794" s="97" t="n"/>
      <c r="AR794" s="97" t="n"/>
      <c r="AS794" s="97" t="n"/>
      <c r="AT794" s="97" t="n"/>
      <c r="AU794" s="97" t="n"/>
      <c r="AV794" s="97" t="n"/>
      <c r="AW794" s="97" t="n"/>
      <c r="AX794" s="97" t="n">
        <v>23.56426</v>
      </c>
      <c r="AY794" s="97" t="n">
        <v>66.56053</v>
      </c>
    </row>
    <row r="795" s="135">
      <c r="A795" t="inlineStr">
        <is>
          <t>1985-02</t>
        </is>
      </c>
      <c r="B795" s="2" t="n">
        <v>31079</v>
      </c>
      <c r="C795" s="96" t="n">
        <v>795</v>
      </c>
      <c r="E795" s="2">
        <f>B795</f>
        <v/>
      </c>
      <c r="F795" s="3">
        <f>B795</f>
        <v/>
      </c>
      <c r="G795" s="96" t="n">
        <v>793</v>
      </c>
      <c r="H795" s="97" t="n"/>
      <c r="I795" s="97" t="n"/>
      <c r="J795" s="97" t="n">
        <v>53.91709</v>
      </c>
      <c r="K795" s="97" t="n">
        <v>63.76198</v>
      </c>
      <c r="L795" s="97" t="n"/>
      <c r="M795" s="97" t="n"/>
      <c r="N795" s="97" t="n">
        <v>60.97693</v>
      </c>
      <c r="O795" s="97" t="n">
        <v>75.87398</v>
      </c>
      <c r="P795" s="97" t="n">
        <v>84.11704</v>
      </c>
      <c r="Q795" s="97" t="n"/>
      <c r="R795" s="97" t="n">
        <v>58.7265</v>
      </c>
      <c r="S795" s="97" t="n">
        <v>82.23021</v>
      </c>
      <c r="T795" s="97" t="n">
        <v>83.30199</v>
      </c>
      <c r="U795" s="97" t="n">
        <v>118.3518</v>
      </c>
      <c r="V795" s="97" t="n">
        <v>44.08979</v>
      </c>
      <c r="W795" s="97" t="n">
        <v>9.689166</v>
      </c>
      <c r="X795" s="97" t="n"/>
      <c r="Y795" s="97" t="n"/>
      <c r="Z795" s="97" t="n">
        <v>94.78555</v>
      </c>
      <c r="AA795" s="97" t="n">
        <v>83.6242</v>
      </c>
      <c r="AB795" s="97" t="n"/>
      <c r="AC795" s="97" t="n">
        <v>56.76569</v>
      </c>
      <c r="AD795" s="97" t="n"/>
      <c r="AE795" s="97" t="n">
        <v>59.71677</v>
      </c>
      <c r="AF795" s="97" t="n">
        <v>72.12428</v>
      </c>
      <c r="AG795" s="97" t="n">
        <v>66.7118</v>
      </c>
      <c r="AH795" s="97" t="n">
        <v>57.58234</v>
      </c>
      <c r="AI795" s="97" t="n">
        <v>34.69247</v>
      </c>
      <c r="AJ795" s="97" t="n">
        <v>80.36153</v>
      </c>
      <c r="AK795" s="97" t="n"/>
      <c r="AL795" s="97" t="n"/>
      <c r="AM795" s="97" t="n">
        <v>62.92104</v>
      </c>
      <c r="AN795" s="97" t="n"/>
      <c r="AO795" s="97" t="n">
        <v>54.10771</v>
      </c>
      <c r="AP795" s="97" t="n">
        <v>68.11071</v>
      </c>
      <c r="AQ795" s="97" t="n"/>
      <c r="AR795" s="97" t="n"/>
      <c r="AS795" s="97" t="n"/>
      <c r="AT795" s="97" t="n"/>
      <c r="AU795" s="97" t="n"/>
      <c r="AV795" s="97" t="n"/>
      <c r="AW795" s="97" t="n"/>
      <c r="AX795" s="97" t="n">
        <v>21.97871</v>
      </c>
      <c r="AY795" s="97" t="n">
        <v>65.30112</v>
      </c>
    </row>
    <row r="796" s="135">
      <c r="A796" t="inlineStr">
        <is>
          <t>1985-03</t>
        </is>
      </c>
      <c r="B796" s="2" t="n">
        <v>31107</v>
      </c>
      <c r="C796" s="96" t="n">
        <v>796</v>
      </c>
      <c r="E796" s="2">
        <f>B796</f>
        <v/>
      </c>
      <c r="F796" s="3">
        <f>B796</f>
        <v/>
      </c>
      <c r="G796" s="96" t="n">
        <v>794</v>
      </c>
      <c r="H796" s="97" t="n"/>
      <c r="I796" s="97" t="n"/>
      <c r="J796" s="97" t="n">
        <v>54.49332</v>
      </c>
      <c r="K796" s="97" t="n">
        <v>64.08246</v>
      </c>
      <c r="L796" s="97" t="n"/>
      <c r="M796" s="97" t="n"/>
      <c r="N796" s="97" t="n">
        <v>61.53239</v>
      </c>
      <c r="O796" s="97" t="n">
        <v>70.10451</v>
      </c>
      <c r="P796" s="97" t="n">
        <v>84.54658000000001</v>
      </c>
      <c r="Q796" s="97" t="n"/>
      <c r="R796" s="97" t="n">
        <v>60.67421</v>
      </c>
      <c r="S796" s="97" t="n">
        <v>82.59813</v>
      </c>
      <c r="T796" s="97" t="n">
        <v>85.35281000000001</v>
      </c>
      <c r="U796" s="97" t="n">
        <v>118.5357</v>
      </c>
      <c r="V796" s="97" t="n">
        <v>45.07454</v>
      </c>
      <c r="W796" s="97" t="n">
        <v>10.31862</v>
      </c>
      <c r="X796" s="97" t="n"/>
      <c r="Y796" s="97" t="n"/>
      <c r="Z796" s="97" t="n">
        <v>93.48712</v>
      </c>
      <c r="AA796" s="97" t="n">
        <v>82.95116</v>
      </c>
      <c r="AB796" s="97" t="n"/>
      <c r="AC796" s="97" t="n">
        <v>63.68478</v>
      </c>
      <c r="AD796" s="97" t="n"/>
      <c r="AE796" s="97" t="n">
        <v>59.57218</v>
      </c>
      <c r="AF796" s="97" t="n">
        <v>71.41718</v>
      </c>
      <c r="AG796" s="97" t="n">
        <v>67.83301</v>
      </c>
      <c r="AH796" s="97" t="n">
        <v>57.71505</v>
      </c>
      <c r="AI796" s="97" t="n">
        <v>35.7426</v>
      </c>
      <c r="AJ796" s="97" t="n">
        <v>83.82946</v>
      </c>
      <c r="AK796" s="97" t="n"/>
      <c r="AL796" s="97" t="n"/>
      <c r="AM796" s="97" t="n">
        <v>64.64490000000001</v>
      </c>
      <c r="AN796" s="97" t="n"/>
      <c r="AO796" s="97" t="n">
        <v>54.19502</v>
      </c>
      <c r="AP796" s="97" t="n">
        <v>68.64400999999999</v>
      </c>
      <c r="AQ796" s="97" t="n"/>
      <c r="AR796" s="97" t="n"/>
      <c r="AS796" s="97" t="n"/>
      <c r="AT796" s="97" t="n"/>
      <c r="AU796" s="97" t="n"/>
      <c r="AV796" s="97" t="n"/>
      <c r="AW796" s="97" t="n"/>
      <c r="AX796" s="97" t="n">
        <v>22.61479</v>
      </c>
      <c r="AY796" s="97" t="n">
        <v>67.12039</v>
      </c>
    </row>
    <row r="797" s="135">
      <c r="A797" t="inlineStr">
        <is>
          <t>1985-04</t>
        </is>
      </c>
      <c r="B797" s="2" t="n">
        <v>31138</v>
      </c>
      <c r="C797" s="96" t="n">
        <v>797</v>
      </c>
      <c r="E797" s="2">
        <f>B797</f>
        <v/>
      </c>
      <c r="F797" s="3">
        <f>B797</f>
        <v/>
      </c>
      <c r="G797" s="96" t="n">
        <v>795</v>
      </c>
      <c r="H797" s="97" t="n"/>
      <c r="I797" s="97" t="n"/>
      <c r="J797" s="97" t="n">
        <v>54.69407</v>
      </c>
      <c r="K797" s="97" t="n">
        <v>63.59328</v>
      </c>
      <c r="L797" s="97" t="n"/>
      <c r="M797" s="97" t="n"/>
      <c r="N797" s="97" t="n">
        <v>60.8535</v>
      </c>
      <c r="O797" s="97" t="n">
        <v>68.68935</v>
      </c>
      <c r="P797" s="97" t="n">
        <v>85.00127999999999</v>
      </c>
      <c r="Q797" s="97" t="n"/>
      <c r="R797" s="97" t="n">
        <v>59.67085</v>
      </c>
      <c r="S797" s="97" t="n">
        <v>81.67833</v>
      </c>
      <c r="T797" s="97" t="n">
        <v>86.13406000000001</v>
      </c>
      <c r="U797" s="97" t="n">
        <v>114.8761</v>
      </c>
      <c r="V797" s="97" t="n">
        <v>43.7317</v>
      </c>
      <c r="W797" s="97" t="n">
        <v>9.734128</v>
      </c>
      <c r="X797" s="97" t="n"/>
      <c r="Y797" s="97" t="n"/>
      <c r="Z797" s="97" t="n">
        <v>92.5428</v>
      </c>
      <c r="AA797" s="97" t="n">
        <v>84.29723</v>
      </c>
      <c r="AB797" s="97" t="n"/>
      <c r="AC797" s="97" t="n">
        <v>62.02282</v>
      </c>
      <c r="AD797" s="97" t="n"/>
      <c r="AE797" s="97" t="n">
        <v>58.92151</v>
      </c>
      <c r="AF797" s="97" t="n">
        <v>69.29588</v>
      </c>
      <c r="AG797" s="97" t="n">
        <v>67.27240999999999</v>
      </c>
      <c r="AH797" s="97" t="n">
        <v>57.64574</v>
      </c>
      <c r="AI797" s="97" t="n">
        <v>35.12923</v>
      </c>
      <c r="AJ797" s="97" t="n">
        <v>82.2368</v>
      </c>
      <c r="AK797" s="97" t="n"/>
      <c r="AL797" s="97" t="n"/>
      <c r="AM797" s="97" t="n">
        <v>64.64490000000001</v>
      </c>
      <c r="AN797" s="97" t="n"/>
      <c r="AO797" s="97" t="n">
        <v>54.0472</v>
      </c>
      <c r="AP797" s="97" t="n">
        <v>67.92024000000001</v>
      </c>
      <c r="AQ797" s="97" t="n"/>
      <c r="AR797" s="97" t="n"/>
      <c r="AS797" s="97" t="n"/>
      <c r="AT797" s="97" t="n"/>
      <c r="AU797" s="97" t="n"/>
      <c r="AV797" s="97" t="n"/>
      <c r="AW797" s="97" t="n"/>
      <c r="AX797" s="97" t="n">
        <v>22.82075</v>
      </c>
      <c r="AY797" s="97" t="n">
        <v>61.87534</v>
      </c>
    </row>
    <row r="798" s="135">
      <c r="A798" t="inlineStr">
        <is>
          <t>1985-05</t>
        </is>
      </c>
      <c r="B798" s="2" t="n">
        <v>31168</v>
      </c>
      <c r="C798" s="96" t="n">
        <v>798</v>
      </c>
      <c r="E798" s="2">
        <f>B798</f>
        <v/>
      </c>
      <c r="F798" s="3">
        <f>B798</f>
        <v/>
      </c>
      <c r="G798" s="96" t="n">
        <v>796</v>
      </c>
      <c r="H798" s="97" t="n"/>
      <c r="I798" s="97" t="n"/>
      <c r="J798" s="97" t="n">
        <v>54.81797</v>
      </c>
      <c r="K798" s="97" t="n">
        <v>64.04533000000001</v>
      </c>
      <c r="L798" s="97" t="n"/>
      <c r="M798" s="97" t="n"/>
      <c r="N798" s="97" t="n">
        <v>61.59411</v>
      </c>
      <c r="O798" s="97" t="n">
        <v>72.71709</v>
      </c>
      <c r="P798" s="97" t="n">
        <v>84.57883</v>
      </c>
      <c r="Q798" s="97" t="n"/>
      <c r="R798" s="97" t="n">
        <v>60.79226</v>
      </c>
      <c r="S798" s="97" t="n">
        <v>82.50615000000001</v>
      </c>
      <c r="T798" s="97" t="n">
        <v>86.91533</v>
      </c>
      <c r="U798" s="97" t="n">
        <v>121.1099</v>
      </c>
      <c r="V798" s="97" t="n">
        <v>44.85073</v>
      </c>
      <c r="W798" s="97" t="n">
        <v>9.756608</v>
      </c>
      <c r="X798" s="97" t="n"/>
      <c r="Y798" s="97" t="n"/>
      <c r="Z798" s="97" t="n">
        <v>93.84124</v>
      </c>
      <c r="AA798" s="97" t="n">
        <v>85.13852</v>
      </c>
      <c r="AB798" s="97" t="n"/>
      <c r="AC798" s="97" t="n">
        <v>60.70831</v>
      </c>
      <c r="AD798" s="97" t="n"/>
      <c r="AE798" s="97" t="n">
        <v>58.56003</v>
      </c>
      <c r="AF798" s="97" t="n">
        <v>70.00297999999999</v>
      </c>
      <c r="AG798" s="97" t="n">
        <v>67.27240999999999</v>
      </c>
      <c r="AH798" s="97" t="n">
        <v>58.07101</v>
      </c>
      <c r="AI798" s="97" t="n">
        <v>35.08975</v>
      </c>
      <c r="AJ798" s="97" t="n">
        <v>82.74274</v>
      </c>
      <c r="AK798" s="97" t="n"/>
      <c r="AL798" s="97" t="n"/>
      <c r="AM798" s="97" t="n">
        <v>64.41504999999999</v>
      </c>
      <c r="AN798" s="97" t="n"/>
      <c r="AO798" s="97" t="n">
        <v>54.12356</v>
      </c>
      <c r="AP798" s="97" t="n">
        <v>68.82496</v>
      </c>
      <c r="AQ798" s="97" t="n"/>
      <c r="AR798" s="97" t="n"/>
      <c r="AS798" s="97" t="n"/>
      <c r="AT798" s="97" t="n"/>
      <c r="AU798" s="97" t="n"/>
      <c r="AV798" s="97" t="n"/>
      <c r="AW798" s="97" t="n"/>
      <c r="AX798" s="97" t="n">
        <v>24.94823</v>
      </c>
      <c r="AY798" s="97" t="n">
        <v>65.85298</v>
      </c>
    </row>
    <row r="799" s="135">
      <c r="A799" t="inlineStr">
        <is>
          <t>1985-06</t>
        </is>
      </c>
      <c r="B799" s="2" t="n">
        <v>31199</v>
      </c>
      <c r="C799" s="96" t="n">
        <v>799</v>
      </c>
      <c r="E799" s="2">
        <f>B799</f>
        <v/>
      </c>
      <c r="F799" s="3">
        <f>B799</f>
        <v/>
      </c>
      <c r="G799" s="96" t="n">
        <v>797</v>
      </c>
      <c r="H799" s="97" t="n"/>
      <c r="I799" s="97" t="n"/>
      <c r="J799" s="97" t="n">
        <v>54.78089</v>
      </c>
      <c r="K799" s="97" t="n">
        <v>63.97203</v>
      </c>
      <c r="L799" s="97" t="n"/>
      <c r="M799" s="97" t="n"/>
      <c r="N799" s="97" t="n">
        <v>62.33472</v>
      </c>
      <c r="O799" s="97" t="n">
        <v>76.41827000000001</v>
      </c>
      <c r="P799" s="97" t="n">
        <v>83.14597999999999</v>
      </c>
      <c r="Q799" s="97" t="n"/>
      <c r="R799" s="97" t="n">
        <v>60.02498</v>
      </c>
      <c r="S799" s="97" t="n">
        <v>81.31041</v>
      </c>
      <c r="T799" s="97" t="n">
        <v>88.77083</v>
      </c>
      <c r="U799" s="97" t="n">
        <v>123.07</v>
      </c>
      <c r="V799" s="97" t="n">
        <v>44.71645</v>
      </c>
      <c r="W799" s="97" t="n">
        <v>9.531801</v>
      </c>
      <c r="X799" s="97" t="n"/>
      <c r="Y799" s="97" t="n"/>
      <c r="Z799" s="97" t="n">
        <v>94.66750999999999</v>
      </c>
      <c r="AA799" s="97" t="n">
        <v>83.79245</v>
      </c>
      <c r="AB799" s="97" t="n"/>
      <c r="AC799" s="97" t="n">
        <v>59.73451</v>
      </c>
      <c r="AD799" s="97" t="n"/>
      <c r="AE799" s="97" t="n">
        <v>59.93366</v>
      </c>
      <c r="AF799" s="97" t="n">
        <v>70.71008</v>
      </c>
      <c r="AG799" s="97" t="n">
        <v>63.90879</v>
      </c>
      <c r="AH799" s="97" t="n">
        <v>57.95103</v>
      </c>
      <c r="AI799" s="97" t="n">
        <v>35.59302</v>
      </c>
      <c r="AJ799" s="97" t="n">
        <v>82.6404</v>
      </c>
      <c r="AK799" s="97" t="n"/>
      <c r="AL799" s="97" t="n"/>
      <c r="AM799" s="97" t="n">
        <v>65.62175999999999</v>
      </c>
      <c r="AN799" s="97" t="n"/>
      <c r="AO799" s="97" t="n">
        <v>54.16323</v>
      </c>
      <c r="AP799" s="97" t="n">
        <v>68.23451</v>
      </c>
      <c r="AQ799" s="97" t="n"/>
      <c r="AR799" s="97" t="n"/>
      <c r="AS799" s="97" t="n"/>
      <c r="AT799" s="97" t="n"/>
      <c r="AU799" s="97" t="n"/>
      <c r="AV799" s="97" t="n"/>
      <c r="AW799" s="97" t="n"/>
      <c r="AX799" s="97" t="n">
        <v>19.87324</v>
      </c>
      <c r="AY799" s="97" t="n">
        <v>66.94074000000001</v>
      </c>
    </row>
    <row r="800" s="135">
      <c r="A800" t="inlineStr">
        <is>
          <t>1985-07</t>
        </is>
      </c>
      <c r="B800" s="2" t="n">
        <v>31229</v>
      </c>
      <c r="C800" s="96" t="n">
        <v>800</v>
      </c>
      <c r="E800" s="2">
        <f>B800</f>
        <v/>
      </c>
      <c r="F800" s="3">
        <f>B800</f>
        <v/>
      </c>
      <c r="G800" s="96" t="n">
        <v>798</v>
      </c>
      <c r="H800" s="97" t="n"/>
      <c r="I800" s="97" t="n"/>
      <c r="J800" s="97" t="n">
        <v>53.8786</v>
      </c>
      <c r="K800" s="97" t="n">
        <v>64.15434999999999</v>
      </c>
      <c r="L800" s="97" t="n"/>
      <c r="M800" s="97" t="n"/>
      <c r="N800" s="97" t="n">
        <v>62.95189</v>
      </c>
      <c r="O800" s="97" t="n">
        <v>75.22083000000001</v>
      </c>
      <c r="P800" s="97" t="n">
        <v>85.92506</v>
      </c>
      <c r="Q800" s="97" t="n"/>
      <c r="R800" s="97" t="n">
        <v>57.72313</v>
      </c>
      <c r="S800" s="97" t="n">
        <v>81.49437</v>
      </c>
      <c r="T800" s="97" t="n">
        <v>85.35281000000001</v>
      </c>
      <c r="U800" s="97" t="n">
        <v>122.0857</v>
      </c>
      <c r="V800" s="97" t="n">
        <v>46.99928</v>
      </c>
      <c r="W800" s="97" t="n">
        <v>9.644204999999999</v>
      </c>
      <c r="X800" s="97" t="n"/>
      <c r="Y800" s="97" t="n"/>
      <c r="Z800" s="97" t="n">
        <v>93.25104</v>
      </c>
      <c r="AA800" s="97" t="n">
        <v>85.05439</v>
      </c>
      <c r="AB800" s="97" t="n"/>
      <c r="AC800" s="97" t="n">
        <v>64.51975</v>
      </c>
      <c r="AD800" s="97" t="n"/>
      <c r="AE800" s="97" t="n">
        <v>60.15055</v>
      </c>
      <c r="AF800" s="97" t="n">
        <v>68.58878</v>
      </c>
      <c r="AG800" s="97" t="n">
        <v>68.95422000000001</v>
      </c>
      <c r="AH800" s="97" t="n">
        <v>57.94997</v>
      </c>
      <c r="AI800" s="97" t="n">
        <v>36.04988</v>
      </c>
      <c r="AJ800" s="97" t="n">
        <v>80.93512</v>
      </c>
      <c r="AK800" s="97" t="n"/>
      <c r="AL800" s="97" t="n"/>
      <c r="AM800" s="97" t="n">
        <v>62.11657</v>
      </c>
      <c r="AN800" s="97" t="n"/>
      <c r="AO800" s="97" t="n">
        <v>53.81101</v>
      </c>
      <c r="AP800" s="97" t="n">
        <v>68.84399999999999</v>
      </c>
      <c r="AQ800" s="97" t="n"/>
      <c r="AR800" s="97" t="n"/>
      <c r="AS800" s="97" t="n"/>
      <c r="AT800" s="97" t="n"/>
      <c r="AU800" s="97" t="n"/>
      <c r="AV800" s="97" t="n"/>
      <c r="AW800" s="97" t="n"/>
      <c r="AX800" s="97" t="n">
        <v>22.7999</v>
      </c>
      <c r="AY800" s="97" t="n">
        <v>68.79931999999999</v>
      </c>
    </row>
    <row r="801" s="135">
      <c r="A801" t="inlineStr">
        <is>
          <t>1985-08</t>
        </is>
      </c>
      <c r="B801" s="2" t="n">
        <v>31260</v>
      </c>
      <c r="C801" s="96" t="n">
        <v>801</v>
      </c>
      <c r="E801" s="2">
        <f>B801</f>
        <v/>
      </c>
      <c r="F801" s="3">
        <f>B801</f>
        <v/>
      </c>
      <c r="G801" s="96" t="n">
        <v>799</v>
      </c>
      <c r="H801" s="97" t="n"/>
      <c r="I801" s="97" t="n"/>
      <c r="J801" s="97" t="n">
        <v>54.49202</v>
      </c>
      <c r="K801" s="97" t="n">
        <v>64.34702</v>
      </c>
      <c r="L801" s="97" t="n"/>
      <c r="M801" s="97" t="n"/>
      <c r="N801" s="97" t="n">
        <v>61.34724</v>
      </c>
      <c r="O801" s="97" t="n">
        <v>74.89426</v>
      </c>
      <c r="P801" s="97" t="n">
        <v>87.04662</v>
      </c>
      <c r="Q801" s="97" t="n"/>
      <c r="R801" s="97" t="n">
        <v>59.02161</v>
      </c>
      <c r="S801" s="97" t="n">
        <v>81.49437</v>
      </c>
      <c r="T801" s="97" t="n">
        <v>86.13406000000001</v>
      </c>
      <c r="U801" s="97" t="n">
        <v>124.4365</v>
      </c>
      <c r="V801" s="97" t="n">
        <v>44.71645</v>
      </c>
      <c r="W801" s="97" t="n">
        <v>9.262033000000001</v>
      </c>
      <c r="X801" s="97" t="n"/>
      <c r="Y801" s="97" t="n"/>
      <c r="Z801" s="97" t="n">
        <v>96.08398</v>
      </c>
      <c r="AA801" s="97" t="n">
        <v>84.29723</v>
      </c>
      <c r="AB801" s="97" t="n"/>
      <c r="AC801" s="97" t="n">
        <v>62.21844</v>
      </c>
      <c r="AD801" s="97" t="n"/>
      <c r="AE801" s="97" t="n">
        <v>59.71677</v>
      </c>
      <c r="AF801" s="97" t="n">
        <v>69.29588</v>
      </c>
      <c r="AG801" s="97" t="n">
        <v>68.95422000000001</v>
      </c>
      <c r="AH801" s="97" t="n">
        <v>58.01734</v>
      </c>
      <c r="AI801" s="97" t="n">
        <v>36.46583</v>
      </c>
      <c r="AJ801" s="97" t="n">
        <v>82.54585</v>
      </c>
      <c r="AK801" s="97" t="n"/>
      <c r="AL801" s="97" t="n"/>
      <c r="AM801" s="97" t="n">
        <v>65.90907</v>
      </c>
      <c r="AN801" s="97" t="n"/>
      <c r="AO801" s="97" t="n">
        <v>54.03394</v>
      </c>
      <c r="AP801" s="97" t="n">
        <v>68.94875999999999</v>
      </c>
      <c r="AQ801" s="97" t="n"/>
      <c r="AR801" s="97" t="n"/>
      <c r="AS801" s="97" t="n"/>
      <c r="AT801" s="97" t="n"/>
      <c r="AU801" s="97" t="n"/>
      <c r="AV801" s="97" t="n"/>
      <c r="AW801" s="97" t="n"/>
      <c r="AX801" s="97" t="n">
        <v>22.99592</v>
      </c>
      <c r="AY801" s="97" t="n">
        <v>69.40383</v>
      </c>
    </row>
    <row r="802" s="135">
      <c r="A802" t="inlineStr">
        <is>
          <t>1985-09</t>
        </is>
      </c>
      <c r="B802" s="2" t="n">
        <v>31291</v>
      </c>
      <c r="C802" s="96" t="n">
        <v>802</v>
      </c>
      <c r="E802" s="2">
        <f>B802</f>
        <v/>
      </c>
      <c r="F802" s="3">
        <f>B802</f>
        <v/>
      </c>
      <c r="G802" s="96" t="n">
        <v>800</v>
      </c>
      <c r="H802" s="97" t="n"/>
      <c r="I802" s="97" t="n"/>
      <c r="J802" s="97" t="n">
        <v>55.87103</v>
      </c>
      <c r="K802" s="97" t="n">
        <v>64.58714000000001</v>
      </c>
      <c r="L802" s="97" t="n"/>
      <c r="M802" s="97" t="n"/>
      <c r="N802" s="97" t="n">
        <v>62.08785</v>
      </c>
      <c r="O802" s="97" t="n">
        <v>76.96254999999999</v>
      </c>
      <c r="P802" s="97" t="n">
        <v>86.6525</v>
      </c>
      <c r="Q802" s="97" t="n"/>
      <c r="R802" s="97" t="n">
        <v>59.02161</v>
      </c>
      <c r="S802" s="97" t="n">
        <v>81.67833</v>
      </c>
      <c r="T802" s="97" t="n">
        <v>87.69659</v>
      </c>
      <c r="U802" s="97" t="n">
        <v>124.2668</v>
      </c>
      <c r="V802" s="97" t="n">
        <v>45.34311</v>
      </c>
      <c r="W802" s="97" t="n">
        <v>9.689166</v>
      </c>
      <c r="X802" s="97" t="n"/>
      <c r="Y802" s="97" t="n"/>
      <c r="Z802" s="97" t="n">
        <v>93.60516</v>
      </c>
      <c r="AA802" s="97" t="n">
        <v>83.6242</v>
      </c>
      <c r="AB802" s="97" t="n"/>
      <c r="AC802" s="97" t="n">
        <v>59.55025</v>
      </c>
      <c r="AD802" s="97" t="n"/>
      <c r="AE802" s="97" t="n">
        <v>59.93366</v>
      </c>
      <c r="AF802" s="97" t="n">
        <v>67.88168</v>
      </c>
      <c r="AG802" s="97" t="n">
        <v>68.39362</v>
      </c>
      <c r="AH802" s="97" t="n">
        <v>58.09239</v>
      </c>
      <c r="AI802" s="97" t="n">
        <v>36.68352</v>
      </c>
      <c r="AJ802" s="97" t="n">
        <v>80.28955000000001</v>
      </c>
      <c r="AK802" s="97" t="n"/>
      <c r="AL802" s="97" t="n"/>
      <c r="AM802" s="97" t="n">
        <v>65.96653000000001</v>
      </c>
      <c r="AN802" s="97" t="n"/>
      <c r="AO802" s="97" t="n">
        <v>54.26715</v>
      </c>
      <c r="AP802" s="97" t="n">
        <v>68.85352</v>
      </c>
      <c r="AQ802" s="97" t="n"/>
      <c r="AR802" s="97" t="n"/>
      <c r="AS802" s="97" t="n"/>
      <c r="AT802" s="97" t="n"/>
      <c r="AU802" s="97" t="n"/>
      <c r="AV802" s="97" t="n"/>
      <c r="AW802" s="97" t="n"/>
      <c r="AX802" s="97" t="n">
        <v>23.19172</v>
      </c>
      <c r="AY802" s="97" t="n">
        <v>70.21786</v>
      </c>
    </row>
    <row r="803" s="135">
      <c r="A803" t="inlineStr">
        <is>
          <t>1985-10</t>
        </is>
      </c>
      <c r="B803" s="2" t="n">
        <v>31321</v>
      </c>
      <c r="C803" s="96" t="n">
        <v>803</v>
      </c>
      <c r="E803" s="2">
        <f>B803</f>
        <v/>
      </c>
      <c r="F803" s="3">
        <f>B803</f>
        <v/>
      </c>
      <c r="G803" s="96" t="n">
        <v>801</v>
      </c>
      <c r="H803" s="97" t="n"/>
      <c r="I803" s="97" t="n"/>
      <c r="J803" s="97" t="n">
        <v>55.36912</v>
      </c>
      <c r="K803" s="97" t="n">
        <v>65.17406</v>
      </c>
      <c r="L803" s="97" t="n"/>
      <c r="M803" s="97" t="n"/>
      <c r="N803" s="97" t="n">
        <v>62.82846</v>
      </c>
      <c r="O803" s="97" t="n">
        <v>82.73202999999999</v>
      </c>
      <c r="P803" s="97" t="n">
        <v>87.58447</v>
      </c>
      <c r="Q803" s="97" t="n"/>
      <c r="R803" s="97" t="n">
        <v>58.7265</v>
      </c>
      <c r="S803" s="97" t="n">
        <v>82.50615000000001</v>
      </c>
      <c r="T803" s="97" t="n">
        <v>85.84108999999999</v>
      </c>
      <c r="U803" s="97" t="n">
        <v>124.7317</v>
      </c>
      <c r="V803" s="97" t="n">
        <v>45.07454</v>
      </c>
      <c r="W803" s="97" t="n">
        <v>9.599244000000001</v>
      </c>
      <c r="X803" s="97" t="n"/>
      <c r="Y803" s="97" t="n"/>
      <c r="Z803" s="97" t="n">
        <v>93.01496</v>
      </c>
      <c r="AA803" s="97" t="n">
        <v>84.46548</v>
      </c>
      <c r="AB803" s="97" t="n"/>
      <c r="AC803" s="97" t="n">
        <v>65.12188</v>
      </c>
      <c r="AD803" s="97" t="n"/>
      <c r="AE803" s="97" t="n">
        <v>59.35529</v>
      </c>
      <c r="AF803" s="97" t="n">
        <v>69.29588</v>
      </c>
      <c r="AG803" s="97" t="n">
        <v>69.51482</v>
      </c>
      <c r="AH803" s="97" t="n">
        <v>58.15276</v>
      </c>
      <c r="AI803" s="97" t="n">
        <v>36.79258</v>
      </c>
      <c r="AJ803" s="97" t="n">
        <v>85.60196999999999</v>
      </c>
      <c r="AK803" s="97" t="n"/>
      <c r="AL803" s="97" t="n"/>
      <c r="AM803" s="97" t="n">
        <v>63.95536</v>
      </c>
      <c r="AN803" s="97" t="n"/>
      <c r="AO803" s="97" t="n">
        <v>54.04288</v>
      </c>
      <c r="AP803" s="97" t="n">
        <v>69.47254</v>
      </c>
      <c r="AQ803" s="97" t="n"/>
      <c r="AR803" s="97" t="n"/>
      <c r="AS803" s="97" t="n"/>
      <c r="AT803" s="97" t="n"/>
      <c r="AU803" s="97" t="n"/>
      <c r="AV803" s="97" t="n"/>
      <c r="AW803" s="97" t="n"/>
      <c r="AX803" s="97" t="n">
        <v>23.82949</v>
      </c>
      <c r="AY803" s="97" t="n">
        <v>71.64117</v>
      </c>
    </row>
    <row r="804" s="135">
      <c r="A804" t="inlineStr">
        <is>
          <t>1985-11</t>
        </is>
      </c>
      <c r="B804" s="2" t="n">
        <v>31352</v>
      </c>
      <c r="C804" s="96" t="n">
        <v>804</v>
      </c>
      <c r="E804" s="2">
        <f>B804</f>
        <v/>
      </c>
      <c r="F804" s="3">
        <f>B804</f>
        <v/>
      </c>
      <c r="G804" s="96" t="n">
        <v>802</v>
      </c>
      <c r="H804" s="97" t="n"/>
      <c r="I804" s="97" t="n"/>
      <c r="J804" s="97" t="n">
        <v>56.9284</v>
      </c>
      <c r="K804" s="97" t="n">
        <v>65.25535000000001</v>
      </c>
      <c r="L804" s="97" t="n"/>
      <c r="M804" s="97" t="n"/>
      <c r="N804" s="97" t="n">
        <v>64.00109</v>
      </c>
      <c r="O804" s="97" t="n">
        <v>86.10662000000001</v>
      </c>
      <c r="P804" s="97" t="n">
        <v>87.56919000000001</v>
      </c>
      <c r="Q804" s="97" t="n"/>
      <c r="R804" s="97" t="n">
        <v>59.13965</v>
      </c>
      <c r="S804" s="97" t="n">
        <v>83.42595</v>
      </c>
      <c r="T804" s="97" t="n">
        <v>86.91533</v>
      </c>
      <c r="U804" s="97" t="n">
        <v>123.1017</v>
      </c>
      <c r="V804" s="97" t="n">
        <v>44.80597</v>
      </c>
      <c r="W804" s="97" t="n">
        <v>9.936453999999999</v>
      </c>
      <c r="X804" s="97" t="n"/>
      <c r="Y804" s="97" t="n"/>
      <c r="Z804" s="97" t="n">
        <v>95.13967</v>
      </c>
      <c r="AA804" s="97" t="n">
        <v>84.29723</v>
      </c>
      <c r="AB804" s="97" t="n"/>
      <c r="AC804" s="97" t="n">
        <v>63.11237</v>
      </c>
      <c r="AD804" s="97" t="n"/>
      <c r="AE804" s="97" t="n">
        <v>59.35529</v>
      </c>
      <c r="AF804" s="97" t="n">
        <v>75.65978</v>
      </c>
      <c r="AG804" s="97" t="n">
        <v>70.07541999999999</v>
      </c>
      <c r="AH804" s="97" t="n">
        <v>58.65213</v>
      </c>
      <c r="AI804" s="97" t="n">
        <v>36.58737</v>
      </c>
      <c r="AJ804" s="97" t="n">
        <v>82.40016</v>
      </c>
      <c r="AK804" s="97" t="n"/>
      <c r="AL804" s="97" t="n"/>
      <c r="AM804" s="97" t="n">
        <v>63.78297</v>
      </c>
      <c r="AN804" s="97" t="n"/>
      <c r="AO804" s="97" t="n">
        <v>54.22547</v>
      </c>
      <c r="AP804" s="97" t="n">
        <v>70.11060000000001</v>
      </c>
      <c r="AQ804" s="97" t="n"/>
      <c r="AR804" s="97" t="n"/>
      <c r="AS804" s="97" t="n"/>
      <c r="AT804" s="97" t="n"/>
      <c r="AU804" s="97" t="n"/>
      <c r="AV804" s="97" t="n"/>
      <c r="AW804" s="97" t="n"/>
      <c r="AX804" s="97" t="n">
        <v>25.43599</v>
      </c>
      <c r="AY804" s="97" t="n">
        <v>71.86466</v>
      </c>
    </row>
    <row r="805" s="135">
      <c r="A805" t="inlineStr">
        <is>
          <t>1985-12</t>
        </is>
      </c>
      <c r="B805" s="2" t="n">
        <v>31382</v>
      </c>
      <c r="C805" s="96" t="n">
        <v>805</v>
      </c>
      <c r="E805" s="2">
        <f>B805</f>
        <v/>
      </c>
      <c r="F805" s="3">
        <f>B805</f>
        <v/>
      </c>
      <c r="G805" s="96" t="n">
        <v>803</v>
      </c>
      <c r="H805" s="97" t="n"/>
      <c r="I805" s="97" t="n"/>
      <c r="J805" s="97" t="n">
        <v>55.53015</v>
      </c>
      <c r="K805" s="97" t="n">
        <v>65.33289000000001</v>
      </c>
      <c r="L805" s="97" t="n"/>
      <c r="M805" s="97" t="n"/>
      <c r="N805" s="97" t="n">
        <v>61.59411</v>
      </c>
      <c r="O805" s="97" t="n">
        <v>83.0586</v>
      </c>
      <c r="P805" s="97" t="n">
        <v>86.93077</v>
      </c>
      <c r="Q805" s="97" t="n"/>
      <c r="R805" s="97" t="n">
        <v>59.61182</v>
      </c>
      <c r="S805" s="97" t="n">
        <v>82.59813</v>
      </c>
      <c r="T805" s="97" t="n">
        <v>84.6692</v>
      </c>
      <c r="U805" s="97" t="n">
        <v>126.2335</v>
      </c>
      <c r="V805" s="97" t="n">
        <v>43.7317</v>
      </c>
      <c r="W805" s="97" t="n">
        <v>9.756608</v>
      </c>
      <c r="X805" s="97" t="n"/>
      <c r="Y805" s="97" t="n"/>
      <c r="Z805" s="97" t="n">
        <v>94.19535</v>
      </c>
      <c r="AA805" s="97" t="n">
        <v>84.29723</v>
      </c>
      <c r="AB805" s="97" t="n"/>
      <c r="AC805" s="97" t="n">
        <v>62.10742</v>
      </c>
      <c r="AD805" s="97" t="n"/>
      <c r="AE805" s="97" t="n">
        <v>58.63233</v>
      </c>
      <c r="AF805" s="97" t="n">
        <v>67.88168</v>
      </c>
      <c r="AG805" s="97" t="n">
        <v>70.63602</v>
      </c>
      <c r="AH805" s="97" t="n">
        <v>58.2485</v>
      </c>
      <c r="AI805" s="97" t="n">
        <v>37.43331</v>
      </c>
      <c r="AJ805" s="97" t="n">
        <v>83.16704</v>
      </c>
      <c r="AK805" s="97" t="n"/>
      <c r="AL805" s="97" t="n"/>
      <c r="AM805" s="97" t="n">
        <v>61.88672</v>
      </c>
      <c r="AN805" s="97" t="n"/>
      <c r="AO805" s="97" t="n">
        <v>54.79303</v>
      </c>
      <c r="AP805" s="97" t="n">
        <v>69.53921</v>
      </c>
      <c r="AQ805" s="97" t="n"/>
      <c r="AR805" s="97" t="n"/>
      <c r="AS805" s="97" t="n"/>
      <c r="AT805" s="97" t="n"/>
      <c r="AU805" s="97" t="n"/>
      <c r="AV805" s="97" t="n"/>
      <c r="AW805" s="97" t="n"/>
      <c r="AX805" s="97" t="n">
        <v>24.60074</v>
      </c>
      <c r="AY805" s="97" t="n">
        <v>73.11151</v>
      </c>
    </row>
    <row r="806" s="135">
      <c r="A806" t="inlineStr">
        <is>
          <t>1986-01</t>
        </is>
      </c>
      <c r="B806" s="2" t="n">
        <v>31413</v>
      </c>
      <c r="C806" s="96" t="n">
        <v>806</v>
      </c>
      <c r="E806" s="2">
        <f>B806</f>
        <v/>
      </c>
      <c r="F806" s="3">
        <f>B806</f>
        <v/>
      </c>
      <c r="G806" s="96" t="n">
        <v>804</v>
      </c>
      <c r="H806" s="97" t="n"/>
      <c r="I806" s="97" t="n"/>
      <c r="J806" s="97" t="n">
        <v>55.26524</v>
      </c>
      <c r="K806" s="97" t="n">
        <v>65.68953999999999</v>
      </c>
      <c r="L806" s="97" t="n"/>
      <c r="M806" s="97" t="n"/>
      <c r="N806" s="97" t="n">
        <v>62.82846</v>
      </c>
      <c r="O806" s="97" t="n">
        <v>80.22829</v>
      </c>
      <c r="P806" s="97" t="n">
        <v>86.87107</v>
      </c>
      <c r="Q806" s="97" t="n"/>
      <c r="R806" s="97" t="n">
        <v>60.37911</v>
      </c>
      <c r="S806" s="97" t="n">
        <v>82.96605</v>
      </c>
      <c r="T806" s="97" t="n">
        <v>85.64578</v>
      </c>
      <c r="U806" s="97" t="n">
        <v>120.5114</v>
      </c>
      <c r="V806" s="97" t="n">
        <v>44.49265</v>
      </c>
      <c r="W806" s="97" t="n">
        <v>9.666686</v>
      </c>
      <c r="X806" s="97" t="n"/>
      <c r="Y806" s="97" t="n"/>
      <c r="Z806" s="97" t="n">
        <v>95.96594</v>
      </c>
      <c r="AA806" s="97" t="n">
        <v>84.12897</v>
      </c>
      <c r="AB806" s="97" t="n"/>
      <c r="AC806" s="97" t="n">
        <v>65.11447</v>
      </c>
      <c r="AD806" s="97" t="n"/>
      <c r="AE806" s="97" t="n">
        <v>58.56003</v>
      </c>
      <c r="AF806" s="97" t="n">
        <v>68.58878</v>
      </c>
      <c r="AG806" s="97" t="n">
        <v>70.19056999999999</v>
      </c>
      <c r="AH806" s="97" t="n">
        <v>58.52221</v>
      </c>
      <c r="AI806" s="97" t="n">
        <v>37.08747</v>
      </c>
      <c r="AJ806" s="97" t="n">
        <v>83.33642999999999</v>
      </c>
      <c r="AK806" s="97" t="n"/>
      <c r="AL806" s="97" t="n"/>
      <c r="AM806" s="97" t="n">
        <v>64.87475000000001</v>
      </c>
      <c r="AN806" s="97" t="n"/>
      <c r="AO806" s="97" t="n">
        <v>55.04718</v>
      </c>
      <c r="AP806" s="97" t="n">
        <v>69.96775</v>
      </c>
      <c r="AQ806" s="97" t="n"/>
      <c r="AR806" s="97" t="n"/>
      <c r="AS806" s="97" t="n"/>
      <c r="AT806" s="97" t="n"/>
      <c r="AU806" s="97" t="n"/>
      <c r="AV806" s="97" t="n"/>
      <c r="AW806" s="97" t="n"/>
      <c r="AX806" s="97" t="n">
        <v>23.49804</v>
      </c>
      <c r="AY806" s="97" t="n">
        <v>74.37197999999999</v>
      </c>
    </row>
    <row r="807" s="135">
      <c r="A807" t="inlineStr">
        <is>
          <t>1986-02</t>
        </is>
      </c>
      <c r="B807" s="2" t="n">
        <v>31444</v>
      </c>
      <c r="C807" s="96" t="n">
        <v>807</v>
      </c>
      <c r="E807" s="2">
        <f>B807</f>
        <v/>
      </c>
      <c r="F807" s="3">
        <f>B807</f>
        <v/>
      </c>
      <c r="G807" s="96" t="n">
        <v>805</v>
      </c>
      <c r="H807" s="97" t="n"/>
      <c r="I807" s="97" t="n"/>
      <c r="J807" s="97" t="n">
        <v>55.51634</v>
      </c>
      <c r="K807" s="97" t="n">
        <v>65.29576</v>
      </c>
      <c r="L807" s="97" t="n"/>
      <c r="M807" s="97" t="n"/>
      <c r="N807" s="97" t="n">
        <v>63.07533</v>
      </c>
      <c r="O807" s="97" t="n">
        <v>80.11944</v>
      </c>
      <c r="P807" s="97" t="n">
        <v>87.61841</v>
      </c>
      <c r="Q807" s="97" t="n"/>
      <c r="R807" s="97" t="n">
        <v>59.84791</v>
      </c>
      <c r="S807" s="97" t="n">
        <v>82.13822999999999</v>
      </c>
      <c r="T807" s="97" t="n">
        <v>86.32938</v>
      </c>
      <c r="U807" s="97" t="n">
        <v>121.5036</v>
      </c>
      <c r="V807" s="97" t="n">
        <v>44.26884</v>
      </c>
      <c r="W807" s="97" t="n">
        <v>9.913973</v>
      </c>
      <c r="X807" s="97" t="n"/>
      <c r="Y807" s="97" t="n"/>
      <c r="Z807" s="97" t="n">
        <v>96.43810000000001</v>
      </c>
      <c r="AA807" s="97" t="n">
        <v>84.12897</v>
      </c>
      <c r="AB807" s="97" t="n"/>
      <c r="AC807" s="97" t="n">
        <v>63.85898</v>
      </c>
      <c r="AD807" s="97" t="n"/>
      <c r="AE807" s="97" t="n">
        <v>58.99381</v>
      </c>
      <c r="AF807" s="97" t="n">
        <v>74.95268</v>
      </c>
      <c r="AG807" s="97" t="n">
        <v>71.06522</v>
      </c>
      <c r="AH807" s="97" t="n">
        <v>58.52965</v>
      </c>
      <c r="AI807" s="97" t="n">
        <v>37.22002</v>
      </c>
      <c r="AJ807" s="97" t="n">
        <v>84.94804000000001</v>
      </c>
      <c r="AK807" s="97" t="n"/>
      <c r="AL807" s="97" t="n"/>
      <c r="AM807" s="97" t="n">
        <v>64.52997999999999</v>
      </c>
      <c r="AN807" s="97" t="n"/>
      <c r="AO807" s="97" t="n">
        <v>54.68604</v>
      </c>
      <c r="AP807" s="97" t="n">
        <v>70.19631</v>
      </c>
      <c r="AQ807" s="97" t="n"/>
      <c r="AR807" s="97" t="n"/>
      <c r="AS807" s="97" t="n"/>
      <c r="AT807" s="97" t="n"/>
      <c r="AU807" s="97" t="n"/>
      <c r="AV807" s="97" t="n"/>
      <c r="AW807" s="97" t="n"/>
      <c r="AX807" s="97" t="n">
        <v>22.39813</v>
      </c>
      <c r="AY807" s="97" t="n">
        <v>74.28272</v>
      </c>
    </row>
    <row r="808" s="135">
      <c r="A808" t="inlineStr">
        <is>
          <t>1986-03</t>
        </is>
      </c>
      <c r="B808" s="2" t="n">
        <v>31472</v>
      </c>
      <c r="C808" s="96" t="n">
        <v>808</v>
      </c>
      <c r="E808" s="2">
        <f>B808</f>
        <v/>
      </c>
      <c r="F808" s="3">
        <f>B808</f>
        <v/>
      </c>
      <c r="G808" s="96" t="n">
        <v>806</v>
      </c>
      <c r="H808" s="97" t="n"/>
      <c r="I808" s="97" t="n"/>
      <c r="J808" s="97" t="n">
        <v>56.51301</v>
      </c>
      <c r="K808" s="97" t="n">
        <v>64.15106</v>
      </c>
      <c r="L808" s="97" t="n"/>
      <c r="M808" s="97" t="n"/>
      <c r="N808" s="97" t="n">
        <v>63.19876</v>
      </c>
      <c r="O808" s="97" t="n">
        <v>80.88144</v>
      </c>
      <c r="P808" s="97" t="n">
        <v>89.31686999999999</v>
      </c>
      <c r="Q808" s="97" t="n"/>
      <c r="R808" s="97" t="n">
        <v>57.84118</v>
      </c>
      <c r="S808" s="97" t="n">
        <v>81.86229</v>
      </c>
      <c r="T808" s="97" t="n">
        <v>87.20831</v>
      </c>
      <c r="U808" s="97" t="n">
        <v>117.6655</v>
      </c>
      <c r="V808" s="97" t="n">
        <v>44.3136</v>
      </c>
      <c r="W808" s="97" t="n">
        <v>10.18374</v>
      </c>
      <c r="X808" s="97" t="n"/>
      <c r="Y808" s="97" t="n"/>
      <c r="Z808" s="97" t="n">
        <v>97.38242</v>
      </c>
      <c r="AA808" s="97" t="n">
        <v>84.04483999999999</v>
      </c>
      <c r="AB808" s="97" t="n"/>
      <c r="AC808" s="97" t="n">
        <v>62.39889</v>
      </c>
      <c r="AD808" s="97" t="n"/>
      <c r="AE808" s="97" t="n">
        <v>57.98166</v>
      </c>
      <c r="AF808" s="97" t="n">
        <v>67.17458000000001</v>
      </c>
      <c r="AG808" s="97" t="n">
        <v>71.28386999999999</v>
      </c>
      <c r="AH808" s="97" t="n">
        <v>58.36229</v>
      </c>
      <c r="AI808" s="97" t="n">
        <v>37.16007</v>
      </c>
      <c r="AJ808" s="97" t="n">
        <v>86.67858</v>
      </c>
      <c r="AK808" s="97" t="n"/>
      <c r="AL808" s="97" t="n"/>
      <c r="AM808" s="97" t="n">
        <v>65.90907</v>
      </c>
      <c r="AN808" s="97" t="n"/>
      <c r="AO808" s="97" t="n">
        <v>54.30913</v>
      </c>
      <c r="AP808" s="97" t="n">
        <v>69.46302</v>
      </c>
      <c r="AQ808" s="97" t="n"/>
      <c r="AR808" s="97" t="n"/>
      <c r="AS808" s="97" t="n"/>
      <c r="AT808" s="97" t="n"/>
      <c r="AU808" s="97" t="n"/>
      <c r="AV808" s="97" t="n"/>
      <c r="AW808" s="97" t="n"/>
      <c r="AX808" s="97" t="n">
        <v>23.49804</v>
      </c>
      <c r="AY808" s="97" t="n">
        <v>70.09896000000001</v>
      </c>
    </row>
    <row r="809" s="135">
      <c r="A809" t="inlineStr">
        <is>
          <t>1986-04</t>
        </is>
      </c>
      <c r="B809" s="2" t="n">
        <v>31503</v>
      </c>
      <c r="C809" s="96" t="n">
        <v>809</v>
      </c>
      <c r="E809" s="2">
        <f>B809</f>
        <v/>
      </c>
      <c r="F809" s="3">
        <f>B809</f>
        <v/>
      </c>
      <c r="G809" s="96" t="n">
        <v>807</v>
      </c>
      <c r="H809" s="97" t="n"/>
      <c r="I809" s="97" t="n"/>
      <c r="J809" s="97" t="n">
        <v>54.58236</v>
      </c>
      <c r="K809" s="97" t="n">
        <v>64.68017999999999</v>
      </c>
      <c r="L809" s="97" t="n"/>
      <c r="M809" s="97" t="n"/>
      <c r="N809" s="97" t="n">
        <v>63.50735</v>
      </c>
      <c r="O809" s="97" t="n">
        <v>82.62317</v>
      </c>
      <c r="P809" s="97" t="n">
        <v>88.83502</v>
      </c>
      <c r="Q809" s="97" t="n"/>
      <c r="R809" s="97" t="n">
        <v>59.84791</v>
      </c>
      <c r="S809" s="97" t="n">
        <v>83.97783</v>
      </c>
      <c r="T809" s="97" t="n">
        <v>88.28254</v>
      </c>
      <c r="U809" s="97" t="n">
        <v>127.9984</v>
      </c>
      <c r="V809" s="97" t="n">
        <v>47.44688</v>
      </c>
      <c r="W809" s="97" t="n">
        <v>10.04886</v>
      </c>
      <c r="X809" s="97" t="n"/>
      <c r="Y809" s="97" t="n"/>
      <c r="Z809" s="97" t="n">
        <v>97.85458</v>
      </c>
      <c r="AA809" s="97" t="n">
        <v>84.04483999999999</v>
      </c>
      <c r="AB809" s="97" t="n"/>
      <c r="AC809" s="97" t="n">
        <v>64.23583000000001</v>
      </c>
      <c r="AD809" s="97" t="n"/>
      <c r="AE809" s="97" t="n">
        <v>57.54788</v>
      </c>
      <c r="AF809" s="97" t="n">
        <v>74.95268</v>
      </c>
      <c r="AG809" s="97" t="n">
        <v>48.21502</v>
      </c>
      <c r="AH809" s="97" t="n">
        <v>58.49186</v>
      </c>
      <c r="AI809" s="97" t="n">
        <v>37.65392</v>
      </c>
      <c r="AJ809" s="97" t="n">
        <v>88.90980999999999</v>
      </c>
      <c r="AK809" s="97" t="n"/>
      <c r="AL809" s="97" t="n"/>
      <c r="AM809" s="97" t="n">
        <v>63.09342</v>
      </c>
      <c r="AN809" s="97" t="n"/>
      <c r="AO809" s="97" t="n">
        <v>54.32632</v>
      </c>
      <c r="AP809" s="97" t="n">
        <v>71.17722000000001</v>
      </c>
      <c r="AQ809" s="97" t="n"/>
      <c r="AR809" s="97" t="n"/>
      <c r="AS809" s="97" t="n"/>
      <c r="AT809" s="97" t="n"/>
      <c r="AU809" s="97" t="n"/>
      <c r="AV809" s="97" t="n"/>
      <c r="AW809" s="97" t="n"/>
      <c r="AX809" s="97" t="n">
        <v>23.19807</v>
      </c>
      <c r="AY809" s="97" t="n">
        <v>74.09885</v>
      </c>
    </row>
    <row r="810" s="135">
      <c r="A810" t="inlineStr">
        <is>
          <t>1986-05</t>
        </is>
      </c>
      <c r="B810" s="2" t="n">
        <v>31533</v>
      </c>
      <c r="C810" s="96" t="n">
        <v>810</v>
      </c>
      <c r="E810" s="2">
        <f>B810</f>
        <v/>
      </c>
      <c r="F810" s="3">
        <f>B810</f>
        <v/>
      </c>
      <c r="G810" s="96" t="n">
        <v>808</v>
      </c>
      <c r="H810" s="97" t="n"/>
      <c r="I810" s="97" t="n"/>
      <c r="J810" s="97" t="n">
        <v>54.28981</v>
      </c>
      <c r="K810" s="97" t="n">
        <v>63.32402</v>
      </c>
      <c r="L810" s="97" t="n"/>
      <c r="M810" s="97" t="n"/>
      <c r="N810" s="97" t="n">
        <v>62.89017</v>
      </c>
      <c r="O810" s="97" t="n">
        <v>81.42573</v>
      </c>
      <c r="P810" s="97" t="n">
        <v>85.75732000000001</v>
      </c>
      <c r="Q810" s="97" t="n"/>
      <c r="R810" s="97" t="n">
        <v>58.31335</v>
      </c>
      <c r="S810" s="97" t="n">
        <v>81.40239</v>
      </c>
      <c r="T810" s="97" t="n">
        <v>86.81767000000001</v>
      </c>
      <c r="U810" s="97" t="n">
        <v>119.97</v>
      </c>
      <c r="V810" s="97" t="n">
        <v>45.29835</v>
      </c>
      <c r="W810" s="97" t="n">
        <v>9.396917</v>
      </c>
      <c r="X810" s="97" t="n"/>
      <c r="Y810" s="97" t="n"/>
      <c r="Z810" s="97" t="n">
        <v>95.37575</v>
      </c>
      <c r="AA810" s="97" t="n">
        <v>84.04483999999999</v>
      </c>
      <c r="AB810" s="97" t="n"/>
      <c r="AC810" s="97" t="n">
        <v>61.65889</v>
      </c>
      <c r="AD810" s="97" t="n"/>
      <c r="AE810" s="97" t="n">
        <v>56.82492</v>
      </c>
      <c r="AF810" s="97" t="n">
        <v>67.17458000000001</v>
      </c>
      <c r="AG810" s="97" t="n">
        <v>67.89462</v>
      </c>
      <c r="AH810" s="97" t="n">
        <v>58.01825</v>
      </c>
      <c r="AI810" s="97" t="n">
        <v>37.47994</v>
      </c>
      <c r="AJ810" s="97" t="n">
        <v>86.23277</v>
      </c>
      <c r="AK810" s="97" t="n"/>
      <c r="AL810" s="97" t="n"/>
      <c r="AM810" s="97" t="n">
        <v>63.20835</v>
      </c>
      <c r="AN810" s="97" t="n"/>
      <c r="AO810" s="97" t="n">
        <v>54.44389</v>
      </c>
      <c r="AP810" s="97" t="n">
        <v>69.23446</v>
      </c>
      <c r="AQ810" s="97" t="n"/>
      <c r="AR810" s="97" t="n"/>
      <c r="AS810" s="97" t="n"/>
      <c r="AT810" s="97" t="n"/>
      <c r="AU810" s="97" t="n"/>
      <c r="AV810" s="97" t="n"/>
      <c r="AW810" s="97" t="n"/>
      <c r="AX810" s="97" t="n">
        <v>23.09808</v>
      </c>
      <c r="AY810" s="97" t="n">
        <v>73.76595</v>
      </c>
    </row>
    <row r="811" s="135">
      <c r="A811" t="inlineStr">
        <is>
          <t>1986-06</t>
        </is>
      </c>
      <c r="B811" s="2" t="n">
        <v>31564</v>
      </c>
      <c r="C811" s="96" t="n">
        <v>811</v>
      </c>
      <c r="E811" s="2">
        <f>B811</f>
        <v/>
      </c>
      <c r="F811" s="3">
        <f>B811</f>
        <v/>
      </c>
      <c r="G811" s="96" t="n">
        <v>809</v>
      </c>
      <c r="H811" s="97" t="n"/>
      <c r="I811" s="97" t="n"/>
      <c r="J811" s="97" t="n">
        <v>55.16967</v>
      </c>
      <c r="K811" s="97" t="n">
        <v>63.08108</v>
      </c>
      <c r="L811" s="97" t="n"/>
      <c r="M811" s="97" t="n"/>
      <c r="N811" s="97" t="n">
        <v>63.19876</v>
      </c>
      <c r="O811" s="97" t="n">
        <v>81.20802</v>
      </c>
      <c r="P811" s="97" t="n">
        <v>91.02016</v>
      </c>
      <c r="Q811" s="97" t="n"/>
      <c r="R811" s="97" t="n">
        <v>59.5528</v>
      </c>
      <c r="S811" s="97" t="n">
        <v>82.04625</v>
      </c>
      <c r="T811" s="97" t="n">
        <v>87.98956</v>
      </c>
      <c r="U811" s="97" t="n">
        <v>122.6048</v>
      </c>
      <c r="V811" s="97" t="n">
        <v>45.38787</v>
      </c>
      <c r="W811" s="97" t="n">
        <v>9.958933999999999</v>
      </c>
      <c r="X811" s="97" t="n"/>
      <c r="Y811" s="97" t="n"/>
      <c r="Z811" s="97" t="n">
        <v>97.26437</v>
      </c>
      <c r="AA811" s="97" t="n">
        <v>84.29723</v>
      </c>
      <c r="AB811" s="97" t="n"/>
      <c r="AC811" s="97" t="n">
        <v>62.68538</v>
      </c>
      <c r="AD811" s="97" t="n"/>
      <c r="AE811" s="97" t="n">
        <v>55.45129</v>
      </c>
      <c r="AF811" s="97" t="n">
        <v>70.00297999999999</v>
      </c>
      <c r="AG811" s="97" t="n">
        <v>73.1425</v>
      </c>
      <c r="AH811" s="97" t="n">
        <v>58.36604</v>
      </c>
      <c r="AI811" s="97" t="n">
        <v>36.85838</v>
      </c>
      <c r="AJ811" s="97" t="n">
        <v>87.54349999999999</v>
      </c>
      <c r="AK811" s="97" t="n"/>
      <c r="AL811" s="97" t="n"/>
      <c r="AM811" s="97" t="n">
        <v>63.61058</v>
      </c>
      <c r="AN811" s="97" t="n"/>
      <c r="AO811" s="97" t="n">
        <v>54.26648</v>
      </c>
      <c r="AP811" s="97" t="n">
        <v>70.37726000000001</v>
      </c>
      <c r="AQ811" s="97" t="n"/>
      <c r="AR811" s="97" t="n"/>
      <c r="AS811" s="97" t="n"/>
      <c r="AT811" s="97" t="n"/>
      <c r="AU811" s="97" t="n"/>
      <c r="AV811" s="97" t="n"/>
      <c r="AW811" s="97" t="n"/>
      <c r="AX811" s="97" t="n">
        <v>24.69794</v>
      </c>
      <c r="AY811" s="97" t="n">
        <v>75.55859</v>
      </c>
    </row>
    <row r="812" s="135">
      <c r="A812" t="inlineStr">
        <is>
          <t>1986-07</t>
        </is>
      </c>
      <c r="B812" s="2" t="n">
        <v>31594</v>
      </c>
      <c r="C812" s="96" t="n">
        <v>812</v>
      </c>
      <c r="E812" s="2">
        <f>B812</f>
        <v/>
      </c>
      <c r="F812" s="3">
        <f>B812</f>
        <v/>
      </c>
      <c r="G812" s="96" t="n">
        <v>810</v>
      </c>
      <c r="H812" s="97" t="n"/>
      <c r="I812" s="97" t="n"/>
      <c r="J812" s="97" t="n">
        <v>56.62803</v>
      </c>
      <c r="K812" s="97" t="n">
        <v>63.53877</v>
      </c>
      <c r="L812" s="97" t="n"/>
      <c r="M812" s="97" t="n"/>
      <c r="N812" s="97" t="n">
        <v>64.12452999999999</v>
      </c>
      <c r="O812" s="97" t="n">
        <v>81.86116</v>
      </c>
      <c r="P812" s="97" t="n">
        <v>87.71123</v>
      </c>
      <c r="Q812" s="97" t="n"/>
      <c r="R812" s="97" t="n">
        <v>61.38247</v>
      </c>
      <c r="S812" s="97" t="n">
        <v>82.13822999999999</v>
      </c>
      <c r="T812" s="97" t="n">
        <v>87.30596</v>
      </c>
      <c r="U812" s="97" t="n">
        <v>128.0652</v>
      </c>
      <c r="V812" s="97" t="n">
        <v>46.68594</v>
      </c>
      <c r="W812" s="97" t="n">
        <v>9.689166</v>
      </c>
      <c r="X812" s="97" t="n"/>
      <c r="Y812" s="97" t="n"/>
      <c r="Z812" s="97" t="n">
        <v>98.56281</v>
      </c>
      <c r="AA812" s="97" t="n">
        <v>84.29723</v>
      </c>
      <c r="AB812" s="97" t="n"/>
      <c r="AC812" s="97" t="n">
        <v>65.05737999999999</v>
      </c>
      <c r="AD812" s="97" t="n"/>
      <c r="AE812" s="97" t="n">
        <v>54.72832</v>
      </c>
      <c r="AF812" s="97" t="n">
        <v>70.71008</v>
      </c>
      <c r="AG812" s="97" t="n">
        <v>75.43846000000001</v>
      </c>
      <c r="AH812" s="97" t="n">
        <v>58.5839</v>
      </c>
      <c r="AI812" s="97" t="n">
        <v>37.52519</v>
      </c>
      <c r="AJ812" s="97" t="n">
        <v>88.65328</v>
      </c>
      <c r="AK812" s="97" t="n"/>
      <c r="AL812" s="97" t="n"/>
      <c r="AM812" s="97" t="n">
        <v>64.24267</v>
      </c>
      <c r="AN812" s="97" t="n"/>
      <c r="AO812" s="97" t="n">
        <v>54.57039</v>
      </c>
      <c r="AP812" s="97" t="n">
        <v>70.5201</v>
      </c>
      <c r="AQ812" s="97" t="n"/>
      <c r="AR812" s="97" t="n"/>
      <c r="AS812" s="97" t="n"/>
      <c r="AT812" s="97" t="n"/>
      <c r="AU812" s="97" t="n"/>
      <c r="AV812" s="97" t="n"/>
      <c r="AW812" s="97" t="n"/>
      <c r="AX812" s="97" t="n">
        <v>24.49796</v>
      </c>
      <c r="AY812" s="97" t="n">
        <v>75.62448999999999</v>
      </c>
    </row>
    <row r="813" s="135">
      <c r="A813" t="inlineStr">
        <is>
          <t>1986-08</t>
        </is>
      </c>
      <c r="B813" s="2" t="n">
        <v>31625</v>
      </c>
      <c r="C813" s="96" t="n">
        <v>813</v>
      </c>
      <c r="E813" s="2">
        <f>B813</f>
        <v/>
      </c>
      <c r="F813" s="3">
        <f>B813</f>
        <v/>
      </c>
      <c r="G813" s="96" t="n">
        <v>811</v>
      </c>
      <c r="H813" s="97" t="n"/>
      <c r="I813" s="97" t="n"/>
      <c r="J813" s="97" t="n">
        <v>56.01458</v>
      </c>
      <c r="K813" s="97" t="n">
        <v>62.96783</v>
      </c>
      <c r="L813" s="97" t="n"/>
      <c r="M813" s="97" t="n"/>
      <c r="N813" s="97" t="n">
        <v>63.01361</v>
      </c>
      <c r="O813" s="97" t="n">
        <v>84.14718000000001</v>
      </c>
      <c r="P813" s="97" t="n">
        <v>86.64315999999999</v>
      </c>
      <c r="Q813" s="97" t="n"/>
      <c r="R813" s="97" t="n">
        <v>60.49715</v>
      </c>
      <c r="S813" s="97" t="n">
        <v>82.13822999999999</v>
      </c>
      <c r="T813" s="97" t="n">
        <v>87.30596</v>
      </c>
      <c r="U813" s="97" t="n">
        <v>118.3415</v>
      </c>
      <c r="V813" s="97" t="n">
        <v>45.79072</v>
      </c>
      <c r="W813" s="97" t="n">
        <v>9.958933999999999</v>
      </c>
      <c r="X813" s="97" t="n"/>
      <c r="Y813" s="97" t="n"/>
      <c r="Z813" s="97" t="n">
        <v>98.79889</v>
      </c>
      <c r="AA813" s="97" t="n">
        <v>82.27813</v>
      </c>
      <c r="AB813" s="97" t="n"/>
      <c r="AC813" s="97" t="n">
        <v>60.26338</v>
      </c>
      <c r="AD813" s="97" t="n"/>
      <c r="AE813" s="97" t="n">
        <v>54.43914</v>
      </c>
      <c r="AF813" s="97" t="n">
        <v>70.71008</v>
      </c>
      <c r="AG813" s="97" t="n">
        <v>77.18774999999999</v>
      </c>
      <c r="AH813" s="97" t="n">
        <v>58.22987</v>
      </c>
      <c r="AI813" s="97" t="n">
        <v>36.82195</v>
      </c>
      <c r="AJ813" s="97" t="n">
        <v>90.79969</v>
      </c>
      <c r="AK813" s="97" t="n"/>
      <c r="AL813" s="97" t="n"/>
      <c r="AM813" s="97" t="n">
        <v>64.64490000000001</v>
      </c>
      <c r="AN813" s="97" t="n"/>
      <c r="AO813" s="97" t="n">
        <v>54.49749</v>
      </c>
      <c r="AP813" s="97" t="n">
        <v>70.08203</v>
      </c>
      <c r="AQ813" s="97" t="n"/>
      <c r="AR813" s="97" t="n"/>
      <c r="AS813" s="97" t="n"/>
      <c r="AT813" s="97" t="n"/>
      <c r="AU813" s="97" t="n"/>
      <c r="AV813" s="97" t="n"/>
      <c r="AW813" s="97" t="n"/>
      <c r="AX813" s="97" t="n">
        <v>26.09783</v>
      </c>
      <c r="AY813" s="97" t="n">
        <v>76.2831</v>
      </c>
    </row>
    <row r="814" s="135">
      <c r="A814" t="inlineStr">
        <is>
          <t>1986-09</t>
        </is>
      </c>
      <c r="B814" s="2" t="n">
        <v>31656</v>
      </c>
      <c r="C814" s="96" t="n">
        <v>814</v>
      </c>
      <c r="E814" s="2">
        <f>B814</f>
        <v/>
      </c>
      <c r="F814" s="3">
        <f>B814</f>
        <v/>
      </c>
      <c r="G814" s="96" t="n">
        <v>812</v>
      </c>
      <c r="H814" s="97" t="n"/>
      <c r="I814" s="97" t="n"/>
      <c r="J814" s="97" t="n">
        <v>55.13724</v>
      </c>
      <c r="K814" s="97" t="n">
        <v>63.25166</v>
      </c>
      <c r="L814" s="97" t="n"/>
      <c r="M814" s="97" t="n"/>
      <c r="N814" s="97" t="n">
        <v>62.64331</v>
      </c>
      <c r="O814" s="97" t="n">
        <v>83.49403</v>
      </c>
      <c r="P814" s="97" t="n">
        <v>88.22002999999999</v>
      </c>
      <c r="Q814" s="97" t="n"/>
      <c r="R814" s="97" t="n">
        <v>60.79226</v>
      </c>
      <c r="S814" s="97" t="n">
        <v>82.87407</v>
      </c>
      <c r="T814" s="97" t="n">
        <v>89.45443</v>
      </c>
      <c r="U814" s="97" t="n">
        <v>118.3581</v>
      </c>
      <c r="V814" s="97" t="n">
        <v>46.05929</v>
      </c>
      <c r="W814" s="97" t="n">
        <v>10.13878</v>
      </c>
      <c r="X814" s="97" t="n"/>
      <c r="Y814" s="97" t="n"/>
      <c r="Z814" s="97" t="n">
        <v>97.85458</v>
      </c>
      <c r="AA814" s="97" t="n">
        <v>85.05439</v>
      </c>
      <c r="AB814" s="97" t="n"/>
      <c r="AC814" s="97" t="n">
        <v>64.06053</v>
      </c>
      <c r="AD814" s="97" t="n"/>
      <c r="AE814" s="97" t="n">
        <v>54.07766</v>
      </c>
      <c r="AF814" s="97" t="n">
        <v>72.83138</v>
      </c>
      <c r="AG814" s="97" t="n">
        <v>69.31592000000001</v>
      </c>
      <c r="AH814" s="97" t="n">
        <v>58.55135</v>
      </c>
      <c r="AI814" s="97" t="n">
        <v>37.94555</v>
      </c>
      <c r="AJ814" s="97" t="n">
        <v>91.54617</v>
      </c>
      <c r="AK814" s="97" t="n"/>
      <c r="AL814" s="97" t="n"/>
      <c r="AM814" s="97" t="n">
        <v>64.30013</v>
      </c>
      <c r="AN814" s="97" t="n"/>
      <c r="AO814" s="97" t="n">
        <v>54.60804</v>
      </c>
      <c r="AP814" s="97" t="n">
        <v>70.61534</v>
      </c>
      <c r="AQ814" s="97" t="n"/>
      <c r="AR814" s="97" t="n"/>
      <c r="AS814" s="97" t="n"/>
      <c r="AT814" s="97" t="n"/>
      <c r="AU814" s="97" t="n"/>
      <c r="AV814" s="97" t="n"/>
      <c r="AW814" s="97" t="n"/>
      <c r="AX814" s="97" t="n">
        <v>24.29798</v>
      </c>
      <c r="AY814" s="97" t="n">
        <v>78.89323</v>
      </c>
    </row>
    <row r="815" s="135">
      <c r="A815" t="inlineStr">
        <is>
          <t>1986-10</t>
        </is>
      </c>
      <c r="B815" s="2" t="n">
        <v>31686</v>
      </c>
      <c r="C815" s="96" t="n">
        <v>815</v>
      </c>
      <c r="E815" s="2">
        <f>B815</f>
        <v/>
      </c>
      <c r="F815" s="3">
        <f>B815</f>
        <v/>
      </c>
      <c r="G815" s="96" t="n">
        <v>813</v>
      </c>
      <c r="H815" s="97" t="n"/>
      <c r="I815" s="97" t="n"/>
      <c r="J815" s="97" t="n">
        <v>54.94764</v>
      </c>
      <c r="K815" s="97" t="n">
        <v>63.17741</v>
      </c>
      <c r="L815" s="97" t="n"/>
      <c r="M815" s="97" t="n"/>
      <c r="N815" s="97" t="n">
        <v>62.82846</v>
      </c>
      <c r="O815" s="97" t="n">
        <v>80.88144</v>
      </c>
      <c r="P815" s="97" t="n">
        <v>89.33707</v>
      </c>
      <c r="Q815" s="97" t="n"/>
      <c r="R815" s="97" t="n">
        <v>61.61856</v>
      </c>
      <c r="S815" s="97" t="n">
        <v>83.60991</v>
      </c>
      <c r="T815" s="97" t="n">
        <v>89.7474</v>
      </c>
      <c r="U815" s="97" t="n">
        <v>119.7429</v>
      </c>
      <c r="V815" s="97" t="n">
        <v>45.61168</v>
      </c>
      <c r="W815" s="97" t="n">
        <v>10.25118</v>
      </c>
      <c r="X815" s="97" t="n"/>
      <c r="Y815" s="97" t="n"/>
      <c r="Z815" s="97" t="n">
        <v>97.73653</v>
      </c>
      <c r="AA815" s="97" t="n">
        <v>83.96071000000001</v>
      </c>
      <c r="AB815" s="97" t="n"/>
      <c r="AC815" s="97" t="n">
        <v>64.26806999999999</v>
      </c>
      <c r="AD815" s="97" t="n"/>
      <c r="AE815" s="97" t="n">
        <v>54.29455</v>
      </c>
      <c r="AF815" s="97" t="n">
        <v>70.00297999999999</v>
      </c>
      <c r="AG815" s="97" t="n">
        <v>71.7212</v>
      </c>
      <c r="AH815" s="97" t="n">
        <v>58.60302</v>
      </c>
      <c r="AI815" s="97" t="n">
        <v>37.58826</v>
      </c>
      <c r="AJ815" s="97" t="n">
        <v>90.67689</v>
      </c>
      <c r="AK815" s="97" t="n"/>
      <c r="AL815" s="97" t="n"/>
      <c r="AM815" s="97" t="n">
        <v>64.30013</v>
      </c>
      <c r="AN815" s="97" t="n"/>
      <c r="AO815" s="97" t="n">
        <v>54.86344</v>
      </c>
      <c r="AP815" s="97" t="n">
        <v>70.50106</v>
      </c>
      <c r="AQ815" s="97" t="n"/>
      <c r="AR815" s="97" t="n"/>
      <c r="AS815" s="97" t="n"/>
      <c r="AT815" s="97" t="n"/>
      <c r="AU815" s="97" t="n"/>
      <c r="AV815" s="97" t="n"/>
      <c r="AW815" s="97" t="n"/>
      <c r="AX815" s="97" t="n">
        <v>25.49788</v>
      </c>
      <c r="AY815" s="97" t="n">
        <v>79.78069000000001</v>
      </c>
    </row>
    <row r="816" s="135">
      <c r="A816" t="inlineStr">
        <is>
          <t>1986-11</t>
        </is>
      </c>
      <c r="B816" s="2" t="n">
        <v>31717</v>
      </c>
      <c r="C816" s="96" t="n">
        <v>816</v>
      </c>
      <c r="E816" s="2">
        <f>B816</f>
        <v/>
      </c>
      <c r="F816" s="3">
        <f>B816</f>
        <v/>
      </c>
      <c r="G816" s="96" t="n">
        <v>814</v>
      </c>
      <c r="H816" s="97" t="n"/>
      <c r="I816" s="97" t="n"/>
      <c r="J816" s="97" t="n">
        <v>54.91082</v>
      </c>
      <c r="K816" s="97" t="n">
        <v>63.04161</v>
      </c>
      <c r="L816" s="97" t="n"/>
      <c r="M816" s="97" t="n"/>
      <c r="N816" s="97" t="n">
        <v>63.50735</v>
      </c>
      <c r="O816" s="97" t="n">
        <v>79.03085</v>
      </c>
      <c r="P816" s="97" t="n">
        <v>88.80152</v>
      </c>
      <c r="Q816" s="97" t="n"/>
      <c r="R816" s="97" t="n">
        <v>61.79562</v>
      </c>
      <c r="S816" s="97" t="n">
        <v>82.41417</v>
      </c>
      <c r="T816" s="97" t="n">
        <v>89.35677</v>
      </c>
      <c r="U816" s="97" t="n">
        <v>122.3222</v>
      </c>
      <c r="V816" s="97" t="n">
        <v>44.80597</v>
      </c>
      <c r="W816" s="97" t="n">
        <v>10.09382</v>
      </c>
      <c r="X816" s="97" t="n"/>
      <c r="Y816" s="97" t="n"/>
      <c r="Z816" s="97" t="n">
        <v>97.50046</v>
      </c>
      <c r="AA816" s="97" t="n">
        <v>82.78291</v>
      </c>
      <c r="AB816" s="97" t="n"/>
      <c r="AC816" s="97" t="n">
        <v>61.96127</v>
      </c>
      <c r="AD816" s="97" t="n"/>
      <c r="AE816" s="97" t="n">
        <v>53.78848</v>
      </c>
      <c r="AF816" s="97" t="n">
        <v>70.00297999999999</v>
      </c>
      <c r="AG816" s="97" t="n">
        <v>72.81451</v>
      </c>
      <c r="AH816" s="97" t="n">
        <v>58.53613</v>
      </c>
      <c r="AI816" s="97" t="n">
        <v>38.17352</v>
      </c>
      <c r="AJ816" s="97" t="n">
        <v>91.39627</v>
      </c>
      <c r="AK816" s="97" t="n"/>
      <c r="AL816" s="97" t="n"/>
      <c r="AM816" s="97" t="n">
        <v>65.44937</v>
      </c>
      <c r="AN816" s="97" t="n"/>
      <c r="AO816" s="97" t="n">
        <v>55.11327</v>
      </c>
      <c r="AP816" s="97" t="n">
        <v>69.82491</v>
      </c>
      <c r="AQ816" s="97" t="n"/>
      <c r="AR816" s="97" t="n"/>
      <c r="AS816" s="97" t="n"/>
      <c r="AT816" s="97" t="n"/>
      <c r="AU816" s="97" t="n"/>
      <c r="AV816" s="97" t="n"/>
      <c r="AW816" s="97" t="n"/>
      <c r="AX816" s="97" t="n">
        <v>25.59787</v>
      </c>
      <c r="AY816" s="97" t="n">
        <v>78.92355000000001</v>
      </c>
    </row>
    <row r="817" s="135">
      <c r="A817" t="inlineStr">
        <is>
          <t>1986-12</t>
        </is>
      </c>
      <c r="B817" s="2" t="n">
        <v>31747</v>
      </c>
      <c r="C817" s="96" t="n">
        <v>817</v>
      </c>
      <c r="E817" s="2">
        <f>B817</f>
        <v/>
      </c>
      <c r="F817" s="3">
        <f>B817</f>
        <v/>
      </c>
      <c r="G817" s="96" t="n">
        <v>815</v>
      </c>
      <c r="H817" s="97" t="n"/>
      <c r="I817" s="97" t="n"/>
      <c r="J817" s="97" t="n">
        <v>55.48977</v>
      </c>
      <c r="K817" s="97" t="n">
        <v>64.15716999999999</v>
      </c>
      <c r="L817" s="97" t="n"/>
      <c r="M817" s="97" t="n"/>
      <c r="N817" s="97" t="n">
        <v>62.70502</v>
      </c>
      <c r="O817" s="97" t="n">
        <v>80.11944</v>
      </c>
      <c r="P817" s="97" t="n">
        <v>90.13177</v>
      </c>
      <c r="Q817" s="97" t="n"/>
      <c r="R817" s="97" t="n">
        <v>61.32345</v>
      </c>
      <c r="S817" s="97" t="n">
        <v>82.96605</v>
      </c>
      <c r="T817" s="97" t="n">
        <v>89.7474</v>
      </c>
      <c r="U817" s="97" t="n">
        <v>119.5862</v>
      </c>
      <c r="V817" s="97" t="n">
        <v>46.37262</v>
      </c>
      <c r="W817" s="97" t="n">
        <v>10.02638</v>
      </c>
      <c r="X817" s="97" t="n"/>
      <c r="Y817" s="97" t="n"/>
      <c r="Z817" s="97" t="n">
        <v>100.2154</v>
      </c>
      <c r="AA817" s="97" t="n">
        <v>84.71787</v>
      </c>
      <c r="AB817" s="97" t="n"/>
      <c r="AC817" s="97" t="n">
        <v>60.10597</v>
      </c>
      <c r="AD817" s="97" t="n"/>
      <c r="AE817" s="97" t="n">
        <v>53.71618</v>
      </c>
      <c r="AF817" s="97" t="n">
        <v>71.41718</v>
      </c>
      <c r="AG817" s="97" t="n">
        <v>75.43846000000001</v>
      </c>
      <c r="AH817" s="97" t="n">
        <v>59.0582</v>
      </c>
      <c r="AI817" s="97" t="n">
        <v>37.6848</v>
      </c>
      <c r="AJ817" s="97" t="n">
        <v>91.37286</v>
      </c>
      <c r="AK817" s="97" t="n"/>
      <c r="AL817" s="97" t="n"/>
      <c r="AM817" s="97" t="n">
        <v>64.70236</v>
      </c>
      <c r="AN817" s="97" t="n"/>
      <c r="AO817" s="97" t="n">
        <v>55.57729</v>
      </c>
      <c r="AP817" s="97" t="n">
        <v>70.57725000000001</v>
      </c>
      <c r="AQ817" s="97" t="n"/>
      <c r="AR817" s="97" t="n"/>
      <c r="AS817" s="97" t="n"/>
      <c r="AT817" s="97" t="n"/>
      <c r="AU817" s="97" t="n"/>
      <c r="AV817" s="97" t="n"/>
      <c r="AW817" s="97" t="n"/>
      <c r="AX817" s="97" t="n">
        <v>25.39788</v>
      </c>
      <c r="AY817" s="97" t="n">
        <v>77.18864000000001</v>
      </c>
    </row>
    <row r="818" s="135">
      <c r="A818" t="inlineStr">
        <is>
          <t>1987-01</t>
        </is>
      </c>
      <c r="B818" s="2" t="n">
        <v>31778</v>
      </c>
      <c r="C818" s="96" t="n">
        <v>818</v>
      </c>
      <c r="E818" s="2">
        <f>B818</f>
        <v/>
      </c>
      <c r="F818" s="3">
        <f>B818</f>
        <v/>
      </c>
      <c r="G818" s="96" t="n">
        <v>816</v>
      </c>
      <c r="H818" s="97" t="n"/>
      <c r="I818" s="97" t="n"/>
      <c r="J818" s="97" t="n">
        <v>54.55617</v>
      </c>
      <c r="K818" s="97" t="n">
        <v>64.82069</v>
      </c>
      <c r="L818" s="97" t="n"/>
      <c r="M818" s="97" t="n"/>
      <c r="N818" s="97" t="n">
        <v>61.71754</v>
      </c>
      <c r="O818" s="97" t="n">
        <v>74.89426</v>
      </c>
      <c r="P818" s="97" t="n">
        <v>86.88124000000001</v>
      </c>
      <c r="Q818" s="97" t="n"/>
      <c r="R818" s="97" t="n">
        <v>60.67421</v>
      </c>
      <c r="S818" s="97" t="n">
        <v>80.75852999999999</v>
      </c>
      <c r="T818" s="97" t="n">
        <v>88.08722</v>
      </c>
      <c r="U818" s="97" t="n">
        <v>116.7326</v>
      </c>
      <c r="V818" s="97" t="n">
        <v>43.32885</v>
      </c>
      <c r="W818" s="97" t="n">
        <v>9.531801</v>
      </c>
      <c r="X818" s="97" t="n"/>
      <c r="Y818" s="97" t="n"/>
      <c r="Z818" s="97" t="n">
        <v>95.72987000000001</v>
      </c>
      <c r="AA818" s="97" t="n">
        <v>84.46548</v>
      </c>
      <c r="AB818" s="97" t="n"/>
      <c r="AC818" s="97" t="n">
        <v>62.07739</v>
      </c>
      <c r="AD818" s="97" t="n"/>
      <c r="AE818" s="97" t="n">
        <v>54.14996</v>
      </c>
      <c r="AF818" s="97" t="n">
        <v>74.95268</v>
      </c>
      <c r="AG818" s="97" t="n">
        <v>77.40642</v>
      </c>
      <c r="AH818" s="97" t="n">
        <v>58.53218</v>
      </c>
      <c r="AI818" s="97" t="n">
        <v>35.44857</v>
      </c>
      <c r="AJ818" s="97" t="n">
        <v>88.37035</v>
      </c>
      <c r="AK818" s="97" t="n"/>
      <c r="AL818" s="97" t="n"/>
      <c r="AM818" s="97" t="n">
        <v>62.34642</v>
      </c>
      <c r="AN818" s="97" t="n"/>
      <c r="AO818" s="97" t="n">
        <v>55.40699</v>
      </c>
      <c r="AP818" s="97" t="n">
        <v>69.94871000000001</v>
      </c>
      <c r="AQ818" s="97" t="n"/>
      <c r="AR818" s="97" t="n"/>
      <c r="AS818" s="97" t="n"/>
      <c r="AT818" s="97" t="n"/>
      <c r="AU818" s="97" t="n"/>
      <c r="AV818" s="97" t="n"/>
      <c r="AW818" s="97" t="n"/>
      <c r="AX818" s="97" t="n">
        <v>25.49788</v>
      </c>
      <c r="AY818" s="97" t="n">
        <v>79.6186</v>
      </c>
    </row>
    <row r="819" s="135">
      <c r="A819" t="inlineStr">
        <is>
          <t>1987-02</t>
        </is>
      </c>
      <c r="B819" s="2" t="n">
        <v>31809</v>
      </c>
      <c r="C819" s="96" t="n">
        <v>819</v>
      </c>
      <c r="E819" s="2">
        <f>B819</f>
        <v/>
      </c>
      <c r="F819" s="3">
        <f>B819</f>
        <v/>
      </c>
      <c r="G819" s="96" t="n">
        <v>817</v>
      </c>
      <c r="H819" s="97" t="n"/>
      <c r="I819" s="97" t="n"/>
      <c r="J819" s="97" t="n">
        <v>56.2682</v>
      </c>
      <c r="K819" s="97" t="n">
        <v>64.96119</v>
      </c>
      <c r="L819" s="97" t="n"/>
      <c r="M819" s="97" t="n"/>
      <c r="N819" s="97" t="n">
        <v>62.95189</v>
      </c>
      <c r="O819" s="97" t="n">
        <v>78.37770999999999</v>
      </c>
      <c r="P819" s="97" t="n">
        <v>91.69091</v>
      </c>
      <c r="Q819" s="97" t="n"/>
      <c r="R819" s="97" t="n">
        <v>61.55954</v>
      </c>
      <c r="S819" s="97" t="n">
        <v>82.69011</v>
      </c>
      <c r="T819" s="97" t="n">
        <v>90.91930000000001</v>
      </c>
      <c r="U819" s="97" t="n">
        <v>126.4172</v>
      </c>
      <c r="V819" s="97" t="n">
        <v>46.55166</v>
      </c>
      <c r="W819" s="97" t="n">
        <v>10.31862</v>
      </c>
      <c r="X819" s="97" t="n"/>
      <c r="Y819" s="97" t="n"/>
      <c r="Z819" s="97" t="n">
        <v>98.68085000000001</v>
      </c>
      <c r="AA819" s="97" t="n">
        <v>84.04483999999999</v>
      </c>
      <c r="AB819" s="97" t="n"/>
      <c r="AC819" s="97" t="n">
        <v>60.50597</v>
      </c>
      <c r="AD819" s="97" t="n"/>
      <c r="AE819" s="97" t="n">
        <v>55.01751</v>
      </c>
      <c r="AF819" s="97" t="n">
        <v>71.41718</v>
      </c>
      <c r="AG819" s="97" t="n">
        <v>74.45448</v>
      </c>
      <c r="AH819" s="97" t="n">
        <v>59.40536</v>
      </c>
      <c r="AI819" s="97" t="n">
        <v>39.81722</v>
      </c>
      <c r="AJ819" s="97" t="n">
        <v>92.10835</v>
      </c>
      <c r="AK819" s="97" t="n"/>
      <c r="AL819" s="97" t="n"/>
      <c r="AM819" s="97" t="n">
        <v>64.93221</v>
      </c>
      <c r="AN819" s="97" t="n"/>
      <c r="AO819" s="97" t="n">
        <v>56.13208</v>
      </c>
      <c r="AP819" s="97" t="n">
        <v>70.88199</v>
      </c>
      <c r="AQ819" s="97" t="n"/>
      <c r="AR819" s="97" t="n"/>
      <c r="AS819" s="97" t="n"/>
      <c r="AT819" s="97" t="n"/>
      <c r="AU819" s="97" t="n"/>
      <c r="AV819" s="97" t="n"/>
      <c r="AW819" s="97" t="n"/>
      <c r="AX819" s="97" t="n">
        <v>26.09783</v>
      </c>
      <c r="AY819" s="97" t="n">
        <v>83.99518999999999</v>
      </c>
    </row>
    <row r="820" s="135">
      <c r="A820" t="inlineStr">
        <is>
          <t>1987-03</t>
        </is>
      </c>
      <c r="B820" s="2" t="n">
        <v>31837</v>
      </c>
      <c r="C820" s="96" t="n">
        <v>820</v>
      </c>
      <c r="E820" s="2">
        <f>B820</f>
        <v/>
      </c>
      <c r="F820" s="3">
        <f>B820</f>
        <v/>
      </c>
      <c r="G820" s="96" t="n">
        <v>818</v>
      </c>
      <c r="H820" s="97" t="n"/>
      <c r="I820" s="97" t="n"/>
      <c r="J820" s="97" t="n">
        <v>55.37326</v>
      </c>
      <c r="K820" s="97" t="n">
        <v>65.38834</v>
      </c>
      <c r="L820" s="97" t="n"/>
      <c r="M820" s="97" t="n"/>
      <c r="N820" s="97" t="n">
        <v>62.58159</v>
      </c>
      <c r="O820" s="97" t="n">
        <v>79.90172</v>
      </c>
      <c r="P820" s="97" t="n">
        <v>91.06453999999999</v>
      </c>
      <c r="Q820" s="97" t="n"/>
      <c r="R820" s="97" t="n">
        <v>63.97942</v>
      </c>
      <c r="S820" s="97" t="n">
        <v>83.60991</v>
      </c>
      <c r="T820" s="97" t="n">
        <v>90.52866</v>
      </c>
      <c r="U820" s="97" t="n">
        <v>118.7288</v>
      </c>
      <c r="V820" s="97" t="n">
        <v>46.95451</v>
      </c>
      <c r="W820" s="97" t="n">
        <v>10.2287</v>
      </c>
      <c r="X820" s="97" t="n"/>
      <c r="Y820" s="97" t="n"/>
      <c r="Z820" s="97" t="n">
        <v>99.97928</v>
      </c>
      <c r="AA820" s="97" t="n">
        <v>85.30678</v>
      </c>
      <c r="AB820" s="97" t="n"/>
      <c r="AC820" s="97" t="n">
        <v>63.57925</v>
      </c>
      <c r="AD820" s="97" t="n"/>
      <c r="AE820" s="97" t="n">
        <v>55.74047</v>
      </c>
      <c r="AF820" s="97" t="n">
        <v>73.53848000000001</v>
      </c>
      <c r="AG820" s="97" t="n">
        <v>74.01715</v>
      </c>
      <c r="AH820" s="97" t="n">
        <v>59.59507</v>
      </c>
      <c r="AI820" s="97" t="n">
        <v>38.81628</v>
      </c>
      <c r="AJ820" s="97" t="n">
        <v>89.56046000000001</v>
      </c>
      <c r="AK820" s="97" t="n"/>
      <c r="AL820" s="97" t="n"/>
      <c r="AM820" s="97" t="n">
        <v>64.70236</v>
      </c>
      <c r="AN820" s="97" t="n"/>
      <c r="AO820" s="97" t="n">
        <v>56.20518</v>
      </c>
      <c r="AP820" s="97" t="n">
        <v>70.66296</v>
      </c>
      <c r="AQ820" s="97" t="n"/>
      <c r="AR820" s="97" t="n"/>
      <c r="AS820" s="97" t="n"/>
      <c r="AT820" s="97" t="n"/>
      <c r="AU820" s="97" t="n"/>
      <c r="AV820" s="97" t="n"/>
      <c r="AW820" s="97" t="n"/>
      <c r="AX820" s="97" t="n">
        <v>25.1979</v>
      </c>
      <c r="AY820" s="97" t="n">
        <v>79.59908</v>
      </c>
    </row>
    <row r="821" s="135">
      <c r="A821" t="inlineStr">
        <is>
          <t>1987-04</t>
        </is>
      </c>
      <c r="B821" s="2" t="n">
        <v>31868</v>
      </c>
      <c r="C821" s="96" t="n">
        <v>821</v>
      </c>
      <c r="E821" s="2">
        <f>B821</f>
        <v/>
      </c>
      <c r="F821" s="3">
        <f>B821</f>
        <v/>
      </c>
      <c r="G821" s="96" t="n">
        <v>819</v>
      </c>
      <c r="H821" s="97" t="n"/>
      <c r="I821" s="97" t="n"/>
      <c r="J821" s="97" t="n">
        <v>56.69806</v>
      </c>
      <c r="K821" s="97" t="n">
        <v>65.07819000000001</v>
      </c>
      <c r="L821" s="97" t="n"/>
      <c r="M821" s="97" t="n"/>
      <c r="N821" s="97" t="n">
        <v>63.44563</v>
      </c>
      <c r="O821" s="97" t="n">
        <v>79.90172</v>
      </c>
      <c r="P821" s="97" t="n">
        <v>91.31777</v>
      </c>
      <c r="Q821" s="97" t="n"/>
      <c r="R821" s="97" t="n">
        <v>62.2678</v>
      </c>
      <c r="S821" s="97" t="n">
        <v>82.78209</v>
      </c>
      <c r="T821" s="97" t="n">
        <v>89.7474</v>
      </c>
      <c r="U821" s="97" t="n">
        <v>119.9392</v>
      </c>
      <c r="V821" s="97" t="n">
        <v>47.80497</v>
      </c>
      <c r="W821" s="97" t="n">
        <v>10.79072</v>
      </c>
      <c r="X821" s="97" t="n"/>
      <c r="Y821" s="97" t="n"/>
      <c r="Z821" s="97" t="n">
        <v>101.8679</v>
      </c>
      <c r="AA821" s="97" t="n">
        <v>84.63374</v>
      </c>
      <c r="AB821" s="97" t="n"/>
      <c r="AC821" s="97" t="n">
        <v>61.14914</v>
      </c>
      <c r="AD821" s="97" t="n"/>
      <c r="AE821" s="97" t="n">
        <v>57.04181</v>
      </c>
      <c r="AF821" s="97" t="n">
        <v>70.00297999999999</v>
      </c>
      <c r="AG821" s="97" t="n">
        <v>74.23582</v>
      </c>
      <c r="AH821" s="97" t="n">
        <v>59.86968</v>
      </c>
      <c r="AI821" s="97" t="n">
        <v>38.70452</v>
      </c>
      <c r="AJ821" s="97" t="n">
        <v>92.2456</v>
      </c>
      <c r="AK821" s="97" t="n"/>
      <c r="AL821" s="97" t="n"/>
      <c r="AM821" s="97" t="n">
        <v>65.04713</v>
      </c>
      <c r="AN821" s="97" t="n"/>
      <c r="AO821" s="97" t="n">
        <v>56.5597</v>
      </c>
      <c r="AP821" s="97" t="n">
        <v>70.77724000000001</v>
      </c>
      <c r="AQ821" s="97" t="n"/>
      <c r="AR821" s="97" t="n"/>
      <c r="AS821" s="97" t="n"/>
      <c r="AT821" s="97" t="n"/>
      <c r="AU821" s="97" t="n"/>
      <c r="AV821" s="97" t="n"/>
      <c r="AW821" s="97" t="n"/>
      <c r="AX821" s="97" t="n">
        <v>26.19782</v>
      </c>
      <c r="AY821" s="97" t="n">
        <v>80.6921</v>
      </c>
    </row>
    <row r="822" s="135">
      <c r="A822" t="inlineStr">
        <is>
          <t>1987-05</t>
        </is>
      </c>
      <c r="B822" s="2" t="n">
        <v>31898</v>
      </c>
      <c r="C822" s="96" t="n">
        <v>822</v>
      </c>
      <c r="E822" s="2">
        <f>B822</f>
        <v/>
      </c>
      <c r="F822" s="3">
        <f>B822</f>
        <v/>
      </c>
      <c r="G822" s="96" t="n">
        <v>820</v>
      </c>
      <c r="H822" s="97" t="n"/>
      <c r="I822" s="97" t="n"/>
      <c r="J822" s="97" t="n">
        <v>57.05219</v>
      </c>
      <c r="K822" s="97" t="n">
        <v>65.12096</v>
      </c>
      <c r="L822" s="97" t="n"/>
      <c r="M822" s="97" t="n"/>
      <c r="N822" s="97" t="n">
        <v>64.37139999999999</v>
      </c>
      <c r="O822" s="97" t="n">
        <v>80.55486999999999</v>
      </c>
      <c r="P822" s="97" t="n">
        <v>93.11507</v>
      </c>
      <c r="Q822" s="97" t="n"/>
      <c r="R822" s="97" t="n">
        <v>63.74334</v>
      </c>
      <c r="S822" s="97" t="n">
        <v>83.51793000000001</v>
      </c>
      <c r="T822" s="97" t="n">
        <v>91.40759</v>
      </c>
      <c r="U822" s="97" t="n">
        <v>118.7131</v>
      </c>
      <c r="V822" s="97" t="n">
        <v>46.14881</v>
      </c>
      <c r="W822" s="97" t="n">
        <v>11.12793</v>
      </c>
      <c r="X822" s="97" t="n"/>
      <c r="Y822" s="97" t="n"/>
      <c r="Z822" s="97" t="n">
        <v>102.3401</v>
      </c>
      <c r="AA822" s="97" t="n">
        <v>83.28767999999999</v>
      </c>
      <c r="AB822" s="97" t="n"/>
      <c r="AC822" s="97" t="n">
        <v>62.67511</v>
      </c>
      <c r="AD822" s="97" t="n"/>
      <c r="AE822" s="97" t="n">
        <v>57.54788</v>
      </c>
      <c r="AF822" s="97" t="n">
        <v>72.12428</v>
      </c>
      <c r="AG822" s="97" t="n">
        <v>76.09444000000001</v>
      </c>
      <c r="AH822" s="97" t="n">
        <v>60.20959</v>
      </c>
      <c r="AI822" s="97" t="n">
        <v>38.97492</v>
      </c>
      <c r="AJ822" s="97" t="n">
        <v>92.87900999999999</v>
      </c>
      <c r="AK822" s="97" t="n"/>
      <c r="AL822" s="97" t="n"/>
      <c r="AM822" s="97" t="n">
        <v>65.90907</v>
      </c>
      <c r="AN822" s="97" t="n"/>
      <c r="AO822" s="97" t="n">
        <v>56.92488</v>
      </c>
      <c r="AP822" s="97" t="n">
        <v>71.68195</v>
      </c>
      <c r="AQ822" s="97" t="n"/>
      <c r="AR822" s="97" t="n"/>
      <c r="AS822" s="97" t="n"/>
      <c r="AT822" s="97" t="n"/>
      <c r="AU822" s="97" t="n"/>
      <c r="AV822" s="97" t="n"/>
      <c r="AW822" s="97" t="n"/>
      <c r="AX822" s="97" t="n">
        <v>26.79777</v>
      </c>
      <c r="AY822" s="97" t="n">
        <v>79.63281000000001</v>
      </c>
    </row>
    <row r="823" s="135">
      <c r="A823" t="inlineStr">
        <is>
          <t>1987-06</t>
        </is>
      </c>
      <c r="B823" s="2" t="n">
        <v>31929</v>
      </c>
      <c r="C823" s="96" t="n">
        <v>823</v>
      </c>
      <c r="E823" s="2">
        <f>B823</f>
        <v/>
      </c>
      <c r="F823" s="3">
        <f>B823</f>
        <v/>
      </c>
      <c r="G823" s="96" t="n">
        <v>821</v>
      </c>
      <c r="H823" s="97" t="n"/>
      <c r="I823" s="97" t="n"/>
      <c r="J823" s="97" t="n">
        <v>57.01696</v>
      </c>
      <c r="K823" s="97" t="n">
        <v>65.88455999999999</v>
      </c>
      <c r="L823" s="97" t="n"/>
      <c r="M823" s="97" t="n"/>
      <c r="N823" s="97" t="n">
        <v>63.19876</v>
      </c>
      <c r="O823" s="97" t="n">
        <v>79.03085</v>
      </c>
      <c r="P823" s="97" t="n">
        <v>92.93434000000001</v>
      </c>
      <c r="Q823" s="97" t="n"/>
      <c r="R823" s="97" t="n">
        <v>62.56291</v>
      </c>
      <c r="S823" s="97" t="n">
        <v>83.97783</v>
      </c>
      <c r="T823" s="97" t="n">
        <v>91.01694999999999</v>
      </c>
      <c r="U823" s="97" t="n">
        <v>116.4686</v>
      </c>
      <c r="V823" s="97" t="n">
        <v>46.41738</v>
      </c>
      <c r="W823" s="97" t="n">
        <v>10.79072</v>
      </c>
      <c r="X823" s="97" t="n"/>
      <c r="Y823" s="97" t="n"/>
      <c r="Z823" s="97" t="n">
        <v>100.8056</v>
      </c>
      <c r="AA823" s="97" t="n">
        <v>86.40045000000001</v>
      </c>
      <c r="AB823" s="97" t="n"/>
      <c r="AC823" s="97" t="n">
        <v>62.83134</v>
      </c>
      <c r="AD823" s="97" t="n"/>
      <c r="AE823" s="97" t="n">
        <v>57.54788</v>
      </c>
      <c r="AF823" s="97" t="n">
        <v>70.71008</v>
      </c>
      <c r="AG823" s="97" t="n">
        <v>71.83053</v>
      </c>
      <c r="AH823" s="97" t="n">
        <v>60.45636</v>
      </c>
      <c r="AI823" s="97" t="n">
        <v>38.99282</v>
      </c>
      <c r="AJ823" s="97" t="n">
        <v>92.88925</v>
      </c>
      <c r="AK823" s="97" t="n"/>
      <c r="AL823" s="97" t="n"/>
      <c r="AM823" s="97" t="n">
        <v>65.50684</v>
      </c>
      <c r="AN823" s="97" t="n"/>
      <c r="AO823" s="97" t="n">
        <v>57.1896</v>
      </c>
      <c r="AP823" s="97" t="n">
        <v>70.92961</v>
      </c>
      <c r="AQ823" s="97" t="n"/>
      <c r="AR823" s="97" t="n"/>
      <c r="AS823" s="97" t="n"/>
      <c r="AT823" s="97" t="n"/>
      <c r="AU823" s="97" t="n"/>
      <c r="AV823" s="97" t="n"/>
      <c r="AW823" s="97" t="n"/>
      <c r="AX823" s="97" t="n">
        <v>27.49771</v>
      </c>
      <c r="AY823" s="97" t="n">
        <v>74.89046</v>
      </c>
    </row>
    <row r="824" s="135">
      <c r="A824" t="inlineStr">
        <is>
          <t>1987-07</t>
        </is>
      </c>
      <c r="B824" s="2" t="n">
        <v>31959</v>
      </c>
      <c r="C824" s="96" t="n">
        <v>824</v>
      </c>
      <c r="E824" s="2">
        <f>B824</f>
        <v/>
      </c>
      <c r="F824" s="3">
        <f>B824</f>
        <v/>
      </c>
      <c r="G824" s="96" t="n">
        <v>822</v>
      </c>
      <c r="H824" s="97" t="n"/>
      <c r="I824" s="97" t="n"/>
      <c r="J824" s="97" t="n">
        <v>56.37405</v>
      </c>
      <c r="K824" s="97" t="n">
        <v>66.6007</v>
      </c>
      <c r="L824" s="97" t="n"/>
      <c r="M824" s="97" t="n"/>
      <c r="N824" s="97" t="n">
        <v>62.45815</v>
      </c>
      <c r="O824" s="97" t="n">
        <v>82.18774000000001</v>
      </c>
      <c r="P824" s="97" t="n">
        <v>96.34245</v>
      </c>
      <c r="Q824" s="97" t="n"/>
      <c r="R824" s="97" t="n">
        <v>63.80236</v>
      </c>
      <c r="S824" s="97" t="n">
        <v>82.96605</v>
      </c>
      <c r="T824" s="97" t="n">
        <v>92.67713000000001</v>
      </c>
      <c r="U824" s="97" t="n">
        <v>117.9966</v>
      </c>
      <c r="V824" s="97" t="n">
        <v>47.13356</v>
      </c>
      <c r="W824" s="97" t="n">
        <v>11.12793</v>
      </c>
      <c r="X824" s="97" t="n"/>
      <c r="Y824" s="97" t="n"/>
      <c r="Z824" s="97" t="n">
        <v>99.97928</v>
      </c>
      <c r="AA824" s="97" t="n">
        <v>87.15761999999999</v>
      </c>
      <c r="AB824" s="97" t="n"/>
      <c r="AC824" s="97" t="n">
        <v>64.59741</v>
      </c>
      <c r="AD824" s="97" t="n"/>
      <c r="AE824" s="97" t="n">
        <v>57.83707</v>
      </c>
      <c r="AF824" s="97" t="n">
        <v>70.71008</v>
      </c>
      <c r="AG824" s="97" t="n">
        <v>75.21980000000001</v>
      </c>
      <c r="AH824" s="97" t="n">
        <v>60.65152</v>
      </c>
      <c r="AI824" s="97" t="n">
        <v>39.06577</v>
      </c>
      <c r="AJ824" s="97" t="n">
        <v>95.4196</v>
      </c>
      <c r="AK824" s="97" t="n"/>
      <c r="AL824" s="97" t="n"/>
      <c r="AM824" s="97" t="n">
        <v>65.21952</v>
      </c>
      <c r="AN824" s="97" t="n"/>
      <c r="AO824" s="97" t="n">
        <v>57.586</v>
      </c>
      <c r="AP824" s="97" t="n">
        <v>71.21531</v>
      </c>
      <c r="AQ824" s="97" t="n"/>
      <c r="AR824" s="97" t="n"/>
      <c r="AS824" s="97" t="n"/>
      <c r="AT824" s="97" t="n"/>
      <c r="AU824" s="97" t="n"/>
      <c r="AV824" s="97" t="n"/>
      <c r="AW824" s="97" t="n"/>
      <c r="AX824" s="97" t="n">
        <v>25.29789</v>
      </c>
      <c r="AY824" s="97" t="n">
        <v>70.94404</v>
      </c>
    </row>
    <row r="825" s="135">
      <c r="A825" t="inlineStr">
        <is>
          <t>1987-08</t>
        </is>
      </c>
      <c r="B825" s="2" t="n">
        <v>31990</v>
      </c>
      <c r="C825" s="96" t="n">
        <v>825</v>
      </c>
      <c r="E825" s="2">
        <f>B825</f>
        <v/>
      </c>
      <c r="F825" s="3">
        <f>B825</f>
        <v/>
      </c>
      <c r="G825" s="96" t="n">
        <v>823</v>
      </c>
      <c r="H825" s="97" t="n"/>
      <c r="I825" s="97" t="n"/>
      <c r="J825" s="97" t="n">
        <v>56.39411</v>
      </c>
      <c r="K825" s="97" t="n">
        <v>67.35303</v>
      </c>
      <c r="L825" s="97" t="n"/>
      <c r="M825" s="97" t="n"/>
      <c r="N825" s="97" t="n">
        <v>63.81594</v>
      </c>
      <c r="O825" s="97" t="n">
        <v>82.62317</v>
      </c>
      <c r="P825" s="97" t="n">
        <v>90.47711</v>
      </c>
      <c r="Q825" s="97" t="n"/>
      <c r="R825" s="97" t="n">
        <v>64.03843999999999</v>
      </c>
      <c r="S825" s="97" t="n">
        <v>82.96605</v>
      </c>
      <c r="T825" s="97" t="n">
        <v>92.38415999999999</v>
      </c>
      <c r="U825" s="97" t="n">
        <v>117.4231</v>
      </c>
      <c r="V825" s="97" t="n">
        <v>44.71645</v>
      </c>
      <c r="W825" s="97" t="n">
        <v>11.55506</v>
      </c>
      <c r="X825" s="97" t="n"/>
      <c r="Y825" s="97" t="n"/>
      <c r="Z825" s="97" t="n">
        <v>99.7432</v>
      </c>
      <c r="AA825" s="97" t="n">
        <v>87.15761999999999</v>
      </c>
      <c r="AB825" s="97" t="n"/>
      <c r="AC825" s="97" t="n">
        <v>57.73713</v>
      </c>
      <c r="AD825" s="97" t="n"/>
      <c r="AE825" s="97" t="n">
        <v>58.12626</v>
      </c>
      <c r="AF825" s="97" t="n">
        <v>70.71008</v>
      </c>
      <c r="AG825" s="97" t="n">
        <v>67.89462</v>
      </c>
      <c r="AH825" s="97" t="n">
        <v>60.97633</v>
      </c>
      <c r="AI825" s="97" t="n">
        <v>39.02183</v>
      </c>
      <c r="AJ825" s="97" t="n">
        <v>90.29825</v>
      </c>
      <c r="AK825" s="97" t="n"/>
      <c r="AL825" s="97" t="n"/>
      <c r="AM825" s="97" t="n">
        <v>67.74786</v>
      </c>
      <c r="AN825" s="97" t="n"/>
      <c r="AO825" s="97" t="n">
        <v>58.06443</v>
      </c>
      <c r="AP825" s="97" t="n">
        <v>71.2534</v>
      </c>
      <c r="AQ825" s="97" t="n"/>
      <c r="AR825" s="97" t="n"/>
      <c r="AS825" s="97" t="n"/>
      <c r="AT825" s="97" t="n"/>
      <c r="AU825" s="97" t="n"/>
      <c r="AV825" s="97" t="n"/>
      <c r="AW825" s="97" t="n"/>
      <c r="AX825" s="97" t="n">
        <v>27.99767</v>
      </c>
      <c r="AY825" s="97" t="n">
        <v>71.98641000000001</v>
      </c>
    </row>
    <row r="826" s="135">
      <c r="A826" t="inlineStr">
        <is>
          <t>1987-09</t>
        </is>
      </c>
      <c r="B826" s="2" t="n">
        <v>32021</v>
      </c>
      <c r="C826" s="96" t="n">
        <v>826</v>
      </c>
      <c r="E826" s="2">
        <f>B826</f>
        <v/>
      </c>
      <c r="F826" s="3">
        <f>B826</f>
        <v/>
      </c>
      <c r="G826" s="96" t="n">
        <v>824</v>
      </c>
      <c r="H826" s="97" t="n"/>
      <c r="I826" s="97" t="n"/>
      <c r="J826" s="97" t="n">
        <v>56.85629</v>
      </c>
      <c r="K826" s="97" t="n">
        <v>67.72331</v>
      </c>
      <c r="L826" s="97" t="n"/>
      <c r="M826" s="97" t="n"/>
      <c r="N826" s="97" t="n">
        <v>63.01361</v>
      </c>
      <c r="O826" s="97" t="n">
        <v>80.33714999999999</v>
      </c>
      <c r="P826" s="97" t="n">
        <v>93.91068</v>
      </c>
      <c r="Q826" s="97" t="n"/>
      <c r="R826" s="97" t="n">
        <v>63.27116</v>
      </c>
      <c r="S826" s="97" t="n">
        <v>84.16179</v>
      </c>
      <c r="T826" s="97" t="n">
        <v>91.79821</v>
      </c>
      <c r="U826" s="97" t="n">
        <v>121.4577</v>
      </c>
      <c r="V826" s="97" t="n">
        <v>47.26784</v>
      </c>
      <c r="W826" s="97" t="n">
        <v>11.19537</v>
      </c>
      <c r="X826" s="97" t="n"/>
      <c r="Y826" s="97" t="n"/>
      <c r="Z826" s="97" t="n">
        <v>100.4514</v>
      </c>
      <c r="AA826" s="97" t="n">
        <v>88.50368</v>
      </c>
      <c r="AB826" s="97" t="n"/>
      <c r="AC826" s="97" t="n">
        <v>63.46893</v>
      </c>
      <c r="AD826" s="97" t="n"/>
      <c r="AE826" s="97" t="n">
        <v>59.1384</v>
      </c>
      <c r="AF826" s="97" t="n">
        <v>69.29588</v>
      </c>
      <c r="AG826" s="97" t="n">
        <v>75.98511999999999</v>
      </c>
      <c r="AH826" s="97" t="n">
        <v>61.24074</v>
      </c>
      <c r="AI826" s="97" t="n">
        <v>38.10468</v>
      </c>
      <c r="AJ826" s="97" t="n">
        <v>92.94991</v>
      </c>
      <c r="AK826" s="97" t="n"/>
      <c r="AL826" s="97" t="n"/>
      <c r="AM826" s="97" t="n">
        <v>67.11578</v>
      </c>
      <c r="AN826" s="97" t="n"/>
      <c r="AO826" s="97" t="n">
        <v>58.2135</v>
      </c>
      <c r="AP826" s="97" t="n">
        <v>71.32006</v>
      </c>
      <c r="AQ826" s="97" t="n"/>
      <c r="AR826" s="97" t="n"/>
      <c r="AS826" s="97" t="n"/>
      <c r="AT826" s="97" t="n"/>
      <c r="AU826" s="97" t="n"/>
      <c r="AV826" s="97" t="n"/>
      <c r="AW826" s="97" t="n"/>
      <c r="AX826" s="97" t="n">
        <v>26.99775</v>
      </c>
      <c r="AY826" s="97" t="n">
        <v>73.93649000000001</v>
      </c>
    </row>
    <row r="827" s="135">
      <c r="A827" t="inlineStr">
        <is>
          <t>1987-10</t>
        </is>
      </c>
      <c r="B827" s="2" t="n">
        <v>32051</v>
      </c>
      <c r="C827" s="96" t="n">
        <v>827</v>
      </c>
      <c r="E827" s="2">
        <f>B827</f>
        <v/>
      </c>
      <c r="F827" s="3">
        <f>B827</f>
        <v/>
      </c>
      <c r="G827" s="96" t="n">
        <v>825</v>
      </c>
      <c r="H827" s="97" t="n"/>
      <c r="I827" s="97" t="n"/>
      <c r="J827" s="97" t="n">
        <v>57.64172</v>
      </c>
      <c r="K827" s="97" t="n">
        <v>68.41455000000001</v>
      </c>
      <c r="L827" s="97" t="n"/>
      <c r="M827" s="97" t="n"/>
      <c r="N827" s="97" t="n">
        <v>64.00109</v>
      </c>
      <c r="O827" s="97" t="n">
        <v>68.03619999999999</v>
      </c>
      <c r="P827" s="97" t="n">
        <v>93.46681</v>
      </c>
      <c r="Q827" s="97" t="n"/>
      <c r="R827" s="97" t="n">
        <v>62.85801</v>
      </c>
      <c r="S827" s="97" t="n">
        <v>84.71366999999999</v>
      </c>
      <c r="T827" s="97" t="n">
        <v>92.87244</v>
      </c>
      <c r="U827" s="97" t="n">
        <v>120.1572</v>
      </c>
      <c r="V827" s="97" t="n">
        <v>47.76022</v>
      </c>
      <c r="W827" s="97" t="n">
        <v>11.19537</v>
      </c>
      <c r="X827" s="97" t="n"/>
      <c r="Y827" s="97" t="n"/>
      <c r="Z827" s="97" t="n">
        <v>103.0483</v>
      </c>
      <c r="AA827" s="97" t="n">
        <v>89.93387</v>
      </c>
      <c r="AB827" s="97" t="n"/>
      <c r="AC827" s="97" t="n">
        <v>65.55122</v>
      </c>
      <c r="AD827" s="97" t="n"/>
      <c r="AE827" s="97" t="n">
        <v>58.92151</v>
      </c>
      <c r="AF827" s="97" t="n">
        <v>71.41718</v>
      </c>
      <c r="AG827" s="97" t="n">
        <v>76.31310000000001</v>
      </c>
      <c r="AH827" s="97" t="n">
        <v>62.06648</v>
      </c>
      <c r="AI827" s="97" t="n">
        <v>38.32427</v>
      </c>
      <c r="AJ827" s="97" t="n">
        <v>92.11095</v>
      </c>
      <c r="AK827" s="97" t="n"/>
      <c r="AL827" s="97" t="n"/>
      <c r="AM827" s="97" t="n">
        <v>67.28816</v>
      </c>
      <c r="AN827" s="97" t="n"/>
      <c r="AO827" s="97" t="n">
        <v>59.06269</v>
      </c>
      <c r="AP827" s="97" t="n">
        <v>71.84385</v>
      </c>
      <c r="AQ827" s="97" t="n"/>
      <c r="AR827" s="97" t="n"/>
      <c r="AS827" s="97" t="n"/>
      <c r="AT827" s="97" t="n"/>
      <c r="AU827" s="97" t="n"/>
      <c r="AV827" s="97" t="n"/>
      <c r="AW827" s="97" t="n"/>
      <c r="AX827" s="97" t="n">
        <v>27.99767</v>
      </c>
      <c r="AY827" s="97" t="n">
        <v>74.43944999999999</v>
      </c>
    </row>
    <row r="828" s="135">
      <c r="A828" t="inlineStr">
        <is>
          <t>1987-11</t>
        </is>
      </c>
      <c r="B828" s="2" t="n">
        <v>32082</v>
      </c>
      <c r="C828" s="96" t="n">
        <v>828</v>
      </c>
      <c r="E828" s="2">
        <f>B828</f>
        <v/>
      </c>
      <c r="F828" s="3">
        <f>B828</f>
        <v/>
      </c>
      <c r="G828" s="96" t="n">
        <v>826</v>
      </c>
      <c r="H828" s="97" t="n"/>
      <c r="I828" s="97" t="n"/>
      <c r="J828" s="97" t="n">
        <v>56.92481</v>
      </c>
      <c r="K828" s="97" t="n">
        <v>68.97327</v>
      </c>
      <c r="L828" s="97" t="n"/>
      <c r="M828" s="97" t="n"/>
      <c r="N828" s="97" t="n">
        <v>64.37139999999999</v>
      </c>
      <c r="O828" s="97" t="n">
        <v>69.66907999999999</v>
      </c>
      <c r="P828" s="97" t="n">
        <v>93.99934</v>
      </c>
      <c r="Q828" s="97" t="n"/>
      <c r="R828" s="97" t="n">
        <v>62.44486</v>
      </c>
      <c r="S828" s="97" t="n">
        <v>84.71366999999999</v>
      </c>
      <c r="T828" s="97" t="n">
        <v>92.87244</v>
      </c>
      <c r="U828" s="97" t="n">
        <v>121.0639</v>
      </c>
      <c r="V828" s="97" t="n">
        <v>47.3126</v>
      </c>
      <c r="W828" s="97" t="n">
        <v>11.3977</v>
      </c>
      <c r="X828" s="97" t="n"/>
      <c r="Y828" s="97" t="n"/>
      <c r="Z828" s="97" t="n">
        <v>102.5761</v>
      </c>
      <c r="AA828" s="97" t="n">
        <v>90.27039000000001</v>
      </c>
      <c r="AB828" s="97" t="n"/>
      <c r="AC828" s="97" t="n">
        <v>60.10598</v>
      </c>
      <c r="AD828" s="97" t="n"/>
      <c r="AE828" s="97" t="n">
        <v>59.0661</v>
      </c>
      <c r="AF828" s="97" t="n">
        <v>72.83138</v>
      </c>
      <c r="AG828" s="97" t="n">
        <v>75.65712000000001</v>
      </c>
      <c r="AH828" s="97" t="n">
        <v>62.35342</v>
      </c>
      <c r="AI828" s="97" t="n">
        <v>38.70645</v>
      </c>
      <c r="AJ828" s="97" t="n">
        <v>92.76379</v>
      </c>
      <c r="AK828" s="97" t="n"/>
      <c r="AL828" s="97" t="n"/>
      <c r="AM828" s="97" t="n">
        <v>68.15009000000001</v>
      </c>
      <c r="AN828" s="97" t="n"/>
      <c r="AO828" s="97" t="n">
        <v>59.37265</v>
      </c>
      <c r="AP828" s="97" t="n">
        <v>72.12954999999999</v>
      </c>
      <c r="AQ828" s="97" t="n"/>
      <c r="AR828" s="97" t="n"/>
      <c r="AS828" s="97" t="n"/>
      <c r="AT828" s="97" t="n"/>
      <c r="AU828" s="97" t="n"/>
      <c r="AV828" s="97" t="n"/>
      <c r="AW828" s="97" t="n"/>
      <c r="AX828" s="97" t="n">
        <v>29.19757</v>
      </c>
      <c r="AY828" s="97" t="n">
        <v>76.81771999999999</v>
      </c>
    </row>
    <row r="829" s="135">
      <c r="A829" t="inlineStr">
        <is>
          <t>1987-12</t>
        </is>
      </c>
      <c r="B829" s="2" t="n">
        <v>32112</v>
      </c>
      <c r="C829" s="96" t="n">
        <v>829</v>
      </c>
      <c r="E829" s="2">
        <f>B829</f>
        <v/>
      </c>
      <c r="F829" s="3">
        <f>B829</f>
        <v/>
      </c>
      <c r="G829" s="96" t="n">
        <v>827</v>
      </c>
      <c r="H829" s="97" t="n"/>
      <c r="I829" s="97" t="n"/>
      <c r="J829" s="97" t="n">
        <v>57.21677</v>
      </c>
      <c r="K829" s="97" t="n">
        <v>69.66216</v>
      </c>
      <c r="L829" s="97" t="n"/>
      <c r="M829" s="97" t="n"/>
      <c r="N829" s="97" t="n">
        <v>64.43311</v>
      </c>
      <c r="O829" s="97" t="n">
        <v>72.28166</v>
      </c>
      <c r="P829" s="97" t="n">
        <v>93.22107</v>
      </c>
      <c r="Q829" s="97" t="n"/>
      <c r="R829" s="97" t="n">
        <v>63.74334</v>
      </c>
      <c r="S829" s="97" t="n">
        <v>85.90940999999999</v>
      </c>
      <c r="T829" s="97" t="n">
        <v>93.65371</v>
      </c>
      <c r="U829" s="97" t="n">
        <v>124.0334</v>
      </c>
      <c r="V829" s="97" t="n">
        <v>47.35736</v>
      </c>
      <c r="W829" s="97" t="n">
        <v>10.74576</v>
      </c>
      <c r="X829" s="97" t="n"/>
      <c r="Y829" s="97" t="n"/>
      <c r="Z829" s="97" t="n">
        <v>101.0416</v>
      </c>
      <c r="AA829" s="97" t="n">
        <v>91.27992999999999</v>
      </c>
      <c r="AB829" s="97" t="n"/>
      <c r="AC829" s="97" t="n">
        <v>66.52406000000001</v>
      </c>
      <c r="AD829" s="97" t="n"/>
      <c r="AE829" s="97" t="n">
        <v>59.0661</v>
      </c>
      <c r="AF829" s="97" t="n">
        <v>70.71008</v>
      </c>
      <c r="AG829" s="97" t="n">
        <v>75.87578000000001</v>
      </c>
      <c r="AH829" s="97" t="n">
        <v>62.59124</v>
      </c>
      <c r="AI829" s="97" t="n">
        <v>39.46859</v>
      </c>
      <c r="AJ829" s="97" t="n">
        <v>96.00463000000001</v>
      </c>
      <c r="AK829" s="97" t="n"/>
      <c r="AL829" s="97" t="n"/>
      <c r="AM829" s="97" t="n">
        <v>68.37994</v>
      </c>
      <c r="AN829" s="97" t="n"/>
      <c r="AO829" s="97" t="n">
        <v>59.66589</v>
      </c>
      <c r="AP829" s="97" t="n">
        <v>71.9486</v>
      </c>
      <c r="AQ829" s="97" t="n"/>
      <c r="AR829" s="97" t="n"/>
      <c r="AS829" s="97" t="n"/>
      <c r="AT829" s="97" t="n"/>
      <c r="AU829" s="97" t="n"/>
      <c r="AV829" s="97" t="n"/>
      <c r="AW829" s="97" t="n"/>
      <c r="AX829" s="97" t="n">
        <v>28.89759</v>
      </c>
      <c r="AY829" s="97" t="n">
        <v>74.46339</v>
      </c>
    </row>
    <row r="830" s="135">
      <c r="A830" t="inlineStr">
        <is>
          <t>1988-01</t>
        </is>
      </c>
      <c r="B830" s="2" t="n">
        <v>32143</v>
      </c>
      <c r="C830" s="96" t="n">
        <v>830</v>
      </c>
      <c r="E830" s="2">
        <f>B830</f>
        <v/>
      </c>
      <c r="F830" s="3">
        <f>B830</f>
        <v/>
      </c>
      <c r="G830" s="96" t="n">
        <v>828</v>
      </c>
      <c r="H830" s="97" t="n"/>
      <c r="I830" s="97" t="n"/>
      <c r="J830" s="97" t="n">
        <v>58.93927</v>
      </c>
      <c r="K830" s="97" t="n">
        <v>70.22275999999999</v>
      </c>
      <c r="L830" s="97" t="n"/>
      <c r="M830" s="97" t="n"/>
      <c r="N830" s="97" t="n">
        <v>64.12452999999999</v>
      </c>
      <c r="O830" s="97" t="n">
        <v>83.0586</v>
      </c>
      <c r="P830" s="97" t="n">
        <v>91.6433</v>
      </c>
      <c r="Q830" s="97" t="n"/>
      <c r="R830" s="97" t="n">
        <v>64.92377</v>
      </c>
      <c r="S830" s="97" t="n">
        <v>85.81743</v>
      </c>
      <c r="T830" s="97" t="n">
        <v>94.53263</v>
      </c>
      <c r="U830" s="97" t="n">
        <v>126.146</v>
      </c>
      <c r="V830" s="97" t="n">
        <v>44.08979</v>
      </c>
      <c r="W830" s="97" t="n">
        <v>11.73491</v>
      </c>
      <c r="X830" s="97" t="n"/>
      <c r="Y830" s="97" t="n"/>
      <c r="Z830" s="97" t="n">
        <v>105.9993</v>
      </c>
      <c r="AA830" s="97" t="n">
        <v>91.57341</v>
      </c>
      <c r="AB830" s="97" t="n"/>
      <c r="AC830" s="97" t="n">
        <v>66.08694</v>
      </c>
      <c r="AD830" s="97" t="n"/>
      <c r="AE830" s="97" t="n">
        <v>58.41544</v>
      </c>
      <c r="AF830" s="97" t="n">
        <v>68.58878</v>
      </c>
      <c r="AG830" s="97" t="n">
        <v>76.09444000000001</v>
      </c>
      <c r="AH830" s="97" t="n">
        <v>62.84544</v>
      </c>
      <c r="AI830" s="97" t="n">
        <v>39.75449</v>
      </c>
      <c r="AJ830" s="97" t="n">
        <v>96.31765</v>
      </c>
      <c r="AK830" s="97" t="n"/>
      <c r="AL830" s="97" t="n"/>
      <c r="AM830" s="97" t="n">
        <v>65.56429</v>
      </c>
      <c r="AN830" s="97" t="n"/>
      <c r="AO830" s="97" t="n">
        <v>59.69269</v>
      </c>
      <c r="AP830" s="97" t="n">
        <v>71.80576000000001</v>
      </c>
      <c r="AQ830" s="97" t="n"/>
      <c r="AR830" s="97" t="n"/>
      <c r="AS830" s="97" t="n"/>
      <c r="AT830" s="97" t="n"/>
      <c r="AU830" s="97" t="n"/>
      <c r="AV830" s="97" t="n"/>
      <c r="AW830" s="97" t="n"/>
      <c r="AX830" s="97" t="n">
        <v>29.59753</v>
      </c>
      <c r="AY830" s="97" t="n">
        <v>74.62414</v>
      </c>
    </row>
    <row r="831" s="135">
      <c r="A831" t="inlineStr">
        <is>
          <t>1988-02</t>
        </is>
      </c>
      <c r="B831" s="2" t="n">
        <v>32174</v>
      </c>
      <c r="C831" s="96" t="n">
        <v>831</v>
      </c>
      <c r="E831" s="2">
        <f>B831</f>
        <v/>
      </c>
      <c r="F831" s="3">
        <f>B831</f>
        <v/>
      </c>
      <c r="G831" s="96" t="n">
        <v>829</v>
      </c>
      <c r="H831" s="97" t="n"/>
      <c r="I831" s="97" t="n"/>
      <c r="J831" s="97" t="n">
        <v>58.1112</v>
      </c>
      <c r="K831" s="97" t="n">
        <v>70.43281</v>
      </c>
      <c r="L831" s="97" t="n"/>
      <c r="M831" s="97" t="n"/>
      <c r="N831" s="97" t="n">
        <v>64.61827</v>
      </c>
      <c r="O831" s="97" t="n">
        <v>80.66373</v>
      </c>
      <c r="P831" s="97" t="n">
        <v>93.84969</v>
      </c>
      <c r="Q831" s="97" t="n"/>
      <c r="R831" s="97" t="n">
        <v>64.86475</v>
      </c>
      <c r="S831" s="97" t="n">
        <v>87.10516</v>
      </c>
      <c r="T831" s="97" t="n">
        <v>93.36073</v>
      </c>
      <c r="U831" s="97" t="n">
        <v>125.2312</v>
      </c>
      <c r="V831" s="97" t="n">
        <v>47.08879</v>
      </c>
      <c r="W831" s="97" t="n">
        <v>11.44266</v>
      </c>
      <c r="X831" s="97" t="n"/>
      <c r="Y831" s="97" t="n"/>
      <c r="Z831" s="97" t="n">
        <v>104.5828</v>
      </c>
      <c r="AA831" s="97" t="n">
        <v>94.51430999999999</v>
      </c>
      <c r="AB831" s="97" t="n"/>
      <c r="AC831" s="97" t="n">
        <v>65.82279</v>
      </c>
      <c r="AD831" s="97" t="n"/>
      <c r="AE831" s="97" t="n">
        <v>58.05396</v>
      </c>
      <c r="AF831" s="97" t="n">
        <v>69.29588</v>
      </c>
      <c r="AG831" s="97" t="n">
        <v>76.64109999999999</v>
      </c>
      <c r="AH831" s="97" t="n">
        <v>63.26236</v>
      </c>
      <c r="AI831" s="97" t="n">
        <v>40.8694</v>
      </c>
      <c r="AJ831" s="97" t="n">
        <v>96.06331</v>
      </c>
      <c r="AK831" s="97" t="n"/>
      <c r="AL831" s="97" t="n"/>
      <c r="AM831" s="97" t="n">
        <v>64.41504999999999</v>
      </c>
      <c r="AN831" s="97" t="n"/>
      <c r="AO831" s="97" t="n">
        <v>59.95203</v>
      </c>
      <c r="AP831" s="97" t="n">
        <v>72.52</v>
      </c>
      <c r="AQ831" s="97" t="n"/>
      <c r="AR831" s="97" t="n"/>
      <c r="AS831" s="97" t="n"/>
      <c r="AT831" s="97" t="n"/>
      <c r="AU831" s="97" t="n"/>
      <c r="AV831" s="97" t="n"/>
      <c r="AW831" s="97" t="n"/>
      <c r="AX831" s="97" t="n">
        <v>29.39755</v>
      </c>
      <c r="AY831" s="97" t="n">
        <v>74.72874</v>
      </c>
    </row>
    <row r="832" s="135">
      <c r="A832" t="inlineStr">
        <is>
          <t>1988-03</t>
        </is>
      </c>
      <c r="B832" s="2" t="n">
        <v>32203</v>
      </c>
      <c r="C832" s="96" t="n">
        <v>832</v>
      </c>
      <c r="E832" s="2">
        <f>B832</f>
        <v/>
      </c>
      <c r="F832" s="3">
        <f>B832</f>
        <v/>
      </c>
      <c r="G832" s="96" t="n">
        <v>830</v>
      </c>
      <c r="H832" s="97" t="n"/>
      <c r="I832" s="97" t="n"/>
      <c r="J832" s="97" t="n">
        <v>58.04114</v>
      </c>
      <c r="K832" s="97" t="n">
        <v>71.02254000000001</v>
      </c>
      <c r="L832" s="97" t="n"/>
      <c r="M832" s="97" t="n"/>
      <c r="N832" s="97" t="n">
        <v>64.30968</v>
      </c>
      <c r="O832" s="97" t="n">
        <v>81.64345</v>
      </c>
      <c r="P832" s="97" t="n">
        <v>97.69173000000001</v>
      </c>
      <c r="Q832" s="97" t="n"/>
      <c r="R832" s="97" t="n">
        <v>63.50725</v>
      </c>
      <c r="S832" s="97" t="n">
        <v>87.19714</v>
      </c>
      <c r="T832" s="97" t="n">
        <v>94.82559999999999</v>
      </c>
      <c r="U832" s="97" t="n">
        <v>127.187</v>
      </c>
      <c r="V832" s="97" t="n">
        <v>46.82023</v>
      </c>
      <c r="W832" s="97" t="n">
        <v>11.48762</v>
      </c>
      <c r="X832" s="97" t="n"/>
      <c r="Y832" s="97" t="n"/>
      <c r="Z832" s="97" t="n">
        <v>105.9993</v>
      </c>
      <c r="AA832" s="97" t="n">
        <v>92.68893</v>
      </c>
      <c r="AB832" s="97" t="n"/>
      <c r="AC832" s="97" t="n">
        <v>65.83726</v>
      </c>
      <c r="AD832" s="97" t="n"/>
      <c r="AE832" s="97" t="n">
        <v>57.90937</v>
      </c>
      <c r="AF832" s="97" t="n">
        <v>70.00297999999999</v>
      </c>
      <c r="AG832" s="97" t="n">
        <v>76.09444000000001</v>
      </c>
      <c r="AH832" s="97" t="n">
        <v>63.20331</v>
      </c>
      <c r="AI832" s="97" t="n">
        <v>40.89647</v>
      </c>
      <c r="AJ832" s="97" t="n">
        <v>91.54868999999999</v>
      </c>
      <c r="AK832" s="97" t="n"/>
      <c r="AL832" s="97" t="n"/>
      <c r="AM832" s="97" t="n">
        <v>66.02399</v>
      </c>
      <c r="AN832" s="97" t="n"/>
      <c r="AO832" s="97" t="n">
        <v>60.07199</v>
      </c>
      <c r="AP832" s="97" t="n">
        <v>73.45329</v>
      </c>
      <c r="AQ832" s="97" t="n"/>
      <c r="AR832" s="97" t="n"/>
      <c r="AS832" s="97" t="n"/>
      <c r="AT832" s="97" t="n"/>
      <c r="AU832" s="97" t="n"/>
      <c r="AV832" s="97" t="n"/>
      <c r="AW832" s="97" t="n"/>
      <c r="AX832" s="97" t="n">
        <v>27.99767</v>
      </c>
      <c r="AY832" s="97" t="n">
        <v>78.63158</v>
      </c>
    </row>
    <row r="833" s="135">
      <c r="A833" t="inlineStr">
        <is>
          <t>1988-04</t>
        </is>
      </c>
      <c r="B833" s="2" t="n">
        <v>32234</v>
      </c>
      <c r="C833" s="96" t="n">
        <v>833</v>
      </c>
      <c r="E833" s="2">
        <f>B833</f>
        <v/>
      </c>
      <c r="F833" s="3">
        <f>B833</f>
        <v/>
      </c>
      <c r="G833" s="96" t="n">
        <v>831</v>
      </c>
      <c r="H833" s="97" t="n"/>
      <c r="I833" s="97" t="n"/>
      <c r="J833" s="97" t="n">
        <v>59.63271</v>
      </c>
      <c r="K833" s="97" t="n">
        <v>70.89473</v>
      </c>
      <c r="L833" s="97" t="n"/>
      <c r="M833" s="97" t="n"/>
      <c r="N833" s="97" t="n">
        <v>64.74169999999999</v>
      </c>
      <c r="O833" s="97" t="n">
        <v>78.922</v>
      </c>
      <c r="P833" s="97" t="n">
        <v>93.55557</v>
      </c>
      <c r="Q833" s="97" t="n"/>
      <c r="R833" s="97" t="n">
        <v>65.51398</v>
      </c>
      <c r="S833" s="97" t="n">
        <v>85.90940999999999</v>
      </c>
      <c r="T833" s="97" t="n">
        <v>94.142</v>
      </c>
      <c r="U833" s="97" t="n">
        <v>123.3575</v>
      </c>
      <c r="V833" s="97" t="n">
        <v>45.65644</v>
      </c>
      <c r="W833" s="97" t="n">
        <v>11.6225</v>
      </c>
      <c r="X833" s="97" t="n"/>
      <c r="Y833" s="97" t="n"/>
      <c r="Z833" s="97" t="n">
        <v>105.291</v>
      </c>
      <c r="AA833" s="97" t="n">
        <v>94.91995</v>
      </c>
      <c r="AB833" s="97" t="n"/>
      <c r="AC833" s="97" t="n">
        <v>65.56433</v>
      </c>
      <c r="AD833" s="97" t="n"/>
      <c r="AE833" s="97" t="n">
        <v>57.90937</v>
      </c>
      <c r="AF833" s="97" t="n">
        <v>68.58878</v>
      </c>
      <c r="AG833" s="97" t="n">
        <v>77.73441</v>
      </c>
      <c r="AH833" s="97" t="n">
        <v>63.49834</v>
      </c>
      <c r="AI833" s="97" t="n">
        <v>40.00645</v>
      </c>
      <c r="AJ833" s="97" t="n">
        <v>95.0959</v>
      </c>
      <c r="AK833" s="97" t="n"/>
      <c r="AL833" s="97" t="n"/>
      <c r="AM833" s="97" t="n">
        <v>67.69038999999999</v>
      </c>
      <c r="AN833" s="97" t="n"/>
      <c r="AO833" s="97" t="n">
        <v>60.41211</v>
      </c>
      <c r="AP833" s="97" t="n">
        <v>72.34858</v>
      </c>
      <c r="AQ833" s="97" t="n"/>
      <c r="AR833" s="97" t="n"/>
      <c r="AS833" s="97" t="n"/>
      <c r="AT833" s="97" t="n"/>
      <c r="AU833" s="97" t="n"/>
      <c r="AV833" s="97" t="n"/>
      <c r="AW833" s="97" t="n"/>
      <c r="AX833" s="97" t="n">
        <v>28.49763</v>
      </c>
      <c r="AY833" s="97" t="n">
        <v>75.33221</v>
      </c>
    </row>
    <row r="834" s="135">
      <c r="A834" t="inlineStr">
        <is>
          <t>1988-05</t>
        </is>
      </c>
      <c r="B834" s="2" t="n">
        <v>32264</v>
      </c>
      <c r="C834" s="96" t="n">
        <v>834</v>
      </c>
      <c r="E834" s="2">
        <f>B834</f>
        <v/>
      </c>
      <c r="F834" s="3">
        <f>B834</f>
        <v/>
      </c>
      <c r="G834" s="96" t="n">
        <v>832</v>
      </c>
      <c r="H834" s="97" t="n"/>
      <c r="I834" s="97" t="n"/>
      <c r="J834" s="97" t="n">
        <v>59.58739</v>
      </c>
      <c r="K834" s="97" t="n">
        <v>71.40834</v>
      </c>
      <c r="L834" s="97" t="n"/>
      <c r="M834" s="97" t="n"/>
      <c r="N834" s="97" t="n">
        <v>64.74169999999999</v>
      </c>
      <c r="O834" s="97" t="n">
        <v>79.90172</v>
      </c>
      <c r="P834" s="97" t="n">
        <v>95.14021</v>
      </c>
      <c r="Q834" s="97" t="n"/>
      <c r="R834" s="97" t="n">
        <v>64.80573</v>
      </c>
      <c r="S834" s="97" t="n">
        <v>87.01318000000001</v>
      </c>
      <c r="T834" s="97" t="n">
        <v>95.21623</v>
      </c>
      <c r="U834" s="97" t="n">
        <v>124.8905</v>
      </c>
      <c r="V834" s="97" t="n">
        <v>46.01453</v>
      </c>
      <c r="W834" s="97" t="n">
        <v>11.64498</v>
      </c>
      <c r="X834" s="97" t="n"/>
      <c r="Y834" s="97" t="n"/>
      <c r="Z834" s="97" t="n">
        <v>105.7632</v>
      </c>
      <c r="AA834" s="97" t="n">
        <v>93.90585</v>
      </c>
      <c r="AB834" s="97" t="n"/>
      <c r="AC834" s="97" t="n">
        <v>67.91173000000001</v>
      </c>
      <c r="AD834" s="97" t="n"/>
      <c r="AE834" s="97" t="n">
        <v>57.76477</v>
      </c>
      <c r="AF834" s="97" t="n">
        <v>70.71008</v>
      </c>
      <c r="AG834" s="97" t="n">
        <v>75.00114000000001</v>
      </c>
      <c r="AH834" s="97" t="n">
        <v>63.5195</v>
      </c>
      <c r="AI834" s="97" t="n">
        <v>42.0249</v>
      </c>
      <c r="AJ834" s="97" t="n">
        <v>97.59598</v>
      </c>
      <c r="AK834" s="97" t="n"/>
      <c r="AL834" s="97" t="n"/>
      <c r="AM834" s="97" t="n">
        <v>68.03516</v>
      </c>
      <c r="AN834" s="97" t="n"/>
      <c r="AO834" s="97" t="n">
        <v>60.34142</v>
      </c>
      <c r="AP834" s="97" t="n">
        <v>73.47233</v>
      </c>
      <c r="AQ834" s="97" t="n"/>
      <c r="AR834" s="97" t="n"/>
      <c r="AS834" s="97" t="n"/>
      <c r="AT834" s="97" t="n"/>
      <c r="AU834" s="97" t="n"/>
      <c r="AV834" s="97" t="n"/>
      <c r="AW834" s="97" t="n"/>
      <c r="AX834" s="97" t="n">
        <v>28.19765</v>
      </c>
      <c r="AY834" s="97" t="n">
        <v>73.93996</v>
      </c>
    </row>
    <row r="835" s="135">
      <c r="A835" t="inlineStr">
        <is>
          <t>1988-06</t>
        </is>
      </c>
      <c r="B835" s="2" t="n">
        <v>32295</v>
      </c>
      <c r="C835" s="96" t="n">
        <v>835</v>
      </c>
      <c r="E835" s="2">
        <f>B835</f>
        <v/>
      </c>
      <c r="F835" s="3">
        <f>B835</f>
        <v/>
      </c>
      <c r="G835" s="96" t="n">
        <v>833</v>
      </c>
      <c r="H835" s="97" t="n"/>
      <c r="I835" s="97" t="n"/>
      <c r="J835" s="97" t="n">
        <v>59.3336</v>
      </c>
      <c r="K835" s="97" t="n">
        <v>71.02113</v>
      </c>
      <c r="L835" s="97" t="n"/>
      <c r="M835" s="97" t="n"/>
      <c r="N835" s="97" t="n">
        <v>65.91434</v>
      </c>
      <c r="O835" s="97" t="n">
        <v>80.55486999999999</v>
      </c>
      <c r="P835" s="97" t="n">
        <v>94.57989999999999</v>
      </c>
      <c r="Q835" s="97" t="n"/>
      <c r="R835" s="97" t="n">
        <v>65.75008</v>
      </c>
      <c r="S835" s="97" t="n">
        <v>87.56506</v>
      </c>
      <c r="T835" s="97" t="n">
        <v>95.50920000000001</v>
      </c>
      <c r="U835" s="97" t="n">
        <v>127.0235</v>
      </c>
      <c r="V835" s="97" t="n">
        <v>46.64119</v>
      </c>
      <c r="W835" s="97" t="n">
        <v>12.11708</v>
      </c>
      <c r="X835" s="97" t="n"/>
      <c r="Y835" s="97" t="n"/>
      <c r="Z835" s="97" t="n">
        <v>106.8256</v>
      </c>
      <c r="AA835" s="97" t="n">
        <v>94.21008</v>
      </c>
      <c r="AB835" s="97" t="n"/>
      <c r="AC835" s="97" t="n">
        <v>68.39538</v>
      </c>
      <c r="AD835" s="97" t="n"/>
      <c r="AE835" s="97" t="n">
        <v>58.63233</v>
      </c>
      <c r="AF835" s="97" t="n">
        <v>72.12428</v>
      </c>
      <c r="AG835" s="97" t="n">
        <v>73.57983</v>
      </c>
      <c r="AH835" s="97" t="n">
        <v>63.77436</v>
      </c>
      <c r="AI835" s="97" t="n">
        <v>41.42823</v>
      </c>
      <c r="AJ835" s="97" t="n">
        <v>94.83637</v>
      </c>
      <c r="AK835" s="97" t="n"/>
      <c r="AL835" s="97" t="n"/>
      <c r="AM835" s="97" t="n">
        <v>67.74786</v>
      </c>
      <c r="AN835" s="97" t="n"/>
      <c r="AO835" s="97" t="n">
        <v>60.4951</v>
      </c>
      <c r="AP835" s="97" t="n">
        <v>73.51994999999999</v>
      </c>
      <c r="AQ835" s="97" t="n"/>
      <c r="AR835" s="97" t="n"/>
      <c r="AS835" s="97" t="n"/>
      <c r="AT835" s="97" t="n"/>
      <c r="AU835" s="97" t="n"/>
      <c r="AV835" s="97" t="n"/>
      <c r="AW835" s="97" t="n"/>
      <c r="AX835" s="97" t="n">
        <v>26.89776</v>
      </c>
      <c r="AY835" s="97" t="n">
        <v>76.101</v>
      </c>
    </row>
    <row r="836" s="135">
      <c r="A836" t="inlineStr">
        <is>
          <t>1988-07</t>
        </is>
      </c>
      <c r="B836" s="2" t="n">
        <v>32325</v>
      </c>
      <c r="C836" s="96" t="n">
        <v>836</v>
      </c>
      <c r="E836" s="2">
        <f>B836</f>
        <v/>
      </c>
      <c r="F836" s="3">
        <f>B836</f>
        <v/>
      </c>
      <c r="G836" s="96" t="n">
        <v>834</v>
      </c>
      <c r="H836" s="97" t="n"/>
      <c r="I836" s="97" t="n"/>
      <c r="J836" s="97" t="n">
        <v>60.51334</v>
      </c>
      <c r="K836" s="97" t="n">
        <v>70.60760999999999</v>
      </c>
      <c r="L836" s="97" t="n"/>
      <c r="M836" s="97" t="n"/>
      <c r="N836" s="97" t="n">
        <v>64.37139999999999</v>
      </c>
      <c r="O836" s="97" t="n">
        <v>75.11197</v>
      </c>
      <c r="P836" s="97" t="n">
        <v>96.05054</v>
      </c>
      <c r="Q836" s="97" t="n"/>
      <c r="R836" s="97" t="n">
        <v>64.68768</v>
      </c>
      <c r="S836" s="97" t="n">
        <v>86.9212</v>
      </c>
      <c r="T836" s="97" t="n">
        <v>95.99749</v>
      </c>
      <c r="U836" s="97" t="n">
        <v>125.2391</v>
      </c>
      <c r="V836" s="97" t="n">
        <v>45.38787</v>
      </c>
      <c r="W836" s="97" t="n">
        <v>11.98219</v>
      </c>
      <c r="X836" s="97" t="n"/>
      <c r="Y836" s="97" t="n"/>
      <c r="Z836" s="97" t="n">
        <v>106.5895</v>
      </c>
      <c r="AA836" s="97" t="n">
        <v>94.61572</v>
      </c>
      <c r="AB836" s="97" t="n"/>
      <c r="AC836" s="97" t="n">
        <v>65.42077999999999</v>
      </c>
      <c r="AD836" s="97" t="n"/>
      <c r="AE836" s="97" t="n">
        <v>56.89722</v>
      </c>
      <c r="AF836" s="97" t="n">
        <v>73.53848000000001</v>
      </c>
      <c r="AG836" s="97" t="n">
        <v>74.01715</v>
      </c>
      <c r="AH836" s="97" t="n">
        <v>63.68813</v>
      </c>
      <c r="AI836" s="97" t="n">
        <v>40.20195</v>
      </c>
      <c r="AJ836" s="97" t="n">
        <v>96.35041</v>
      </c>
      <c r="AK836" s="97" t="n"/>
      <c r="AL836" s="97" t="n"/>
      <c r="AM836" s="97" t="n">
        <v>66.71353999999999</v>
      </c>
      <c r="AN836" s="97" t="n"/>
      <c r="AO836" s="97" t="n">
        <v>60.52103</v>
      </c>
      <c r="AP836" s="97" t="n">
        <v>72.93903</v>
      </c>
      <c r="AQ836" s="97" t="n"/>
      <c r="AR836" s="97" t="n"/>
      <c r="AS836" s="97" t="n"/>
      <c r="AT836" s="97" t="n"/>
      <c r="AU836" s="97" t="n"/>
      <c r="AV836" s="97" t="n"/>
      <c r="AW836" s="97" t="n"/>
      <c r="AX836" s="97" t="n">
        <v>28.69761</v>
      </c>
      <c r="AY836" s="97" t="n">
        <v>73.58847</v>
      </c>
    </row>
    <row r="837" s="135">
      <c r="A837" t="inlineStr">
        <is>
          <t>1988-08</t>
        </is>
      </c>
      <c r="B837" s="2" t="n">
        <v>32356</v>
      </c>
      <c r="C837" s="96" t="n">
        <v>837</v>
      </c>
      <c r="E837" s="2">
        <f>B837</f>
        <v/>
      </c>
      <c r="F837" s="3">
        <f>B837</f>
        <v/>
      </c>
      <c r="G837" s="96" t="n">
        <v>835</v>
      </c>
      <c r="H837" s="97" t="n"/>
      <c r="I837" s="97" t="n"/>
      <c r="J837" s="97" t="n">
        <v>60.62852</v>
      </c>
      <c r="K837" s="97" t="n">
        <v>70.64239000000001</v>
      </c>
      <c r="L837" s="97" t="n"/>
      <c r="M837" s="97" t="n"/>
      <c r="N837" s="97" t="n">
        <v>67.02525</v>
      </c>
      <c r="O837" s="97" t="n">
        <v>77.39798999999999</v>
      </c>
      <c r="P837" s="97" t="n">
        <v>95.47033</v>
      </c>
      <c r="Q837" s="97" t="n"/>
      <c r="R837" s="97" t="n">
        <v>64.62866</v>
      </c>
      <c r="S837" s="97" t="n">
        <v>86.9212</v>
      </c>
      <c r="T837" s="97" t="n">
        <v>97.07172</v>
      </c>
      <c r="U837" s="97" t="n">
        <v>128.7732</v>
      </c>
      <c r="V837" s="97" t="n">
        <v>46.82023</v>
      </c>
      <c r="W837" s="97" t="n">
        <v>11.93723</v>
      </c>
      <c r="X837" s="97" t="n"/>
      <c r="Y837" s="97" t="n"/>
      <c r="Z837" s="97" t="n">
        <v>105.173</v>
      </c>
      <c r="AA837" s="97" t="n">
        <v>95.12277</v>
      </c>
      <c r="AB837" s="97" t="n"/>
      <c r="AC837" s="97" t="n">
        <v>73.64812000000001</v>
      </c>
      <c r="AD837" s="97" t="n"/>
      <c r="AE837" s="97" t="n">
        <v>59.2107</v>
      </c>
      <c r="AF837" s="97" t="n">
        <v>72.12428</v>
      </c>
      <c r="AG837" s="97" t="n">
        <v>74.67314</v>
      </c>
      <c r="AH837" s="97" t="n">
        <v>64.13959</v>
      </c>
      <c r="AI837" s="97" t="n">
        <v>40.77846</v>
      </c>
      <c r="AJ837" s="97" t="n">
        <v>95.88760000000001</v>
      </c>
      <c r="AK837" s="97" t="n"/>
      <c r="AL837" s="97" t="n"/>
      <c r="AM837" s="97" t="n">
        <v>65.1046</v>
      </c>
      <c r="AN837" s="97" t="n"/>
      <c r="AO837" s="97" t="n">
        <v>60.77365</v>
      </c>
      <c r="AP837" s="97" t="n">
        <v>75.39604</v>
      </c>
      <c r="AQ837" s="97" t="n"/>
      <c r="AR837" s="97" t="n"/>
      <c r="AS837" s="97" t="n"/>
      <c r="AT837" s="97" t="n"/>
      <c r="AU837" s="97" t="n"/>
      <c r="AV837" s="97" t="n"/>
      <c r="AW837" s="97" t="n"/>
      <c r="AX837" s="97" t="n">
        <v>27.49771</v>
      </c>
      <c r="AY837" s="97" t="n">
        <v>74.15843</v>
      </c>
    </row>
    <row r="838" s="135">
      <c r="A838" t="inlineStr">
        <is>
          <t>1988-09</t>
        </is>
      </c>
      <c r="B838" s="2" t="n">
        <v>32387</v>
      </c>
      <c r="C838" s="96" t="n">
        <v>838</v>
      </c>
      <c r="E838" s="2">
        <f>B838</f>
        <v/>
      </c>
      <c r="F838" s="3">
        <f>B838</f>
        <v/>
      </c>
      <c r="G838" s="96" t="n">
        <v>836</v>
      </c>
      <c r="H838" s="97" t="n"/>
      <c r="I838" s="97" t="n"/>
      <c r="J838" s="97" t="n">
        <v>60.75533</v>
      </c>
      <c r="K838" s="97" t="n">
        <v>71.11136</v>
      </c>
      <c r="L838" s="97" t="n"/>
      <c r="M838" s="97" t="n"/>
      <c r="N838" s="97" t="n">
        <v>66.22292</v>
      </c>
      <c r="O838" s="97" t="n">
        <v>78.16</v>
      </c>
      <c r="P838" s="97" t="n">
        <v>95.22038999999999</v>
      </c>
      <c r="Q838" s="97" t="n"/>
      <c r="R838" s="97" t="n">
        <v>66.34029</v>
      </c>
      <c r="S838" s="97" t="n">
        <v>88.66882</v>
      </c>
      <c r="T838" s="97" t="n">
        <v>98.0483</v>
      </c>
      <c r="U838" s="97" t="n">
        <v>126.0968</v>
      </c>
      <c r="V838" s="97" t="n">
        <v>46.14881</v>
      </c>
      <c r="W838" s="97" t="n">
        <v>12.18452</v>
      </c>
      <c r="X838" s="97" t="n"/>
      <c r="Y838" s="97" t="n"/>
      <c r="Z838" s="97" t="n">
        <v>108.006</v>
      </c>
      <c r="AA838" s="97" t="n">
        <v>96.64391999999999</v>
      </c>
      <c r="AB838" s="97" t="n"/>
      <c r="AC838" s="97" t="n">
        <v>65.52118</v>
      </c>
      <c r="AD838" s="97" t="n"/>
      <c r="AE838" s="97" t="n">
        <v>58.84922</v>
      </c>
      <c r="AF838" s="97" t="n">
        <v>74.24558</v>
      </c>
      <c r="AG838" s="97" t="n">
        <v>79.59304</v>
      </c>
      <c r="AH838" s="97" t="n">
        <v>64.38079999999999</v>
      </c>
      <c r="AI838" s="97" t="n">
        <v>39.93704</v>
      </c>
      <c r="AJ838" s="97" t="n">
        <v>94.33951999999999</v>
      </c>
      <c r="AK838" s="97" t="n"/>
      <c r="AL838" s="97" t="n"/>
      <c r="AM838" s="97" t="n">
        <v>66.3113</v>
      </c>
      <c r="AN838" s="97" t="n"/>
      <c r="AO838" s="97" t="n">
        <v>60.60719</v>
      </c>
      <c r="AP838" s="97" t="n">
        <v>74.65322</v>
      </c>
      <c r="AQ838" s="97" t="n"/>
      <c r="AR838" s="97" t="n"/>
      <c r="AS838" s="97" t="n"/>
      <c r="AT838" s="97" t="n"/>
      <c r="AU838" s="97" t="n"/>
      <c r="AV838" s="97" t="n"/>
      <c r="AW838" s="97" t="n"/>
      <c r="AX838" s="97" t="n">
        <v>26.49779</v>
      </c>
      <c r="AY838" s="97" t="n">
        <v>72.97359</v>
      </c>
    </row>
    <row r="839" s="135">
      <c r="A839" t="inlineStr">
        <is>
          <t>1988-10</t>
        </is>
      </c>
      <c r="B839" s="2" t="n">
        <v>32417</v>
      </c>
      <c r="C839" s="96" t="n">
        <v>839</v>
      </c>
      <c r="E839" s="2">
        <f>B839</f>
        <v/>
      </c>
      <c r="F839" s="3">
        <f>B839</f>
        <v/>
      </c>
      <c r="G839" s="96" t="n">
        <v>837</v>
      </c>
      <c r="H839" s="97" t="n"/>
      <c r="I839" s="97" t="n"/>
      <c r="J839" s="97" t="n">
        <v>60.2947</v>
      </c>
      <c r="K839" s="97" t="n">
        <v>70.47698</v>
      </c>
      <c r="L839" s="97" t="n"/>
      <c r="M839" s="97" t="n"/>
      <c r="N839" s="97" t="n">
        <v>66.46980000000001</v>
      </c>
      <c r="O839" s="97" t="n">
        <v>87.1952</v>
      </c>
      <c r="P839" s="97" t="n">
        <v>95.91896</v>
      </c>
      <c r="Q839" s="97" t="n"/>
      <c r="R839" s="97" t="n">
        <v>66.87148000000001</v>
      </c>
      <c r="S839" s="97" t="n">
        <v>86.64525999999999</v>
      </c>
      <c r="T839" s="97" t="n">
        <v>96.97407</v>
      </c>
      <c r="U839" s="97" t="n">
        <v>124.7635</v>
      </c>
      <c r="V839" s="97" t="n">
        <v>46.10405</v>
      </c>
      <c r="W839" s="97" t="n">
        <v>12.83646</v>
      </c>
      <c r="X839" s="97" t="n"/>
      <c r="Y839" s="97" t="n"/>
      <c r="Z839" s="97" t="n">
        <v>107.4158</v>
      </c>
      <c r="AA839" s="97" t="n">
        <v>95.32559000000001</v>
      </c>
      <c r="AB839" s="97" t="n"/>
      <c r="AC839" s="97" t="n">
        <v>68.53283999999999</v>
      </c>
      <c r="AD839" s="97" t="n"/>
      <c r="AE839" s="97" t="n">
        <v>59.86137</v>
      </c>
      <c r="AF839" s="97" t="n">
        <v>74.24558</v>
      </c>
      <c r="AG839" s="97" t="n">
        <v>78.17174</v>
      </c>
      <c r="AH839" s="97" t="n">
        <v>64.45415</v>
      </c>
      <c r="AI839" s="97" t="n">
        <v>39.5266</v>
      </c>
      <c r="AJ839" s="97" t="n">
        <v>97.56382000000001</v>
      </c>
      <c r="AK839" s="97" t="n"/>
      <c r="AL839" s="97" t="n"/>
      <c r="AM839" s="97" t="n">
        <v>68.60979</v>
      </c>
      <c r="AN839" s="97" t="n"/>
      <c r="AO839" s="97" t="n">
        <v>60.90802</v>
      </c>
      <c r="AP839" s="97" t="n">
        <v>74.15801</v>
      </c>
      <c r="AQ839" s="97" t="n"/>
      <c r="AR839" s="97" t="n"/>
      <c r="AS839" s="97" t="n"/>
      <c r="AT839" s="97" t="n"/>
      <c r="AU839" s="97" t="n"/>
      <c r="AV839" s="97" t="n"/>
      <c r="AW839" s="97" t="n"/>
      <c r="AX839" s="97" t="n">
        <v>27.79768</v>
      </c>
      <c r="AY839" s="97" t="n">
        <v>69.94157</v>
      </c>
    </row>
    <row r="840" s="135">
      <c r="A840" t="inlineStr">
        <is>
          <t>1988-11</t>
        </is>
      </c>
      <c r="B840" s="2" t="n">
        <v>32448</v>
      </c>
      <c r="C840" s="96" t="n">
        <v>840</v>
      </c>
      <c r="E840" s="2">
        <f>B840</f>
        <v/>
      </c>
      <c r="F840" s="3">
        <f>B840</f>
        <v/>
      </c>
      <c r="G840" s="96" t="n">
        <v>838</v>
      </c>
      <c r="H840" s="97" t="n"/>
      <c r="I840" s="97" t="n"/>
      <c r="J840" s="97" t="n">
        <v>61.25068</v>
      </c>
      <c r="K840" s="97" t="n">
        <v>70.01600000000001</v>
      </c>
      <c r="L840" s="97" t="n"/>
      <c r="M840" s="97" t="n"/>
      <c r="N840" s="97" t="n">
        <v>66.77838</v>
      </c>
      <c r="O840" s="97" t="n">
        <v>86.54205</v>
      </c>
      <c r="P840" s="97" t="n">
        <v>97.73748999999999</v>
      </c>
      <c r="Q840" s="97" t="n"/>
      <c r="R840" s="97" t="n">
        <v>67.28464</v>
      </c>
      <c r="S840" s="97" t="n">
        <v>88.94476</v>
      </c>
      <c r="T840" s="97" t="n">
        <v>97.95065</v>
      </c>
      <c r="U840" s="97" t="n">
        <v>125.4885</v>
      </c>
      <c r="V840" s="97" t="n">
        <v>46.28309</v>
      </c>
      <c r="W840" s="97" t="n">
        <v>12.25196</v>
      </c>
      <c r="X840" s="97" t="n"/>
      <c r="Y840" s="97" t="n"/>
      <c r="Z840" s="97" t="n">
        <v>109.3044</v>
      </c>
      <c r="AA840" s="97" t="n">
        <v>97.35380000000001</v>
      </c>
      <c r="AB840" s="97" t="n"/>
      <c r="AC840" s="97" t="n">
        <v>71.78963</v>
      </c>
      <c r="AD840" s="97" t="n"/>
      <c r="AE840" s="97" t="n">
        <v>61.45189</v>
      </c>
      <c r="AF840" s="97" t="n">
        <v>73.53848000000001</v>
      </c>
      <c r="AG840" s="97" t="n">
        <v>79.48371</v>
      </c>
      <c r="AH840" s="97" t="n">
        <v>64.99290999999999</v>
      </c>
      <c r="AI840" s="97" t="n">
        <v>40.34215</v>
      </c>
      <c r="AJ840" s="97" t="n">
        <v>97.09538000000001</v>
      </c>
      <c r="AK840" s="97" t="n"/>
      <c r="AL840" s="97" t="n"/>
      <c r="AM840" s="97" t="n">
        <v>68.26501</v>
      </c>
      <c r="AN840" s="97" t="n"/>
      <c r="AO840" s="97" t="n">
        <v>61.00465</v>
      </c>
      <c r="AP840" s="97" t="n">
        <v>74.85321</v>
      </c>
      <c r="AQ840" s="97" t="n"/>
      <c r="AR840" s="97" t="n"/>
      <c r="AS840" s="97" t="n"/>
      <c r="AT840" s="97" t="n"/>
      <c r="AU840" s="97" t="n"/>
      <c r="AV840" s="97" t="n"/>
      <c r="AW840" s="97" t="n"/>
      <c r="AX840" s="97" t="n">
        <v>26.59778</v>
      </c>
      <c r="AY840" s="97" t="n">
        <v>69.74836999999999</v>
      </c>
    </row>
    <row r="841" s="135">
      <c r="A841" t="inlineStr">
        <is>
          <t>1988-12</t>
        </is>
      </c>
      <c r="B841" s="2" t="n">
        <v>32478</v>
      </c>
      <c r="C841" s="96" t="n">
        <v>841</v>
      </c>
      <c r="E841" s="2">
        <f>B841</f>
        <v/>
      </c>
      <c r="F841" s="3">
        <f>B841</f>
        <v/>
      </c>
      <c r="G841" s="96" t="n">
        <v>839</v>
      </c>
      <c r="H841" s="97" t="n"/>
      <c r="I841" s="97" t="n"/>
      <c r="J841" s="97" t="n">
        <v>60.49432</v>
      </c>
      <c r="K841" s="97" t="n">
        <v>70.97414000000001</v>
      </c>
      <c r="L841" s="97" t="n"/>
      <c r="M841" s="97" t="n"/>
      <c r="N841" s="97" t="n">
        <v>68.25961</v>
      </c>
      <c r="O841" s="97" t="n">
        <v>88.82807</v>
      </c>
      <c r="P841" s="97" t="n">
        <v>97.3121</v>
      </c>
      <c r="Q841" s="97" t="n"/>
      <c r="R841" s="97" t="n">
        <v>66.81246</v>
      </c>
      <c r="S841" s="97" t="n">
        <v>90.04852</v>
      </c>
      <c r="T841" s="97" t="n">
        <v>97.26703999999999</v>
      </c>
      <c r="U841" s="97" t="n">
        <v>125.1847</v>
      </c>
      <c r="V841" s="97" t="n">
        <v>46.77547</v>
      </c>
      <c r="W841" s="97" t="n">
        <v>12.65661</v>
      </c>
      <c r="X841" s="97" t="n"/>
      <c r="Y841" s="97" t="n"/>
      <c r="Z841" s="97" t="n">
        <v>111.5471</v>
      </c>
      <c r="AA841" s="97" t="n">
        <v>98.06367</v>
      </c>
      <c r="AB841" s="97" t="n"/>
      <c r="AC841" s="97" t="n">
        <v>74.30953</v>
      </c>
      <c r="AD841" s="97" t="n"/>
      <c r="AE841" s="97" t="n">
        <v>61.45189</v>
      </c>
      <c r="AF841" s="97" t="n">
        <v>71.41718</v>
      </c>
      <c r="AG841" s="97" t="n">
        <v>79.8117</v>
      </c>
      <c r="AH841" s="97" t="n">
        <v>65.46671000000001</v>
      </c>
      <c r="AI841" s="97" t="n">
        <v>39.28442</v>
      </c>
      <c r="AJ841" s="97" t="n">
        <v>97.75745000000001</v>
      </c>
      <c r="AK841" s="97" t="n"/>
      <c r="AL841" s="97" t="n"/>
      <c r="AM841" s="97" t="n">
        <v>68.03516</v>
      </c>
      <c r="AN841" s="97" t="n"/>
      <c r="AO841" s="97" t="n">
        <v>61.30289</v>
      </c>
      <c r="AP841" s="97" t="n">
        <v>75.87221</v>
      </c>
      <c r="AQ841" s="97" t="n"/>
      <c r="AR841" s="97" t="n"/>
      <c r="AS841" s="97" t="n"/>
      <c r="AT841" s="97" t="n"/>
      <c r="AU841" s="97" t="n"/>
      <c r="AV841" s="97" t="n"/>
      <c r="AW841" s="97" t="n"/>
      <c r="AX841" s="97" t="n">
        <v>27.99767</v>
      </c>
      <c r="AY841" s="97" t="n">
        <v>73.91070999999999</v>
      </c>
    </row>
    <row r="842" s="135">
      <c r="A842" t="inlineStr">
        <is>
          <t>1989-01</t>
        </is>
      </c>
      <c r="B842" s="2" t="n">
        <v>32509</v>
      </c>
      <c r="C842" s="96" t="n">
        <v>842</v>
      </c>
      <c r="E842" s="2">
        <f>B842</f>
        <v/>
      </c>
      <c r="F842" s="3">
        <f>B842</f>
        <v/>
      </c>
      <c r="G842" s="96" t="n">
        <v>840</v>
      </c>
      <c r="H842" s="97" t="n"/>
      <c r="I842" s="97" t="n"/>
      <c r="J842" s="97" t="n">
        <v>61.57829</v>
      </c>
      <c r="K842" s="97" t="n">
        <v>70.73824999999999</v>
      </c>
      <c r="L842" s="97" t="n"/>
      <c r="M842" s="97" t="n"/>
      <c r="N842" s="97" t="n">
        <v>67.27213</v>
      </c>
      <c r="O842" s="97" t="n">
        <v>83.92946999999999</v>
      </c>
      <c r="P842" s="97" t="n">
        <v>98.89653</v>
      </c>
      <c r="Q842" s="97" t="n"/>
      <c r="R842" s="97" t="n">
        <v>66.45834000000001</v>
      </c>
      <c r="S842" s="97" t="n">
        <v>89.58862000000001</v>
      </c>
      <c r="T842" s="97" t="n">
        <v>97.75533</v>
      </c>
      <c r="U842" s="97" t="n">
        <v>127.8215</v>
      </c>
      <c r="V842" s="97" t="n">
        <v>45.16406</v>
      </c>
      <c r="W842" s="97" t="n">
        <v>13.03878</v>
      </c>
      <c r="X842" s="97" t="n"/>
      <c r="Y842" s="97" t="n"/>
      <c r="Z842" s="97" t="n">
        <v>110.0126</v>
      </c>
      <c r="AA842" s="97" t="n">
        <v>98.87495</v>
      </c>
      <c r="AB842" s="97" t="n">
        <v>18.98135</v>
      </c>
      <c r="AC842" s="97" t="n">
        <v>74.04092</v>
      </c>
      <c r="AD842" s="97" t="n"/>
      <c r="AE842" s="97" t="n">
        <v>62.17485</v>
      </c>
      <c r="AF842" s="97" t="n">
        <v>72.54854</v>
      </c>
      <c r="AG842" s="97" t="n">
        <v>80.79568</v>
      </c>
      <c r="AH842" s="97" t="n">
        <v>65.55476</v>
      </c>
      <c r="AI842" s="97" t="n">
        <v>44.6173</v>
      </c>
      <c r="AJ842" s="97" t="n">
        <v>98.31082000000001</v>
      </c>
      <c r="AK842" s="97" t="n">
        <v>47.26587</v>
      </c>
      <c r="AL842" s="97" t="n"/>
      <c r="AM842" s="97" t="n">
        <v>70.50604</v>
      </c>
      <c r="AN842" s="97" t="n"/>
      <c r="AO842" s="97" t="n">
        <v>61.4873</v>
      </c>
      <c r="AP842" s="97" t="n">
        <v>76.0341</v>
      </c>
      <c r="AQ842" s="97" t="n"/>
      <c r="AR842" s="97" t="n"/>
      <c r="AS842" s="97" t="n"/>
      <c r="AT842" s="97" t="n"/>
      <c r="AU842" s="97" t="n"/>
      <c r="AV842" s="97" t="n"/>
      <c r="AW842" s="97" t="n"/>
      <c r="AX842" s="97" t="n">
        <v>26.99775</v>
      </c>
      <c r="AY842" s="97" t="n">
        <v>73.19561</v>
      </c>
    </row>
    <row r="843" s="135">
      <c r="A843" t="inlineStr">
        <is>
          <t>1989-02</t>
        </is>
      </c>
      <c r="B843" s="2" t="n">
        <v>32540</v>
      </c>
      <c r="C843" s="96" t="n">
        <v>843</v>
      </c>
      <c r="E843" s="2">
        <f>B843</f>
        <v/>
      </c>
      <c r="F843" s="3">
        <f>B843</f>
        <v/>
      </c>
      <c r="G843" s="96" t="n">
        <v>841</v>
      </c>
      <c r="H843" s="97" t="n"/>
      <c r="I843" s="97" t="n"/>
      <c r="J843" s="97" t="n">
        <v>61.4794</v>
      </c>
      <c r="K843" s="97" t="n">
        <v>71.4652</v>
      </c>
      <c r="L843" s="97" t="n"/>
      <c r="M843" s="97" t="n"/>
      <c r="N843" s="97" t="n">
        <v>67.02525</v>
      </c>
      <c r="O843" s="97" t="n">
        <v>81.20802</v>
      </c>
      <c r="P843" s="97" t="n">
        <v>98.8946</v>
      </c>
      <c r="Q843" s="97" t="n"/>
      <c r="R843" s="97" t="n">
        <v>66.04518</v>
      </c>
      <c r="S843" s="97" t="n">
        <v>89.40466000000001</v>
      </c>
      <c r="T843" s="97" t="n">
        <v>98.0483</v>
      </c>
      <c r="U843" s="97" t="n">
        <v>126.7033</v>
      </c>
      <c r="V843" s="97" t="n">
        <v>44.94026</v>
      </c>
      <c r="W843" s="97" t="n">
        <v>12.72406</v>
      </c>
      <c r="X843" s="97" t="n"/>
      <c r="Y843" s="97" t="n"/>
      <c r="Z843" s="97" t="n">
        <v>110.2487</v>
      </c>
      <c r="AA843" s="97" t="n">
        <v>98.26649</v>
      </c>
      <c r="AB843" s="97" t="n">
        <v>18.89662</v>
      </c>
      <c r="AC843" s="97" t="n">
        <v>71.98645</v>
      </c>
      <c r="AD843" s="97" t="n"/>
      <c r="AE843" s="97" t="n">
        <v>62.17485</v>
      </c>
      <c r="AF843" s="97" t="n">
        <v>72.12428</v>
      </c>
      <c r="AG843" s="97" t="n">
        <v>80.24902</v>
      </c>
      <c r="AH843" s="97" t="n">
        <v>65.43556</v>
      </c>
      <c r="AI843" s="97" t="n">
        <v>41.24337</v>
      </c>
      <c r="AJ843" s="97" t="n">
        <v>97.06251</v>
      </c>
      <c r="AK843" s="97" t="n">
        <v>48.36502</v>
      </c>
      <c r="AL843" s="97" t="n"/>
      <c r="AM843" s="97" t="n">
        <v>69.98887999999999</v>
      </c>
      <c r="AN843" s="97" t="n"/>
      <c r="AO843" s="97" t="n">
        <v>61.2077</v>
      </c>
      <c r="AP843" s="97" t="n">
        <v>75.84363999999999</v>
      </c>
      <c r="AQ843" s="97" t="n"/>
      <c r="AR843" s="97" t="n"/>
      <c r="AS843" s="97" t="n"/>
      <c r="AT843" s="97" t="n"/>
      <c r="AU843" s="97" t="n"/>
      <c r="AV843" s="97" t="n"/>
      <c r="AW843" s="97" t="n"/>
      <c r="AX843" s="97" t="n">
        <v>28.49763</v>
      </c>
      <c r="AY843" s="97" t="n">
        <v>69.9708</v>
      </c>
    </row>
    <row r="844" s="135">
      <c r="A844" t="inlineStr">
        <is>
          <t>1989-03</t>
        </is>
      </c>
      <c r="B844" s="2" t="n">
        <v>32568</v>
      </c>
      <c r="C844" s="96" t="n">
        <v>844</v>
      </c>
      <c r="E844" s="2">
        <f>B844</f>
        <v/>
      </c>
      <c r="F844" s="3">
        <f>B844</f>
        <v/>
      </c>
      <c r="G844" s="96" t="n">
        <v>842</v>
      </c>
      <c r="H844" s="97" t="n"/>
      <c r="I844" s="97" t="n"/>
      <c r="J844" s="97" t="n">
        <v>60.47211</v>
      </c>
      <c r="K844" s="97" t="n">
        <v>71.06202</v>
      </c>
      <c r="L844" s="97" t="n"/>
      <c r="M844" s="97" t="n"/>
      <c r="N844" s="97" t="n">
        <v>67.51899</v>
      </c>
      <c r="O844" s="97" t="n">
        <v>80.66373</v>
      </c>
      <c r="P844" s="97" t="n">
        <v>101.6535</v>
      </c>
      <c r="Q844" s="97" t="n"/>
      <c r="R844" s="97" t="n">
        <v>66.39931</v>
      </c>
      <c r="S844" s="97" t="n">
        <v>89.49664</v>
      </c>
      <c r="T844" s="97" t="n">
        <v>96.77876000000001</v>
      </c>
      <c r="U844" s="97" t="n">
        <v>127.9023</v>
      </c>
      <c r="V844" s="97" t="n">
        <v>45.1193</v>
      </c>
      <c r="W844" s="97" t="n">
        <v>12.99382</v>
      </c>
      <c r="X844" s="97" t="n"/>
      <c r="Y844" s="97" t="n"/>
      <c r="Z844" s="97" t="n">
        <v>108.7142</v>
      </c>
      <c r="AA844" s="97" t="n">
        <v>101.8158</v>
      </c>
      <c r="AB844" s="97" t="n">
        <v>19.06609</v>
      </c>
      <c r="AC844" s="97" t="n">
        <v>73.10525</v>
      </c>
      <c r="AD844" s="97" t="n"/>
      <c r="AE844" s="97" t="n">
        <v>61.81337</v>
      </c>
      <c r="AF844" s="97" t="n">
        <v>71.91215</v>
      </c>
      <c r="AG844" s="97" t="n">
        <v>83.3103</v>
      </c>
      <c r="AH844" s="97" t="n">
        <v>65.8664</v>
      </c>
      <c r="AI844" s="97" t="n">
        <v>40.48101</v>
      </c>
      <c r="AJ844" s="97" t="n">
        <v>101.3123</v>
      </c>
      <c r="AK844" s="97" t="n">
        <v>44.57333</v>
      </c>
      <c r="AL844" s="97" t="n"/>
      <c r="AM844" s="97" t="n">
        <v>69.93142</v>
      </c>
      <c r="AN844" s="97" t="n"/>
      <c r="AO844" s="97" t="n">
        <v>61.34688</v>
      </c>
      <c r="AP844" s="97" t="n">
        <v>75.81506</v>
      </c>
      <c r="AQ844" s="97" t="n"/>
      <c r="AR844" s="97" t="n"/>
      <c r="AS844" s="97" t="n"/>
      <c r="AT844" s="97" t="n"/>
      <c r="AU844" s="97" t="n"/>
      <c r="AV844" s="97" t="n"/>
      <c r="AW844" s="97" t="n"/>
      <c r="AX844" s="97" t="n">
        <v>28.19765</v>
      </c>
      <c r="AY844" s="97" t="n">
        <v>72.49476</v>
      </c>
    </row>
    <row r="845" s="135">
      <c r="A845" t="inlineStr">
        <is>
          <t>1989-04</t>
        </is>
      </c>
      <c r="B845" s="2" t="n">
        <v>32599</v>
      </c>
      <c r="C845" s="96" t="n">
        <v>845</v>
      </c>
      <c r="E845" s="2">
        <f>B845</f>
        <v/>
      </c>
      <c r="F845" s="3">
        <f>B845</f>
        <v/>
      </c>
      <c r="G845" s="96" t="n">
        <v>843</v>
      </c>
      <c r="H845" s="97" t="n"/>
      <c r="I845" s="97" t="n"/>
      <c r="J845" s="97" t="n">
        <v>61.6447</v>
      </c>
      <c r="K845" s="97" t="n">
        <v>71.48963999999999</v>
      </c>
      <c r="L845" s="97" t="n"/>
      <c r="M845" s="97" t="n"/>
      <c r="N845" s="97" t="n">
        <v>69.55567000000001</v>
      </c>
      <c r="O845" s="97" t="n">
        <v>81.97002000000001</v>
      </c>
      <c r="P845" s="97" t="n">
        <v>99.31774</v>
      </c>
      <c r="Q845" s="97" t="n"/>
      <c r="R845" s="97" t="n">
        <v>64.27454</v>
      </c>
      <c r="S845" s="97" t="n">
        <v>91.15228</v>
      </c>
      <c r="T845" s="97" t="n">
        <v>99.12254</v>
      </c>
      <c r="U845" s="97" t="n">
        <v>130.6838</v>
      </c>
      <c r="V845" s="97" t="n">
        <v>44.49265</v>
      </c>
      <c r="W845" s="97" t="n">
        <v>12.94886</v>
      </c>
      <c r="X845" s="97" t="n"/>
      <c r="Y845" s="97" t="n"/>
      <c r="Z845" s="97" t="n">
        <v>109.5405</v>
      </c>
      <c r="AA845" s="97" t="n">
        <v>100.1933</v>
      </c>
      <c r="AB845" s="97" t="n">
        <v>18.07042</v>
      </c>
      <c r="AC845" s="97" t="n">
        <v>75.98737</v>
      </c>
      <c r="AD845" s="97" t="n"/>
      <c r="AE845" s="97" t="n">
        <v>62.31944</v>
      </c>
      <c r="AF845" s="97" t="n">
        <v>77.9225</v>
      </c>
      <c r="AG845" s="97" t="n">
        <v>83.85695</v>
      </c>
      <c r="AH845" s="97" t="n">
        <v>66.04532</v>
      </c>
      <c r="AI845" s="97" t="n">
        <v>42.37652</v>
      </c>
      <c r="AJ845" s="97" t="n">
        <v>100.5251</v>
      </c>
      <c r="AK845" s="97" t="n">
        <v>46.90347</v>
      </c>
      <c r="AL845" s="97" t="n"/>
      <c r="AM845" s="97" t="n">
        <v>69.93142</v>
      </c>
      <c r="AN845" s="97" t="n"/>
      <c r="AO845" s="97" t="n">
        <v>61.38847</v>
      </c>
      <c r="AP845" s="97" t="n">
        <v>77.44355</v>
      </c>
      <c r="AQ845" s="97" t="n"/>
      <c r="AR845" s="97" t="n"/>
      <c r="AS845" s="97" t="n"/>
      <c r="AT845" s="97" t="n"/>
      <c r="AU845" s="97" t="n"/>
      <c r="AV845" s="97" t="n"/>
      <c r="AW845" s="97" t="n"/>
      <c r="AX845" s="97" t="n">
        <v>26.69777</v>
      </c>
      <c r="AY845" s="97" t="n">
        <v>74.61733</v>
      </c>
    </row>
    <row r="846" s="135">
      <c r="A846" t="inlineStr">
        <is>
          <t>1989-05</t>
        </is>
      </c>
      <c r="B846" s="2" t="n">
        <v>32629</v>
      </c>
      <c r="C846" s="96" t="n">
        <v>846</v>
      </c>
      <c r="E846" s="2">
        <f>B846</f>
        <v/>
      </c>
      <c r="F846" s="3">
        <f>B846</f>
        <v/>
      </c>
      <c r="G846" s="96" t="n">
        <v>844</v>
      </c>
      <c r="H846" s="97" t="n"/>
      <c r="I846" s="97" t="n"/>
      <c r="J846" s="97" t="n">
        <v>61.3452</v>
      </c>
      <c r="K846" s="97" t="n">
        <v>70.80356999999999</v>
      </c>
      <c r="L846" s="97" t="n"/>
      <c r="M846" s="97" t="n"/>
      <c r="N846" s="97" t="n">
        <v>66.22292</v>
      </c>
      <c r="O846" s="97" t="n">
        <v>82.07888</v>
      </c>
      <c r="P846" s="97" t="n">
        <v>99.62170999999999</v>
      </c>
      <c r="Q846" s="97" t="n"/>
      <c r="R846" s="97" t="n">
        <v>65.51398</v>
      </c>
      <c r="S846" s="97" t="n">
        <v>90.1405</v>
      </c>
      <c r="T846" s="97" t="n">
        <v>96.6811</v>
      </c>
      <c r="U846" s="97" t="n">
        <v>128.2137</v>
      </c>
      <c r="V846" s="97" t="n">
        <v>45.74596</v>
      </c>
      <c r="W846" s="97" t="n">
        <v>13.4884</v>
      </c>
      <c r="X846" s="97" t="n"/>
      <c r="Y846" s="97" t="n"/>
      <c r="Z846" s="97" t="n">
        <v>108.5961</v>
      </c>
      <c r="AA846" s="97" t="n">
        <v>100.2947</v>
      </c>
      <c r="AB846" s="97" t="n">
        <v>19.29912</v>
      </c>
      <c r="AC846" s="97" t="n">
        <v>74.43724</v>
      </c>
      <c r="AD846" s="97" t="n"/>
      <c r="AE846" s="97" t="n">
        <v>62.39174</v>
      </c>
      <c r="AF846" s="97" t="n">
        <v>75.02339000000001</v>
      </c>
      <c r="AG846" s="97" t="n">
        <v>83.3103</v>
      </c>
      <c r="AH846" s="97" t="n">
        <v>65.50830999999999</v>
      </c>
      <c r="AI846" s="97" t="n">
        <v>39.88014</v>
      </c>
      <c r="AJ846" s="97" t="n">
        <v>102.2257</v>
      </c>
      <c r="AK846" s="97" t="n">
        <v>46.99757</v>
      </c>
      <c r="AL846" s="97" t="n"/>
      <c r="AM846" s="97" t="n">
        <v>67.97771</v>
      </c>
      <c r="AN846" s="97" t="n"/>
      <c r="AO846" s="97" t="n">
        <v>60.98121</v>
      </c>
      <c r="AP846" s="97" t="n">
        <v>75.13891</v>
      </c>
      <c r="AQ846" s="97" t="n"/>
      <c r="AR846" s="97" t="n"/>
      <c r="AS846" s="97" t="n"/>
      <c r="AT846" s="97" t="n"/>
      <c r="AU846" s="97" t="n"/>
      <c r="AV846" s="97" t="n"/>
      <c r="AW846" s="97" t="n"/>
      <c r="AX846" s="97" t="n">
        <v>27.99767</v>
      </c>
      <c r="AY846" s="97" t="n">
        <v>76.54318000000001</v>
      </c>
    </row>
    <row r="847" s="135">
      <c r="A847" t="inlineStr">
        <is>
          <t>1989-06</t>
        </is>
      </c>
      <c r="B847" s="2" t="n">
        <v>32660</v>
      </c>
      <c r="C847" s="96" t="n">
        <v>847</v>
      </c>
      <c r="E847" s="2">
        <f>B847</f>
        <v/>
      </c>
      <c r="F847" s="3">
        <f>B847</f>
        <v/>
      </c>
      <c r="G847" s="96" t="n">
        <v>845</v>
      </c>
      <c r="H847" s="97" t="n"/>
      <c r="I847" s="97" t="n"/>
      <c r="J847" s="97" t="n">
        <v>60.86836</v>
      </c>
      <c r="K847" s="97" t="n">
        <v>70.26553</v>
      </c>
      <c r="L847" s="97" t="n"/>
      <c r="M847" s="97" t="n"/>
      <c r="N847" s="97" t="n">
        <v>68.87678</v>
      </c>
      <c r="O847" s="97" t="n">
        <v>82.62317</v>
      </c>
      <c r="P847" s="97" t="n">
        <v>100.4769</v>
      </c>
      <c r="Q847" s="97" t="n"/>
      <c r="R847" s="97" t="n">
        <v>66.39931</v>
      </c>
      <c r="S847" s="97" t="n">
        <v>91.33624</v>
      </c>
      <c r="T847" s="97" t="n">
        <v>96.6811</v>
      </c>
      <c r="U847" s="97" t="n">
        <v>126.8169</v>
      </c>
      <c r="V847" s="97" t="n">
        <v>45.16406</v>
      </c>
      <c r="W847" s="97" t="n">
        <v>13.35351</v>
      </c>
      <c r="X847" s="97" t="n"/>
      <c r="Y847" s="97" t="n"/>
      <c r="Z847" s="97" t="n">
        <v>111.3111</v>
      </c>
      <c r="AA847" s="97" t="n">
        <v>101.5116</v>
      </c>
      <c r="AB847" s="97" t="n">
        <v>19.57452</v>
      </c>
      <c r="AC847" s="97" t="n">
        <v>72.18016</v>
      </c>
      <c r="AD847" s="97" t="n"/>
      <c r="AE847" s="97" t="n">
        <v>63.54848</v>
      </c>
      <c r="AF847" s="97" t="n">
        <v>74.45771000000001</v>
      </c>
      <c r="AG847" s="97" t="n">
        <v>84.62227</v>
      </c>
      <c r="AH847" s="97" t="n">
        <v>66.19826</v>
      </c>
      <c r="AI847" s="97" t="n">
        <v>41.01307</v>
      </c>
      <c r="AJ847" s="97" t="n">
        <v>102.9379</v>
      </c>
      <c r="AK847" s="97" t="n">
        <v>52.46172</v>
      </c>
      <c r="AL847" s="97" t="n"/>
      <c r="AM847" s="97" t="n">
        <v>68.95456</v>
      </c>
      <c r="AN847" s="97" t="n"/>
      <c r="AO847" s="97" t="n">
        <v>61.01031</v>
      </c>
      <c r="AP847" s="97" t="n">
        <v>77.53879000000001</v>
      </c>
      <c r="AQ847" s="97" t="n"/>
      <c r="AR847" s="97" t="n"/>
      <c r="AS847" s="97" t="n"/>
      <c r="AT847" s="97" t="n"/>
      <c r="AU847" s="97" t="n"/>
      <c r="AV847" s="97" t="n"/>
      <c r="AW847" s="97" t="n"/>
      <c r="AX847" s="97" t="n">
        <v>28.99758</v>
      </c>
      <c r="AY847" s="97" t="n">
        <v>79.27512</v>
      </c>
    </row>
    <row r="848" s="135">
      <c r="A848" t="inlineStr">
        <is>
          <t>1989-07</t>
        </is>
      </c>
      <c r="B848" s="2" t="n">
        <v>32690</v>
      </c>
      <c r="C848" s="96" t="n">
        <v>848</v>
      </c>
      <c r="E848" s="2">
        <f>B848</f>
        <v/>
      </c>
      <c r="F848" s="3">
        <f>B848</f>
        <v/>
      </c>
      <c r="G848" s="96" t="n">
        <v>846</v>
      </c>
      <c r="H848" s="97" t="n"/>
      <c r="I848" s="97" t="n"/>
      <c r="J848" s="97" t="n">
        <v>63.92083</v>
      </c>
      <c r="K848" s="97" t="n">
        <v>69.70350999999999</v>
      </c>
      <c r="L848" s="97" t="n"/>
      <c r="M848" s="97" t="n"/>
      <c r="N848" s="97" t="n">
        <v>69.24709</v>
      </c>
      <c r="O848" s="97" t="n">
        <v>79.03085</v>
      </c>
      <c r="P848" s="97" t="n">
        <v>101.4567</v>
      </c>
      <c r="Q848" s="97" t="n"/>
      <c r="R848" s="97" t="n">
        <v>77.31831</v>
      </c>
      <c r="S848" s="97" t="n">
        <v>90.32446</v>
      </c>
      <c r="T848" s="97" t="n">
        <v>96.87641000000001</v>
      </c>
      <c r="U848" s="97" t="n">
        <v>128.4402</v>
      </c>
      <c r="V848" s="97" t="n">
        <v>44.00027</v>
      </c>
      <c r="W848" s="97" t="n">
        <v>14.81476</v>
      </c>
      <c r="X848" s="97" t="n"/>
      <c r="Y848" s="97" t="n"/>
      <c r="Z848" s="97" t="n">
        <v>110.0126</v>
      </c>
      <c r="AA848" s="97" t="n">
        <v>99.38200000000001</v>
      </c>
      <c r="AB848" s="97" t="n">
        <v>19.70163</v>
      </c>
      <c r="AC848" s="97" t="n">
        <v>71.89577</v>
      </c>
      <c r="AD848" s="97" t="n"/>
      <c r="AE848" s="97" t="n">
        <v>63.1147</v>
      </c>
      <c r="AF848" s="97" t="n">
        <v>75.02339000000001</v>
      </c>
      <c r="AG848" s="97" t="n">
        <v>84.95026</v>
      </c>
      <c r="AH848" s="97" t="n">
        <v>65.86476999999999</v>
      </c>
      <c r="AI848" s="97" t="n">
        <v>37.83374</v>
      </c>
      <c r="AJ848" s="97" t="n">
        <v>101.0023</v>
      </c>
      <c r="AK848" s="97" t="n">
        <v>42.21499</v>
      </c>
      <c r="AL848" s="97" t="n"/>
      <c r="AM848" s="97" t="n">
        <v>67.2307</v>
      </c>
      <c r="AN848" s="97" t="n"/>
      <c r="AO848" s="97" t="n">
        <v>60.45005</v>
      </c>
      <c r="AP848" s="97" t="n">
        <v>76.86263</v>
      </c>
      <c r="AQ848" s="97" t="n"/>
      <c r="AR848" s="97" t="n"/>
      <c r="AS848" s="97" t="n"/>
      <c r="AT848" s="97" t="n"/>
      <c r="AU848" s="97" t="n"/>
      <c r="AV848" s="97" t="n"/>
      <c r="AW848" s="97" t="n"/>
      <c r="AX848" s="97" t="n">
        <v>29.69753</v>
      </c>
      <c r="AY848" s="97" t="n">
        <v>78.41148</v>
      </c>
    </row>
    <row r="849" s="135">
      <c r="A849" t="inlineStr">
        <is>
          <t>1989-08</t>
        </is>
      </c>
      <c r="B849" s="2" t="n">
        <v>32721</v>
      </c>
      <c r="C849" s="96" t="n">
        <v>849</v>
      </c>
      <c r="E849" s="2">
        <f>B849</f>
        <v/>
      </c>
      <c r="F849" s="3">
        <f>B849</f>
        <v/>
      </c>
      <c r="G849" s="96" t="n">
        <v>847</v>
      </c>
      <c r="H849" s="97" t="n"/>
      <c r="I849" s="97" t="n"/>
      <c r="J849" s="97" t="n">
        <v>62.50771</v>
      </c>
      <c r="K849" s="97" t="n">
        <v>69.82334</v>
      </c>
      <c r="L849" s="97" t="n"/>
      <c r="M849" s="97" t="n"/>
      <c r="N849" s="97" t="n">
        <v>69.06193</v>
      </c>
      <c r="O849" s="97" t="n">
        <v>77.83342</v>
      </c>
      <c r="P849" s="97" t="n">
        <v>99.45916</v>
      </c>
      <c r="Q849" s="97" t="n"/>
      <c r="R849" s="97" t="n">
        <v>68.87822</v>
      </c>
      <c r="S849" s="97" t="n">
        <v>90.32446</v>
      </c>
      <c r="T849" s="97" t="n">
        <v>98.92722000000001</v>
      </c>
      <c r="U849" s="97" t="n">
        <v>128.208</v>
      </c>
      <c r="V849" s="97" t="n">
        <v>44.22408</v>
      </c>
      <c r="W849" s="97" t="n">
        <v>12.70158</v>
      </c>
      <c r="X849" s="97" t="n"/>
      <c r="Y849" s="97" t="n"/>
      <c r="Z849" s="97" t="n">
        <v>109.5405</v>
      </c>
      <c r="AA849" s="97" t="n">
        <v>101.106</v>
      </c>
      <c r="AB849" s="97" t="n">
        <v>20.4219</v>
      </c>
      <c r="AC849" s="97" t="n">
        <v>77.85983</v>
      </c>
      <c r="AD849" s="97" t="n"/>
      <c r="AE849" s="97" t="n">
        <v>63.62078</v>
      </c>
      <c r="AF849" s="97" t="n">
        <v>75.44765</v>
      </c>
      <c r="AG849" s="97" t="n">
        <v>85.38759</v>
      </c>
      <c r="AH849" s="97" t="n">
        <v>66.23447</v>
      </c>
      <c r="AI849" s="97" t="n">
        <v>36.713</v>
      </c>
      <c r="AJ849" s="97" t="n">
        <v>103.7058</v>
      </c>
      <c r="AK849" s="97" t="n">
        <v>34.4474</v>
      </c>
      <c r="AL849" s="97" t="n"/>
      <c r="AM849" s="97" t="n">
        <v>68.20755</v>
      </c>
      <c r="AN849" s="97" t="n"/>
      <c r="AO849" s="97" t="n">
        <v>61.00849</v>
      </c>
      <c r="AP849" s="97" t="n">
        <v>79.15774999999999</v>
      </c>
      <c r="AQ849" s="97" t="n"/>
      <c r="AR849" s="97" t="n"/>
      <c r="AS849" s="97" t="n"/>
      <c r="AT849" s="97" t="n"/>
      <c r="AU849" s="97" t="n"/>
      <c r="AV849" s="97" t="n"/>
      <c r="AW849" s="97" t="n"/>
      <c r="AX849" s="97" t="n">
        <v>29.09758</v>
      </c>
      <c r="AY849" s="97" t="n">
        <v>78.31004</v>
      </c>
    </row>
    <row r="850" s="135">
      <c r="A850" t="inlineStr">
        <is>
          <t>1989-09</t>
        </is>
      </c>
      <c r="B850" s="2" t="n">
        <v>32752</v>
      </c>
      <c r="C850" s="96" t="n">
        <v>850</v>
      </c>
      <c r="E850" s="2">
        <f>B850</f>
        <v/>
      </c>
      <c r="F850" s="3">
        <f>B850</f>
        <v/>
      </c>
      <c r="G850" s="96" t="n">
        <v>848</v>
      </c>
      <c r="H850" s="97" t="n"/>
      <c r="I850" s="97" t="n"/>
      <c r="J850" s="97" t="n">
        <v>61.69985</v>
      </c>
      <c r="K850" s="97" t="n">
        <v>70.01177</v>
      </c>
      <c r="L850" s="97" t="n"/>
      <c r="M850" s="97" t="n"/>
      <c r="N850" s="97" t="n">
        <v>69.43223999999999</v>
      </c>
      <c r="O850" s="97" t="n">
        <v>80.66373</v>
      </c>
      <c r="P850" s="97" t="n">
        <v>101.3351</v>
      </c>
      <c r="Q850" s="97" t="n"/>
      <c r="R850" s="97" t="n">
        <v>66.69441999999999</v>
      </c>
      <c r="S850" s="97" t="n">
        <v>90.23248</v>
      </c>
      <c r="T850" s="97" t="n">
        <v>98.43893</v>
      </c>
      <c r="U850" s="97" t="n">
        <v>127.1936</v>
      </c>
      <c r="V850" s="97" t="n">
        <v>43.59742</v>
      </c>
      <c r="W850" s="97" t="n">
        <v>13.08375</v>
      </c>
      <c r="X850" s="97" t="n"/>
      <c r="Y850" s="97" t="n"/>
      <c r="Z850" s="97" t="n">
        <v>112.1373</v>
      </c>
      <c r="AA850" s="97" t="n">
        <v>100.8017</v>
      </c>
      <c r="AB850" s="97" t="n">
        <v>19.93466</v>
      </c>
      <c r="AC850" s="97" t="n">
        <v>72.12059000000001</v>
      </c>
      <c r="AD850" s="97" t="n"/>
      <c r="AE850" s="97" t="n">
        <v>62.68092</v>
      </c>
      <c r="AF850" s="97" t="n">
        <v>76.08405</v>
      </c>
      <c r="AG850" s="97" t="n">
        <v>85.71558</v>
      </c>
      <c r="AH850" s="97" t="n">
        <v>66.22906</v>
      </c>
      <c r="AI850" s="97" t="n">
        <v>38.40863</v>
      </c>
      <c r="AJ850" s="97" t="n">
        <v>105.2039</v>
      </c>
      <c r="AK850" s="97" t="n">
        <v>43.51059</v>
      </c>
      <c r="AL850" s="97" t="n"/>
      <c r="AM850" s="97" t="n">
        <v>68.83964</v>
      </c>
      <c r="AN850" s="97" t="n"/>
      <c r="AO850" s="97" t="n">
        <v>60.79583</v>
      </c>
      <c r="AP850" s="97" t="n">
        <v>77.55783</v>
      </c>
      <c r="AQ850" s="97" t="n"/>
      <c r="AR850" s="97" t="n"/>
      <c r="AS850" s="97" t="n"/>
      <c r="AT850" s="97" t="n"/>
      <c r="AU850" s="97" t="n"/>
      <c r="AV850" s="97" t="n"/>
      <c r="AW850" s="97" t="n"/>
      <c r="AX850" s="97" t="n">
        <v>29.49754</v>
      </c>
      <c r="AY850" s="97" t="n">
        <v>77.11</v>
      </c>
    </row>
    <row r="851" s="135">
      <c r="A851" t="inlineStr">
        <is>
          <t>1989-10</t>
        </is>
      </c>
      <c r="B851" s="2" t="n">
        <v>32782</v>
      </c>
      <c r="C851" s="96" t="n">
        <v>851</v>
      </c>
      <c r="E851" s="2">
        <f>B851</f>
        <v/>
      </c>
      <c r="F851" s="3">
        <f>B851</f>
        <v/>
      </c>
      <c r="G851" s="96" t="n">
        <v>849</v>
      </c>
      <c r="H851" s="97" t="n"/>
      <c r="I851" s="97" t="n"/>
      <c r="J851" s="97" t="n">
        <v>61.41624</v>
      </c>
      <c r="K851" s="97" t="n">
        <v>69.16547</v>
      </c>
      <c r="L851" s="97" t="n"/>
      <c r="M851" s="97" t="n"/>
      <c r="N851" s="97" t="n">
        <v>69.61739</v>
      </c>
      <c r="O851" s="97" t="n">
        <v>83.27631</v>
      </c>
      <c r="P851" s="97" t="n">
        <v>100.1716</v>
      </c>
      <c r="Q851" s="97" t="n"/>
      <c r="R851" s="97" t="n">
        <v>66.28127000000001</v>
      </c>
      <c r="S851" s="97" t="n">
        <v>91.0603</v>
      </c>
      <c r="T851" s="97" t="n">
        <v>97.85299000000001</v>
      </c>
      <c r="U851" s="97" t="n">
        <v>129.0675</v>
      </c>
      <c r="V851" s="97" t="n">
        <v>43.19457</v>
      </c>
      <c r="W851" s="97" t="n">
        <v>13.39848</v>
      </c>
      <c r="X851" s="97" t="n"/>
      <c r="Y851" s="97" t="n"/>
      <c r="Z851" s="97" t="n">
        <v>112.6095</v>
      </c>
      <c r="AA851" s="97" t="n">
        <v>100.1933</v>
      </c>
      <c r="AB851" s="97" t="n">
        <v>19.76518</v>
      </c>
      <c r="AC851" s="97" t="n">
        <v>71.96942</v>
      </c>
      <c r="AD851" s="97" t="n"/>
      <c r="AE851" s="97" t="n">
        <v>62.68092</v>
      </c>
      <c r="AF851" s="97" t="n">
        <v>76.43759</v>
      </c>
      <c r="AG851" s="97" t="n">
        <v>85.38759</v>
      </c>
      <c r="AH851" s="97" t="n">
        <v>66.08766</v>
      </c>
      <c r="AI851" s="97" t="n">
        <v>37.07756</v>
      </c>
      <c r="AJ851" s="97" t="n">
        <v>105.6018</v>
      </c>
      <c r="AK851" s="97" t="n">
        <v>43.37358</v>
      </c>
      <c r="AL851" s="97" t="n"/>
      <c r="AM851" s="97" t="n">
        <v>69.93142</v>
      </c>
      <c r="AN851" s="97" t="n"/>
      <c r="AO851" s="97" t="n">
        <v>60.75626</v>
      </c>
      <c r="AP851" s="97" t="n">
        <v>78.12923000000001</v>
      </c>
      <c r="AQ851" s="97" t="n"/>
      <c r="AR851" s="97" t="n"/>
      <c r="AS851" s="97" t="n"/>
      <c r="AT851" s="97" t="n"/>
      <c r="AU851" s="97" t="n"/>
      <c r="AV851" s="97" t="n"/>
      <c r="AW851" s="97" t="n"/>
      <c r="AX851" s="97" t="n">
        <v>28.39763</v>
      </c>
      <c r="AY851" s="97" t="n">
        <v>77.94421</v>
      </c>
    </row>
    <row r="852" s="135">
      <c r="A852" t="inlineStr">
        <is>
          <t>1989-11</t>
        </is>
      </c>
      <c r="B852" s="2" t="n">
        <v>32813</v>
      </c>
      <c r="C852" s="96" t="n">
        <v>852</v>
      </c>
      <c r="E852" s="2">
        <f>B852</f>
        <v/>
      </c>
      <c r="F852" s="3">
        <f>B852</f>
        <v/>
      </c>
      <c r="G852" s="96" t="n">
        <v>850</v>
      </c>
      <c r="H852" s="97" t="n"/>
      <c r="I852" s="97" t="n"/>
      <c r="J852" s="97" t="n">
        <v>62.64914</v>
      </c>
      <c r="K852" s="97" t="n">
        <v>69.8755</v>
      </c>
      <c r="L852" s="97" t="n"/>
      <c r="M852" s="97" t="n"/>
      <c r="N852" s="97" t="n">
        <v>69.92598</v>
      </c>
      <c r="O852" s="97" t="n">
        <v>82.94974999999999</v>
      </c>
      <c r="P852" s="97" t="n">
        <v>100.4698</v>
      </c>
      <c r="Q852" s="97" t="n"/>
      <c r="R852" s="97" t="n">
        <v>66.34029</v>
      </c>
      <c r="S852" s="97" t="n">
        <v>92.07207</v>
      </c>
      <c r="T852" s="97" t="n">
        <v>98.73191</v>
      </c>
      <c r="U852" s="97" t="n">
        <v>128.3717</v>
      </c>
      <c r="V852" s="97" t="n">
        <v>42.65744</v>
      </c>
      <c r="W852" s="97" t="n">
        <v>13.87057</v>
      </c>
      <c r="X852" s="97" t="n"/>
      <c r="Y852" s="97" t="n"/>
      <c r="Z852" s="97" t="n">
        <v>112.7275</v>
      </c>
      <c r="AA852" s="97" t="n">
        <v>100.9032</v>
      </c>
      <c r="AB852" s="97" t="n">
        <v>20.06177</v>
      </c>
      <c r="AC852" s="97" t="n">
        <v>73.37372999999999</v>
      </c>
      <c r="AD852" s="97" t="n"/>
      <c r="AE852" s="97" t="n">
        <v>62.75322</v>
      </c>
      <c r="AF852" s="97" t="n">
        <v>77.07398000000001</v>
      </c>
      <c r="AG852" s="97" t="n">
        <v>84.7316</v>
      </c>
      <c r="AH852" s="97" t="n">
        <v>66.46169999999999</v>
      </c>
      <c r="AI852" s="97" t="n">
        <v>35.34741</v>
      </c>
      <c r="AJ852" s="97" t="n">
        <v>105.282</v>
      </c>
      <c r="AK852" s="97" t="n">
        <v>58.61019</v>
      </c>
      <c r="AL852" s="97" t="n"/>
      <c r="AM852" s="97" t="n">
        <v>69.93142</v>
      </c>
      <c r="AN852" s="97" t="n"/>
      <c r="AO852" s="97" t="n">
        <v>60.95547</v>
      </c>
      <c r="AP852" s="97" t="n">
        <v>78.06256999999999</v>
      </c>
      <c r="AQ852" s="97" t="n"/>
      <c r="AR852" s="97" t="n"/>
      <c r="AS852" s="97" t="n"/>
      <c r="AT852" s="97" t="n"/>
      <c r="AU852" s="97" t="n"/>
      <c r="AV852" s="97" t="n"/>
      <c r="AW852" s="97" t="n"/>
      <c r="AX852" s="97" t="n">
        <v>29.09758</v>
      </c>
      <c r="AY852" s="97" t="n">
        <v>77.17474</v>
      </c>
    </row>
    <row r="853" s="135">
      <c r="A853" t="inlineStr">
        <is>
          <t>1989-12</t>
        </is>
      </c>
      <c r="B853" s="2" t="n">
        <v>32843</v>
      </c>
      <c r="C853" s="96" t="n">
        <v>853</v>
      </c>
      <c r="E853" s="2">
        <f>B853</f>
        <v/>
      </c>
      <c r="F853" s="3">
        <f>B853</f>
        <v/>
      </c>
      <c r="G853" s="96" t="n">
        <v>851</v>
      </c>
      <c r="H853" s="97" t="n"/>
      <c r="I853" s="97" t="n"/>
      <c r="J853" s="97" t="n">
        <v>62.93592</v>
      </c>
      <c r="K853" s="97" t="n">
        <v>70.64333000000001</v>
      </c>
      <c r="L853" s="97" t="n"/>
      <c r="M853" s="97" t="n"/>
      <c r="N853" s="97" t="n">
        <v>71.09860999999999</v>
      </c>
      <c r="O853" s="97" t="n">
        <v>86.32434000000001</v>
      </c>
      <c r="P853" s="97" t="n">
        <v>100.5684</v>
      </c>
      <c r="Q853" s="97" t="n"/>
      <c r="R853" s="97" t="n">
        <v>65.75008</v>
      </c>
      <c r="S853" s="97" t="n">
        <v>92.34801</v>
      </c>
      <c r="T853" s="97" t="n">
        <v>98.53659</v>
      </c>
      <c r="U853" s="97" t="n">
        <v>128.3604</v>
      </c>
      <c r="V853" s="97" t="n">
        <v>39.30035</v>
      </c>
      <c r="W853" s="97" t="n">
        <v>14.16282</v>
      </c>
      <c r="X853" s="97" t="n"/>
      <c r="Y853" s="97" t="n"/>
      <c r="Z853" s="97" t="n">
        <v>113.5538</v>
      </c>
      <c r="AA853" s="97" t="n">
        <v>101.5116</v>
      </c>
      <c r="AB853" s="97" t="n">
        <v>19.95584</v>
      </c>
      <c r="AC853" s="97" t="n">
        <v>73.39713</v>
      </c>
      <c r="AD853" s="97" t="n"/>
      <c r="AE853" s="97" t="n">
        <v>62.82552</v>
      </c>
      <c r="AF853" s="97" t="n">
        <v>79.40742</v>
      </c>
      <c r="AG853" s="97" t="n">
        <v>83.96629</v>
      </c>
      <c r="AH853" s="97" t="n">
        <v>66.91104</v>
      </c>
      <c r="AI853" s="97" t="n">
        <v>38.05149</v>
      </c>
      <c r="AJ853" s="97" t="n">
        <v>105.2546</v>
      </c>
      <c r="AK853" s="97" t="n">
        <v>62.52831</v>
      </c>
      <c r="AL853" s="97" t="n"/>
      <c r="AM853" s="97" t="n">
        <v>70.67843000000001</v>
      </c>
      <c r="AN853" s="97" t="n"/>
      <c r="AO853" s="97" t="n">
        <v>61.32536</v>
      </c>
      <c r="AP853" s="97" t="n">
        <v>78.77682</v>
      </c>
      <c r="AQ853" s="97" t="n"/>
      <c r="AR853" s="97" t="n"/>
      <c r="AS853" s="97" t="n"/>
      <c r="AT853" s="97" t="n"/>
      <c r="AU853" s="97" t="n"/>
      <c r="AV853" s="97" t="n"/>
      <c r="AW853" s="97" t="n"/>
      <c r="AX853" s="97" t="n">
        <v>29.49754</v>
      </c>
      <c r="AY853" s="97" t="n">
        <v>78.61945</v>
      </c>
    </row>
    <row r="854" s="135">
      <c r="A854" t="inlineStr">
        <is>
          <t>1990-01</t>
        </is>
      </c>
      <c r="B854" s="2" t="n">
        <v>32874</v>
      </c>
      <c r="C854" s="96" t="n">
        <v>854</v>
      </c>
      <c r="E854" s="2">
        <f>B854</f>
        <v/>
      </c>
      <c r="F854" s="3">
        <f>B854</f>
        <v/>
      </c>
      <c r="G854" s="96" t="n">
        <v>852</v>
      </c>
      <c r="H854" s="97" t="n"/>
      <c r="I854" s="97" t="n"/>
      <c r="J854" s="97" t="n">
        <v>64.09998</v>
      </c>
      <c r="K854" s="97" t="n">
        <v>69.05504000000001</v>
      </c>
      <c r="L854" s="97" t="n"/>
      <c r="M854" s="97" t="n">
        <v>68.2668</v>
      </c>
      <c r="N854" s="97" t="n">
        <v>70.97517000000001</v>
      </c>
      <c r="O854" s="97" t="n">
        <v>83.0586</v>
      </c>
      <c r="P854" s="97" t="n">
        <v>100.9223</v>
      </c>
      <c r="Q854" s="97" t="n"/>
      <c r="R854" s="97" t="n">
        <v>68.89172000000001</v>
      </c>
      <c r="S854" s="97" t="n">
        <v>91.33076</v>
      </c>
      <c r="T854" s="97" t="n">
        <v>97.56001000000001</v>
      </c>
      <c r="U854" s="97" t="n">
        <v>126.8894</v>
      </c>
      <c r="V854" s="97" t="n">
        <v>42.20982</v>
      </c>
      <c r="W854" s="97" t="n">
        <v>13.42507</v>
      </c>
      <c r="X854" s="97" t="n"/>
      <c r="Y854" s="97" t="n">
        <v>39.013</v>
      </c>
      <c r="Z854" s="97" t="n">
        <v>110.1908</v>
      </c>
      <c r="AA854" s="97" t="n">
        <v>100.9032</v>
      </c>
      <c r="AB854" s="97" t="n">
        <v>19.76735</v>
      </c>
      <c r="AC854" s="97" t="n">
        <v>71.46749</v>
      </c>
      <c r="AD854" s="97" t="n"/>
      <c r="AE854" s="97" t="n">
        <v>64.99441</v>
      </c>
      <c r="AF854" s="97" t="n">
        <v>76.62911</v>
      </c>
      <c r="AG854" s="97" t="n">
        <v>84.07561</v>
      </c>
      <c r="AH854" s="97" t="n">
        <v>66.57353000000001</v>
      </c>
      <c r="AI854" s="97" t="n">
        <v>31.23841</v>
      </c>
      <c r="AJ854" s="97" t="n">
        <v>106.9245</v>
      </c>
      <c r="AK854" s="97" t="n">
        <v>43.16763</v>
      </c>
      <c r="AL854" s="97" t="n"/>
      <c r="AM854" s="97" t="n">
        <v>69.72908</v>
      </c>
      <c r="AN854" s="97" t="n"/>
      <c r="AO854" s="97" t="n">
        <v>60.91821</v>
      </c>
      <c r="AP854" s="97" t="n">
        <v>78.86253000000001</v>
      </c>
      <c r="AQ854" s="97" t="n"/>
      <c r="AR854" s="97" t="n"/>
      <c r="AS854" s="97" t="n"/>
      <c r="AT854" s="97" t="n"/>
      <c r="AU854" s="97" t="n"/>
      <c r="AV854" s="97" t="n"/>
      <c r="AW854" s="97" t="n"/>
      <c r="AX854" s="97" t="n">
        <v>29.89751</v>
      </c>
      <c r="AY854" s="97" t="n">
        <v>76.83158</v>
      </c>
    </row>
    <row r="855" s="135">
      <c r="A855" t="inlineStr">
        <is>
          <t>1990-02</t>
        </is>
      </c>
      <c r="B855" s="2" t="n">
        <v>32905</v>
      </c>
      <c r="C855" s="96" t="n">
        <v>855</v>
      </c>
      <c r="E855" s="2">
        <f>B855</f>
        <v/>
      </c>
      <c r="F855" s="3">
        <f>B855</f>
        <v/>
      </c>
      <c r="G855" s="96" t="n">
        <v>853</v>
      </c>
      <c r="H855" s="97" t="n"/>
      <c r="I855" s="97" t="n"/>
      <c r="J855" s="97" t="n">
        <v>63.39102</v>
      </c>
      <c r="K855" s="97" t="n">
        <v>69.41452</v>
      </c>
      <c r="L855" s="97" t="n"/>
      <c r="M855" s="97" t="n">
        <v>65.45076</v>
      </c>
      <c r="N855" s="97" t="n">
        <v>70.66659</v>
      </c>
      <c r="O855" s="97" t="n">
        <v>82.40545</v>
      </c>
      <c r="P855" s="97" t="n">
        <v>98.39785000000001</v>
      </c>
      <c r="Q855" s="97" t="n"/>
      <c r="R855" s="97" t="n">
        <v>68.81343</v>
      </c>
      <c r="S855" s="97" t="n">
        <v>92.84077000000001</v>
      </c>
      <c r="T855" s="97" t="n">
        <v>96.97407</v>
      </c>
      <c r="U855" s="97" t="n">
        <v>131.7846</v>
      </c>
      <c r="V855" s="97" t="n">
        <v>40.7327</v>
      </c>
      <c r="W855" s="97" t="n">
        <v>13.66268</v>
      </c>
      <c r="X855" s="97" t="n"/>
      <c r="Y855" s="97" t="n">
        <v>39.22312</v>
      </c>
      <c r="Z855" s="97" t="n">
        <v>110.7908</v>
      </c>
      <c r="AA855" s="97" t="n">
        <v>101.4102</v>
      </c>
      <c r="AB855" s="97" t="n">
        <v>20.22931</v>
      </c>
      <c r="AC855" s="97" t="n">
        <v>74.51087</v>
      </c>
      <c r="AD855" s="97" t="n"/>
      <c r="AE855" s="97" t="n">
        <v>64.48833</v>
      </c>
      <c r="AF855" s="97" t="n">
        <v>73.00581</v>
      </c>
      <c r="AG855" s="97" t="n">
        <v>84.84093</v>
      </c>
      <c r="AH855" s="97" t="n">
        <v>66.74626000000001</v>
      </c>
      <c r="AI855" s="97" t="n">
        <v>28.74194</v>
      </c>
      <c r="AJ855" s="97" t="n">
        <v>105.6852</v>
      </c>
      <c r="AK855" s="97" t="n">
        <v>45.4548</v>
      </c>
      <c r="AL855" s="97" t="n"/>
      <c r="AM855" s="97" t="n">
        <v>69.72908</v>
      </c>
      <c r="AN855" s="97" t="n"/>
      <c r="AO855" s="97" t="n">
        <v>61.51545</v>
      </c>
      <c r="AP855" s="97" t="n">
        <v>79.78628999999999</v>
      </c>
      <c r="AQ855" s="97" t="n"/>
      <c r="AR855" s="97" t="n"/>
      <c r="AS855" s="97" t="n"/>
      <c r="AT855" s="97" t="n"/>
      <c r="AU855" s="97" t="n"/>
      <c r="AV855" s="97" t="n"/>
      <c r="AW855" s="97" t="n"/>
      <c r="AX855" s="97" t="n">
        <v>30.99742</v>
      </c>
      <c r="AY855" s="97" t="n">
        <v>76.11921</v>
      </c>
    </row>
    <row r="856" s="135">
      <c r="A856" t="inlineStr">
        <is>
          <t>1990-03</t>
        </is>
      </c>
      <c r="B856" s="2" t="n">
        <v>32933</v>
      </c>
      <c r="C856" s="96" t="n">
        <v>856</v>
      </c>
      <c r="E856" s="2">
        <f>B856</f>
        <v/>
      </c>
      <c r="F856" s="3">
        <f>B856</f>
        <v/>
      </c>
      <c r="G856" s="96" t="n">
        <v>854</v>
      </c>
      <c r="H856" s="97" t="n"/>
      <c r="I856" s="97" t="n"/>
      <c r="J856" s="97" t="n">
        <v>65.01712000000001</v>
      </c>
      <c r="K856" s="97" t="n">
        <v>69.75332</v>
      </c>
      <c r="L856" s="97" t="n"/>
      <c r="M856" s="97" t="n">
        <v>79.93689999999999</v>
      </c>
      <c r="N856" s="97" t="n">
        <v>71.34547999999999</v>
      </c>
      <c r="O856" s="97" t="n">
        <v>83.60289</v>
      </c>
      <c r="P856" s="97" t="n">
        <v>99.4235</v>
      </c>
      <c r="Q856" s="97" t="n"/>
      <c r="R856" s="97" t="n">
        <v>68.41082</v>
      </c>
      <c r="S856" s="97" t="n">
        <v>92.41077</v>
      </c>
      <c r="T856" s="97" t="n">
        <v>98.24362000000001</v>
      </c>
      <c r="U856" s="97" t="n">
        <v>126.3963</v>
      </c>
      <c r="V856" s="97" t="n">
        <v>40.41938</v>
      </c>
      <c r="W856" s="97" t="n">
        <v>14.13791</v>
      </c>
      <c r="X856" s="97" t="n"/>
      <c r="Y856" s="97" t="n">
        <v>38.87292</v>
      </c>
      <c r="Z856" s="97" t="n">
        <v>111.1907</v>
      </c>
      <c r="AA856" s="97" t="n">
        <v>103.2356</v>
      </c>
      <c r="AB856" s="97" t="n">
        <v>20.76527</v>
      </c>
      <c r="AC856" s="97" t="n">
        <v>70.42985</v>
      </c>
      <c r="AD856" s="97" t="n"/>
      <c r="AE856" s="97" t="n">
        <v>66.36803</v>
      </c>
      <c r="AF856" s="97" t="n">
        <v>74.70182</v>
      </c>
      <c r="AG856" s="97" t="n">
        <v>83.74762</v>
      </c>
      <c r="AH856" s="97" t="n">
        <v>67.53918</v>
      </c>
      <c r="AI856" s="97" t="n">
        <v>28.75564</v>
      </c>
      <c r="AJ856" s="97" t="n">
        <v>108.6092</v>
      </c>
      <c r="AK856" s="97" t="n">
        <v>44.78443</v>
      </c>
      <c r="AL856" s="97" t="n"/>
      <c r="AM856" s="97" t="n">
        <v>70.33629999999999</v>
      </c>
      <c r="AN856" s="97" t="n"/>
      <c r="AO856" s="97" t="n">
        <v>61.81647</v>
      </c>
      <c r="AP856" s="97" t="n">
        <v>79.55772</v>
      </c>
      <c r="AQ856" s="97" t="n"/>
      <c r="AR856" s="97" t="n"/>
      <c r="AS856" s="97" t="n"/>
      <c r="AT856" s="97" t="n"/>
      <c r="AU856" s="97" t="n"/>
      <c r="AV856" s="97" t="n"/>
      <c r="AW856" s="97" t="n"/>
      <c r="AX856" s="97" t="n">
        <v>31.99733</v>
      </c>
      <c r="AY856" s="97" t="n">
        <v>70.22132000000001</v>
      </c>
    </row>
    <row r="857" s="135">
      <c r="A857" t="inlineStr">
        <is>
          <t>1990-04</t>
        </is>
      </c>
      <c r="B857" s="2" t="n">
        <v>32964</v>
      </c>
      <c r="C857" s="96" t="n">
        <v>857</v>
      </c>
      <c r="E857" s="2">
        <f>B857</f>
        <v/>
      </c>
      <c r="F857" s="3">
        <f>B857</f>
        <v/>
      </c>
      <c r="G857" s="96" t="n">
        <v>855</v>
      </c>
      <c r="H857" s="97" t="n"/>
      <c r="I857" s="97" t="n"/>
      <c r="J857" s="97" t="n">
        <v>62.14593</v>
      </c>
      <c r="K857" s="97" t="n">
        <v>69.21857</v>
      </c>
      <c r="L857" s="97" t="n"/>
      <c r="M857" s="97" t="n">
        <v>71.75827</v>
      </c>
      <c r="N857" s="97" t="n">
        <v>70.11113</v>
      </c>
      <c r="O857" s="97" t="n">
        <v>82.29658999999999</v>
      </c>
      <c r="P857" s="97" t="n">
        <v>100.7756</v>
      </c>
      <c r="Q857" s="97" t="n"/>
      <c r="R857" s="97" t="n">
        <v>67.75098</v>
      </c>
      <c r="S857" s="97" t="n">
        <v>92.86077</v>
      </c>
      <c r="T857" s="97" t="n">
        <v>98.92722000000001</v>
      </c>
      <c r="U857" s="97" t="n">
        <v>124.7684</v>
      </c>
      <c r="V857" s="97" t="n">
        <v>40.41938</v>
      </c>
      <c r="W857" s="97" t="n">
        <v>13.36567</v>
      </c>
      <c r="X857" s="97" t="n"/>
      <c r="Y857" s="97" t="n">
        <v>39.29316</v>
      </c>
      <c r="Z857" s="97" t="n">
        <v>112.0907</v>
      </c>
      <c r="AA857" s="97" t="n">
        <v>103.4384</v>
      </c>
      <c r="AB857" s="97" t="n">
        <v>20.70028</v>
      </c>
      <c r="AC857" s="97" t="n">
        <v>73.69692000000001</v>
      </c>
      <c r="AD857" s="97" t="n"/>
      <c r="AE857" s="97" t="n">
        <v>65.78967</v>
      </c>
      <c r="AF857" s="97" t="n">
        <v>76.93747999999999</v>
      </c>
      <c r="AG857" s="97" t="n">
        <v>83.3103</v>
      </c>
      <c r="AH857" s="97" t="n">
        <v>67.37703999999999</v>
      </c>
      <c r="AI857" s="97" t="n">
        <v>28.47261</v>
      </c>
      <c r="AJ857" s="97" t="n">
        <v>111.5312</v>
      </c>
      <c r="AK857" s="97" t="n">
        <v>48.47287</v>
      </c>
      <c r="AL857" s="97" t="n"/>
      <c r="AM857" s="97" t="n">
        <v>70.1339</v>
      </c>
      <c r="AN857" s="97" t="n"/>
      <c r="AO857" s="97" t="n">
        <v>61.72253</v>
      </c>
      <c r="AP857" s="97" t="n">
        <v>79.88151999999999</v>
      </c>
      <c r="AQ857" s="97" t="n"/>
      <c r="AR857" s="97" t="n"/>
      <c r="AS857" s="97" t="n"/>
      <c r="AT857" s="97" t="n"/>
      <c r="AU857" s="97" t="n"/>
      <c r="AV857" s="97" t="n"/>
      <c r="AW857" s="97" t="n"/>
      <c r="AX857" s="97" t="n">
        <v>32.19732</v>
      </c>
      <c r="AY857" s="97" t="n">
        <v>53.5439</v>
      </c>
    </row>
    <row r="858" s="135">
      <c r="A858" t="inlineStr">
        <is>
          <t>1990-05</t>
        </is>
      </c>
      <c r="B858" s="2" t="n">
        <v>32994</v>
      </c>
      <c r="C858" s="96" t="n">
        <v>858</v>
      </c>
      <c r="E858" s="2">
        <f>B858</f>
        <v/>
      </c>
      <c r="F858" s="3">
        <f>B858</f>
        <v/>
      </c>
      <c r="G858" s="96" t="n">
        <v>856</v>
      </c>
      <c r="H858" s="97" t="n"/>
      <c r="I858" s="97" t="n"/>
      <c r="J858" s="97" t="n">
        <v>63.57159</v>
      </c>
      <c r="K858" s="97" t="n">
        <v>69.36565</v>
      </c>
      <c r="L858" s="97" t="n"/>
      <c r="M858" s="97" t="n">
        <v>73.7783</v>
      </c>
      <c r="N858" s="97" t="n">
        <v>71.90094000000001</v>
      </c>
      <c r="O858" s="97" t="n">
        <v>80.88144</v>
      </c>
      <c r="P858" s="97" t="n">
        <v>99.71254999999999</v>
      </c>
      <c r="Q858" s="97" t="n"/>
      <c r="R858" s="97" t="n">
        <v>68.51147</v>
      </c>
      <c r="S858" s="97" t="n">
        <v>93.11078000000001</v>
      </c>
      <c r="T858" s="97" t="n">
        <v>98.34128</v>
      </c>
      <c r="U858" s="97" t="n">
        <v>128.4576</v>
      </c>
      <c r="V858" s="97" t="n">
        <v>40.24033</v>
      </c>
      <c r="W858" s="97" t="n">
        <v>13.78149</v>
      </c>
      <c r="X858" s="97" t="n"/>
      <c r="Y858" s="97" t="n">
        <v>40.41383</v>
      </c>
      <c r="Z858" s="97" t="n">
        <v>110.7908</v>
      </c>
      <c r="AA858" s="97" t="n">
        <v>104.1483</v>
      </c>
      <c r="AB858" s="97" t="n">
        <v>20.3683</v>
      </c>
      <c r="AC858" s="97" t="n">
        <v>72.79539</v>
      </c>
      <c r="AD858" s="97" t="n"/>
      <c r="AE858" s="97" t="n">
        <v>66.72951999999999</v>
      </c>
      <c r="AF858" s="97" t="n">
        <v>76.01237</v>
      </c>
      <c r="AG858" s="97" t="n">
        <v>86.59023000000001</v>
      </c>
      <c r="AH858" s="97" t="n">
        <v>67.53964000000001</v>
      </c>
      <c r="AI858" s="97" t="n">
        <v>28.80935</v>
      </c>
      <c r="AJ858" s="97" t="n">
        <v>110.7592</v>
      </c>
      <c r="AK858" s="97" t="n">
        <v>48.16034</v>
      </c>
      <c r="AL858" s="97" t="n"/>
      <c r="AM858" s="97" t="n">
        <v>70.33629999999999</v>
      </c>
      <c r="AN858" s="97" t="n"/>
      <c r="AO858" s="97" t="n">
        <v>61.85422</v>
      </c>
      <c r="AP858" s="97" t="n">
        <v>79.86247</v>
      </c>
      <c r="AQ858" s="97" t="n"/>
      <c r="AR858" s="97" t="n"/>
      <c r="AS858" s="97" t="n"/>
      <c r="AT858" s="97" t="n"/>
      <c r="AU858" s="97" t="n"/>
      <c r="AV858" s="97" t="n"/>
      <c r="AW858" s="97" t="n"/>
      <c r="AX858" s="97" t="n">
        <v>30.39747</v>
      </c>
      <c r="AY858" s="97" t="n">
        <v>67.01415</v>
      </c>
    </row>
    <row r="859" s="135">
      <c r="A859" t="inlineStr">
        <is>
          <t>1990-06</t>
        </is>
      </c>
      <c r="B859" s="2" t="n">
        <v>33025</v>
      </c>
      <c r="C859" s="96" t="n">
        <v>859</v>
      </c>
      <c r="E859" s="2">
        <f>B859</f>
        <v/>
      </c>
      <c r="F859" s="3">
        <f>B859</f>
        <v/>
      </c>
      <c r="G859" s="96" t="n">
        <v>857</v>
      </c>
      <c r="H859" s="97" t="n"/>
      <c r="I859" s="97" t="n"/>
      <c r="J859" s="97" t="n">
        <v>63.9987</v>
      </c>
      <c r="K859" s="97" t="n">
        <v>69.46809</v>
      </c>
      <c r="L859" s="97" t="n"/>
      <c r="M859" s="97" t="n">
        <v>77.14591</v>
      </c>
      <c r="N859" s="97" t="n">
        <v>71.90094000000001</v>
      </c>
      <c r="O859" s="97" t="n">
        <v>80.01057</v>
      </c>
      <c r="P859" s="97" t="n">
        <v>102.3183</v>
      </c>
      <c r="Q859" s="97" t="n"/>
      <c r="R859" s="97" t="n">
        <v>67.24771</v>
      </c>
      <c r="S859" s="97" t="n">
        <v>91.72076</v>
      </c>
      <c r="T859" s="97" t="n">
        <v>99.80614</v>
      </c>
      <c r="U859" s="97" t="n">
        <v>126.696</v>
      </c>
      <c r="V859" s="97" t="n">
        <v>39.74796</v>
      </c>
      <c r="W859" s="97" t="n">
        <v>14.19731</v>
      </c>
      <c r="X859" s="97" t="n"/>
      <c r="Y859" s="97" t="n">
        <v>39.3632</v>
      </c>
      <c r="Z859" s="97" t="n">
        <v>109.6909</v>
      </c>
      <c r="AA859" s="97" t="n">
        <v>104.4525</v>
      </c>
      <c r="AB859" s="97" t="n">
        <v>20.76527</v>
      </c>
      <c r="AC859" s="97" t="n">
        <v>78.39294</v>
      </c>
      <c r="AD859" s="97" t="n"/>
      <c r="AE859" s="97" t="n">
        <v>66.87411</v>
      </c>
      <c r="AF859" s="97" t="n">
        <v>77.24584</v>
      </c>
      <c r="AG859" s="97" t="n">
        <v>87.90221</v>
      </c>
      <c r="AH859" s="97" t="n">
        <v>67.75219</v>
      </c>
      <c r="AI859" s="97" t="n">
        <v>28.46594</v>
      </c>
      <c r="AJ859" s="97" t="n">
        <v>110.7635</v>
      </c>
      <c r="AK859" s="97" t="n">
        <v>45.51956</v>
      </c>
      <c r="AL859" s="97" t="n"/>
      <c r="AM859" s="97" t="n">
        <v>70.4375</v>
      </c>
      <c r="AN859" s="97" t="n"/>
      <c r="AO859" s="97" t="n">
        <v>62.05285</v>
      </c>
      <c r="AP859" s="97" t="n">
        <v>79.34820999999999</v>
      </c>
      <c r="AQ859" s="97" t="n"/>
      <c r="AR859" s="97" t="n"/>
      <c r="AS859" s="97" t="n"/>
      <c r="AT859" s="97" t="n"/>
      <c r="AU859" s="97" t="n"/>
      <c r="AV859" s="97" t="n"/>
      <c r="AW859" s="97" t="n"/>
      <c r="AX859" s="97" t="n">
        <v>31.1974</v>
      </c>
      <c r="AY859" s="97" t="n">
        <v>66.79494</v>
      </c>
    </row>
    <row r="860" s="135">
      <c r="A860" t="inlineStr">
        <is>
          <t>1990-07</t>
        </is>
      </c>
      <c r="B860" s="2" t="n">
        <v>33055</v>
      </c>
      <c r="C860" s="96" t="n">
        <v>860</v>
      </c>
      <c r="E860" s="2">
        <f>B860</f>
        <v/>
      </c>
      <c r="F860" s="3">
        <f>B860</f>
        <v/>
      </c>
      <c r="G860" s="96" t="n">
        <v>858</v>
      </c>
      <c r="H860" s="97" t="n"/>
      <c r="I860" s="97" t="n"/>
      <c r="J860" s="97" t="n">
        <v>61.36292</v>
      </c>
      <c r="K860" s="97" t="n">
        <v>69.53152</v>
      </c>
      <c r="L860" s="97" t="n"/>
      <c r="M860" s="97" t="n">
        <v>78.1865</v>
      </c>
      <c r="N860" s="97" t="n">
        <v>72.57983</v>
      </c>
      <c r="O860" s="97" t="n">
        <v>82.18774000000001</v>
      </c>
      <c r="P860" s="97" t="n">
        <v>99.26899</v>
      </c>
      <c r="Q860" s="97" t="n"/>
      <c r="R860" s="97" t="n">
        <v>66.20762999999999</v>
      </c>
      <c r="S860" s="97" t="n">
        <v>91.79076000000001</v>
      </c>
      <c r="T860" s="97" t="n">
        <v>97.46236</v>
      </c>
      <c r="U860" s="97" t="n">
        <v>128.2893</v>
      </c>
      <c r="V860" s="97" t="n">
        <v>37.86798</v>
      </c>
      <c r="W860" s="97" t="n">
        <v>14.25671</v>
      </c>
      <c r="X860" s="97" t="n"/>
      <c r="Y860" s="97" t="n">
        <v>39.71341</v>
      </c>
      <c r="Z860" s="97" t="n">
        <v>109.9908</v>
      </c>
      <c r="AA860" s="97" t="n">
        <v>105.3652</v>
      </c>
      <c r="AB860" s="97" t="n">
        <v>21.43121</v>
      </c>
      <c r="AC860" s="97" t="n">
        <v>75.0929</v>
      </c>
      <c r="AD860" s="97" t="n"/>
      <c r="AE860" s="97" t="n">
        <v>67.81395999999999</v>
      </c>
      <c r="AF860" s="97" t="n">
        <v>77.40002</v>
      </c>
      <c r="AG860" s="97" t="n">
        <v>79.48371</v>
      </c>
      <c r="AH860" s="97" t="n">
        <v>67.79319</v>
      </c>
      <c r="AI860" s="97" t="n">
        <v>29.57021</v>
      </c>
      <c r="AJ860" s="97" t="n">
        <v>113.551</v>
      </c>
      <c r="AK860" s="97" t="n">
        <v>52.18872</v>
      </c>
      <c r="AL860" s="97" t="n"/>
      <c r="AM860" s="97" t="n">
        <v>68.61584000000001</v>
      </c>
      <c r="AN860" s="97" t="n"/>
      <c r="AO860" s="97" t="n">
        <v>61.97256</v>
      </c>
      <c r="AP860" s="97" t="n">
        <v>79.65295999999999</v>
      </c>
      <c r="AQ860" s="97" t="n"/>
      <c r="AR860" s="97" t="n"/>
      <c r="AS860" s="97" t="n"/>
      <c r="AT860" s="97" t="n"/>
      <c r="AU860" s="97" t="n"/>
      <c r="AV860" s="97" t="n"/>
      <c r="AW860" s="97" t="n"/>
      <c r="AX860" s="97" t="n">
        <v>30.59745</v>
      </c>
      <c r="AY860" s="97" t="n">
        <v>70.54357</v>
      </c>
    </row>
    <row r="861" s="135">
      <c r="A861" t="inlineStr">
        <is>
          <t>1990-08</t>
        </is>
      </c>
      <c r="B861" s="2" t="n">
        <v>33086</v>
      </c>
      <c r="C861" s="96" t="n">
        <v>861</v>
      </c>
      <c r="E861" s="2">
        <f>B861</f>
        <v/>
      </c>
      <c r="F861" s="3">
        <f>B861</f>
        <v/>
      </c>
      <c r="G861" s="96" t="n">
        <v>859</v>
      </c>
      <c r="H861" s="97" t="n"/>
      <c r="I861" s="97" t="n"/>
      <c r="J861" s="97" t="n">
        <v>64.21093999999999</v>
      </c>
      <c r="K861" s="97" t="n">
        <v>68.47423000000001</v>
      </c>
      <c r="L861" s="97" t="n"/>
      <c r="M861" s="97" t="n">
        <v>75.47033999999999</v>
      </c>
      <c r="N861" s="97" t="n">
        <v>73.01186</v>
      </c>
      <c r="O861" s="97" t="n">
        <v>84.03832</v>
      </c>
      <c r="P861" s="97" t="n">
        <v>97.97743</v>
      </c>
      <c r="Q861" s="97" t="n"/>
      <c r="R861" s="97" t="n">
        <v>67.48257</v>
      </c>
      <c r="S861" s="97" t="n">
        <v>91.23076</v>
      </c>
      <c r="T861" s="97" t="n">
        <v>97.56001000000001</v>
      </c>
      <c r="U861" s="97" t="n">
        <v>121.9615</v>
      </c>
      <c r="V861" s="97" t="n">
        <v>39.79272</v>
      </c>
      <c r="W861" s="97" t="n">
        <v>14.19731</v>
      </c>
      <c r="X861" s="97" t="n"/>
      <c r="Y861" s="97" t="n">
        <v>39.99358</v>
      </c>
      <c r="Z861" s="97" t="n">
        <v>111.1907</v>
      </c>
      <c r="AA861" s="97" t="n">
        <v>106.2779</v>
      </c>
      <c r="AB861" s="97" t="n">
        <v>21.96717</v>
      </c>
      <c r="AC861" s="97" t="n">
        <v>75.33438</v>
      </c>
      <c r="AD861" s="97" t="n"/>
      <c r="AE861" s="97" t="n">
        <v>67.81395999999999</v>
      </c>
      <c r="AF861" s="97" t="n">
        <v>78.17094</v>
      </c>
      <c r="AG861" s="97" t="n">
        <v>88.77685</v>
      </c>
      <c r="AH861" s="97" t="n">
        <v>68.08543</v>
      </c>
      <c r="AI861" s="97" t="n">
        <v>29.74588</v>
      </c>
      <c r="AJ861" s="97" t="n">
        <v>116.206</v>
      </c>
      <c r="AK861" s="97" t="n">
        <v>48.10387</v>
      </c>
      <c r="AL861" s="97" t="n"/>
      <c r="AM861" s="97" t="n">
        <v>70.2351</v>
      </c>
      <c r="AN861" s="97" t="n"/>
      <c r="AO861" s="97" t="n">
        <v>62.17628</v>
      </c>
      <c r="AP861" s="97" t="n">
        <v>80.18626</v>
      </c>
      <c r="AQ861" s="97" t="n"/>
      <c r="AR861" s="97" t="n"/>
      <c r="AS861" s="97" t="n"/>
      <c r="AT861" s="97" t="n"/>
      <c r="AU861" s="97" t="n"/>
      <c r="AV861" s="97" t="n"/>
      <c r="AW861" s="97" t="n"/>
      <c r="AX861" s="97" t="n">
        <v>30.29748</v>
      </c>
      <c r="AY861" s="97" t="n">
        <v>72.20859</v>
      </c>
    </row>
    <row r="862" s="135">
      <c r="A862" t="inlineStr">
        <is>
          <t>1990-09</t>
        </is>
      </c>
      <c r="B862" s="2" t="n">
        <v>33117</v>
      </c>
      <c r="C862" s="96" t="n">
        <v>862</v>
      </c>
      <c r="E862" s="2">
        <f>B862</f>
        <v/>
      </c>
      <c r="F862" s="3">
        <f>B862</f>
        <v/>
      </c>
      <c r="G862" s="96" t="n">
        <v>860</v>
      </c>
      <c r="H862" s="97" t="n"/>
      <c r="I862" s="97" t="n"/>
      <c r="J862" s="97" t="n">
        <v>63.44565</v>
      </c>
      <c r="K862" s="97" t="n">
        <v>67.27831</v>
      </c>
      <c r="L862" s="97" t="n"/>
      <c r="M862" s="97" t="n">
        <v>73.72785</v>
      </c>
      <c r="N862" s="97" t="n">
        <v>73.69074999999999</v>
      </c>
      <c r="O862" s="97" t="n">
        <v>81.75230000000001</v>
      </c>
      <c r="P862" s="97" t="n">
        <v>101.3836</v>
      </c>
      <c r="Q862" s="97" t="n"/>
      <c r="R862" s="97" t="n">
        <v>66.82273000000001</v>
      </c>
      <c r="S862" s="97" t="n">
        <v>92.04076000000001</v>
      </c>
      <c r="T862" s="97" t="n">
        <v>97.07172</v>
      </c>
      <c r="U862" s="97" t="n">
        <v>105.8638</v>
      </c>
      <c r="V862" s="97" t="n">
        <v>38.98701</v>
      </c>
      <c r="W862" s="97" t="n">
        <v>14.37552</v>
      </c>
      <c r="X862" s="97" t="n"/>
      <c r="Y862" s="97" t="n">
        <v>40.76403</v>
      </c>
      <c r="Z862" s="97" t="n">
        <v>110.8908</v>
      </c>
      <c r="AA862" s="97" t="n">
        <v>105.3652</v>
      </c>
      <c r="AB862" s="97" t="n">
        <v>21.90217</v>
      </c>
      <c r="AC862" s="97" t="n">
        <v>72.13737</v>
      </c>
      <c r="AD862" s="97" t="n"/>
      <c r="AE862" s="97" t="n">
        <v>68.10315</v>
      </c>
      <c r="AF862" s="97" t="n">
        <v>79.40441</v>
      </c>
      <c r="AG862" s="97" t="n">
        <v>87.35554999999999</v>
      </c>
      <c r="AH862" s="97" t="n">
        <v>68.10804</v>
      </c>
      <c r="AI862" s="97" t="n">
        <v>29.61912</v>
      </c>
      <c r="AJ862" s="97" t="n">
        <v>113.2295</v>
      </c>
      <c r="AK862" s="97" t="n">
        <v>43.16051</v>
      </c>
      <c r="AL862" s="97" t="n"/>
      <c r="AM862" s="97" t="n">
        <v>70.33629999999999</v>
      </c>
      <c r="AN862" s="97" t="n"/>
      <c r="AO862" s="97" t="n">
        <v>62.25494</v>
      </c>
      <c r="AP862" s="97" t="n">
        <v>80.58624</v>
      </c>
      <c r="AQ862" s="97" t="n"/>
      <c r="AR862" s="97" t="n"/>
      <c r="AS862" s="97" t="n"/>
      <c r="AT862" s="97" t="n"/>
      <c r="AU862" s="97" t="n"/>
      <c r="AV862" s="97" t="n"/>
      <c r="AW862" s="97" t="n"/>
      <c r="AX862" s="97" t="n">
        <v>32.99725</v>
      </c>
      <c r="AY862" s="97" t="n">
        <v>72.77414</v>
      </c>
    </row>
    <row r="863" s="135">
      <c r="A863" t="inlineStr">
        <is>
          <t>1990-10</t>
        </is>
      </c>
      <c r="B863" s="2" t="n">
        <v>33147</v>
      </c>
      <c r="C863" s="96" t="n">
        <v>863</v>
      </c>
      <c r="E863" s="2">
        <f>B863</f>
        <v/>
      </c>
      <c r="F863" s="3">
        <f>B863</f>
        <v/>
      </c>
      <c r="G863" s="96" t="n">
        <v>861</v>
      </c>
      <c r="H863" s="97" t="n"/>
      <c r="I863" s="97" t="n"/>
      <c r="J863" s="97" t="n">
        <v>65.06353</v>
      </c>
      <c r="K863" s="97" t="n">
        <v>67.31026</v>
      </c>
      <c r="L863" s="97" t="n"/>
      <c r="M863" s="97" t="n">
        <v>73.50166</v>
      </c>
      <c r="N863" s="97" t="n">
        <v>73.81417999999999</v>
      </c>
      <c r="O863" s="97" t="n">
        <v>83.27631</v>
      </c>
      <c r="P863" s="97" t="n">
        <v>97.32932</v>
      </c>
      <c r="Q863" s="97" t="n"/>
      <c r="R863" s="97" t="n">
        <v>66.83392000000001</v>
      </c>
      <c r="S863" s="97" t="n">
        <v>91.74075999999999</v>
      </c>
      <c r="T863" s="97" t="n">
        <v>96.97407</v>
      </c>
      <c r="U863" s="97" t="n">
        <v>128.8485</v>
      </c>
      <c r="V863" s="97" t="n">
        <v>38.49464</v>
      </c>
      <c r="W863" s="97" t="n">
        <v>14.0785</v>
      </c>
      <c r="X863" s="97" t="n"/>
      <c r="Y863" s="97" t="n">
        <v>40.55391</v>
      </c>
      <c r="Z863" s="97" t="n">
        <v>110.2908</v>
      </c>
      <c r="AA863" s="97" t="n">
        <v>107.4948</v>
      </c>
      <c r="AB863" s="97" t="n">
        <v>21.90217</v>
      </c>
      <c r="AC863" s="97" t="n">
        <v>71.38628</v>
      </c>
      <c r="AD863" s="97" t="n"/>
      <c r="AE863" s="97" t="n">
        <v>68.10315</v>
      </c>
      <c r="AF863" s="97" t="n">
        <v>77.32294</v>
      </c>
      <c r="AG863" s="97" t="n">
        <v>88.66752</v>
      </c>
      <c r="AH863" s="97" t="n">
        <v>68.17673000000001</v>
      </c>
      <c r="AI863" s="97" t="n">
        <v>29.91291</v>
      </c>
      <c r="AJ863" s="97" t="n">
        <v>113.6684</v>
      </c>
      <c r="AK863" s="97" t="n">
        <v>55.87605</v>
      </c>
      <c r="AL863" s="97" t="n"/>
      <c r="AM863" s="97" t="n">
        <v>70.33629999999999</v>
      </c>
      <c r="AN863" s="97" t="n"/>
      <c r="AO863" s="97" t="n">
        <v>61.78708</v>
      </c>
      <c r="AP863" s="97" t="n">
        <v>80.74814000000001</v>
      </c>
      <c r="AQ863" s="97" t="n"/>
      <c r="AR863" s="97" t="n"/>
      <c r="AS863" s="97" t="n"/>
      <c r="AT863" s="97" t="n"/>
      <c r="AU863" s="97" t="n"/>
      <c r="AV863" s="97" t="n"/>
      <c r="AW863" s="97" t="n"/>
      <c r="AX863" s="97" t="n">
        <v>32.79727</v>
      </c>
      <c r="AY863" s="97" t="n">
        <v>71.48430999999999</v>
      </c>
    </row>
    <row r="864" s="135">
      <c r="A864" t="inlineStr">
        <is>
          <t>1990-11</t>
        </is>
      </c>
      <c r="B864" s="2" t="n">
        <v>33178</v>
      </c>
      <c r="C864" s="96" t="n">
        <v>864</v>
      </c>
      <c r="E864" s="2">
        <f>B864</f>
        <v/>
      </c>
      <c r="F864" s="3">
        <f>B864</f>
        <v/>
      </c>
      <c r="G864" s="96" t="n">
        <v>862</v>
      </c>
      <c r="H864" s="97" t="n"/>
      <c r="I864" s="97" t="n"/>
      <c r="J864" s="97" t="n">
        <v>64.34595</v>
      </c>
      <c r="K864" s="97" t="n">
        <v>66.54478</v>
      </c>
      <c r="L864" s="97" t="n"/>
      <c r="M864" s="97" t="n">
        <v>72.17527</v>
      </c>
      <c r="N864" s="97" t="n">
        <v>73.81417999999999</v>
      </c>
      <c r="O864" s="97" t="n">
        <v>84.14718000000001</v>
      </c>
      <c r="P864" s="97" t="n">
        <v>100.4843</v>
      </c>
      <c r="Q864" s="97" t="n"/>
      <c r="R864" s="97" t="n">
        <v>66.58788</v>
      </c>
      <c r="S864" s="97" t="n">
        <v>90.72076</v>
      </c>
      <c r="T864" s="97" t="n">
        <v>96.48578000000001</v>
      </c>
      <c r="U864" s="97" t="n">
        <v>123.78</v>
      </c>
      <c r="V864" s="97" t="n">
        <v>41.04603</v>
      </c>
      <c r="W864" s="97" t="n">
        <v>14.0785</v>
      </c>
      <c r="X864" s="97" t="n"/>
      <c r="Y864" s="97" t="n">
        <v>40.97416</v>
      </c>
      <c r="Z864" s="97" t="n">
        <v>108.6909</v>
      </c>
      <c r="AA864" s="97" t="n">
        <v>106.7849</v>
      </c>
      <c r="AB864" s="97" t="n">
        <v>21.96717</v>
      </c>
      <c r="AC864" s="97" t="n">
        <v>71.05945</v>
      </c>
      <c r="AD864" s="97" t="n"/>
      <c r="AE864" s="97" t="n">
        <v>67.81395999999999</v>
      </c>
      <c r="AF864" s="97" t="n">
        <v>78.09385</v>
      </c>
      <c r="AG864" s="97" t="n">
        <v>89.10484</v>
      </c>
      <c r="AH864" s="97" t="n">
        <v>67.75301</v>
      </c>
      <c r="AI864" s="97" t="n">
        <v>29.82719</v>
      </c>
      <c r="AJ864" s="97" t="n">
        <v>113.9638</v>
      </c>
      <c r="AK864" s="97" t="n">
        <v>39.21084</v>
      </c>
      <c r="AL864" s="97" t="n"/>
      <c r="AM864" s="97" t="n">
        <v>70.1339</v>
      </c>
      <c r="AN864" s="97" t="n"/>
      <c r="AO864" s="97" t="n">
        <v>61.06468</v>
      </c>
      <c r="AP864" s="97" t="n">
        <v>79.98627</v>
      </c>
      <c r="AQ864" s="97" t="n"/>
      <c r="AR864" s="97" t="n"/>
      <c r="AS864" s="97" t="n"/>
      <c r="AT864" s="97" t="n"/>
      <c r="AU864" s="97" t="n"/>
      <c r="AV864" s="97" t="n"/>
      <c r="AW864" s="97" t="n"/>
      <c r="AX864" s="97" t="n">
        <v>33.19724</v>
      </c>
      <c r="AY864" s="97" t="n">
        <v>69.87436</v>
      </c>
    </row>
    <row r="865" s="135">
      <c r="A865" t="inlineStr">
        <is>
          <t>1990-12</t>
        </is>
      </c>
      <c r="B865" s="2" t="n">
        <v>33208</v>
      </c>
      <c r="C865" s="96" t="n">
        <v>865</v>
      </c>
      <c r="E865" s="2">
        <f>B865</f>
        <v/>
      </c>
      <c r="F865" s="3">
        <f>B865</f>
        <v/>
      </c>
      <c r="G865" s="96" t="n">
        <v>863</v>
      </c>
      <c r="H865" s="97" t="n"/>
      <c r="I865" s="97" t="n"/>
      <c r="J865" s="97" t="n">
        <v>63.53319</v>
      </c>
      <c r="K865" s="97" t="n">
        <v>66.01143999999999</v>
      </c>
      <c r="L865" s="97" t="n"/>
      <c r="M865" s="97" t="n">
        <v>89.35857</v>
      </c>
      <c r="N865" s="97" t="n">
        <v>74.12277</v>
      </c>
      <c r="O865" s="97" t="n">
        <v>82.84088</v>
      </c>
      <c r="P865" s="97" t="n">
        <v>99.994</v>
      </c>
      <c r="Q865" s="97" t="n"/>
      <c r="R865" s="97" t="n">
        <v>65.21227</v>
      </c>
      <c r="S865" s="97" t="n">
        <v>91.87076999999999</v>
      </c>
      <c r="T865" s="97" t="n">
        <v>95.89982999999999</v>
      </c>
      <c r="U865" s="97" t="n">
        <v>128.9834</v>
      </c>
      <c r="V865" s="97" t="n">
        <v>37.91275</v>
      </c>
      <c r="W865" s="97" t="n">
        <v>14.55373</v>
      </c>
      <c r="X865" s="97" t="n"/>
      <c r="Y865" s="97" t="n">
        <v>41.18428</v>
      </c>
      <c r="Z865" s="97" t="n">
        <v>110.4908</v>
      </c>
      <c r="AA865" s="97" t="n">
        <v>106.8864</v>
      </c>
      <c r="AB865" s="97" t="n">
        <v>22.36414</v>
      </c>
      <c r="AC865" s="97" t="n">
        <v>71.11246</v>
      </c>
      <c r="AD865" s="97" t="n"/>
      <c r="AE865" s="97" t="n">
        <v>66.9464</v>
      </c>
      <c r="AF865" s="97" t="n">
        <v>80.17532</v>
      </c>
      <c r="AG865" s="97" t="n">
        <v>87.24621999999999</v>
      </c>
      <c r="AH865" s="97" t="n">
        <v>67.82758</v>
      </c>
      <c r="AI865" s="97" t="n">
        <v>29.18701</v>
      </c>
      <c r="AJ865" s="97" t="n">
        <v>115.3257</v>
      </c>
      <c r="AK865" s="97" t="n">
        <v>33.94868</v>
      </c>
      <c r="AL865" s="97" t="n"/>
      <c r="AM865" s="97" t="n">
        <v>70.94352000000001</v>
      </c>
      <c r="AN865" s="97" t="n"/>
      <c r="AO865" s="97" t="n">
        <v>60.66521</v>
      </c>
      <c r="AP865" s="97" t="n">
        <v>80.82433</v>
      </c>
      <c r="AQ865" s="97" t="n"/>
      <c r="AR865" s="97" t="n"/>
      <c r="AS865" s="97" t="n"/>
      <c r="AT865" s="97" t="n"/>
      <c r="AU865" s="97" t="n"/>
      <c r="AV865" s="97" t="n"/>
      <c r="AW865" s="97" t="n"/>
      <c r="AX865" s="97" t="n">
        <v>31.79735</v>
      </c>
      <c r="AY865" s="97" t="n">
        <v>65.59238000000001</v>
      </c>
    </row>
    <row r="866" s="135">
      <c r="A866" t="inlineStr">
        <is>
          <t>1991-01</t>
        </is>
      </c>
      <c r="B866" s="2" t="n">
        <v>33239</v>
      </c>
      <c r="C866" s="96" t="n">
        <v>866</v>
      </c>
      <c r="E866" s="2">
        <f>B866</f>
        <v/>
      </c>
      <c r="F866" s="3">
        <f>B866</f>
        <v/>
      </c>
      <c r="G866" s="96" t="n">
        <v>864</v>
      </c>
      <c r="H866" s="97" t="n"/>
      <c r="I866" s="97" t="n"/>
      <c r="J866" s="97" t="n">
        <v>63.35565</v>
      </c>
      <c r="K866" s="97" t="n">
        <v>66.34883000000001</v>
      </c>
      <c r="L866" s="97" t="n"/>
      <c r="M866" s="97" t="n">
        <v>68.89193</v>
      </c>
      <c r="N866" s="97" t="n">
        <v>76.39363</v>
      </c>
      <c r="O866" s="97" t="n">
        <v>81.20802</v>
      </c>
      <c r="P866" s="97" t="n">
        <v>100.0969</v>
      </c>
      <c r="Q866" s="97" t="n"/>
      <c r="R866" s="97" t="n">
        <v>65.41358</v>
      </c>
      <c r="S866" s="97" t="n">
        <v>93.07078</v>
      </c>
      <c r="T866" s="97" t="n">
        <v>95.70452</v>
      </c>
      <c r="U866" s="97" t="n">
        <v>123.1071</v>
      </c>
      <c r="V866" s="97" t="n">
        <v>39.16606</v>
      </c>
      <c r="W866" s="97" t="n">
        <v>14.37552</v>
      </c>
      <c r="X866" s="97" t="n"/>
      <c r="Y866" s="97" t="n">
        <v>38.52271</v>
      </c>
      <c r="Z866" s="97" t="n">
        <v>111.0907</v>
      </c>
      <c r="AA866" s="97" t="n">
        <v>107.5962</v>
      </c>
      <c r="AB866" s="97" t="n">
        <v>22.29914</v>
      </c>
      <c r="AC866" s="97" t="n">
        <v>71.39798</v>
      </c>
      <c r="AD866" s="97" t="n"/>
      <c r="AE866" s="97" t="n">
        <v>68.68152000000001</v>
      </c>
      <c r="AF866" s="97" t="n">
        <v>78.63348999999999</v>
      </c>
      <c r="AG866" s="97" t="n">
        <v>88.33951999999999</v>
      </c>
      <c r="AH866" s="97" t="n">
        <v>67.67265999999999</v>
      </c>
      <c r="AI866" s="97" t="n">
        <v>28.74488</v>
      </c>
      <c r="AJ866" s="97" t="n">
        <v>111.5069</v>
      </c>
      <c r="AK866" s="97" t="n">
        <v>45.4149</v>
      </c>
      <c r="AL866" s="97" t="n"/>
      <c r="AM866" s="97" t="n">
        <v>70.03269</v>
      </c>
      <c r="AN866" s="97" t="n"/>
      <c r="AO866" s="97" t="n">
        <v>60.40183</v>
      </c>
      <c r="AP866" s="97" t="n">
        <v>82.38627</v>
      </c>
      <c r="AQ866" s="97" t="n"/>
      <c r="AR866" s="97" t="n"/>
      <c r="AS866" s="97" t="n"/>
      <c r="AT866" s="97" t="n"/>
      <c r="AU866" s="97" t="n"/>
      <c r="AV866" s="97" t="n"/>
      <c r="AW866" s="97" t="n"/>
      <c r="AX866" s="97" t="n">
        <v>27.5977</v>
      </c>
      <c r="AY866" s="97" t="n">
        <v>64.30816</v>
      </c>
    </row>
    <row r="867" s="135">
      <c r="A867" t="inlineStr">
        <is>
          <t>1991-02</t>
        </is>
      </c>
      <c r="B867" s="2" t="n">
        <v>33270</v>
      </c>
      <c r="C867" s="96" t="n">
        <v>867</v>
      </c>
      <c r="E867" s="2">
        <f>B867</f>
        <v/>
      </c>
      <c r="F867" s="3">
        <f>B867</f>
        <v/>
      </c>
      <c r="G867" s="96" t="n">
        <v>865</v>
      </c>
      <c r="H867" s="97" t="n"/>
      <c r="I867" s="97" t="n"/>
      <c r="J867" s="97" t="n">
        <v>62.14927</v>
      </c>
      <c r="K867" s="97" t="n">
        <v>65.19614</v>
      </c>
      <c r="L867" s="97" t="n"/>
      <c r="M867" s="97" t="n">
        <v>63.54094</v>
      </c>
      <c r="N867" s="97" t="n">
        <v>75.49370999999999</v>
      </c>
      <c r="O867" s="97" t="n">
        <v>82.18774000000001</v>
      </c>
      <c r="P867" s="97" t="n">
        <v>98.5069</v>
      </c>
      <c r="Q867" s="97" t="n"/>
      <c r="R867" s="97" t="n">
        <v>63.33341</v>
      </c>
      <c r="S867" s="97" t="n">
        <v>92.66077</v>
      </c>
      <c r="T867" s="97" t="n">
        <v>95.60686</v>
      </c>
      <c r="U867" s="97" t="n">
        <v>124.2291</v>
      </c>
      <c r="V867" s="97" t="n">
        <v>36.74895</v>
      </c>
      <c r="W867" s="97" t="n">
        <v>14.49432</v>
      </c>
      <c r="X867" s="97" t="n"/>
      <c r="Y867" s="97" t="n">
        <v>39.50329</v>
      </c>
      <c r="Z867" s="97" t="n">
        <v>108.9909</v>
      </c>
      <c r="AA867" s="97" t="n">
        <v>108.0019</v>
      </c>
      <c r="AB867" s="97" t="n">
        <v>22.36414</v>
      </c>
      <c r="AC867" s="97" t="n">
        <v>72.23483</v>
      </c>
      <c r="AD867" s="97" t="n"/>
      <c r="AE867" s="97" t="n">
        <v>68.75381</v>
      </c>
      <c r="AF867" s="97" t="n">
        <v>80.46827999999999</v>
      </c>
      <c r="AG867" s="97" t="n">
        <v>89.97949</v>
      </c>
      <c r="AH867" s="97" t="n">
        <v>67.48139999999999</v>
      </c>
      <c r="AI867" s="97" t="n">
        <v>27.10761</v>
      </c>
      <c r="AJ867" s="97" t="n">
        <v>113.7067</v>
      </c>
      <c r="AK867" s="97" t="n">
        <v>41.7161</v>
      </c>
      <c r="AL867" s="97" t="n"/>
      <c r="AM867" s="97" t="n">
        <v>70.1339</v>
      </c>
      <c r="AN867" s="97" t="n"/>
      <c r="AO867" s="97" t="n">
        <v>59.98017</v>
      </c>
      <c r="AP867" s="97" t="n">
        <v>81.48642</v>
      </c>
      <c r="AQ867" s="97" t="n"/>
      <c r="AR867" s="97" t="n"/>
      <c r="AS867" s="97" t="n"/>
      <c r="AT867" s="97" t="n"/>
      <c r="AU867" s="97" t="n"/>
      <c r="AV867" s="97" t="n"/>
      <c r="AW867" s="97" t="n"/>
      <c r="AX867" s="97" t="n">
        <v>32.19732</v>
      </c>
      <c r="AY867" s="97" t="n">
        <v>63.27234</v>
      </c>
    </row>
    <row r="868" s="135">
      <c r="A868" t="inlineStr">
        <is>
          <t>1991-03</t>
        </is>
      </c>
      <c r="B868" s="2" t="n">
        <v>33298</v>
      </c>
      <c r="C868" s="96" t="n">
        <v>868</v>
      </c>
      <c r="E868" s="2">
        <f>B868</f>
        <v/>
      </c>
      <c r="F868" s="3">
        <f>B868</f>
        <v/>
      </c>
      <c r="G868" s="96" t="n">
        <v>866</v>
      </c>
      <c r="H868" s="97" t="n"/>
      <c r="I868" s="97" t="n"/>
      <c r="J868" s="97" t="n">
        <v>61.98735</v>
      </c>
      <c r="K868" s="97" t="n">
        <v>65.24126</v>
      </c>
      <c r="L868" s="97" t="n"/>
      <c r="M868" s="97" t="n">
        <v>66.60995</v>
      </c>
      <c r="N868" s="97" t="n">
        <v>74.99375000000001</v>
      </c>
      <c r="O868" s="97" t="n">
        <v>82.40545</v>
      </c>
      <c r="P868" s="97" t="n">
        <v>95.07810000000001</v>
      </c>
      <c r="Q868" s="97" t="n"/>
      <c r="R868" s="97" t="n">
        <v>63.18802</v>
      </c>
      <c r="S868" s="97" t="n">
        <v>91.52076</v>
      </c>
      <c r="T868" s="97" t="n">
        <v>94.63029</v>
      </c>
      <c r="U868" s="97" t="n">
        <v>124.3158</v>
      </c>
      <c r="V868" s="97" t="n">
        <v>34.60042</v>
      </c>
      <c r="W868" s="97" t="n">
        <v>13.84089</v>
      </c>
      <c r="X868" s="97" t="n"/>
      <c r="Y868" s="97" t="n">
        <v>41.67457</v>
      </c>
      <c r="Z868" s="97" t="n">
        <v>108.391</v>
      </c>
      <c r="AA868" s="97" t="n">
        <v>106.9878</v>
      </c>
      <c r="AB868" s="97" t="n">
        <v>22.42913</v>
      </c>
      <c r="AC868" s="97" t="n">
        <v>72.88413</v>
      </c>
      <c r="AD868" s="97" t="n"/>
      <c r="AE868" s="97" t="n">
        <v>68.17545</v>
      </c>
      <c r="AF868" s="97" t="n">
        <v>75.50357</v>
      </c>
      <c r="AG868" s="97" t="n">
        <v>88.55819</v>
      </c>
      <c r="AH868" s="97" t="n">
        <v>67.08546</v>
      </c>
      <c r="AI868" s="97" t="n">
        <v>26.73517</v>
      </c>
      <c r="AJ868" s="97" t="n">
        <v>112.7049</v>
      </c>
      <c r="AK868" s="97" t="n">
        <v>46.11814</v>
      </c>
      <c r="AL868" s="97" t="n"/>
      <c r="AM868" s="97" t="n">
        <v>69.42547</v>
      </c>
      <c r="AN868" s="97" t="n"/>
      <c r="AO868" s="97" t="n">
        <v>59.66589</v>
      </c>
      <c r="AP868" s="97" t="n">
        <v>80.68655</v>
      </c>
      <c r="AQ868" s="97" t="n"/>
      <c r="AR868" s="97" t="n"/>
      <c r="AS868" s="97" t="n"/>
      <c r="AT868" s="97" t="n"/>
      <c r="AU868" s="97" t="n"/>
      <c r="AV868" s="97" t="n"/>
      <c r="AW868" s="97" t="n"/>
      <c r="AX868" s="97" t="n">
        <v>33.5972</v>
      </c>
      <c r="AY868" s="97" t="n">
        <v>62.51743</v>
      </c>
    </row>
    <row r="869" s="135">
      <c r="A869" t="inlineStr">
        <is>
          <t>1991-04</t>
        </is>
      </c>
      <c r="B869" s="2" t="n">
        <v>33329</v>
      </c>
      <c r="C869" s="96" t="n">
        <v>869</v>
      </c>
      <c r="E869" s="2">
        <f>B869</f>
        <v/>
      </c>
      <c r="F869" s="3">
        <f>B869</f>
        <v/>
      </c>
      <c r="G869" s="96" t="n">
        <v>867</v>
      </c>
      <c r="H869" s="97" t="n"/>
      <c r="I869" s="97" t="n"/>
      <c r="J869" s="97" t="n">
        <v>63.46441</v>
      </c>
      <c r="K869" s="97" t="n">
        <v>65.27744</v>
      </c>
      <c r="L869" s="97" t="n"/>
      <c r="M869" s="97" t="n">
        <v>61.15932</v>
      </c>
      <c r="N869" s="97" t="n">
        <v>74.3938</v>
      </c>
      <c r="O869" s="97" t="n">
        <v>81.64345</v>
      </c>
      <c r="P869" s="97" t="n">
        <v>102.171</v>
      </c>
      <c r="Q869" s="97" t="n"/>
      <c r="R869" s="97" t="n">
        <v>63.21039</v>
      </c>
      <c r="S869" s="97" t="n">
        <v>91.50076</v>
      </c>
      <c r="T869" s="97" t="n">
        <v>93.36073</v>
      </c>
      <c r="U869" s="97" t="n">
        <v>124.7767</v>
      </c>
      <c r="V869" s="97" t="n">
        <v>34.82422</v>
      </c>
      <c r="W869" s="97" t="n">
        <v>14.25671</v>
      </c>
      <c r="X869" s="97" t="n"/>
      <c r="Y869" s="97" t="n">
        <v>42.37498</v>
      </c>
      <c r="Z869" s="97" t="n">
        <v>107.3911</v>
      </c>
      <c r="AA869" s="97" t="n">
        <v>107.3934</v>
      </c>
      <c r="AB869" s="97" t="n">
        <v>22.69711</v>
      </c>
      <c r="AC869" s="97" t="n">
        <v>72.88449</v>
      </c>
      <c r="AD869" s="97" t="n"/>
      <c r="AE869" s="97" t="n">
        <v>68.32004000000001</v>
      </c>
      <c r="AF869" s="97" t="n">
        <v>77.16875</v>
      </c>
      <c r="AG869" s="97" t="n">
        <v>87.57420999999999</v>
      </c>
      <c r="AH869" s="97" t="n">
        <v>67.01138</v>
      </c>
      <c r="AI869" s="97" t="n">
        <v>25.26243</v>
      </c>
      <c r="AJ869" s="97" t="n">
        <v>108.1313</v>
      </c>
      <c r="AK869" s="97" t="n">
        <v>37.34023</v>
      </c>
      <c r="AL869" s="97" t="n"/>
      <c r="AM869" s="97" t="n">
        <v>69.02066000000001</v>
      </c>
      <c r="AN869" s="97" t="n"/>
      <c r="AO869" s="97" t="n">
        <v>59.78355</v>
      </c>
      <c r="AP869" s="97" t="n">
        <v>80.18664</v>
      </c>
      <c r="AQ869" s="97" t="n"/>
      <c r="AR869" s="97" t="n"/>
      <c r="AS869" s="97" t="n"/>
      <c r="AT869" s="97" t="n"/>
      <c r="AU869" s="97" t="n"/>
      <c r="AV869" s="97" t="n"/>
      <c r="AW869" s="97" t="n"/>
      <c r="AX869" s="97" t="n">
        <v>32.19732</v>
      </c>
      <c r="AY869" s="97" t="n">
        <v>66.7748</v>
      </c>
    </row>
    <row r="870" s="135">
      <c r="A870" t="inlineStr">
        <is>
          <t>1991-05</t>
        </is>
      </c>
      <c r="B870" s="2" t="n">
        <v>33359</v>
      </c>
      <c r="C870" s="96" t="n">
        <v>870</v>
      </c>
      <c r="E870" s="2">
        <f>B870</f>
        <v/>
      </c>
      <c r="F870" s="3">
        <f>B870</f>
        <v/>
      </c>
      <c r="G870" s="96" t="n">
        <v>868</v>
      </c>
      <c r="H870" s="97" t="n"/>
      <c r="I870" s="97" t="n"/>
      <c r="J870" s="97" t="n">
        <v>63.00194</v>
      </c>
      <c r="K870" s="97" t="n">
        <v>65.76661</v>
      </c>
      <c r="L870" s="97" t="n"/>
      <c r="M870" s="97" t="n">
        <v>57.69493</v>
      </c>
      <c r="N870" s="97" t="n">
        <v>73.1939</v>
      </c>
      <c r="O870" s="97" t="n">
        <v>82.84088</v>
      </c>
      <c r="P870" s="97" t="n">
        <v>97.14085</v>
      </c>
      <c r="Q870" s="97" t="n"/>
      <c r="R870" s="97" t="n">
        <v>62.68475</v>
      </c>
      <c r="S870" s="97" t="n">
        <v>91.61076</v>
      </c>
      <c r="T870" s="97" t="n">
        <v>94.43497000000001</v>
      </c>
      <c r="U870" s="97" t="n">
        <v>123.313</v>
      </c>
      <c r="V870" s="97" t="n">
        <v>33.70519</v>
      </c>
      <c r="W870" s="97" t="n">
        <v>13.9597</v>
      </c>
      <c r="X870" s="97" t="n"/>
      <c r="Y870" s="97" t="n">
        <v>43.07539</v>
      </c>
      <c r="Z870" s="97" t="n">
        <v>108.6909</v>
      </c>
      <c r="AA870" s="97" t="n">
        <v>108.5089</v>
      </c>
      <c r="AB870" s="97" t="n">
        <v>22.56712</v>
      </c>
      <c r="AC870" s="97" t="n">
        <v>70.63319</v>
      </c>
      <c r="AD870" s="97" t="n"/>
      <c r="AE870" s="97" t="n">
        <v>68.75381</v>
      </c>
      <c r="AF870" s="97" t="n">
        <v>79.60485</v>
      </c>
      <c r="AG870" s="97" t="n">
        <v>90.85414</v>
      </c>
      <c r="AH870" s="97" t="n">
        <v>67.19024</v>
      </c>
      <c r="AI870" s="97" t="n">
        <v>23.78391</v>
      </c>
      <c r="AJ870" s="97" t="n">
        <v>110.206</v>
      </c>
      <c r="AK870" s="97" t="n">
        <v>35.15709</v>
      </c>
      <c r="AL870" s="97" t="n"/>
      <c r="AM870" s="97" t="n">
        <v>68.61584000000001</v>
      </c>
      <c r="AN870" s="97" t="n"/>
      <c r="AO870" s="97" t="n">
        <v>60.38205</v>
      </c>
      <c r="AP870" s="97" t="n">
        <v>80.08665000000001</v>
      </c>
      <c r="AQ870" s="97" t="n"/>
      <c r="AR870" s="97" t="n"/>
      <c r="AS870" s="97" t="n"/>
      <c r="AT870" s="97" t="n"/>
      <c r="AU870" s="97" t="n"/>
      <c r="AV870" s="97" t="n"/>
      <c r="AW870" s="97" t="n"/>
      <c r="AX870" s="97" t="n">
        <v>33.69719</v>
      </c>
      <c r="AY870" s="97" t="n">
        <v>67.92471999999999</v>
      </c>
    </row>
    <row r="871" s="135">
      <c r="A871" t="inlineStr">
        <is>
          <t>1991-06</t>
        </is>
      </c>
      <c r="B871" s="2" t="n">
        <v>33390</v>
      </c>
      <c r="C871" s="96" t="n">
        <v>871</v>
      </c>
      <c r="E871" s="2">
        <f>B871</f>
        <v/>
      </c>
      <c r="F871" s="3">
        <f>B871</f>
        <v/>
      </c>
      <c r="G871" s="96" t="n">
        <v>869</v>
      </c>
      <c r="H871" s="97" t="n"/>
      <c r="I871" s="97" t="n"/>
      <c r="J871" s="97" t="n">
        <v>62.37712</v>
      </c>
      <c r="K871" s="97" t="n">
        <v>66.10589</v>
      </c>
      <c r="L871" s="97" t="n"/>
      <c r="M871" s="97" t="n">
        <v>57.99726</v>
      </c>
      <c r="N871" s="97" t="n">
        <v>76.39363</v>
      </c>
      <c r="O871" s="97" t="n">
        <v>82.18774000000001</v>
      </c>
      <c r="P871" s="97" t="n">
        <v>100.1859</v>
      </c>
      <c r="Q871" s="97" t="n"/>
      <c r="R871" s="97" t="n">
        <v>57.05934</v>
      </c>
      <c r="S871" s="97" t="n">
        <v>91.97076</v>
      </c>
      <c r="T871" s="97" t="n">
        <v>94.82559999999999</v>
      </c>
      <c r="U871" s="97" t="n">
        <v>122.1367</v>
      </c>
      <c r="V871" s="97" t="n">
        <v>31.91475</v>
      </c>
      <c r="W871" s="97" t="n">
        <v>14.49432</v>
      </c>
      <c r="X871" s="97" t="n"/>
      <c r="Y871" s="97" t="n">
        <v>43.28552</v>
      </c>
      <c r="Z871" s="97" t="n">
        <v>109.0909</v>
      </c>
      <c r="AA871" s="97" t="n">
        <v>105.3652</v>
      </c>
      <c r="AB871" s="97" t="n">
        <v>22.49313</v>
      </c>
      <c r="AC871" s="97" t="n">
        <v>77.64457</v>
      </c>
      <c r="AD871" s="97" t="n"/>
      <c r="AE871" s="97" t="n">
        <v>68.03085</v>
      </c>
      <c r="AF871" s="97" t="n">
        <v>79.24252</v>
      </c>
      <c r="AG871" s="97" t="n">
        <v>88.23018999999999</v>
      </c>
      <c r="AH871" s="97" t="n">
        <v>67.3197</v>
      </c>
      <c r="AI871" s="97" t="n">
        <v>24.56415</v>
      </c>
      <c r="AJ871" s="97" t="n">
        <v>113.3486</v>
      </c>
      <c r="AK871" s="97" t="n">
        <v>35.03151</v>
      </c>
      <c r="AL871" s="97" t="n"/>
      <c r="AM871" s="97" t="n">
        <v>68.41343999999999</v>
      </c>
      <c r="AN871" s="97" t="n"/>
      <c r="AO871" s="97" t="n">
        <v>60.93203</v>
      </c>
      <c r="AP871" s="97" t="n">
        <v>81.68639</v>
      </c>
      <c r="AQ871" s="97" t="n"/>
      <c r="AR871" s="97" t="n"/>
      <c r="AS871" s="97" t="n"/>
      <c r="AT871" s="97" t="n"/>
      <c r="AU871" s="97" t="n"/>
      <c r="AV871" s="97" t="n"/>
      <c r="AW871" s="97" t="n"/>
      <c r="AX871" s="97" t="n">
        <v>31.49738</v>
      </c>
      <c r="AY871" s="97" t="n">
        <v>70.84782</v>
      </c>
    </row>
    <row r="872" s="135">
      <c r="A872" t="inlineStr">
        <is>
          <t>1991-07</t>
        </is>
      </c>
      <c r="B872" s="2" t="n">
        <v>33420</v>
      </c>
      <c r="C872" s="96" t="n">
        <v>872</v>
      </c>
      <c r="E872" s="2">
        <f>B872</f>
        <v/>
      </c>
      <c r="F872" s="3">
        <f>B872</f>
        <v/>
      </c>
      <c r="G872" s="96" t="n">
        <v>870</v>
      </c>
      <c r="H872" s="97" t="n"/>
      <c r="I872" s="97" t="n"/>
      <c r="J872" s="97" t="n">
        <v>61.9289</v>
      </c>
      <c r="K872" s="97" t="n">
        <v>66.28821000000001</v>
      </c>
      <c r="L872" s="97" t="n"/>
      <c r="M872" s="97" t="n">
        <v>55.3853</v>
      </c>
      <c r="N872" s="97" t="n">
        <v>74.19382</v>
      </c>
      <c r="O872" s="97" t="n">
        <v>85.12690000000001</v>
      </c>
      <c r="P872" s="97" t="n">
        <v>97.73332000000001</v>
      </c>
      <c r="Q872" s="97" t="n"/>
      <c r="R872" s="97" t="n">
        <v>62.30451</v>
      </c>
      <c r="S872" s="97" t="n">
        <v>90.43076000000001</v>
      </c>
      <c r="T872" s="97" t="n">
        <v>93.94668</v>
      </c>
      <c r="U872" s="97" t="n">
        <v>120.6049</v>
      </c>
      <c r="V872" s="97" t="n">
        <v>32.18331</v>
      </c>
      <c r="W872" s="97" t="n">
        <v>14.0785</v>
      </c>
      <c r="X872" s="97" t="n"/>
      <c r="Y872" s="97" t="n">
        <v>43.4256</v>
      </c>
      <c r="Z872" s="97" t="n">
        <v>109.0909</v>
      </c>
      <c r="AA872" s="97" t="n">
        <v>107.6976</v>
      </c>
      <c r="AB872" s="97" t="n">
        <v>23.15907</v>
      </c>
      <c r="AC872" s="97" t="n">
        <v>73.25704</v>
      </c>
      <c r="AD872" s="97" t="n"/>
      <c r="AE872" s="97" t="n">
        <v>69.04300000000001</v>
      </c>
      <c r="AF872" s="97" t="n">
        <v>78.20949</v>
      </c>
      <c r="AG872" s="97" t="n">
        <v>85.93424</v>
      </c>
      <c r="AH872" s="97" t="n">
        <v>67.34529000000001</v>
      </c>
      <c r="AI872" s="97" t="n">
        <v>24.26478</v>
      </c>
      <c r="AJ872" s="97" t="n">
        <v>111.393</v>
      </c>
      <c r="AK872" s="97" t="n">
        <v>34.12782</v>
      </c>
      <c r="AL872" s="97" t="n"/>
      <c r="AM872" s="97" t="n">
        <v>68.51464</v>
      </c>
      <c r="AN872" s="97" t="n"/>
      <c r="AO872" s="97" t="n">
        <v>61.00465</v>
      </c>
      <c r="AP872" s="97" t="n">
        <v>80.08665000000001</v>
      </c>
      <c r="AQ872" s="97" t="n"/>
      <c r="AR872" s="97" t="n"/>
      <c r="AS872" s="97" t="n"/>
      <c r="AT872" s="97" t="n"/>
      <c r="AU872" s="97" t="n"/>
      <c r="AV872" s="97" t="n"/>
      <c r="AW872" s="97" t="n"/>
      <c r="AX872" s="97" t="n">
        <v>32.3973</v>
      </c>
      <c r="AY872" s="97" t="n">
        <v>72.23475999999999</v>
      </c>
    </row>
    <row r="873" s="135">
      <c r="A873" t="inlineStr">
        <is>
          <t>1991-08</t>
        </is>
      </c>
      <c r="B873" s="2" t="n">
        <v>33451</v>
      </c>
      <c r="C873" s="96" t="n">
        <v>873</v>
      </c>
      <c r="E873" s="2">
        <f>B873</f>
        <v/>
      </c>
      <c r="F873" s="3">
        <f>B873</f>
        <v/>
      </c>
      <c r="G873" s="96" t="n">
        <v>871</v>
      </c>
      <c r="H873" s="97" t="n"/>
      <c r="I873" s="97" t="n"/>
      <c r="J873" s="97" t="n">
        <v>61.23651</v>
      </c>
      <c r="K873" s="97" t="n">
        <v>66.20128</v>
      </c>
      <c r="L873" s="97" t="n"/>
      <c r="M873" s="97" t="n">
        <v>58.08664</v>
      </c>
      <c r="N873" s="97" t="n">
        <v>72.99392</v>
      </c>
      <c r="O873" s="97" t="n">
        <v>83.38517</v>
      </c>
      <c r="P873" s="97" t="n">
        <v>97.50655</v>
      </c>
      <c r="Q873" s="97" t="n"/>
      <c r="R873" s="97" t="n">
        <v>61.15258</v>
      </c>
      <c r="S873" s="97" t="n">
        <v>91.38076</v>
      </c>
      <c r="T873" s="97" t="n">
        <v>93.06776000000001</v>
      </c>
      <c r="U873" s="97" t="n">
        <v>124.0812</v>
      </c>
      <c r="V873" s="97" t="n">
        <v>30.39286</v>
      </c>
      <c r="W873" s="97" t="n">
        <v>14.61313</v>
      </c>
      <c r="X873" s="97" t="n"/>
      <c r="Y873" s="97" t="n">
        <v>44.26609</v>
      </c>
      <c r="Z873" s="97" t="n">
        <v>109.6909</v>
      </c>
      <c r="AA873" s="97" t="n">
        <v>105.9737</v>
      </c>
      <c r="AB873" s="97" t="n">
        <v>24.028</v>
      </c>
      <c r="AC873" s="97" t="n">
        <v>74.07454</v>
      </c>
      <c r="AD873" s="97" t="n"/>
      <c r="AE873" s="97" t="n">
        <v>68.75381</v>
      </c>
      <c r="AF873" s="97" t="n">
        <v>78.34054999999999</v>
      </c>
      <c r="AG873" s="97" t="n">
        <v>81.12367</v>
      </c>
      <c r="AH873" s="97" t="n">
        <v>67.14945</v>
      </c>
      <c r="AI873" s="97" t="n">
        <v>23.67161</v>
      </c>
      <c r="AJ873" s="97" t="n">
        <v>113.0521</v>
      </c>
      <c r="AK873" s="97" t="n">
        <v>33.78011</v>
      </c>
      <c r="AL873" s="97" t="n"/>
      <c r="AM873" s="97" t="n">
        <v>66.79418</v>
      </c>
      <c r="AN873" s="97" t="n"/>
      <c r="AO873" s="97" t="n">
        <v>61.0568</v>
      </c>
      <c r="AP873" s="97" t="n">
        <v>80.08665000000001</v>
      </c>
      <c r="AQ873" s="97" t="n"/>
      <c r="AR873" s="97" t="n"/>
      <c r="AS873" s="97" t="n"/>
      <c r="AT873" s="97" t="n"/>
      <c r="AU873" s="97" t="n"/>
      <c r="AV873" s="97" t="n"/>
      <c r="AW873" s="97" t="n"/>
      <c r="AX873" s="97" t="n">
        <v>32.59728</v>
      </c>
      <c r="AY873" s="97" t="n">
        <v>72.72633</v>
      </c>
    </row>
    <row r="874" s="135">
      <c r="A874" t="inlineStr">
        <is>
          <t>1991-09</t>
        </is>
      </c>
      <c r="B874" s="2" t="n">
        <v>33482</v>
      </c>
      <c r="C874" s="96" t="n">
        <v>874</v>
      </c>
      <c r="E874" s="2">
        <f>B874</f>
        <v/>
      </c>
      <c r="F874" s="3">
        <f>B874</f>
        <v/>
      </c>
      <c r="G874" s="96" t="n">
        <v>872</v>
      </c>
      <c r="H874" s="97" t="n"/>
      <c r="I874" s="97" t="n"/>
      <c r="J874" s="97" t="n">
        <v>62.69831</v>
      </c>
      <c r="K874" s="97" t="n">
        <v>66.47054</v>
      </c>
      <c r="L874" s="97" t="n"/>
      <c r="M874" s="97" t="n">
        <v>51.39095</v>
      </c>
      <c r="N874" s="97" t="n">
        <v>72.79393</v>
      </c>
      <c r="O874" s="97" t="n">
        <v>83.38517</v>
      </c>
      <c r="P874" s="97" t="n">
        <v>99.94548</v>
      </c>
      <c r="Q874" s="97" t="n"/>
      <c r="R874" s="97" t="n">
        <v>61.06311</v>
      </c>
      <c r="S874" s="97" t="n">
        <v>91.69077</v>
      </c>
      <c r="T874" s="97" t="n">
        <v>93.16542</v>
      </c>
      <c r="U874" s="97" t="n">
        <v>131.495</v>
      </c>
      <c r="V874" s="97" t="n">
        <v>29.40812</v>
      </c>
      <c r="W874" s="97" t="n">
        <v>14.79134</v>
      </c>
      <c r="X874" s="97" t="n"/>
      <c r="Y874" s="97" t="n">
        <v>42.51506</v>
      </c>
      <c r="Z874" s="97" t="n">
        <v>110.8908</v>
      </c>
      <c r="AA874" s="97" t="n">
        <v>106.0751</v>
      </c>
      <c r="AB874" s="97" t="n">
        <v>23.82401</v>
      </c>
      <c r="AC874" s="97" t="n">
        <v>74.3301</v>
      </c>
      <c r="AD874" s="97" t="n"/>
      <c r="AE874" s="97" t="n">
        <v>68.75381</v>
      </c>
      <c r="AF874" s="97" t="n">
        <v>76.34387</v>
      </c>
      <c r="AG874" s="97" t="n">
        <v>91.40079</v>
      </c>
      <c r="AH874" s="97" t="n">
        <v>67.36864</v>
      </c>
      <c r="AI874" s="97" t="n">
        <v>23.10306</v>
      </c>
      <c r="AJ874" s="97" t="n">
        <v>112.3611</v>
      </c>
      <c r="AK874" s="97" t="n">
        <v>33.20922</v>
      </c>
      <c r="AL874" s="97" t="n"/>
      <c r="AM874" s="97" t="n">
        <v>67.60381</v>
      </c>
      <c r="AN874" s="97" t="n"/>
      <c r="AO874" s="97" t="n">
        <v>61.60036</v>
      </c>
      <c r="AP874" s="97" t="n">
        <v>80.28662</v>
      </c>
      <c r="AQ874" s="97" t="n"/>
      <c r="AR874" s="97" t="n"/>
      <c r="AS874" s="97" t="n"/>
      <c r="AT874" s="97" t="n"/>
      <c r="AU874" s="97" t="n"/>
      <c r="AV874" s="97" t="n"/>
      <c r="AW874" s="97" t="n"/>
      <c r="AX874" s="97" t="n">
        <v>33.49721</v>
      </c>
      <c r="AY874" s="97" t="n">
        <v>69.67155</v>
      </c>
    </row>
    <row r="875" s="135">
      <c r="A875" t="inlineStr">
        <is>
          <t>1991-10</t>
        </is>
      </c>
      <c r="B875" s="2" t="n">
        <v>33512</v>
      </c>
      <c r="C875" s="96" t="n">
        <v>875</v>
      </c>
      <c r="E875" s="2">
        <f>B875</f>
        <v/>
      </c>
      <c r="F875" s="3">
        <f>B875</f>
        <v/>
      </c>
      <c r="G875" s="96" t="n">
        <v>873</v>
      </c>
      <c r="H875" s="97" t="n"/>
      <c r="I875" s="97" t="n"/>
      <c r="J875" s="97" t="n">
        <v>62.79496</v>
      </c>
      <c r="K875" s="97" t="n">
        <v>66.18201000000001</v>
      </c>
      <c r="L875" s="97" t="n"/>
      <c r="M875" s="97" t="n">
        <v>52.02311</v>
      </c>
      <c r="N875" s="97" t="n">
        <v>73.89384</v>
      </c>
      <c r="O875" s="97" t="n">
        <v>81.53458999999999</v>
      </c>
      <c r="P875" s="97" t="n">
        <v>100.5453</v>
      </c>
      <c r="Q875" s="97" t="n"/>
      <c r="R875" s="97" t="n">
        <v>60.58221</v>
      </c>
      <c r="S875" s="97" t="n">
        <v>91.26076</v>
      </c>
      <c r="T875" s="97" t="n">
        <v>94.33731</v>
      </c>
      <c r="U875" s="97" t="n">
        <v>123.3345</v>
      </c>
      <c r="V875" s="97" t="n">
        <v>29.63192</v>
      </c>
      <c r="W875" s="97" t="n">
        <v>14.73194</v>
      </c>
      <c r="X875" s="97" t="n"/>
      <c r="Y875" s="97" t="n">
        <v>44.19605</v>
      </c>
      <c r="Z875" s="97" t="n">
        <v>110.1908</v>
      </c>
      <c r="AA875" s="97" t="n">
        <v>105.3652</v>
      </c>
      <c r="AB875" s="97" t="n">
        <v>24.028</v>
      </c>
      <c r="AC875" s="97" t="n">
        <v>71.47</v>
      </c>
      <c r="AD875" s="97" t="n"/>
      <c r="AE875" s="97" t="n">
        <v>71.0673</v>
      </c>
      <c r="AF875" s="97" t="n">
        <v>78.80309</v>
      </c>
      <c r="AG875" s="97" t="n">
        <v>87.68353999999999</v>
      </c>
      <c r="AH875" s="97" t="n">
        <v>67.52687</v>
      </c>
      <c r="AI875" s="97" t="n">
        <v>23.37561</v>
      </c>
      <c r="AJ875" s="97" t="n">
        <v>111.7965</v>
      </c>
      <c r="AK875" s="97" t="n">
        <v>33.88189</v>
      </c>
      <c r="AL875" s="97" t="n"/>
      <c r="AM875" s="97" t="n">
        <v>67.90742</v>
      </c>
      <c r="AN875" s="97" t="n"/>
      <c r="AO875" s="97" t="n">
        <v>61.49307</v>
      </c>
      <c r="AP875" s="97" t="n">
        <v>80.58656999999999</v>
      </c>
      <c r="AQ875" s="97" t="n"/>
      <c r="AR875" s="97" t="n"/>
      <c r="AS875" s="97" t="n"/>
      <c r="AT875" s="97" t="n"/>
      <c r="AU875" s="97" t="n"/>
      <c r="AV875" s="97" t="n"/>
      <c r="AW875" s="97" t="n"/>
      <c r="AX875" s="97" t="n">
        <v>33.49721</v>
      </c>
      <c r="AY875" s="97" t="n">
        <v>71.40084</v>
      </c>
    </row>
    <row r="876" s="135">
      <c r="A876" t="inlineStr">
        <is>
          <t>1991-11</t>
        </is>
      </c>
      <c r="B876" s="2" t="n">
        <v>33543</v>
      </c>
      <c r="C876" s="96" t="n">
        <v>876</v>
      </c>
      <c r="E876" s="2">
        <f>B876</f>
        <v/>
      </c>
      <c r="F876" s="3">
        <f>B876</f>
        <v/>
      </c>
      <c r="G876" s="96" t="n">
        <v>874</v>
      </c>
      <c r="H876" s="97" t="n"/>
      <c r="I876" s="97" t="n"/>
      <c r="J876" s="97" t="n">
        <v>62.08569</v>
      </c>
      <c r="K876" s="97" t="n">
        <v>65.84602</v>
      </c>
      <c r="L876" s="97" t="n"/>
      <c r="M876" s="97" t="n">
        <v>51.9511</v>
      </c>
      <c r="N876" s="97" t="n">
        <v>74.69378</v>
      </c>
      <c r="O876" s="97" t="n">
        <v>82.84088</v>
      </c>
      <c r="P876" s="97" t="n">
        <v>100.2518</v>
      </c>
      <c r="Q876" s="97" t="n"/>
      <c r="R876" s="97" t="n">
        <v>60.10131</v>
      </c>
      <c r="S876" s="97" t="n">
        <v>92.72077</v>
      </c>
      <c r="T876" s="97" t="n">
        <v>94.63029</v>
      </c>
      <c r="U876" s="97" t="n">
        <v>121.4357</v>
      </c>
      <c r="V876" s="97" t="n">
        <v>29.81097</v>
      </c>
      <c r="W876" s="97" t="n">
        <v>15.32597</v>
      </c>
      <c r="X876" s="97" t="n"/>
      <c r="Y876" s="97" t="n">
        <v>44.19605</v>
      </c>
      <c r="Z876" s="97" t="n">
        <v>110.7908</v>
      </c>
      <c r="AA876" s="97" t="n">
        <v>106.0751</v>
      </c>
      <c r="AB876" s="97" t="n">
        <v>24.16599</v>
      </c>
      <c r="AC876" s="97" t="n">
        <v>74.57326999999999</v>
      </c>
      <c r="AD876" s="97" t="n"/>
      <c r="AE876" s="97" t="n">
        <v>70.63352</v>
      </c>
      <c r="AF876" s="97" t="n">
        <v>80.02885000000001</v>
      </c>
      <c r="AG876" s="97" t="n">
        <v>88.12085999999999</v>
      </c>
      <c r="AH876" s="97" t="n">
        <v>67.71543</v>
      </c>
      <c r="AI876" s="97" t="n">
        <v>22.7033</v>
      </c>
      <c r="AJ876" s="97" t="n">
        <v>111.4118</v>
      </c>
      <c r="AK876" s="97" t="n">
        <v>33.68051</v>
      </c>
      <c r="AL876" s="97" t="n"/>
      <c r="AM876" s="97" t="n">
        <v>68.91946</v>
      </c>
      <c r="AN876" s="97" t="n"/>
      <c r="AO876" s="97" t="n">
        <v>61.42266</v>
      </c>
      <c r="AP876" s="97" t="n">
        <v>81.48642</v>
      </c>
      <c r="AQ876" s="97" t="n"/>
      <c r="AR876" s="97" t="n"/>
      <c r="AS876" s="97" t="n"/>
      <c r="AT876" s="97" t="n"/>
      <c r="AU876" s="97" t="n"/>
      <c r="AV876" s="97" t="n"/>
      <c r="AW876" s="97" t="n"/>
      <c r="AX876" s="97" t="n">
        <v>33.39722</v>
      </c>
      <c r="AY876" s="97" t="n">
        <v>67.12591999999999</v>
      </c>
    </row>
    <row r="877" s="135">
      <c r="A877" t="inlineStr">
        <is>
          <t>1991-12</t>
        </is>
      </c>
      <c r="B877" s="2" t="n">
        <v>33573</v>
      </c>
      <c r="C877" s="96" t="n">
        <v>877</v>
      </c>
      <c r="E877" s="2">
        <f>B877</f>
        <v/>
      </c>
      <c r="F877" s="3">
        <f>B877</f>
        <v/>
      </c>
      <c r="G877" s="96" t="n">
        <v>875</v>
      </c>
      <c r="H877" s="97" t="n"/>
      <c r="I877" s="97" t="n"/>
      <c r="J877" s="97" t="n">
        <v>62.47662</v>
      </c>
      <c r="K877" s="97" t="n">
        <v>65.14915000000001</v>
      </c>
      <c r="L877" s="97" t="n"/>
      <c r="M877" s="97" t="n">
        <v>58.72885</v>
      </c>
      <c r="N877" s="97" t="n">
        <v>74.79376999999999</v>
      </c>
      <c r="O877" s="97" t="n">
        <v>83.49403</v>
      </c>
      <c r="P877" s="97" t="n">
        <v>101.2586</v>
      </c>
      <c r="Q877" s="97" t="n"/>
      <c r="R877" s="97" t="n">
        <v>61.06311</v>
      </c>
      <c r="S877" s="97" t="n">
        <v>91.89076</v>
      </c>
      <c r="T877" s="97" t="n">
        <v>94.23965</v>
      </c>
      <c r="U877" s="97" t="n">
        <v>121.6321</v>
      </c>
      <c r="V877" s="97" t="n">
        <v>28.9605</v>
      </c>
      <c r="W877" s="97" t="n">
        <v>14.79134</v>
      </c>
      <c r="X877" s="97" t="n"/>
      <c r="Y877" s="97" t="n">
        <v>43.70576</v>
      </c>
      <c r="Z877" s="97" t="n">
        <v>109.2909</v>
      </c>
      <c r="AA877" s="97" t="n">
        <v>104.6553</v>
      </c>
      <c r="AB877" s="97" t="n">
        <v>24.16599</v>
      </c>
      <c r="AC877" s="97" t="n">
        <v>75.16533</v>
      </c>
      <c r="AD877" s="97" t="n"/>
      <c r="AE877" s="97" t="n">
        <v>69.62137</v>
      </c>
      <c r="AF877" s="97" t="n">
        <v>78.81081</v>
      </c>
      <c r="AG877" s="97" t="n">
        <v>89.21417</v>
      </c>
      <c r="AH877" s="97" t="n">
        <v>67.40071</v>
      </c>
      <c r="AI877" s="97" t="n">
        <v>23.02417</v>
      </c>
      <c r="AJ877" s="97" t="n">
        <v>109.7094</v>
      </c>
      <c r="AK877" s="97" t="n">
        <v>32.72635</v>
      </c>
      <c r="AL877" s="97" t="n"/>
      <c r="AM877" s="97" t="n">
        <v>67.80620999999999</v>
      </c>
      <c r="AN877" s="97" t="n"/>
      <c r="AO877" s="97" t="n">
        <v>61.17841</v>
      </c>
      <c r="AP877" s="97" t="n">
        <v>80.88652</v>
      </c>
      <c r="AQ877" s="97" t="n"/>
      <c r="AR877" s="97" t="n"/>
      <c r="AS877" s="97" t="n"/>
      <c r="AT877" s="97" t="n"/>
      <c r="AU877" s="97" t="n"/>
      <c r="AV877" s="97" t="n"/>
      <c r="AW877" s="97" t="n"/>
      <c r="AX877" s="97" t="n">
        <v>33.09724</v>
      </c>
      <c r="AY877" s="97" t="n">
        <v>63.03534</v>
      </c>
    </row>
    <row r="878" s="135">
      <c r="A878" t="inlineStr">
        <is>
          <t>1992-01</t>
        </is>
      </c>
      <c r="B878" s="2" t="n">
        <v>33604</v>
      </c>
      <c r="C878" s="96" t="n">
        <v>878</v>
      </c>
      <c r="E878" s="2">
        <f>B878</f>
        <v/>
      </c>
      <c r="F878" s="3">
        <f>B878</f>
        <v/>
      </c>
      <c r="G878" s="96" t="n">
        <v>876</v>
      </c>
      <c r="H878" s="97" t="n"/>
      <c r="I878" s="97" t="n"/>
      <c r="J878" s="97" t="n">
        <v>63.32898</v>
      </c>
      <c r="K878" s="97" t="n">
        <v>66.06547999999999</v>
      </c>
      <c r="L878" s="97" t="n"/>
      <c r="M878" s="97" t="n">
        <v>53.02731</v>
      </c>
      <c r="N878" s="97" t="n">
        <v>75.69370000000001</v>
      </c>
      <c r="O878" s="97" t="n">
        <v>84.80032</v>
      </c>
      <c r="P878" s="97" t="n">
        <v>99.69109</v>
      </c>
      <c r="Q878" s="97" t="n"/>
      <c r="R878" s="97" t="n">
        <v>60.80589</v>
      </c>
      <c r="S878" s="97" t="n">
        <v>92.14077</v>
      </c>
      <c r="T878" s="97" t="n">
        <v>94.142</v>
      </c>
      <c r="U878" s="97" t="n">
        <v>124.4089</v>
      </c>
      <c r="V878" s="97" t="n">
        <v>28.94593</v>
      </c>
      <c r="W878" s="97" t="n">
        <v>15.44477</v>
      </c>
      <c r="X878" s="97" t="n"/>
      <c r="Y878" s="97" t="n">
        <v>44.54626</v>
      </c>
      <c r="Z878" s="97" t="n">
        <v>110.1908</v>
      </c>
      <c r="AA878" s="97" t="n">
        <v>103.9455</v>
      </c>
      <c r="AB878" s="97" t="n">
        <v>24.09199</v>
      </c>
      <c r="AC878" s="97" t="n">
        <v>72.20068000000001</v>
      </c>
      <c r="AD878" s="97" t="n"/>
      <c r="AE878" s="97" t="n">
        <v>69.62137</v>
      </c>
      <c r="AF878" s="97" t="n">
        <v>80.28326</v>
      </c>
      <c r="AG878" s="97" t="n">
        <v>91.07281</v>
      </c>
      <c r="AH878" s="97" t="n">
        <v>67.39558</v>
      </c>
      <c r="AI878" s="97" t="n">
        <v>24.32049</v>
      </c>
      <c r="AJ878" s="97" t="n">
        <v>112.7918</v>
      </c>
      <c r="AK878" s="97" t="n">
        <v>33.31029</v>
      </c>
      <c r="AL878" s="97" t="n">
        <v>66.96554999999999</v>
      </c>
      <c r="AM878" s="97" t="n">
        <v>69.12186</v>
      </c>
      <c r="AN878" s="97" t="n"/>
      <c r="AO878" s="97" t="n">
        <v>60.83618</v>
      </c>
      <c r="AP878" s="97" t="n">
        <v>81.88634999999999</v>
      </c>
      <c r="AQ878" s="97" t="n"/>
      <c r="AR878" s="97" t="n"/>
      <c r="AS878" s="97" t="n"/>
      <c r="AT878" s="97" t="n"/>
      <c r="AU878" s="97" t="n"/>
      <c r="AV878" s="97" t="n"/>
      <c r="AW878" s="97" t="n"/>
      <c r="AX878" s="97" t="n">
        <v>33.29723</v>
      </c>
      <c r="AY878" s="97" t="n">
        <v>63.21968</v>
      </c>
    </row>
    <row r="879" s="135">
      <c r="A879" t="inlineStr">
        <is>
          <t>1992-02</t>
        </is>
      </c>
      <c r="B879" s="2" t="n">
        <v>33635</v>
      </c>
      <c r="C879" s="96" t="n">
        <v>879</v>
      </c>
      <c r="E879" s="2">
        <f>B879</f>
        <v/>
      </c>
      <c r="F879" s="3">
        <f>B879</f>
        <v/>
      </c>
      <c r="G879" s="96" t="n">
        <v>877</v>
      </c>
      <c r="H879" s="97" t="n"/>
      <c r="I879" s="97" t="n"/>
      <c r="J879" s="97" t="n">
        <v>63.27011</v>
      </c>
      <c r="K879" s="97" t="n">
        <v>66.00015999999999</v>
      </c>
      <c r="L879" s="97" t="n"/>
      <c r="M879" s="97" t="n">
        <v>53.15553</v>
      </c>
      <c r="N879" s="97" t="n">
        <v>76.99357999999999</v>
      </c>
      <c r="O879" s="97" t="n">
        <v>85.67119</v>
      </c>
      <c r="P879" s="97" t="n">
        <v>99.89507999999999</v>
      </c>
      <c r="Q879" s="97" t="n"/>
      <c r="R879" s="97" t="n">
        <v>62.59528</v>
      </c>
      <c r="S879" s="97" t="n">
        <v>91.45076</v>
      </c>
      <c r="T879" s="97" t="n">
        <v>94.72794</v>
      </c>
      <c r="U879" s="97" t="n">
        <v>121.1832</v>
      </c>
      <c r="V879" s="97" t="n">
        <v>29.3268</v>
      </c>
      <c r="W879" s="97" t="n">
        <v>15.32597</v>
      </c>
      <c r="X879" s="97" t="n"/>
      <c r="Y879" s="97" t="n">
        <v>43.49564</v>
      </c>
      <c r="Z879" s="97" t="n">
        <v>110.1908</v>
      </c>
      <c r="AA879" s="97" t="n">
        <v>103.6412</v>
      </c>
      <c r="AB879" s="97" t="n">
        <v>24.69294</v>
      </c>
      <c r="AC879" s="97" t="n">
        <v>74.61077</v>
      </c>
      <c r="AD879" s="97" t="n"/>
      <c r="AE879" s="97" t="n">
        <v>69.69365999999999</v>
      </c>
      <c r="AF879" s="97" t="n">
        <v>78.70287</v>
      </c>
      <c r="AG879" s="97" t="n">
        <v>90.08882</v>
      </c>
      <c r="AH879" s="97" t="n">
        <v>67.69754</v>
      </c>
      <c r="AI879" s="97" t="n">
        <v>24.59932</v>
      </c>
      <c r="AJ879" s="97" t="n">
        <v>113.5671</v>
      </c>
      <c r="AK879" s="97" t="n">
        <v>31.89731</v>
      </c>
      <c r="AL879" s="97" t="n">
        <v>70.71624</v>
      </c>
      <c r="AM879" s="97" t="n">
        <v>68.91946</v>
      </c>
      <c r="AN879" s="97" t="n"/>
      <c r="AO879" s="97" t="n">
        <v>61.27196</v>
      </c>
      <c r="AP879" s="97" t="n">
        <v>82.08632</v>
      </c>
      <c r="AQ879" s="97" t="n"/>
      <c r="AR879" s="97" t="n"/>
      <c r="AS879" s="97" t="n"/>
      <c r="AT879" s="97" t="n"/>
      <c r="AU879" s="97" t="n"/>
      <c r="AV879" s="97" t="n"/>
      <c r="AW879" s="97" t="n"/>
      <c r="AX879" s="97" t="n">
        <v>32.99725</v>
      </c>
      <c r="AY879" s="97" t="n">
        <v>65.40542000000001</v>
      </c>
    </row>
    <row r="880" s="135">
      <c r="A880" t="inlineStr">
        <is>
          <t>1992-03</t>
        </is>
      </c>
      <c r="B880" s="2" t="n">
        <v>33664</v>
      </c>
      <c r="C880" s="96" t="n">
        <v>880</v>
      </c>
      <c r="E880" s="2">
        <f>B880</f>
        <v/>
      </c>
      <c r="F880" s="3">
        <f>B880</f>
        <v/>
      </c>
      <c r="G880" s="96" t="n">
        <v>878</v>
      </c>
      <c r="H880" s="97" t="n"/>
      <c r="I880" s="97" t="n"/>
      <c r="J880" s="97" t="n">
        <v>62.97542</v>
      </c>
      <c r="K880" s="97" t="n">
        <v>65.94517999999999</v>
      </c>
      <c r="L880" s="97" t="n"/>
      <c r="M880" s="97" t="n">
        <v>53.14684</v>
      </c>
      <c r="N880" s="97" t="n">
        <v>74.79376999999999</v>
      </c>
      <c r="O880" s="97" t="n">
        <v>86.75977</v>
      </c>
      <c r="P880" s="97" t="n">
        <v>98.56108</v>
      </c>
      <c r="Q880" s="97" t="n"/>
      <c r="R880" s="97" t="n">
        <v>62.14793</v>
      </c>
      <c r="S880" s="97" t="n">
        <v>92.34077000000001</v>
      </c>
      <c r="T880" s="97" t="n">
        <v>94.33731</v>
      </c>
      <c r="U880" s="97" t="n">
        <v>122.9</v>
      </c>
      <c r="V880" s="97" t="n">
        <v>29.3268</v>
      </c>
      <c r="W880" s="97" t="n">
        <v>15.80119</v>
      </c>
      <c r="X880" s="97" t="n"/>
      <c r="Y880" s="97" t="n">
        <v>45.59688</v>
      </c>
      <c r="Z880" s="97" t="n">
        <v>109.9908</v>
      </c>
      <c r="AA880" s="97" t="n">
        <v>102.1201</v>
      </c>
      <c r="AB880" s="97" t="n">
        <v>24.69294</v>
      </c>
      <c r="AC880" s="97" t="n">
        <v>74.43626</v>
      </c>
      <c r="AD880" s="97" t="n"/>
      <c r="AE880" s="97" t="n">
        <v>72.80240999999999</v>
      </c>
      <c r="AF880" s="97" t="n">
        <v>77.64672</v>
      </c>
      <c r="AG880" s="97" t="n">
        <v>92.27544</v>
      </c>
      <c r="AH880" s="97" t="n">
        <v>67.59968000000001</v>
      </c>
      <c r="AI880" s="97" t="n">
        <v>25.5112</v>
      </c>
      <c r="AJ880" s="97" t="n">
        <v>109.8082</v>
      </c>
      <c r="AK880" s="97" t="n">
        <v>35.88355</v>
      </c>
      <c r="AL880" s="97" t="n">
        <v>67.04369</v>
      </c>
      <c r="AM880" s="97" t="n">
        <v>68.21102999999999</v>
      </c>
      <c r="AN880" s="97" t="n"/>
      <c r="AO880" s="97" t="n">
        <v>61.78112</v>
      </c>
      <c r="AP880" s="97" t="n">
        <v>81.38643999999999</v>
      </c>
      <c r="AQ880" s="97" t="n"/>
      <c r="AR880" s="97" t="n"/>
      <c r="AS880" s="97" t="n"/>
      <c r="AT880" s="97" t="n"/>
      <c r="AU880" s="97" t="n"/>
      <c r="AV880" s="97" t="n"/>
      <c r="AW880" s="97" t="n"/>
      <c r="AX880" s="97" t="n">
        <v>33.09724</v>
      </c>
      <c r="AY880" s="97" t="n">
        <v>64.41349</v>
      </c>
    </row>
    <row r="881" s="135">
      <c r="A881" t="inlineStr">
        <is>
          <t>1992-04</t>
        </is>
      </c>
      <c r="B881" s="2" t="n">
        <v>33695</v>
      </c>
      <c r="C881" s="96" t="n">
        <v>881</v>
      </c>
      <c r="E881" s="2">
        <f>B881</f>
        <v/>
      </c>
      <c r="F881" s="3">
        <f>B881</f>
        <v/>
      </c>
      <c r="G881" s="96" t="n">
        <v>879</v>
      </c>
      <c r="H881" s="97" t="n"/>
      <c r="I881" s="97" t="n"/>
      <c r="J881" s="97" t="n">
        <v>62.68634</v>
      </c>
      <c r="K881" s="97" t="n">
        <v>66.54666</v>
      </c>
      <c r="L881" s="97" t="n"/>
      <c r="M881" s="97" t="n">
        <v>55.16856</v>
      </c>
      <c r="N881" s="97" t="n">
        <v>74.69378</v>
      </c>
      <c r="O881" s="97" t="n">
        <v>86.10662000000001</v>
      </c>
      <c r="P881" s="97" t="n">
        <v>98.62608</v>
      </c>
      <c r="Q881" s="97" t="n"/>
      <c r="R881" s="97" t="n">
        <v>61.99136</v>
      </c>
      <c r="S881" s="97" t="n">
        <v>91.69077</v>
      </c>
      <c r="T881" s="97" t="n">
        <v>94.92326</v>
      </c>
      <c r="U881" s="97" t="n">
        <v>120.4943</v>
      </c>
      <c r="V881" s="97" t="n">
        <v>29.53188</v>
      </c>
      <c r="W881" s="97" t="n">
        <v>15.56358</v>
      </c>
      <c r="X881" s="97" t="n"/>
      <c r="Y881" s="97" t="n">
        <v>45.66692</v>
      </c>
      <c r="Z881" s="97" t="n">
        <v>110.2908</v>
      </c>
      <c r="AA881" s="97" t="n">
        <v>101.613</v>
      </c>
      <c r="AB881" s="97" t="n">
        <v>24.42496</v>
      </c>
      <c r="AC881" s="97" t="n">
        <v>71.71904000000001</v>
      </c>
      <c r="AD881" s="97" t="n"/>
      <c r="AE881" s="97" t="n">
        <v>70.48893</v>
      </c>
      <c r="AF881" s="97" t="n">
        <v>79.5663</v>
      </c>
      <c r="AG881" s="97" t="n">
        <v>93.69674999999999</v>
      </c>
      <c r="AH881" s="97" t="n">
        <v>67.654</v>
      </c>
      <c r="AI881" s="97" t="n">
        <v>25.72211</v>
      </c>
      <c r="AJ881" s="97" t="n">
        <v>110.8224</v>
      </c>
      <c r="AK881" s="97" t="n">
        <v>33.22582</v>
      </c>
      <c r="AL881" s="97" t="n">
        <v>67.43438</v>
      </c>
      <c r="AM881" s="97" t="n">
        <v>69.42547</v>
      </c>
      <c r="AN881" s="97" t="n"/>
      <c r="AO881" s="97" t="n">
        <v>62.24947</v>
      </c>
      <c r="AP881" s="97" t="n">
        <v>81.18647</v>
      </c>
      <c r="AQ881" s="97" t="n"/>
      <c r="AR881" s="97" t="n"/>
      <c r="AS881" s="97" t="n"/>
      <c r="AT881" s="97" t="n"/>
      <c r="AU881" s="97" t="n"/>
      <c r="AV881" s="97" t="n"/>
      <c r="AW881" s="97" t="n"/>
      <c r="AX881" s="97" t="n">
        <v>33.09724</v>
      </c>
      <c r="AY881" s="97" t="n">
        <v>64.80851</v>
      </c>
    </row>
    <row r="882" s="135">
      <c r="A882" t="inlineStr">
        <is>
          <t>1992-05</t>
        </is>
      </c>
      <c r="B882" s="2" t="n">
        <v>33725</v>
      </c>
      <c r="C882" s="96" t="n">
        <v>882</v>
      </c>
      <c r="E882" s="2">
        <f>B882</f>
        <v/>
      </c>
      <c r="F882" s="3">
        <f>B882</f>
        <v/>
      </c>
      <c r="G882" s="96" t="n">
        <v>880</v>
      </c>
      <c r="H882" s="97" t="n"/>
      <c r="I882" s="97" t="n"/>
      <c r="J882" s="97" t="n">
        <v>62.28751</v>
      </c>
      <c r="K882" s="97" t="n">
        <v>66.20128</v>
      </c>
      <c r="L882" s="97" t="n"/>
      <c r="M882" s="97" t="n">
        <v>53.86003</v>
      </c>
      <c r="N882" s="97" t="n">
        <v>74.19382</v>
      </c>
      <c r="O882" s="97" t="n">
        <v>85.45348</v>
      </c>
      <c r="P882" s="97" t="n">
        <v>97.76608</v>
      </c>
      <c r="Q882" s="97" t="n"/>
      <c r="R882" s="97" t="n">
        <v>61.96899</v>
      </c>
      <c r="S882" s="97" t="n">
        <v>91.72076</v>
      </c>
      <c r="T882" s="97" t="n">
        <v>92.97011000000001</v>
      </c>
      <c r="U882" s="97" t="n">
        <v>120.3425</v>
      </c>
      <c r="V882" s="97" t="n">
        <v>29.03382</v>
      </c>
      <c r="W882" s="97" t="n">
        <v>15.68238</v>
      </c>
      <c r="X882" s="97" t="n"/>
      <c r="Y882" s="97" t="n">
        <v>45.807</v>
      </c>
      <c r="Z882" s="97" t="n">
        <v>109.9908</v>
      </c>
      <c r="AA882" s="97" t="n">
        <v>99.28059</v>
      </c>
      <c r="AB882" s="97" t="n">
        <v>24.23098</v>
      </c>
      <c r="AC882" s="97" t="n">
        <v>73.15085000000001</v>
      </c>
      <c r="AD882" s="97" t="n"/>
      <c r="AE882" s="97" t="n">
        <v>72.07944000000001</v>
      </c>
      <c r="AF882" s="97" t="n">
        <v>78.0476</v>
      </c>
      <c r="AG882" s="97" t="n">
        <v>92.60344000000001</v>
      </c>
      <c r="AH882" s="97" t="n">
        <v>67.35856</v>
      </c>
      <c r="AI882" s="97" t="n">
        <v>24.6326</v>
      </c>
      <c r="AJ882" s="97" t="n">
        <v>112.6402</v>
      </c>
      <c r="AK882" s="97" t="n">
        <v>31.20006</v>
      </c>
      <c r="AL882" s="97" t="n">
        <v>66.96554999999999</v>
      </c>
      <c r="AM882" s="97" t="n">
        <v>68.61584000000001</v>
      </c>
      <c r="AN882" s="97" t="n"/>
      <c r="AO882" s="97" t="n">
        <v>62.45252</v>
      </c>
      <c r="AP882" s="97" t="n">
        <v>80.68655</v>
      </c>
      <c r="AQ882" s="97" t="n"/>
      <c r="AR882" s="97" t="n"/>
      <c r="AS882" s="97" t="n"/>
      <c r="AT882" s="97" t="n"/>
      <c r="AU882" s="97" t="n"/>
      <c r="AV882" s="97" t="n"/>
      <c r="AW882" s="97" t="n"/>
      <c r="AX882" s="97" t="n">
        <v>33.99717</v>
      </c>
      <c r="AY882" s="97" t="n">
        <v>63.32501</v>
      </c>
    </row>
    <row r="883" s="135">
      <c r="A883" t="inlineStr">
        <is>
          <t>1992-06</t>
        </is>
      </c>
      <c r="B883" s="2" t="n">
        <v>33756</v>
      </c>
      <c r="C883" s="96" t="n">
        <v>883</v>
      </c>
      <c r="E883" s="2">
        <f>B883</f>
        <v/>
      </c>
      <c r="F883" s="3">
        <f>B883</f>
        <v/>
      </c>
      <c r="G883" s="96" t="n">
        <v>881</v>
      </c>
      <c r="H883" s="97" t="n"/>
      <c r="I883" s="97" t="n"/>
      <c r="J883" s="97" t="n">
        <v>63.2308</v>
      </c>
      <c r="K883" s="97" t="n">
        <v>66.43764</v>
      </c>
      <c r="L883" s="97" t="n"/>
      <c r="M883" s="97" t="n">
        <v>52.88952</v>
      </c>
      <c r="N883" s="97" t="n">
        <v>72.99392</v>
      </c>
      <c r="O883" s="97" t="n">
        <v>87.08634000000001</v>
      </c>
      <c r="P883" s="97" t="n">
        <v>96.53308</v>
      </c>
      <c r="Q883" s="97" t="n"/>
      <c r="R883" s="97" t="n">
        <v>62.15912</v>
      </c>
      <c r="S883" s="97" t="n">
        <v>90.63075000000001</v>
      </c>
      <c r="T883" s="97" t="n">
        <v>93.94668</v>
      </c>
      <c r="U883" s="97" t="n">
        <v>122.1813</v>
      </c>
      <c r="V883" s="97" t="n">
        <v>29.3561</v>
      </c>
      <c r="W883" s="97" t="n">
        <v>15.38537</v>
      </c>
      <c r="X883" s="97" t="n"/>
      <c r="Y883" s="97" t="n">
        <v>45.4568</v>
      </c>
      <c r="Z883" s="97" t="n">
        <v>109.7908</v>
      </c>
      <c r="AA883" s="97" t="n">
        <v>101.3088</v>
      </c>
      <c r="AB883" s="97" t="n">
        <v>24.56395</v>
      </c>
      <c r="AC883" s="97" t="n">
        <v>72.01603</v>
      </c>
      <c r="AD883" s="97" t="n"/>
      <c r="AE883" s="97" t="n">
        <v>72.22404</v>
      </c>
      <c r="AF883" s="97" t="n">
        <v>78.24803</v>
      </c>
      <c r="AG883" s="97" t="n">
        <v>93.69674999999999</v>
      </c>
      <c r="AH883" s="97" t="n">
        <v>67.44676</v>
      </c>
      <c r="AI883" s="97" t="n">
        <v>24.70794</v>
      </c>
      <c r="AJ883" s="97" t="n">
        <v>110.9393</v>
      </c>
      <c r="AK883" s="97" t="n">
        <v>33.08964</v>
      </c>
      <c r="AL883" s="97" t="n">
        <v>65.09019000000001</v>
      </c>
      <c r="AM883" s="97" t="n">
        <v>68.00861999999999</v>
      </c>
      <c r="AN883" s="97" t="n"/>
      <c r="AO883" s="97" t="n">
        <v>62.46146</v>
      </c>
      <c r="AP883" s="97" t="n">
        <v>79.98667</v>
      </c>
      <c r="AQ883" s="97" t="n"/>
      <c r="AR883" s="97" t="n"/>
      <c r="AS883" s="97" t="n"/>
      <c r="AT883" s="97" t="n"/>
      <c r="AU883" s="97" t="n"/>
      <c r="AV883" s="97" t="n"/>
      <c r="AW883" s="97" t="n"/>
      <c r="AX883" s="97" t="n">
        <v>33.19724</v>
      </c>
      <c r="AY883" s="97" t="n">
        <v>64.45738</v>
      </c>
    </row>
    <row r="884" s="135">
      <c r="A884" t="inlineStr">
        <is>
          <t>1992-07</t>
        </is>
      </c>
      <c r="B884" s="2" t="n">
        <v>33786</v>
      </c>
      <c r="C884" s="96" t="n">
        <v>884</v>
      </c>
      <c r="E884" s="2">
        <f>B884</f>
        <v/>
      </c>
      <c r="F884" s="3">
        <f>B884</f>
        <v/>
      </c>
      <c r="G884" s="96" t="n">
        <v>882</v>
      </c>
      <c r="H884" s="97" t="n"/>
      <c r="I884" s="97" t="n"/>
      <c r="J884" s="97" t="n">
        <v>63.11797</v>
      </c>
      <c r="K884" s="97" t="n">
        <v>65.77695</v>
      </c>
      <c r="L884" s="97" t="n"/>
      <c r="M884" s="97" t="n">
        <v>53.8389</v>
      </c>
      <c r="N884" s="97" t="n">
        <v>71.69401999999999</v>
      </c>
      <c r="O884" s="97" t="n">
        <v>85.56233</v>
      </c>
      <c r="P884" s="97" t="n">
        <v>95.58908</v>
      </c>
      <c r="Q884" s="97" t="n"/>
      <c r="R884" s="97" t="n">
        <v>61.24205</v>
      </c>
      <c r="S884" s="97" t="n">
        <v>90.28075</v>
      </c>
      <c r="T884" s="97" t="n">
        <v>94.82559999999999</v>
      </c>
      <c r="U884" s="97" t="n">
        <v>123.3654</v>
      </c>
      <c r="V884" s="97" t="n">
        <v>28.91664</v>
      </c>
      <c r="W884" s="97" t="n">
        <v>16.0388</v>
      </c>
      <c r="X884" s="97" t="n"/>
      <c r="Y884" s="97" t="n">
        <v>46.36733</v>
      </c>
      <c r="Z884" s="97" t="n">
        <v>108.391</v>
      </c>
      <c r="AA884" s="97" t="n">
        <v>101.106</v>
      </c>
      <c r="AB884" s="97" t="n">
        <v>24.96092</v>
      </c>
      <c r="AC884" s="97" t="n">
        <v>72.26698</v>
      </c>
      <c r="AD884" s="97" t="n"/>
      <c r="AE884" s="97" t="n">
        <v>73.45308</v>
      </c>
      <c r="AF884" s="97" t="n">
        <v>79.63569</v>
      </c>
      <c r="AG884" s="97" t="n">
        <v>93.58741999999999</v>
      </c>
      <c r="AH884" s="97" t="n">
        <v>67.62614000000001</v>
      </c>
      <c r="AI884" s="97" t="n">
        <v>26.00797</v>
      </c>
      <c r="AJ884" s="97" t="n">
        <v>109.3273</v>
      </c>
      <c r="AK884" s="97" t="n">
        <v>33.36425</v>
      </c>
      <c r="AL884" s="97" t="n">
        <v>65.71531</v>
      </c>
      <c r="AM884" s="97" t="n">
        <v>69.52667</v>
      </c>
      <c r="AN884" s="97" t="n"/>
      <c r="AO884" s="97" t="n">
        <v>63.02595</v>
      </c>
      <c r="AP884" s="97" t="n">
        <v>78.98684</v>
      </c>
      <c r="AQ884" s="97" t="n"/>
      <c r="AR884" s="97" t="n"/>
      <c r="AS884" s="97" t="n"/>
      <c r="AT884" s="97" t="n"/>
      <c r="AU884" s="97" t="n"/>
      <c r="AV884" s="97" t="n"/>
      <c r="AW884" s="97" t="n"/>
      <c r="AX884" s="97" t="n">
        <v>33.79718</v>
      </c>
      <c r="AY884" s="97" t="n">
        <v>64.46616</v>
      </c>
    </row>
    <row r="885" s="135">
      <c r="A885" t="inlineStr">
        <is>
          <t>1992-08</t>
        </is>
      </c>
      <c r="B885" s="2" t="n">
        <v>33817</v>
      </c>
      <c r="C885" s="96" t="n">
        <v>885</v>
      </c>
      <c r="E885" s="2">
        <f>B885</f>
        <v/>
      </c>
      <c r="F885" s="3">
        <f>B885</f>
        <v/>
      </c>
      <c r="G885" s="96" t="n">
        <v>883</v>
      </c>
      <c r="H885" s="97" t="n"/>
      <c r="I885" s="97" t="n"/>
      <c r="J885" s="97" t="n">
        <v>61.96475</v>
      </c>
      <c r="K885" s="97" t="n">
        <v>66.22477000000001</v>
      </c>
      <c r="L885" s="97" t="n"/>
      <c r="M885" s="97" t="n">
        <v>54.11391</v>
      </c>
      <c r="N885" s="97" t="n">
        <v>71.89400999999999</v>
      </c>
      <c r="O885" s="97" t="n">
        <v>85.88891</v>
      </c>
      <c r="P885" s="97" t="n">
        <v>95.19508</v>
      </c>
      <c r="Q885" s="97" t="n"/>
      <c r="R885" s="97" t="n">
        <v>62.62883</v>
      </c>
      <c r="S885" s="97" t="n">
        <v>90.56075</v>
      </c>
      <c r="T885" s="97" t="n">
        <v>94.63029</v>
      </c>
      <c r="U885" s="97" t="n">
        <v>124.1186</v>
      </c>
      <c r="V885" s="97" t="n">
        <v>27.0123</v>
      </c>
      <c r="W885" s="97" t="n">
        <v>15.80119</v>
      </c>
      <c r="X885" s="97" t="n"/>
      <c r="Y885" s="97" t="n">
        <v>45.66692</v>
      </c>
      <c r="Z885" s="97" t="n">
        <v>106.4911</v>
      </c>
      <c r="AA885" s="97" t="n">
        <v>98.16508</v>
      </c>
      <c r="AB885" s="97" t="n">
        <v>24.75794</v>
      </c>
      <c r="AC885" s="97" t="n">
        <v>71.29376000000001</v>
      </c>
      <c r="AD885" s="97" t="n"/>
      <c r="AE885" s="97" t="n">
        <v>72.15174</v>
      </c>
      <c r="AF885" s="97" t="n">
        <v>76.58286</v>
      </c>
      <c r="AG885" s="97" t="n">
        <v>95.66471</v>
      </c>
      <c r="AH885" s="97" t="n">
        <v>66.91399</v>
      </c>
      <c r="AI885" s="97" t="n">
        <v>25.67519</v>
      </c>
      <c r="AJ885" s="97" t="n">
        <v>99.78230000000001</v>
      </c>
      <c r="AK885" s="97" t="n">
        <v>32.73099</v>
      </c>
      <c r="AL885" s="97" t="n">
        <v>64.46508</v>
      </c>
      <c r="AM885" s="97" t="n">
        <v>70.33629999999999</v>
      </c>
      <c r="AN885" s="97" t="n"/>
      <c r="AO885" s="97" t="n">
        <v>62.7158</v>
      </c>
      <c r="AP885" s="97" t="n">
        <v>78.88685</v>
      </c>
      <c r="AQ885" s="97" t="n"/>
      <c r="AR885" s="97" t="n"/>
      <c r="AS885" s="97" t="n"/>
      <c r="AT885" s="97" t="n"/>
      <c r="AU885" s="97" t="n"/>
      <c r="AV885" s="97" t="n"/>
      <c r="AW885" s="97" t="n"/>
      <c r="AX885" s="97" t="n">
        <v>32.59728</v>
      </c>
      <c r="AY885" s="97" t="n">
        <v>64.10626000000001</v>
      </c>
    </row>
    <row r="886" s="135">
      <c r="A886" t="inlineStr">
        <is>
          <t>1992-09</t>
        </is>
      </c>
      <c r="B886" s="2" t="n">
        <v>33848</v>
      </c>
      <c r="C886" s="96" t="n">
        <v>886</v>
      </c>
      <c r="E886" s="2">
        <f>B886</f>
        <v/>
      </c>
      <c r="F886" s="3">
        <f>B886</f>
        <v/>
      </c>
      <c r="G886" s="96" t="n">
        <v>884</v>
      </c>
      <c r="H886" s="97" t="n"/>
      <c r="I886" s="97" t="n"/>
      <c r="J886" s="97" t="n">
        <v>61.95364</v>
      </c>
      <c r="K886" s="97" t="n">
        <v>66.59365</v>
      </c>
      <c r="L886" s="97" t="n"/>
      <c r="M886" s="97" t="n">
        <v>54.69465</v>
      </c>
      <c r="N886" s="97" t="n">
        <v>71.29406</v>
      </c>
      <c r="O886" s="97" t="n">
        <v>86.21548</v>
      </c>
      <c r="P886" s="97" t="n">
        <v>94.50908</v>
      </c>
      <c r="Q886" s="97" t="n"/>
      <c r="R886" s="97" t="n">
        <v>62.18149</v>
      </c>
      <c r="S886" s="97" t="n">
        <v>89.29074</v>
      </c>
      <c r="T886" s="97" t="n">
        <v>95.31389</v>
      </c>
      <c r="U886" s="97" t="n">
        <v>121.4743</v>
      </c>
      <c r="V886" s="97" t="n">
        <v>29.3268</v>
      </c>
      <c r="W886" s="97" t="n">
        <v>16.39522</v>
      </c>
      <c r="X886" s="97" t="n"/>
      <c r="Y886" s="97" t="n">
        <v>46.36733</v>
      </c>
      <c r="Z886" s="97" t="n">
        <v>105.6912</v>
      </c>
      <c r="AA886" s="97" t="n">
        <v>101.9173</v>
      </c>
      <c r="AB886" s="97" t="n">
        <v>24.42496</v>
      </c>
      <c r="AC886" s="97" t="n">
        <v>73.8233</v>
      </c>
      <c r="AD886" s="97" t="n"/>
      <c r="AE886" s="97" t="n">
        <v>73.52538</v>
      </c>
      <c r="AF886" s="97" t="n">
        <v>76.8681</v>
      </c>
      <c r="AG886" s="97" t="n">
        <v>94.89939</v>
      </c>
      <c r="AH886" s="97" t="n">
        <v>67.46854999999999</v>
      </c>
      <c r="AI886" s="97" t="n">
        <v>25.54162</v>
      </c>
      <c r="AJ886" s="97" t="n">
        <v>106.3708</v>
      </c>
      <c r="AK886" s="97" t="n">
        <v>34.19226</v>
      </c>
      <c r="AL886" s="97" t="n">
        <v>64.6995</v>
      </c>
      <c r="AM886" s="97" t="n">
        <v>68.21102999999999</v>
      </c>
      <c r="AN886" s="97" t="n"/>
      <c r="AO886" s="97" t="n">
        <v>62.86151</v>
      </c>
      <c r="AP886" s="97" t="n">
        <v>78.18697</v>
      </c>
      <c r="AQ886" s="97" t="n"/>
      <c r="AR886" s="97" t="n"/>
      <c r="AS886" s="97" t="n"/>
      <c r="AT886" s="97" t="n"/>
      <c r="AU886" s="97" t="n"/>
      <c r="AV886" s="97" t="n"/>
      <c r="AW886" s="97" t="n"/>
      <c r="AX886" s="97" t="n">
        <v>34.49712</v>
      </c>
      <c r="AY886" s="97" t="n">
        <v>65.64243</v>
      </c>
    </row>
    <row r="887" s="135">
      <c r="A887" t="inlineStr">
        <is>
          <t>1992-10</t>
        </is>
      </c>
      <c r="B887" s="2" t="n">
        <v>33878</v>
      </c>
      <c r="C887" s="96" t="n">
        <v>887</v>
      </c>
      <c r="E887" s="2">
        <f>B887</f>
        <v/>
      </c>
      <c r="F887" s="3">
        <f>B887</f>
        <v/>
      </c>
      <c r="G887" s="96" t="n">
        <v>885</v>
      </c>
      <c r="H887" s="97" t="n"/>
      <c r="I887" s="97" t="n"/>
      <c r="J887" s="97" t="n">
        <v>61.23207</v>
      </c>
      <c r="K887" s="97" t="n">
        <v>67.39391000000001</v>
      </c>
      <c r="L887" s="97" t="n"/>
      <c r="M887" s="97" t="n">
        <v>54.30289</v>
      </c>
      <c r="N887" s="97" t="n">
        <v>71.19407</v>
      </c>
      <c r="O887" s="97" t="n">
        <v>85.45348</v>
      </c>
      <c r="P887" s="97" t="n">
        <v>94.10808</v>
      </c>
      <c r="Q887" s="97" t="n"/>
      <c r="R887" s="97" t="n">
        <v>62.37161</v>
      </c>
      <c r="S887" s="97" t="n">
        <v>90.24075000000001</v>
      </c>
      <c r="T887" s="97" t="n">
        <v>96.29047</v>
      </c>
      <c r="U887" s="97" t="n">
        <v>121.6526</v>
      </c>
      <c r="V887" s="97" t="n">
        <v>29.97135</v>
      </c>
      <c r="W887" s="97" t="n">
        <v>16.51403</v>
      </c>
      <c r="X887" s="97" t="n"/>
      <c r="Y887" s="97" t="n">
        <v>46.71754</v>
      </c>
      <c r="Z887" s="97" t="n">
        <v>106.3911</v>
      </c>
      <c r="AA887" s="97" t="n">
        <v>98.77354</v>
      </c>
      <c r="AB887" s="97" t="n">
        <v>24.42496</v>
      </c>
      <c r="AC887" s="97" t="n">
        <v>74.62023000000001</v>
      </c>
      <c r="AD887" s="97" t="n"/>
      <c r="AE887" s="97" t="n">
        <v>72.29633</v>
      </c>
      <c r="AF887" s="97" t="n">
        <v>81.51672000000001</v>
      </c>
      <c r="AG887" s="97" t="n">
        <v>93.25942999999999</v>
      </c>
      <c r="AH887" s="97" t="n">
        <v>67.39924999999999</v>
      </c>
      <c r="AI887" s="97" t="n">
        <v>26.30597</v>
      </c>
      <c r="AJ887" s="97" t="n">
        <v>107.6954</v>
      </c>
      <c r="AK887" s="97" t="n">
        <v>33.30109</v>
      </c>
      <c r="AL887" s="97" t="n">
        <v>65.48090000000001</v>
      </c>
      <c r="AM887" s="97" t="n">
        <v>68.10983</v>
      </c>
      <c r="AN887" s="97" t="n"/>
      <c r="AO887" s="97" t="n">
        <v>63.33302</v>
      </c>
      <c r="AP887" s="97" t="n">
        <v>78.28695</v>
      </c>
      <c r="AQ887" s="97" t="n"/>
      <c r="AR887" s="97" t="n"/>
      <c r="AS887" s="97" t="n"/>
      <c r="AT887" s="97" t="n"/>
      <c r="AU887" s="97" t="n"/>
      <c r="AV887" s="97" t="n"/>
      <c r="AW887" s="97" t="n"/>
      <c r="AX887" s="97" t="n">
        <v>34.59712</v>
      </c>
      <c r="AY887" s="97" t="n">
        <v>65.67753999999999</v>
      </c>
    </row>
    <row r="888" s="135">
      <c r="A888" t="inlineStr">
        <is>
          <t>1992-11</t>
        </is>
      </c>
      <c r="B888" s="2" t="n">
        <v>33909</v>
      </c>
      <c r="C888" s="96" t="n">
        <v>888</v>
      </c>
      <c r="E888" s="2">
        <f>B888</f>
        <v/>
      </c>
      <c r="F888" s="3">
        <f>B888</f>
        <v/>
      </c>
      <c r="G888" s="96" t="n">
        <v>886</v>
      </c>
      <c r="H888" s="97" t="n"/>
      <c r="I888" s="97" t="n"/>
      <c r="J888" s="97" t="n">
        <v>60.59751</v>
      </c>
      <c r="K888" s="97" t="n">
        <v>67.57201000000001</v>
      </c>
      <c r="L888" s="97" t="n"/>
      <c r="M888" s="97" t="n">
        <v>54.48128</v>
      </c>
      <c r="N888" s="97" t="n">
        <v>70.09416</v>
      </c>
      <c r="O888" s="97" t="n">
        <v>82.62317</v>
      </c>
      <c r="P888" s="97" t="n">
        <v>92.21307</v>
      </c>
      <c r="Q888" s="97" t="n"/>
      <c r="R888" s="97" t="n">
        <v>62.81896</v>
      </c>
      <c r="S888" s="97" t="n">
        <v>89.07074</v>
      </c>
      <c r="T888" s="97" t="n">
        <v>95.02091</v>
      </c>
      <c r="U888" s="97" t="n">
        <v>122.2036</v>
      </c>
      <c r="V888" s="97" t="n">
        <v>29.20961</v>
      </c>
      <c r="W888" s="97" t="n">
        <v>16.45462</v>
      </c>
      <c r="X888" s="97" t="n"/>
      <c r="Y888" s="97" t="n">
        <v>46.99771</v>
      </c>
      <c r="Z888" s="97" t="n">
        <v>107.0911</v>
      </c>
      <c r="AA888" s="97" t="n">
        <v>97.55662</v>
      </c>
      <c r="AB888" s="97" t="n">
        <v>24.49896</v>
      </c>
      <c r="AC888" s="97" t="n">
        <v>73.30217</v>
      </c>
      <c r="AD888" s="97" t="n"/>
      <c r="AE888" s="97" t="n">
        <v>72.07944000000001</v>
      </c>
      <c r="AF888" s="97" t="n">
        <v>77.76236</v>
      </c>
      <c r="AG888" s="97" t="n">
        <v>92.60344000000001</v>
      </c>
      <c r="AH888" s="97" t="n">
        <v>67.0438</v>
      </c>
      <c r="AI888" s="97" t="n">
        <v>26.23028</v>
      </c>
      <c r="AJ888" s="97" t="n">
        <v>107.4768</v>
      </c>
      <c r="AK888" s="97" t="n">
        <v>32.55528</v>
      </c>
      <c r="AL888" s="97" t="n">
        <v>64.93391</v>
      </c>
      <c r="AM888" s="97" t="n">
        <v>66.69298000000001</v>
      </c>
      <c r="AN888" s="97" t="n"/>
      <c r="AO888" s="97" t="n">
        <v>63.60244</v>
      </c>
      <c r="AP888" s="97" t="n">
        <v>77.58707</v>
      </c>
      <c r="AQ888" s="97" t="n"/>
      <c r="AR888" s="97" t="n"/>
      <c r="AS888" s="97" t="n"/>
      <c r="AT888" s="97" t="n"/>
      <c r="AU888" s="97" t="n"/>
      <c r="AV888" s="97" t="n"/>
      <c r="AW888" s="97" t="n"/>
      <c r="AX888" s="97" t="n">
        <v>34.49712</v>
      </c>
      <c r="AY888" s="97" t="n">
        <v>66.98547000000001</v>
      </c>
    </row>
    <row r="889" s="135">
      <c r="A889" t="inlineStr">
        <is>
          <t>1992-12</t>
        </is>
      </c>
      <c r="B889" s="2" t="n">
        <v>33939</v>
      </c>
      <c r="C889" s="96" t="n">
        <v>889</v>
      </c>
      <c r="E889" s="2">
        <f>B889</f>
        <v/>
      </c>
      <c r="F889" s="3">
        <f>B889</f>
        <v/>
      </c>
      <c r="G889" s="96" t="n">
        <v>887</v>
      </c>
      <c r="H889" s="97" t="n"/>
      <c r="I889" s="97" t="n"/>
      <c r="J889" s="97" t="n">
        <v>59.84929</v>
      </c>
      <c r="K889" s="97" t="n">
        <v>67.73083</v>
      </c>
      <c r="L889" s="97" t="n"/>
      <c r="M889" s="97" t="n">
        <v>52.28609</v>
      </c>
      <c r="N889" s="97" t="n">
        <v>68.89426</v>
      </c>
      <c r="O889" s="97" t="n">
        <v>81.64345</v>
      </c>
      <c r="P889" s="97" t="n">
        <v>90.67708</v>
      </c>
      <c r="Q889" s="97" t="n"/>
      <c r="R889" s="97" t="n">
        <v>62.6512</v>
      </c>
      <c r="S889" s="97" t="n">
        <v>87.88073</v>
      </c>
      <c r="T889" s="97" t="n">
        <v>94.92326</v>
      </c>
      <c r="U889" s="97" t="n">
        <v>121.0277</v>
      </c>
      <c r="V889" s="97" t="n">
        <v>31.6413</v>
      </c>
      <c r="W889" s="97" t="n">
        <v>15.26656</v>
      </c>
      <c r="X889" s="97" t="n"/>
      <c r="Y889" s="97" t="n">
        <v>47.90824</v>
      </c>
      <c r="Z889" s="97" t="n">
        <v>105.2912</v>
      </c>
      <c r="AA889" s="97" t="n">
        <v>97.15097</v>
      </c>
      <c r="AB889" s="97" t="n">
        <v>24.62795</v>
      </c>
      <c r="AC889" s="97" t="n">
        <v>69.28521000000001</v>
      </c>
      <c r="AD889" s="97" t="n"/>
      <c r="AE889" s="97" t="n">
        <v>71.50108</v>
      </c>
      <c r="AF889" s="97" t="n">
        <v>74.50909</v>
      </c>
      <c r="AG889" s="97" t="n">
        <v>94.35274</v>
      </c>
      <c r="AH889" s="97" t="n">
        <v>66.64532</v>
      </c>
      <c r="AI889" s="97" t="n">
        <v>26.42479</v>
      </c>
      <c r="AJ889" s="97" t="n">
        <v>103.4519</v>
      </c>
      <c r="AK889" s="97" t="n">
        <v>33.13321</v>
      </c>
      <c r="AL889" s="97" t="n">
        <v>63.76183</v>
      </c>
      <c r="AM889" s="97" t="n">
        <v>66.69298000000001</v>
      </c>
      <c r="AN889" s="97" t="n"/>
      <c r="AO889" s="97" t="n">
        <v>63.65988</v>
      </c>
      <c r="AP889" s="97" t="n">
        <v>76.28728</v>
      </c>
      <c r="AQ889" s="97" t="n"/>
      <c r="AR889" s="97" t="n"/>
      <c r="AS889" s="97" t="n"/>
      <c r="AT889" s="97" t="n"/>
      <c r="AU889" s="97" t="n"/>
      <c r="AV889" s="97" t="n"/>
      <c r="AW889" s="97" t="n"/>
      <c r="AX889" s="97" t="n">
        <v>33.5972</v>
      </c>
      <c r="AY889" s="97" t="n">
        <v>66.25689</v>
      </c>
    </row>
    <row r="890" s="135">
      <c r="A890" t="inlineStr">
        <is>
          <t>1993-01</t>
        </is>
      </c>
      <c r="B890" s="2" t="n">
        <v>33970</v>
      </c>
      <c r="C890" s="96" t="n">
        <v>890</v>
      </c>
      <c r="E890" s="2">
        <f>B890</f>
        <v/>
      </c>
      <c r="F890" s="3">
        <f>B890</f>
        <v/>
      </c>
      <c r="G890" s="96" t="n">
        <v>888</v>
      </c>
      <c r="H890" s="97" t="n"/>
      <c r="I890" s="97" t="n"/>
      <c r="J890" s="97" t="n">
        <v>58.61264</v>
      </c>
      <c r="K890" s="97" t="n">
        <v>67.85677</v>
      </c>
      <c r="L890" s="97" t="n"/>
      <c r="M890" s="97" t="n">
        <v>51.40253</v>
      </c>
      <c r="N890" s="97" t="n">
        <v>68.09432</v>
      </c>
      <c r="O890" s="97" t="n">
        <v>79.46629</v>
      </c>
      <c r="P890" s="97" t="n">
        <v>92.40208</v>
      </c>
      <c r="Q890" s="97" t="n"/>
      <c r="R890" s="97" t="n">
        <v>62.80777</v>
      </c>
      <c r="S890" s="97" t="n">
        <v>87.79073</v>
      </c>
      <c r="T890" s="97" t="n">
        <v>95.02091</v>
      </c>
      <c r="U890" s="97" t="n">
        <v>115.3168</v>
      </c>
      <c r="V890" s="97" t="n">
        <v>27.59825</v>
      </c>
      <c r="W890" s="97" t="n">
        <v>16.63283</v>
      </c>
      <c r="X890" s="97" t="n"/>
      <c r="Y890" s="97" t="n">
        <v>48.18841</v>
      </c>
      <c r="Z890" s="97" t="n">
        <v>107.0911</v>
      </c>
      <c r="AA890" s="97" t="n">
        <v>99.17918</v>
      </c>
      <c r="AB890" s="97" t="n">
        <v>24.62795</v>
      </c>
      <c r="AC890" s="97" t="n">
        <v>66.08184</v>
      </c>
      <c r="AD890" s="97" t="n"/>
      <c r="AE890" s="97" t="n">
        <v>71.33297</v>
      </c>
      <c r="AF890" s="97" t="n">
        <v>77.8009</v>
      </c>
      <c r="AG890" s="97" t="n">
        <v>89.32351</v>
      </c>
      <c r="AH890" s="97" t="n">
        <v>67.00708</v>
      </c>
      <c r="AI890" s="97" t="n">
        <v>25.68399</v>
      </c>
      <c r="AJ890" s="97" t="n">
        <v>106.3845</v>
      </c>
      <c r="AK890" s="97" t="n">
        <v>33.67661</v>
      </c>
      <c r="AL890" s="97" t="n">
        <v>66.18415</v>
      </c>
      <c r="AM890" s="97" t="n">
        <v>66.89539000000001</v>
      </c>
      <c r="AN890" s="97" t="n"/>
      <c r="AO890" s="97" t="n">
        <v>63.93565</v>
      </c>
      <c r="AP890" s="97" t="n">
        <v>76.68722</v>
      </c>
      <c r="AQ890" s="97" t="n"/>
      <c r="AR890" s="97" t="n"/>
      <c r="AS890" s="97" t="n"/>
      <c r="AT890" s="97" t="n"/>
      <c r="AU890" s="97" t="n"/>
      <c r="AV890" s="97" t="n">
        <v>77.41759999999999</v>
      </c>
      <c r="AW890" s="97" t="n"/>
      <c r="AX890" s="97" t="n">
        <v>35.09708</v>
      </c>
      <c r="AY890" s="97" t="n">
        <v>67.60871</v>
      </c>
    </row>
    <row r="891" s="135">
      <c r="A891" t="inlineStr">
        <is>
          <t>1993-02</t>
        </is>
      </c>
      <c r="B891" s="2" t="n">
        <v>34001</v>
      </c>
      <c r="C891" s="96" t="n">
        <v>891</v>
      </c>
      <c r="E891" s="2">
        <f>B891</f>
        <v/>
      </c>
      <c r="F891" s="3">
        <f>B891</f>
        <v/>
      </c>
      <c r="G891" s="96" t="n">
        <v>889</v>
      </c>
      <c r="H891" s="97" t="n"/>
      <c r="I891" s="97" t="n"/>
      <c r="J891" s="97" t="n">
        <v>59.16882</v>
      </c>
      <c r="K891" s="97" t="n">
        <v>68.84405</v>
      </c>
      <c r="L891" s="97" t="n"/>
      <c r="M891" s="97" t="n">
        <v>51.82082</v>
      </c>
      <c r="N891" s="97" t="n">
        <v>67.09441</v>
      </c>
      <c r="O891" s="97" t="n">
        <v>80.77258</v>
      </c>
      <c r="P891" s="97" t="n">
        <v>90.81708</v>
      </c>
      <c r="Q891" s="97" t="n"/>
      <c r="R891" s="97" t="n">
        <v>63.12092</v>
      </c>
      <c r="S891" s="97" t="n">
        <v>87.93073</v>
      </c>
      <c r="T891" s="97" t="n">
        <v>96.38812</v>
      </c>
      <c r="U891" s="97" t="n">
        <v>119.4161</v>
      </c>
      <c r="V891" s="97" t="n">
        <v>29.59048</v>
      </c>
      <c r="W891" s="97" t="n">
        <v>16.63283</v>
      </c>
      <c r="X891" s="97" t="n"/>
      <c r="Y891" s="97" t="n">
        <v>49.0289</v>
      </c>
      <c r="Z891" s="97" t="n">
        <v>106.7911</v>
      </c>
      <c r="AA891" s="97" t="n">
        <v>99.38200000000001</v>
      </c>
      <c r="AB891" s="97" t="n">
        <v>24.35997</v>
      </c>
      <c r="AC891" s="97" t="n">
        <v>70.24435</v>
      </c>
      <c r="AD891" s="97" t="n"/>
      <c r="AE891" s="97" t="n">
        <v>72.28033000000001</v>
      </c>
      <c r="AF891" s="97" t="n">
        <v>77.75465</v>
      </c>
      <c r="AG891" s="97" t="n">
        <v>92.49411000000001</v>
      </c>
      <c r="AH891" s="97" t="n">
        <v>67.12679</v>
      </c>
      <c r="AI891" s="97" t="n">
        <v>25.87587</v>
      </c>
      <c r="AJ891" s="97" t="n">
        <v>103.4284</v>
      </c>
      <c r="AK891" s="97" t="n">
        <v>33.56164</v>
      </c>
      <c r="AL891" s="97" t="n">
        <v>63.29299</v>
      </c>
      <c r="AM891" s="97" t="n">
        <v>65.98456</v>
      </c>
      <c r="AN891" s="97" t="n"/>
      <c r="AO891" s="97" t="n">
        <v>64.21908999999999</v>
      </c>
      <c r="AP891" s="97" t="n">
        <v>76.08732000000001</v>
      </c>
      <c r="AQ891" s="97" t="n"/>
      <c r="AR891" s="97" t="n"/>
      <c r="AS891" s="97" t="n"/>
      <c r="AT891" s="97" t="n"/>
      <c r="AU891" s="97" t="n"/>
      <c r="AV891" s="97" t="n">
        <v>82.2748</v>
      </c>
      <c r="AW891" s="97" t="n"/>
      <c r="AX891" s="97" t="n">
        <v>35.19707</v>
      </c>
      <c r="AY891" s="97" t="n">
        <v>69.05709</v>
      </c>
    </row>
    <row r="892" s="135">
      <c r="A892" t="inlineStr">
        <is>
          <t>1993-03</t>
        </is>
      </c>
      <c r="B892" s="2" t="n">
        <v>34029</v>
      </c>
      <c r="C892" s="96" t="n">
        <v>892</v>
      </c>
      <c r="E892" s="2">
        <f>B892</f>
        <v/>
      </c>
      <c r="F892" s="3">
        <f>B892</f>
        <v/>
      </c>
      <c r="G892" s="96" t="n">
        <v>890</v>
      </c>
      <c r="H892" s="97" t="n"/>
      <c r="I892" s="97" t="n"/>
      <c r="J892" s="97" t="n">
        <v>59.41261</v>
      </c>
      <c r="K892" s="97" t="n">
        <v>69.54797000000001</v>
      </c>
      <c r="L892" s="97" t="n"/>
      <c r="M892" s="97" t="n">
        <v>50.18815</v>
      </c>
      <c r="N892" s="97" t="n">
        <v>67.1944</v>
      </c>
      <c r="O892" s="97" t="n">
        <v>81.53458999999999</v>
      </c>
      <c r="P892" s="97" t="n">
        <v>90.82107999999999</v>
      </c>
      <c r="Q892" s="97" t="n"/>
      <c r="R892" s="97" t="n">
        <v>63.613</v>
      </c>
      <c r="S892" s="97" t="n">
        <v>87.49073</v>
      </c>
      <c r="T892" s="97" t="n">
        <v>95.60686</v>
      </c>
      <c r="U892" s="97" t="n">
        <v>117.705</v>
      </c>
      <c r="V892" s="97" t="n">
        <v>30.44011</v>
      </c>
      <c r="W892" s="97" t="n">
        <v>16.69223</v>
      </c>
      <c r="X892" s="97" t="n"/>
      <c r="Y892" s="97" t="n">
        <v>48.53861</v>
      </c>
      <c r="Z892" s="97" t="n">
        <v>106.2911</v>
      </c>
      <c r="AA892" s="97" t="n">
        <v>96.03546</v>
      </c>
      <c r="AB892" s="97" t="n">
        <v>25.2289</v>
      </c>
      <c r="AC892" s="97" t="n">
        <v>70.5694</v>
      </c>
      <c r="AD892" s="97" t="n"/>
      <c r="AE892" s="97" t="n">
        <v>72.78719</v>
      </c>
      <c r="AF892" s="97" t="n">
        <v>77.02997999999999</v>
      </c>
      <c r="AG892" s="97" t="n">
        <v>96.32069</v>
      </c>
      <c r="AH892" s="97" t="n">
        <v>66.71228000000001</v>
      </c>
      <c r="AI892" s="97" t="n">
        <v>26.09598</v>
      </c>
      <c r="AJ892" s="97" t="n">
        <v>106.4501</v>
      </c>
      <c r="AK892" s="97" t="n">
        <v>31.81753</v>
      </c>
      <c r="AL892" s="97" t="n">
        <v>62.98043</v>
      </c>
      <c r="AM892" s="97" t="n">
        <v>67.199</v>
      </c>
      <c r="AN892" s="97" t="n"/>
      <c r="AO892" s="97" t="n">
        <v>64.12918999999999</v>
      </c>
      <c r="AP892" s="97" t="n">
        <v>75.88735</v>
      </c>
      <c r="AQ892" s="97" t="n"/>
      <c r="AR892" s="97" t="n"/>
      <c r="AS892" s="97" t="n"/>
      <c r="AT892" s="97" t="n"/>
      <c r="AU892" s="97" t="n"/>
      <c r="AV892" s="97" t="n">
        <v>83.56303</v>
      </c>
      <c r="AW892" s="97" t="n"/>
      <c r="AX892" s="97" t="n">
        <v>33.99717</v>
      </c>
      <c r="AY892" s="97" t="n">
        <v>68.81131000000001</v>
      </c>
    </row>
    <row r="893" s="135">
      <c r="A893" t="inlineStr">
        <is>
          <t>1993-04</t>
        </is>
      </c>
      <c r="B893" s="2" t="n">
        <v>34060</v>
      </c>
      <c r="C893" s="96" t="n">
        <v>893</v>
      </c>
      <c r="E893" s="2">
        <f>B893</f>
        <v/>
      </c>
      <c r="F893" s="3">
        <f>B893</f>
        <v/>
      </c>
      <c r="G893" s="96" t="n">
        <v>891</v>
      </c>
      <c r="H893" s="97" t="n"/>
      <c r="I893" s="97" t="n"/>
      <c r="J893" s="97" t="n">
        <v>59.66206</v>
      </c>
      <c r="K893" s="97" t="n">
        <v>69.23595</v>
      </c>
      <c r="L893" s="97" t="n"/>
      <c r="M893" s="97" t="n">
        <v>51.38503</v>
      </c>
      <c r="N893" s="97" t="n">
        <v>66.69444</v>
      </c>
      <c r="O893" s="97" t="n">
        <v>82.40545</v>
      </c>
      <c r="P893" s="97" t="n">
        <v>90.57407000000001</v>
      </c>
      <c r="Q893" s="97" t="n"/>
      <c r="R893" s="97" t="n">
        <v>64.08271999999999</v>
      </c>
      <c r="S893" s="97" t="n">
        <v>86.90073</v>
      </c>
      <c r="T893" s="97" t="n">
        <v>95.70452</v>
      </c>
      <c r="U893" s="97" t="n">
        <v>119.0604</v>
      </c>
      <c r="V893" s="97" t="n">
        <v>30.93816</v>
      </c>
      <c r="W893" s="97" t="n">
        <v>16.63283</v>
      </c>
      <c r="X893" s="97" t="n"/>
      <c r="Y893" s="97" t="n">
        <v>48.11837</v>
      </c>
      <c r="Z893" s="97" t="n">
        <v>106.0912</v>
      </c>
      <c r="AA893" s="97" t="n">
        <v>97.86085</v>
      </c>
      <c r="AB893" s="97" t="n">
        <v>25.08991</v>
      </c>
      <c r="AC893" s="97" t="n">
        <v>70.146</v>
      </c>
      <c r="AD893" s="97" t="n"/>
      <c r="AE893" s="97" t="n">
        <v>72.38856</v>
      </c>
      <c r="AF893" s="97" t="n">
        <v>76.18969</v>
      </c>
      <c r="AG893" s="97" t="n">
        <v>95.99271</v>
      </c>
      <c r="AH893" s="97" t="n">
        <v>67.00931</v>
      </c>
      <c r="AI893" s="97" t="n">
        <v>26.71192</v>
      </c>
      <c r="AJ893" s="97" t="n">
        <v>104.6943</v>
      </c>
      <c r="AK893" s="97" t="n">
        <v>31.99341</v>
      </c>
      <c r="AL893" s="97" t="n">
        <v>63.05857</v>
      </c>
      <c r="AM893" s="97" t="n">
        <v>66.49057999999999</v>
      </c>
      <c r="AN893" s="97" t="n"/>
      <c r="AO893" s="97" t="n">
        <v>64.35414</v>
      </c>
      <c r="AP893" s="97" t="n">
        <v>75.38744</v>
      </c>
      <c r="AQ893" s="97" t="n"/>
      <c r="AR893" s="97" t="n"/>
      <c r="AS893" s="97" t="n"/>
      <c r="AT893" s="97" t="n"/>
      <c r="AU893" s="97" t="n"/>
      <c r="AV893" s="97" t="n">
        <v>82.16254000000001</v>
      </c>
      <c r="AW893" s="97" t="n"/>
      <c r="AX893" s="97" t="n">
        <v>35.69703</v>
      </c>
      <c r="AY893" s="97" t="n">
        <v>69.49599000000001</v>
      </c>
    </row>
    <row r="894" s="135">
      <c r="A894" t="inlineStr">
        <is>
          <t>1993-05</t>
        </is>
      </c>
      <c r="B894" s="2" t="n">
        <v>34090</v>
      </c>
      <c r="C894" s="96" t="n">
        <v>894</v>
      </c>
      <c r="E894" s="2">
        <f>B894</f>
        <v/>
      </c>
      <c r="F894" s="3">
        <f>B894</f>
        <v/>
      </c>
      <c r="G894" s="96" t="n">
        <v>892</v>
      </c>
      <c r="H894" s="97" t="n"/>
      <c r="I894" s="97" t="n"/>
      <c r="J894" s="97" t="n">
        <v>58.27518</v>
      </c>
      <c r="K894" s="97" t="n">
        <v>68.87365</v>
      </c>
      <c r="L894" s="97" t="n"/>
      <c r="M894" s="97" t="n">
        <v>52.69756</v>
      </c>
      <c r="N894" s="97" t="n">
        <v>66.69444</v>
      </c>
      <c r="O894" s="97" t="n">
        <v>77.18026999999999</v>
      </c>
      <c r="P894" s="97" t="n">
        <v>91.13106999999999</v>
      </c>
      <c r="Q894" s="97" t="n"/>
      <c r="R894" s="97" t="n">
        <v>63.33341</v>
      </c>
      <c r="S894" s="97" t="n">
        <v>86.83073</v>
      </c>
      <c r="T894" s="97" t="n">
        <v>96.38812</v>
      </c>
      <c r="U894" s="97" t="n">
        <v>119.5956</v>
      </c>
      <c r="V894" s="97" t="n">
        <v>30.08854</v>
      </c>
      <c r="W894" s="97" t="n">
        <v>16.63283</v>
      </c>
      <c r="X894" s="97" t="n"/>
      <c r="Y894" s="97" t="n">
        <v>48.18841</v>
      </c>
      <c r="Z894" s="97" t="n">
        <v>105.4912</v>
      </c>
      <c r="AA894" s="97" t="n">
        <v>99.17918</v>
      </c>
      <c r="AB894" s="97" t="n">
        <v>25.02592</v>
      </c>
      <c r="AC894" s="97" t="n">
        <v>72.4436</v>
      </c>
      <c r="AD894" s="97" t="n"/>
      <c r="AE894" s="97" t="n">
        <v>73.03259</v>
      </c>
      <c r="AF894" s="97" t="n">
        <v>76.71391</v>
      </c>
      <c r="AG894" s="97" t="n">
        <v>96.10204</v>
      </c>
      <c r="AH894" s="97" t="n">
        <v>67.14324000000001</v>
      </c>
      <c r="AI894" s="97" t="n">
        <v>27.6377</v>
      </c>
      <c r="AJ894" s="97" t="n">
        <v>102.7678</v>
      </c>
      <c r="AK894" s="97" t="n">
        <v>31.71676</v>
      </c>
      <c r="AL894" s="97" t="n">
        <v>62.90229</v>
      </c>
      <c r="AM894" s="97" t="n">
        <v>67.50261</v>
      </c>
      <c r="AN894" s="97" t="n"/>
      <c r="AO894" s="97" t="n">
        <v>64.13072</v>
      </c>
      <c r="AP894" s="97" t="n">
        <v>75.28745000000001</v>
      </c>
      <c r="AQ894" s="97" t="n"/>
      <c r="AR894" s="97" t="n"/>
      <c r="AS894" s="97" t="n"/>
      <c r="AT894" s="97" t="n"/>
      <c r="AU894" s="97" t="n"/>
      <c r="AV894" s="97" t="n">
        <v>82.15611</v>
      </c>
      <c r="AW894" s="97" t="n"/>
      <c r="AX894" s="97" t="n">
        <v>35.29706</v>
      </c>
      <c r="AY894" s="97" t="n">
        <v>71.14627</v>
      </c>
    </row>
    <row r="895" s="135">
      <c r="A895" t="inlineStr">
        <is>
          <t>1993-06</t>
        </is>
      </c>
      <c r="B895" s="2" t="n">
        <v>34121</v>
      </c>
      <c r="C895" s="96" t="n">
        <v>895</v>
      </c>
      <c r="E895" s="2">
        <f>B895</f>
        <v/>
      </c>
      <c r="F895" s="3">
        <f>B895</f>
        <v/>
      </c>
      <c r="G895" s="96" t="n">
        <v>893</v>
      </c>
      <c r="H895" s="97" t="n"/>
      <c r="I895" s="97" t="n"/>
      <c r="J895" s="97" t="n">
        <v>59.20359</v>
      </c>
      <c r="K895" s="97" t="n">
        <v>69.26508</v>
      </c>
      <c r="L895" s="97" t="n"/>
      <c r="M895" s="97" t="n">
        <v>50.92623</v>
      </c>
      <c r="N895" s="97" t="n">
        <v>66.19448</v>
      </c>
      <c r="O895" s="97" t="n">
        <v>82.29658999999999</v>
      </c>
      <c r="P895" s="97" t="n">
        <v>90.63307</v>
      </c>
      <c r="Q895" s="97" t="n"/>
      <c r="R895" s="97" t="n">
        <v>65.20108999999999</v>
      </c>
      <c r="S895" s="97" t="n">
        <v>86.16072</v>
      </c>
      <c r="T895" s="97" t="n">
        <v>95.80218000000001</v>
      </c>
      <c r="U895" s="97" t="n">
        <v>120.4049</v>
      </c>
      <c r="V895" s="97" t="n">
        <v>31.20184</v>
      </c>
      <c r="W895" s="97" t="n">
        <v>16.21701</v>
      </c>
      <c r="X895" s="97" t="n"/>
      <c r="Y895" s="97" t="n">
        <v>49.0289</v>
      </c>
      <c r="Z895" s="97" t="n">
        <v>105.0912</v>
      </c>
      <c r="AA895" s="97" t="n">
        <v>97.35380000000001</v>
      </c>
      <c r="AB895" s="97" t="n">
        <v>25.29389</v>
      </c>
      <c r="AC895" s="97" t="n">
        <v>71.84679</v>
      </c>
      <c r="AD895" s="97" t="n"/>
      <c r="AE895" s="97" t="n">
        <v>72.05195000000001</v>
      </c>
      <c r="AF895" s="97" t="n">
        <v>75.96613000000001</v>
      </c>
      <c r="AG895" s="97" t="n">
        <v>92.38478000000001</v>
      </c>
      <c r="AH895" s="97" t="n">
        <v>66.85458</v>
      </c>
      <c r="AI895" s="97" t="n">
        <v>27.34207</v>
      </c>
      <c r="AJ895" s="97" t="n">
        <v>102.6943</v>
      </c>
      <c r="AK895" s="97" t="n">
        <v>31.18332</v>
      </c>
      <c r="AL895" s="97" t="n">
        <v>62.27718</v>
      </c>
      <c r="AM895" s="97" t="n">
        <v>68.00861999999999</v>
      </c>
      <c r="AN895" s="97" t="n"/>
      <c r="AO895" s="97" t="n">
        <v>64.23705</v>
      </c>
      <c r="AP895" s="97" t="n">
        <v>74.88751999999999</v>
      </c>
      <c r="AQ895" s="97" t="n"/>
      <c r="AR895" s="97" t="n"/>
      <c r="AS895" s="97" t="n"/>
      <c r="AT895" s="97" t="n"/>
      <c r="AU895" s="97" t="n"/>
      <c r="AV895" s="97" t="n">
        <v>80.70789000000001</v>
      </c>
      <c r="AW895" s="97" t="n"/>
      <c r="AX895" s="97" t="n">
        <v>36.09699</v>
      </c>
      <c r="AY895" s="97" t="n">
        <v>70.60204</v>
      </c>
    </row>
    <row r="896" s="135">
      <c r="A896" t="inlineStr">
        <is>
          <t>1993-07</t>
        </is>
      </c>
      <c r="B896" s="2" t="n">
        <v>34151</v>
      </c>
      <c r="C896" s="96" t="n">
        <v>896</v>
      </c>
      <c r="E896" s="2">
        <f>B896</f>
        <v/>
      </c>
      <c r="F896" s="3">
        <f>B896</f>
        <v/>
      </c>
      <c r="G896" s="96" t="n">
        <v>894</v>
      </c>
      <c r="H896" s="97" t="n"/>
      <c r="I896" s="97" t="n"/>
      <c r="J896" s="97" t="n">
        <v>57.841</v>
      </c>
      <c r="K896" s="97" t="n">
        <v>68.81397</v>
      </c>
      <c r="L896" s="97" t="n"/>
      <c r="M896" s="97" t="n">
        <v>49.76168</v>
      </c>
      <c r="N896" s="97" t="n">
        <v>64.69461</v>
      </c>
      <c r="O896" s="97" t="n">
        <v>87.08634000000001</v>
      </c>
      <c r="P896" s="97" t="n">
        <v>91.54507</v>
      </c>
      <c r="Q896" s="97" t="n"/>
      <c r="R896" s="97" t="n">
        <v>66.02869</v>
      </c>
      <c r="S896" s="97" t="n">
        <v>87.33073</v>
      </c>
      <c r="T896" s="97" t="n">
        <v>96.6811</v>
      </c>
      <c r="U896" s="97" t="n">
        <v>114.9217</v>
      </c>
      <c r="V896" s="97" t="n">
        <v>31.72919</v>
      </c>
      <c r="W896" s="97" t="n">
        <v>16.45462</v>
      </c>
      <c r="X896" s="97" t="n"/>
      <c r="Y896" s="97" t="n">
        <v>49.16899</v>
      </c>
      <c r="Z896" s="97" t="n">
        <v>104.4913</v>
      </c>
      <c r="AA896" s="97" t="n">
        <v>97.25238</v>
      </c>
      <c r="AB896" s="97" t="n">
        <v>25.62586</v>
      </c>
      <c r="AC896" s="97" t="n">
        <v>71.06695999999999</v>
      </c>
      <c r="AD896" s="97" t="n"/>
      <c r="AE896" s="97" t="n">
        <v>71.8271</v>
      </c>
      <c r="AF896" s="97" t="n">
        <v>77.19188</v>
      </c>
      <c r="AG896" s="97" t="n">
        <v>97.96066</v>
      </c>
      <c r="AH896" s="97" t="n">
        <v>66.83463</v>
      </c>
      <c r="AI896" s="97" t="n">
        <v>26.2097</v>
      </c>
      <c r="AJ896" s="97" t="n">
        <v>103.8002</v>
      </c>
      <c r="AK896" s="97" t="n">
        <v>30.37864</v>
      </c>
      <c r="AL896" s="97" t="n">
        <v>62.66787</v>
      </c>
      <c r="AM896" s="97" t="n">
        <v>69.12186</v>
      </c>
      <c r="AN896" s="97" t="n"/>
      <c r="AO896" s="97" t="n">
        <v>64.4353</v>
      </c>
      <c r="AP896" s="97" t="n">
        <v>74.38760000000001</v>
      </c>
      <c r="AQ896" s="97" t="n"/>
      <c r="AR896" s="97" t="n"/>
      <c r="AS896" s="97" t="n"/>
      <c r="AT896" s="97" t="n"/>
      <c r="AU896" s="97" t="n"/>
      <c r="AV896" s="97" t="n">
        <v>77.77357000000001</v>
      </c>
      <c r="AW896" s="97" t="n"/>
      <c r="AX896" s="97" t="n">
        <v>36.59695</v>
      </c>
      <c r="AY896" s="97" t="n">
        <v>71.0146</v>
      </c>
    </row>
    <row r="897" s="135">
      <c r="A897" t="inlineStr">
        <is>
          <t>1993-08</t>
        </is>
      </c>
      <c r="B897" s="2" t="n">
        <v>34182</v>
      </c>
      <c r="C897" s="96" t="n">
        <v>897</v>
      </c>
      <c r="E897" s="2">
        <f>B897</f>
        <v/>
      </c>
      <c r="F897" s="3">
        <f>B897</f>
        <v/>
      </c>
      <c r="G897" s="96" t="n">
        <v>895</v>
      </c>
      <c r="H897" s="97" t="n"/>
      <c r="I897" s="97" t="n"/>
      <c r="J897" s="97" t="n">
        <v>58.92184</v>
      </c>
      <c r="K897" s="97" t="n">
        <v>69.74722</v>
      </c>
      <c r="L897" s="97" t="n"/>
      <c r="M897" s="97" t="n">
        <v>49.9199</v>
      </c>
      <c r="N897" s="97" t="n">
        <v>67.49438000000001</v>
      </c>
      <c r="O897" s="97" t="n">
        <v>85.88891</v>
      </c>
      <c r="P897" s="97" t="n">
        <v>89.84007</v>
      </c>
      <c r="Q897" s="97" t="n"/>
      <c r="R897" s="97" t="n">
        <v>65.57015</v>
      </c>
      <c r="S897" s="97" t="n">
        <v>86.70072</v>
      </c>
      <c r="T897" s="97" t="n">
        <v>96.97407</v>
      </c>
      <c r="U897" s="97" t="n">
        <v>117.3823</v>
      </c>
      <c r="V897" s="97" t="n">
        <v>29.94205</v>
      </c>
      <c r="W897" s="97" t="n">
        <v>16.63283</v>
      </c>
      <c r="X897" s="97" t="n"/>
      <c r="Y897" s="97" t="n">
        <v>48.88882</v>
      </c>
      <c r="Z897" s="97" t="n">
        <v>104.5913</v>
      </c>
      <c r="AA897" s="97" t="n">
        <v>96.33969</v>
      </c>
      <c r="AB897" s="97" t="n">
        <v>25.2289</v>
      </c>
      <c r="AC897" s="97" t="n">
        <v>64.44104</v>
      </c>
      <c r="AD897" s="97" t="n"/>
      <c r="AE897" s="97" t="n">
        <v>71.62685999999999</v>
      </c>
      <c r="AF897" s="97" t="n">
        <v>76.50576</v>
      </c>
      <c r="AG897" s="97" t="n">
        <v>98.94464000000001</v>
      </c>
      <c r="AH897" s="97" t="n">
        <v>66.85196000000001</v>
      </c>
      <c r="AI897" s="97" t="n">
        <v>26.61522</v>
      </c>
      <c r="AJ897" s="97" t="n">
        <v>101.3692</v>
      </c>
      <c r="AK897" s="97" t="n">
        <v>32.33376</v>
      </c>
      <c r="AL897" s="97" t="n">
        <v>65.55904</v>
      </c>
      <c r="AM897" s="97" t="n">
        <v>69.42547</v>
      </c>
      <c r="AN897" s="97" t="n"/>
      <c r="AO897" s="97" t="n">
        <v>64.36758</v>
      </c>
      <c r="AP897" s="97" t="n">
        <v>75.48742</v>
      </c>
      <c r="AQ897" s="97" t="n"/>
      <c r="AR897" s="97" t="n"/>
      <c r="AS897" s="97" t="n"/>
      <c r="AT897" s="97" t="n"/>
      <c r="AU897" s="97" t="n"/>
      <c r="AV897" s="97" t="n">
        <v>75.14499000000001</v>
      </c>
      <c r="AW897" s="97" t="n"/>
      <c r="AX897" s="97" t="n">
        <v>34.29714</v>
      </c>
      <c r="AY897" s="97" t="n">
        <v>70.24213</v>
      </c>
    </row>
    <row r="898" s="135">
      <c r="A898" t="inlineStr">
        <is>
          <t>1993-09</t>
        </is>
      </c>
      <c r="B898" s="2" t="n">
        <v>34213</v>
      </c>
      <c r="C898" s="96" t="n">
        <v>898</v>
      </c>
      <c r="E898" s="2">
        <f>B898</f>
        <v/>
      </c>
      <c r="F898" s="3">
        <f>B898</f>
        <v/>
      </c>
      <c r="G898" s="96" t="n">
        <v>896</v>
      </c>
      <c r="H898" s="97" t="n"/>
      <c r="I898" s="97" t="n"/>
      <c r="J898" s="97" t="n">
        <v>59.67006</v>
      </c>
      <c r="K898" s="97" t="n">
        <v>70.65226</v>
      </c>
      <c r="L898" s="97" t="n"/>
      <c r="M898" s="97" t="n">
        <v>51.66958</v>
      </c>
      <c r="N898" s="97" t="n">
        <v>67.1944</v>
      </c>
      <c r="O898" s="97" t="n">
        <v>86.10662000000001</v>
      </c>
      <c r="P898" s="97" t="n">
        <v>92.61808000000001</v>
      </c>
      <c r="Q898" s="97" t="n"/>
      <c r="R898" s="97" t="n">
        <v>66.93456999999999</v>
      </c>
      <c r="S898" s="97" t="n">
        <v>87.28072</v>
      </c>
      <c r="T898" s="97" t="n">
        <v>97.3647</v>
      </c>
      <c r="U898" s="97" t="n">
        <v>125.6843</v>
      </c>
      <c r="V898" s="97" t="n">
        <v>30.4694</v>
      </c>
      <c r="W898" s="97" t="n">
        <v>16.81104</v>
      </c>
      <c r="X898" s="97" t="n"/>
      <c r="Y898" s="97" t="n">
        <v>50.14956</v>
      </c>
      <c r="Z898" s="97" t="n">
        <v>105.1912</v>
      </c>
      <c r="AA898" s="97" t="n">
        <v>96.64391999999999</v>
      </c>
      <c r="AB898" s="97" t="n">
        <v>26.29181</v>
      </c>
      <c r="AC898" s="97" t="n">
        <v>70.18483999999999</v>
      </c>
      <c r="AD898" s="97" t="n"/>
      <c r="AE898" s="97" t="n">
        <v>71.98875</v>
      </c>
      <c r="AF898" s="97" t="n">
        <v>79.45837</v>
      </c>
      <c r="AG898" s="97" t="n">
        <v>98.28865999999999</v>
      </c>
      <c r="AH898" s="97" t="n">
        <v>67.43405</v>
      </c>
      <c r="AI898" s="97" t="n">
        <v>27.00587</v>
      </c>
      <c r="AJ898" s="97" t="n">
        <v>104.204</v>
      </c>
      <c r="AK898" s="97" t="n">
        <v>31.7093</v>
      </c>
      <c r="AL898" s="97" t="n">
        <v>65.01205</v>
      </c>
      <c r="AM898" s="97" t="n">
        <v>69.52667</v>
      </c>
      <c r="AN898" s="97" t="n"/>
      <c r="AO898" s="97" t="n">
        <v>64.67543000000001</v>
      </c>
      <c r="AP898" s="97" t="n">
        <v>75.78737</v>
      </c>
      <c r="AQ898" s="97" t="n"/>
      <c r="AR898" s="97" t="n"/>
      <c r="AS898" s="97" t="n"/>
      <c r="AT898" s="97" t="n"/>
      <c r="AU898" s="97" t="n"/>
      <c r="AV898" s="97" t="n">
        <v>73.90195</v>
      </c>
      <c r="AW898" s="97" t="n"/>
      <c r="AX898" s="97" t="n">
        <v>36.49696</v>
      </c>
      <c r="AY898" s="97" t="n">
        <v>69.96124</v>
      </c>
    </row>
    <row r="899" s="135">
      <c r="A899" t="inlineStr">
        <is>
          <t>1993-10</t>
        </is>
      </c>
      <c r="B899" s="2" t="n">
        <v>34243</v>
      </c>
      <c r="C899" s="96" t="n">
        <v>899</v>
      </c>
      <c r="E899" s="2">
        <f>B899</f>
        <v/>
      </c>
      <c r="F899" s="3">
        <f>B899</f>
        <v/>
      </c>
      <c r="G899" s="96" t="n">
        <v>897</v>
      </c>
      <c r="H899" s="97" t="n"/>
      <c r="I899" s="97" t="n"/>
      <c r="J899" s="97" t="n">
        <v>59.23377</v>
      </c>
      <c r="K899" s="97" t="n">
        <v>70.67104999999999</v>
      </c>
      <c r="L899" s="97" t="n"/>
      <c r="M899" s="97" t="n">
        <v>50.87796</v>
      </c>
      <c r="N899" s="97" t="n">
        <v>67.1944</v>
      </c>
      <c r="O899" s="97" t="n">
        <v>80.9903</v>
      </c>
      <c r="P899" s="97" t="n">
        <v>93.28908</v>
      </c>
      <c r="Q899" s="97" t="n"/>
      <c r="R899" s="97" t="n">
        <v>67.59441</v>
      </c>
      <c r="S899" s="97" t="n">
        <v>87.67073000000001</v>
      </c>
      <c r="T899" s="97" t="n">
        <v>97.56001000000001</v>
      </c>
      <c r="U899" s="97" t="n">
        <v>119.5967</v>
      </c>
      <c r="V899" s="97" t="n">
        <v>30.41081</v>
      </c>
      <c r="W899" s="97" t="n">
        <v>16.75164</v>
      </c>
      <c r="X899" s="97" t="n"/>
      <c r="Y899" s="97" t="n">
        <v>50.56981</v>
      </c>
      <c r="Z899" s="97" t="n">
        <v>105.0912</v>
      </c>
      <c r="AA899" s="97" t="n">
        <v>95.83264</v>
      </c>
      <c r="AB899" s="97" t="n">
        <v>26.08883</v>
      </c>
      <c r="AC899" s="97" t="n">
        <v>69.77709</v>
      </c>
      <c r="AD899" s="97" t="n"/>
      <c r="AE899" s="97" t="n">
        <v>71.94206</v>
      </c>
      <c r="AF899" s="97" t="n">
        <v>79.37357</v>
      </c>
      <c r="AG899" s="97" t="n">
        <v>100.5846</v>
      </c>
      <c r="AH899" s="97" t="n">
        <v>67.48903</v>
      </c>
      <c r="AI899" s="97" t="n">
        <v>26.76139</v>
      </c>
      <c r="AJ899" s="97" t="n">
        <v>100.0509</v>
      </c>
      <c r="AK899" s="97" t="n">
        <v>31.07976</v>
      </c>
      <c r="AL899" s="97" t="n">
        <v>67.35624</v>
      </c>
      <c r="AM899" s="97" t="n">
        <v>69.52667</v>
      </c>
      <c r="AN899" s="97" t="n"/>
      <c r="AO899" s="97" t="n">
        <v>65.17201</v>
      </c>
      <c r="AP899" s="97" t="n">
        <v>75.88735</v>
      </c>
      <c r="AQ899" s="97" t="n"/>
      <c r="AR899" s="97" t="n"/>
      <c r="AS899" s="97" t="n"/>
      <c r="AT899" s="97" t="n"/>
      <c r="AU899" s="97" t="n"/>
      <c r="AV899" s="97" t="n">
        <v>73.46966999999999</v>
      </c>
      <c r="AW899" s="97" t="n"/>
      <c r="AX899" s="97" t="n">
        <v>36.89693</v>
      </c>
      <c r="AY899" s="97" t="n">
        <v>70.61081</v>
      </c>
    </row>
    <row r="900" s="135">
      <c r="A900" t="inlineStr">
        <is>
          <t>1993-11</t>
        </is>
      </c>
      <c r="B900" s="2" t="n">
        <v>34274</v>
      </c>
      <c r="C900" s="96" t="n">
        <v>900</v>
      </c>
      <c r="E900" s="2">
        <f>B900</f>
        <v/>
      </c>
      <c r="F900" s="3">
        <f>B900</f>
        <v/>
      </c>
      <c r="G900" s="96" t="n">
        <v>898</v>
      </c>
      <c r="H900" s="97" t="n"/>
      <c r="I900" s="97" t="n"/>
      <c r="J900" s="97" t="n">
        <v>58.93908</v>
      </c>
      <c r="K900" s="97" t="n">
        <v>70.87218</v>
      </c>
      <c r="L900" s="97" t="n"/>
      <c r="M900" s="97" t="n">
        <v>50.7063</v>
      </c>
      <c r="N900" s="97" t="n">
        <v>66.59444999999999</v>
      </c>
      <c r="O900" s="97" t="n">
        <v>81.64345</v>
      </c>
      <c r="P900" s="97" t="n">
        <v>93.63708</v>
      </c>
      <c r="Q900" s="97" t="n"/>
      <c r="R900" s="97" t="n">
        <v>68.31017</v>
      </c>
      <c r="S900" s="97" t="n">
        <v>87.05073</v>
      </c>
      <c r="T900" s="97" t="n">
        <v>98.43893</v>
      </c>
      <c r="U900" s="97" t="n">
        <v>120.0704</v>
      </c>
      <c r="V900" s="97" t="n">
        <v>31.26044</v>
      </c>
      <c r="W900" s="97" t="n">
        <v>16.75164</v>
      </c>
      <c r="X900" s="97" t="n"/>
      <c r="Y900" s="97" t="n">
        <v>51.27023</v>
      </c>
      <c r="Z900" s="97" t="n">
        <v>105.8912</v>
      </c>
      <c r="AA900" s="97" t="n">
        <v>95.62982</v>
      </c>
      <c r="AB900" s="97" t="n">
        <v>26.62478</v>
      </c>
      <c r="AC900" s="97" t="n">
        <v>67.05119999999999</v>
      </c>
      <c r="AD900" s="97" t="n"/>
      <c r="AE900" s="97" t="n">
        <v>72.49339999999999</v>
      </c>
      <c r="AF900" s="97" t="n">
        <v>79.71278</v>
      </c>
      <c r="AG900" s="97" t="n">
        <v>101.5686</v>
      </c>
      <c r="AH900" s="97" t="n">
        <v>67.58447</v>
      </c>
      <c r="AI900" s="97" t="n">
        <v>27.46021</v>
      </c>
      <c r="AJ900" s="97" t="n">
        <v>103.0675</v>
      </c>
      <c r="AK900" s="97" t="n">
        <v>32.32622</v>
      </c>
      <c r="AL900" s="97" t="n">
        <v>65.40276</v>
      </c>
      <c r="AM900" s="97" t="n">
        <v>70.03269</v>
      </c>
      <c r="AN900" s="97" t="n"/>
      <c r="AO900" s="97" t="n">
        <v>65.44201</v>
      </c>
      <c r="AP900" s="97" t="n">
        <v>75.88735</v>
      </c>
      <c r="AQ900" s="97" t="n"/>
      <c r="AR900" s="97" t="n"/>
      <c r="AS900" s="97" t="n"/>
      <c r="AT900" s="97" t="n"/>
      <c r="AU900" s="97" t="n"/>
      <c r="AV900" s="97" t="n">
        <v>71.0808</v>
      </c>
      <c r="AW900" s="97" t="n"/>
      <c r="AX900" s="97" t="n">
        <v>35.49704</v>
      </c>
      <c r="AY900" s="97" t="n">
        <v>70.18069</v>
      </c>
    </row>
    <row r="901" s="135">
      <c r="A901" t="inlineStr">
        <is>
          <t>1993-12</t>
        </is>
      </c>
      <c r="B901" s="2" t="n">
        <v>34304</v>
      </c>
      <c r="C901" s="96" t="n">
        <v>901</v>
      </c>
      <c r="E901" s="2">
        <f>B901</f>
        <v/>
      </c>
      <c r="F901" s="3">
        <f>B901</f>
        <v/>
      </c>
      <c r="G901" s="96" t="n">
        <v>899</v>
      </c>
      <c r="H901" s="97" t="n"/>
      <c r="I901" s="97" t="n"/>
      <c r="J901" s="97" t="n">
        <v>59.5365</v>
      </c>
      <c r="K901" s="97" t="n">
        <v>70.24155</v>
      </c>
      <c r="L901" s="97" t="n"/>
      <c r="M901" s="97" t="n">
        <v>50.7668</v>
      </c>
      <c r="N901" s="97" t="n">
        <v>67.39439</v>
      </c>
      <c r="O901" s="97" t="n">
        <v>79.79286</v>
      </c>
      <c r="P901" s="97" t="n">
        <v>93.89308</v>
      </c>
      <c r="Q901" s="97" t="n"/>
      <c r="R901" s="97" t="n">
        <v>68.60093999999999</v>
      </c>
      <c r="S901" s="97" t="n">
        <v>86.27072</v>
      </c>
      <c r="T901" s="97" t="n">
        <v>98.73191</v>
      </c>
      <c r="U901" s="97" t="n">
        <v>118.7588</v>
      </c>
      <c r="V901" s="97" t="n">
        <v>31.99287</v>
      </c>
      <c r="W901" s="97" t="n">
        <v>17.22686</v>
      </c>
      <c r="X901" s="97" t="n"/>
      <c r="Y901" s="97" t="n">
        <v>51.27023</v>
      </c>
      <c r="Z901" s="97" t="n">
        <v>105.7912</v>
      </c>
      <c r="AA901" s="97" t="n">
        <v>94.91995</v>
      </c>
      <c r="AB901" s="97" t="n">
        <v>27.22473</v>
      </c>
      <c r="AC901" s="97" t="n">
        <v>70.40277</v>
      </c>
      <c r="AD901" s="97" t="n"/>
      <c r="AE901" s="97" t="n">
        <v>73.87657</v>
      </c>
      <c r="AF901" s="97" t="n">
        <v>74.90997</v>
      </c>
      <c r="AG901" s="97" t="n">
        <v>100.9126</v>
      </c>
      <c r="AH901" s="97" t="n">
        <v>67.81256999999999</v>
      </c>
      <c r="AI901" s="97" t="n">
        <v>27.63565</v>
      </c>
      <c r="AJ901" s="97" t="n">
        <v>105.1101</v>
      </c>
      <c r="AK901" s="97" t="n">
        <v>32.58108</v>
      </c>
      <c r="AL901" s="97" t="n">
        <v>67.04369</v>
      </c>
      <c r="AM901" s="97" t="n">
        <v>71.34833999999999</v>
      </c>
      <c r="AN901" s="97" t="n"/>
      <c r="AO901" s="97" t="n">
        <v>65.80009</v>
      </c>
      <c r="AP901" s="97" t="n">
        <v>75.98734</v>
      </c>
      <c r="AQ901" s="97" t="n"/>
      <c r="AR901" s="97" t="n"/>
      <c r="AS901" s="97" t="n"/>
      <c r="AT901" s="97" t="n"/>
      <c r="AU901" s="97" t="n"/>
      <c r="AV901" s="97" t="n">
        <v>66.71207</v>
      </c>
      <c r="AW901" s="97" t="n"/>
      <c r="AX901" s="97" t="n">
        <v>38.29681</v>
      </c>
      <c r="AY901" s="97" t="n">
        <v>71.3745</v>
      </c>
    </row>
    <row r="902" s="135">
      <c r="A902" t="inlineStr">
        <is>
          <t>1994-01</t>
        </is>
      </c>
      <c r="B902" s="2" t="n">
        <v>34335</v>
      </c>
      <c r="C902" s="96" t="n">
        <v>902</v>
      </c>
      <c r="E902" s="2">
        <f>B902</f>
        <v/>
      </c>
      <c r="F902" s="3">
        <f>B902</f>
        <v/>
      </c>
      <c r="G902" s="96" t="n">
        <v>900</v>
      </c>
      <c r="H902" s="97" t="n"/>
      <c r="I902" s="97" t="n"/>
      <c r="J902" s="97" t="n">
        <v>61.31252</v>
      </c>
      <c r="K902" s="97" t="n">
        <v>70.97132999999999</v>
      </c>
      <c r="L902" s="97" t="n"/>
      <c r="M902" s="97" t="n">
        <v>50.55645</v>
      </c>
      <c r="N902" s="97" t="n">
        <v>67.09441</v>
      </c>
      <c r="O902" s="97" t="n">
        <v>89.15464</v>
      </c>
      <c r="P902" s="97" t="n">
        <v>93.46908000000001</v>
      </c>
      <c r="Q902" s="97" t="n"/>
      <c r="R902" s="97" t="n">
        <v>69.16013</v>
      </c>
      <c r="S902" s="97" t="n">
        <v>87.88073</v>
      </c>
      <c r="T902" s="97" t="n">
        <v>99.31786</v>
      </c>
      <c r="U902" s="97" t="n">
        <v>116.8313</v>
      </c>
      <c r="V902" s="97" t="n">
        <v>32.13936</v>
      </c>
      <c r="W902" s="97" t="n">
        <v>17.16746</v>
      </c>
      <c r="X902" s="97" t="n"/>
      <c r="Y902" s="97" t="n">
        <v>52.2508</v>
      </c>
      <c r="Z902" s="97" t="n">
        <v>106.0912</v>
      </c>
      <c r="AA902" s="97" t="n">
        <v>94.51430999999999</v>
      </c>
      <c r="AB902" s="97" t="n">
        <v>26.95675</v>
      </c>
      <c r="AC902" s="97" t="n">
        <v>73.62754</v>
      </c>
      <c r="AD902" s="97" t="n"/>
      <c r="AE902" s="97" t="n">
        <v>74.68274</v>
      </c>
      <c r="AF902" s="97" t="n">
        <v>78.77225</v>
      </c>
      <c r="AG902" s="97" t="n">
        <v>102.4432</v>
      </c>
      <c r="AH902" s="97" t="n">
        <v>68.14579000000001</v>
      </c>
      <c r="AI902" s="97" t="n">
        <v>28.51093</v>
      </c>
      <c r="AJ902" s="97" t="n">
        <v>103.258</v>
      </c>
      <c r="AK902" s="97" t="n">
        <v>32.00739</v>
      </c>
      <c r="AL902" s="97" t="n">
        <v>65.48090000000001</v>
      </c>
      <c r="AM902" s="97" t="n">
        <v>71.75314</v>
      </c>
      <c r="AN902" s="97" t="n"/>
      <c r="AO902" s="97" t="n">
        <v>66.04925</v>
      </c>
      <c r="AP902" s="97" t="n">
        <v>76.08732000000001</v>
      </c>
      <c r="AQ902" s="97" t="n"/>
      <c r="AR902" s="97" t="n"/>
      <c r="AS902" s="97" t="n"/>
      <c r="AT902" s="97" t="n"/>
      <c r="AU902" s="97" t="n"/>
      <c r="AV902" s="97" t="n">
        <v>60.62581</v>
      </c>
      <c r="AW902" s="97" t="n"/>
      <c r="AX902" s="97" t="n">
        <v>38.19682</v>
      </c>
      <c r="AY902" s="97" t="n">
        <v>72.47176</v>
      </c>
    </row>
    <row r="903" s="135">
      <c r="A903" t="inlineStr">
        <is>
          <t>1994-02</t>
        </is>
      </c>
      <c r="B903" s="2" t="n">
        <v>34366</v>
      </c>
      <c r="C903" s="96" t="n">
        <v>903</v>
      </c>
      <c r="E903" s="2">
        <f>B903</f>
        <v/>
      </c>
      <c r="F903" s="3">
        <f>B903</f>
        <v/>
      </c>
      <c r="G903" s="96" t="n">
        <v>901</v>
      </c>
      <c r="H903" s="97" t="n"/>
      <c r="I903" s="97" t="n"/>
      <c r="J903" s="97" t="n">
        <v>60.86607</v>
      </c>
      <c r="K903" s="97" t="n">
        <v>71.16681</v>
      </c>
      <c r="L903" s="97" t="n"/>
      <c r="M903" s="97" t="n">
        <v>49.86689</v>
      </c>
      <c r="N903" s="97" t="n">
        <v>68.09432</v>
      </c>
      <c r="O903" s="97" t="n">
        <v>87.41292</v>
      </c>
      <c r="P903" s="97" t="n">
        <v>96.38308000000001</v>
      </c>
      <c r="Q903" s="97" t="n"/>
      <c r="R903" s="97" t="n">
        <v>69.50682</v>
      </c>
      <c r="S903" s="97" t="n">
        <v>87.61073</v>
      </c>
      <c r="T903" s="97" t="n">
        <v>99.61082</v>
      </c>
      <c r="U903" s="97" t="n">
        <v>118.928</v>
      </c>
      <c r="V903" s="97" t="n">
        <v>32.02217</v>
      </c>
      <c r="W903" s="97" t="n">
        <v>18.23671</v>
      </c>
      <c r="X903" s="97" t="n"/>
      <c r="Y903" s="97" t="n">
        <v>53.23138</v>
      </c>
      <c r="Z903" s="97" t="n">
        <v>107.791</v>
      </c>
      <c r="AA903" s="97" t="n">
        <v>95.32559000000001</v>
      </c>
      <c r="AB903" s="97" t="n">
        <v>27.02175</v>
      </c>
      <c r="AC903" s="97" t="n">
        <v>72.14259</v>
      </c>
      <c r="AD903" s="97" t="n"/>
      <c r="AE903" s="97" t="n">
        <v>75.00821999999999</v>
      </c>
      <c r="AF903" s="97" t="n">
        <v>80.47598000000001</v>
      </c>
      <c r="AG903" s="97" t="n">
        <v>103.8645</v>
      </c>
      <c r="AH903" s="97" t="n">
        <v>68.34434</v>
      </c>
      <c r="AI903" s="97" t="n">
        <v>28.86141</v>
      </c>
      <c r="AJ903" s="97" t="n">
        <v>103.053</v>
      </c>
      <c r="AK903" s="97" t="n">
        <v>32.79753</v>
      </c>
      <c r="AL903" s="97" t="n">
        <v>66.10601</v>
      </c>
      <c r="AM903" s="97" t="n">
        <v>73.27119</v>
      </c>
      <c r="AN903" s="97" t="n"/>
      <c r="AO903" s="97" t="n">
        <v>66.06731000000001</v>
      </c>
      <c r="AP903" s="97" t="n">
        <v>77.18713</v>
      </c>
      <c r="AQ903" s="97" t="n"/>
      <c r="AR903" s="97" t="n"/>
      <c r="AS903" s="97" t="n"/>
      <c r="AT903" s="97" t="n"/>
      <c r="AU903" s="97" t="n"/>
      <c r="AV903" s="97" t="n">
        <v>63.09177</v>
      </c>
      <c r="AW903" s="97" t="n"/>
      <c r="AX903" s="97" t="n">
        <v>34.09716</v>
      </c>
      <c r="AY903" s="97" t="n">
        <v>71.24284</v>
      </c>
    </row>
    <row r="904" s="135">
      <c r="A904" t="inlineStr">
        <is>
          <t>1994-03</t>
        </is>
      </c>
      <c r="B904" s="2" t="n">
        <v>34394</v>
      </c>
      <c r="C904" s="96" t="n">
        <v>904</v>
      </c>
      <c r="E904" s="2">
        <f>B904</f>
        <v/>
      </c>
      <c r="F904" s="3">
        <f>B904</f>
        <v/>
      </c>
      <c r="G904" s="96" t="n">
        <v>902</v>
      </c>
      <c r="H904" s="97" t="n"/>
      <c r="I904" s="97" t="n"/>
      <c r="J904" s="97" t="n">
        <v>61.04866</v>
      </c>
      <c r="K904" s="97" t="n">
        <v>72.15503</v>
      </c>
      <c r="L904" s="97" t="n"/>
      <c r="M904" s="97" t="n">
        <v>50.62016</v>
      </c>
      <c r="N904" s="97" t="n">
        <v>67.79434999999999</v>
      </c>
      <c r="O904" s="97" t="n">
        <v>89.80779</v>
      </c>
      <c r="P904" s="97" t="n">
        <v>96.28708</v>
      </c>
      <c r="Q904" s="97" t="n"/>
      <c r="R904" s="97" t="n">
        <v>70.12193000000001</v>
      </c>
      <c r="S904" s="97" t="n">
        <v>87.55073</v>
      </c>
      <c r="T904" s="97" t="n">
        <v>100.0015</v>
      </c>
      <c r="U904" s="97" t="n">
        <v>119.0043</v>
      </c>
      <c r="V904" s="97" t="n">
        <v>31.99287</v>
      </c>
      <c r="W904" s="97" t="n">
        <v>17.9397</v>
      </c>
      <c r="X904" s="97" t="n"/>
      <c r="Y904" s="97" t="n">
        <v>51.76051</v>
      </c>
      <c r="Z904" s="97" t="n">
        <v>109.2909</v>
      </c>
      <c r="AA904" s="97" t="n">
        <v>96.33969</v>
      </c>
      <c r="AB904" s="97" t="n">
        <v>27.49271</v>
      </c>
      <c r="AC904" s="97" t="n">
        <v>73.79893</v>
      </c>
      <c r="AD904" s="97" t="n"/>
      <c r="AE904" s="97" t="n">
        <v>75.76527</v>
      </c>
      <c r="AF904" s="97" t="n">
        <v>80.63788</v>
      </c>
      <c r="AG904" s="97" t="n">
        <v>101.0219</v>
      </c>
      <c r="AH904" s="97" t="n">
        <v>68.77537</v>
      </c>
      <c r="AI904" s="97" t="n">
        <v>29.30377</v>
      </c>
      <c r="AJ904" s="97" t="n">
        <v>103.0861</v>
      </c>
      <c r="AK904" s="97" t="n">
        <v>33.18111</v>
      </c>
      <c r="AL904" s="97" t="n">
        <v>68.68462</v>
      </c>
      <c r="AM904" s="97" t="n">
        <v>73.67601000000001</v>
      </c>
      <c r="AN904" s="97" t="n"/>
      <c r="AO904" s="97" t="n">
        <v>66.73293</v>
      </c>
      <c r="AP904" s="97" t="n">
        <v>77.28712</v>
      </c>
      <c r="AQ904" s="97" t="n"/>
      <c r="AR904" s="97" t="n"/>
      <c r="AS904" s="97" t="n"/>
      <c r="AT904" s="97" t="n"/>
      <c r="AU904" s="97" t="n"/>
      <c r="AV904" s="97" t="n">
        <v>61.56506</v>
      </c>
      <c r="AW904" s="97" t="n"/>
      <c r="AX904" s="97" t="n">
        <v>34.09716</v>
      </c>
      <c r="AY904" s="97" t="n">
        <v>71.9363</v>
      </c>
    </row>
    <row r="905" s="135">
      <c r="A905" t="inlineStr">
        <is>
          <t>1994-04</t>
        </is>
      </c>
      <c r="B905" s="2" t="n">
        <v>34425</v>
      </c>
      <c r="C905" s="96" t="n">
        <v>905</v>
      </c>
      <c r="E905" s="2">
        <f>B905</f>
        <v/>
      </c>
      <c r="F905" s="3">
        <f>B905</f>
        <v/>
      </c>
      <c r="G905" s="96" t="n">
        <v>903</v>
      </c>
      <c r="H905" s="97" t="n"/>
      <c r="I905" s="97" t="n"/>
      <c r="J905" s="97" t="n">
        <v>59.95892</v>
      </c>
      <c r="K905" s="97" t="n">
        <v>72.66065</v>
      </c>
      <c r="L905" s="97" t="n"/>
      <c r="M905" s="97" t="n">
        <v>51.2902</v>
      </c>
      <c r="N905" s="97" t="n">
        <v>68.59428</v>
      </c>
      <c r="O905" s="97" t="n">
        <v>86.65091</v>
      </c>
      <c r="P905" s="97" t="n">
        <v>97.75208000000001</v>
      </c>
      <c r="Q905" s="97" t="n"/>
      <c r="R905" s="97" t="n">
        <v>71.40806000000001</v>
      </c>
      <c r="S905" s="97" t="n">
        <v>90.01075</v>
      </c>
      <c r="T905" s="97" t="n">
        <v>101.271</v>
      </c>
      <c r="U905" s="97" t="n">
        <v>120.1835</v>
      </c>
      <c r="V905" s="97" t="n">
        <v>32.25655</v>
      </c>
      <c r="W905" s="97" t="n">
        <v>18.47432</v>
      </c>
      <c r="X905" s="97" t="n"/>
      <c r="Y905" s="97" t="n">
        <v>51.9006</v>
      </c>
      <c r="Z905" s="97" t="n">
        <v>111.0907</v>
      </c>
      <c r="AA905" s="97" t="n">
        <v>97.25238</v>
      </c>
      <c r="AB905" s="97" t="n">
        <v>27.35472</v>
      </c>
      <c r="AC905" s="97" t="n">
        <v>74.63909</v>
      </c>
      <c r="AD905" s="97" t="n"/>
      <c r="AE905" s="97" t="n">
        <v>78.01348</v>
      </c>
      <c r="AF905" s="97" t="n">
        <v>80.51452999999999</v>
      </c>
      <c r="AG905" s="97" t="n">
        <v>100.6939</v>
      </c>
      <c r="AH905" s="97" t="n">
        <v>69.43791</v>
      </c>
      <c r="AI905" s="97" t="n">
        <v>29.48899</v>
      </c>
      <c r="AJ905" s="97" t="n">
        <v>102.8701</v>
      </c>
      <c r="AK905" s="97" t="n">
        <v>32.50082</v>
      </c>
      <c r="AL905" s="97" t="n">
        <v>67.43438</v>
      </c>
      <c r="AM905" s="97" t="n">
        <v>73.97962</v>
      </c>
      <c r="AN905" s="97" t="n"/>
      <c r="AO905" s="97" t="n">
        <v>67.11109</v>
      </c>
      <c r="AP905" s="97" t="n">
        <v>78.68688</v>
      </c>
      <c r="AQ905" s="97" t="n"/>
      <c r="AR905" s="97" t="n"/>
      <c r="AS905" s="97" t="n"/>
      <c r="AT905" s="97" t="n">
        <v>26.96272</v>
      </c>
      <c r="AU905" s="97" t="n"/>
      <c r="AV905" s="97" t="n">
        <v>60.66523</v>
      </c>
      <c r="AW905" s="97" t="n"/>
      <c r="AX905" s="97" t="n">
        <v>32.09732</v>
      </c>
      <c r="AY905" s="97" t="n">
        <v>71.62029</v>
      </c>
    </row>
    <row r="906" s="135">
      <c r="A906" t="inlineStr">
        <is>
          <t>1994-05</t>
        </is>
      </c>
      <c r="B906" s="2" t="n">
        <v>34455</v>
      </c>
      <c r="C906" s="96" t="n">
        <v>906</v>
      </c>
      <c r="E906" s="2">
        <f>B906</f>
        <v/>
      </c>
      <c r="F906" s="3">
        <f>B906</f>
        <v/>
      </c>
      <c r="G906" s="96" t="n">
        <v>904</v>
      </c>
      <c r="H906" s="97" t="n"/>
      <c r="I906" s="97" t="n"/>
      <c r="J906" s="97" t="n">
        <v>59.75175</v>
      </c>
      <c r="K906" s="97" t="n">
        <v>73.35706</v>
      </c>
      <c r="L906" s="97" t="n"/>
      <c r="M906" s="97" t="n">
        <v>53.21179</v>
      </c>
      <c r="N906" s="97" t="n">
        <v>68.29431</v>
      </c>
      <c r="O906" s="97" t="n">
        <v>92.31152</v>
      </c>
      <c r="P906" s="97" t="n">
        <v>96.86808000000001</v>
      </c>
      <c r="Q906" s="97" t="n"/>
      <c r="R906" s="97" t="n">
        <v>72.12381999999999</v>
      </c>
      <c r="S906" s="97" t="n">
        <v>89.91074999999999</v>
      </c>
      <c r="T906" s="97" t="n">
        <v>102.6382</v>
      </c>
      <c r="U906" s="97" t="n">
        <v>118.709</v>
      </c>
      <c r="V906" s="97" t="n">
        <v>32.66671</v>
      </c>
      <c r="W906" s="97" t="n">
        <v>18.29612</v>
      </c>
      <c r="X906" s="97" t="n"/>
      <c r="Y906" s="97" t="n">
        <v>52.11072</v>
      </c>
      <c r="Z906" s="97" t="n">
        <v>111.4907</v>
      </c>
      <c r="AA906" s="97" t="n">
        <v>97.15097</v>
      </c>
      <c r="AB906" s="97" t="n">
        <v>28.22365</v>
      </c>
      <c r="AC906" s="97" t="n">
        <v>75.46241000000001</v>
      </c>
      <c r="AD906" s="97" t="n"/>
      <c r="AE906" s="97" t="n">
        <v>76.70164</v>
      </c>
      <c r="AF906" s="97" t="n">
        <v>79.95947</v>
      </c>
      <c r="AG906" s="97" t="n">
        <v>102.7712</v>
      </c>
      <c r="AH906" s="97" t="n">
        <v>69.59809</v>
      </c>
      <c r="AI906" s="97" t="n">
        <v>29.79234</v>
      </c>
      <c r="AJ906" s="97" t="n">
        <v>103.7745</v>
      </c>
      <c r="AK906" s="97" t="n">
        <v>33.80972</v>
      </c>
      <c r="AL906" s="97" t="n">
        <v>69.54415</v>
      </c>
      <c r="AM906" s="97" t="n">
        <v>74.68804</v>
      </c>
      <c r="AN906" s="97" t="n"/>
      <c r="AO906" s="97" t="n">
        <v>67.45475999999999</v>
      </c>
      <c r="AP906" s="97" t="n">
        <v>78.48692</v>
      </c>
      <c r="AQ906" s="97" t="n"/>
      <c r="AR906" s="97" t="n"/>
      <c r="AS906" s="97" t="n"/>
      <c r="AT906" s="97" t="n">
        <v>27.40025</v>
      </c>
      <c r="AU906" s="97" t="n"/>
      <c r="AV906" s="97" t="n">
        <v>59.53713</v>
      </c>
      <c r="AW906" s="97" t="n"/>
      <c r="AX906" s="97" t="n">
        <v>31.89734</v>
      </c>
      <c r="AY906" s="97" t="n">
        <v>73.46368</v>
      </c>
    </row>
    <row r="907" s="135">
      <c r="A907" t="inlineStr">
        <is>
          <t>1994-06</t>
        </is>
      </c>
      <c r="B907" s="2" t="n">
        <v>34486</v>
      </c>
      <c r="C907" s="96" t="n">
        <v>907</v>
      </c>
      <c r="E907" s="2">
        <f>B907</f>
        <v/>
      </c>
      <c r="F907" s="3">
        <f>B907</f>
        <v/>
      </c>
      <c r="G907" s="96" t="n">
        <v>905</v>
      </c>
      <c r="H907" s="97" t="n"/>
      <c r="I907" s="97" t="n"/>
      <c r="J907" s="97" t="n">
        <v>60.1299</v>
      </c>
      <c r="K907" s="97" t="n">
        <v>74.30956</v>
      </c>
      <c r="L907" s="97" t="n"/>
      <c r="M907" s="97" t="n">
        <v>52.83365</v>
      </c>
      <c r="N907" s="97" t="n">
        <v>68.79427</v>
      </c>
      <c r="O907" s="97" t="n">
        <v>92.09381</v>
      </c>
      <c r="P907" s="97" t="n">
        <v>98.51508</v>
      </c>
      <c r="Q907" s="97" t="n"/>
      <c r="R907" s="97" t="n">
        <v>72.67180999999999</v>
      </c>
      <c r="S907" s="97" t="n">
        <v>90.42075</v>
      </c>
      <c r="T907" s="97" t="n">
        <v>101.3687</v>
      </c>
      <c r="U907" s="97" t="n">
        <v>119.1113</v>
      </c>
      <c r="V907" s="97" t="n">
        <v>33.01828</v>
      </c>
      <c r="W907" s="97" t="n">
        <v>19.00895</v>
      </c>
      <c r="X907" s="97" t="n"/>
      <c r="Y907" s="97" t="n">
        <v>52.53097</v>
      </c>
      <c r="Z907" s="97" t="n">
        <v>112.5906</v>
      </c>
      <c r="AA907" s="97" t="n">
        <v>98.36790000000001</v>
      </c>
      <c r="AB907" s="97" t="n">
        <v>28.62062</v>
      </c>
      <c r="AC907" s="97" t="n">
        <v>73.26836</v>
      </c>
      <c r="AD907" s="97" t="n"/>
      <c r="AE907" s="97" t="n">
        <v>76.99923</v>
      </c>
      <c r="AF907" s="97" t="n">
        <v>80.18304000000001</v>
      </c>
      <c r="AG907" s="97" t="n">
        <v>106.5978</v>
      </c>
      <c r="AH907" s="97" t="n">
        <v>69.99952999999999</v>
      </c>
      <c r="AI907" s="97" t="n">
        <v>30.08143</v>
      </c>
      <c r="AJ907" s="97" t="n">
        <v>102.7955</v>
      </c>
      <c r="AK907" s="97" t="n">
        <v>34.19937</v>
      </c>
      <c r="AL907" s="97" t="n">
        <v>71.57577999999999</v>
      </c>
      <c r="AM907" s="97" t="n">
        <v>75.80128000000001</v>
      </c>
      <c r="AN907" s="97" t="n"/>
      <c r="AO907" s="97" t="n">
        <v>67.88526</v>
      </c>
      <c r="AP907" s="97" t="n">
        <v>79.08682</v>
      </c>
      <c r="AQ907" s="97" t="n"/>
      <c r="AR907" s="97" t="n"/>
      <c r="AS907" s="97" t="n"/>
      <c r="AT907" s="97" t="n">
        <v>28.1054</v>
      </c>
      <c r="AU907" s="97" t="n"/>
      <c r="AV907" s="97" t="n">
        <v>59.09364</v>
      </c>
      <c r="AW907" s="97" t="n"/>
      <c r="AX907" s="97" t="n">
        <v>30.19748</v>
      </c>
      <c r="AY907" s="97" t="n">
        <v>73.75336</v>
      </c>
    </row>
    <row r="908" s="135">
      <c r="A908" t="inlineStr">
        <is>
          <t>1994-07</t>
        </is>
      </c>
      <c r="B908" s="2" t="n">
        <v>34516</v>
      </c>
      <c r="C908" s="96" t="n">
        <v>908</v>
      </c>
      <c r="E908" s="2">
        <f>B908</f>
        <v/>
      </c>
      <c r="F908" s="3">
        <f>B908</f>
        <v/>
      </c>
      <c r="G908" s="96" t="n">
        <v>906</v>
      </c>
      <c r="H908" s="97" t="n"/>
      <c r="I908" s="97" t="n"/>
      <c r="J908" s="97" t="n">
        <v>55.01037</v>
      </c>
      <c r="K908" s="97" t="n">
        <v>74.29218</v>
      </c>
      <c r="L908" s="97" t="n"/>
      <c r="M908" s="97" t="n">
        <v>53.41689</v>
      </c>
      <c r="N908" s="97" t="n">
        <v>68.49429000000001</v>
      </c>
      <c r="O908" s="97" t="n">
        <v>91.00523</v>
      </c>
      <c r="P908" s="97" t="n">
        <v>100.0461</v>
      </c>
      <c r="Q908" s="97" t="n"/>
      <c r="R908" s="97" t="n">
        <v>73.38757</v>
      </c>
      <c r="S908" s="97" t="n">
        <v>91.21075999999999</v>
      </c>
      <c r="T908" s="97" t="n">
        <v>101.9546</v>
      </c>
      <c r="U908" s="97" t="n">
        <v>120.8148</v>
      </c>
      <c r="V908" s="97" t="n">
        <v>33.39915</v>
      </c>
      <c r="W908" s="97" t="n">
        <v>18.41492</v>
      </c>
      <c r="X908" s="97" t="n"/>
      <c r="Y908" s="97" t="n">
        <v>53.16134</v>
      </c>
      <c r="Z908" s="97" t="n">
        <v>112.7906</v>
      </c>
      <c r="AA908" s="97" t="n">
        <v>99.38200000000001</v>
      </c>
      <c r="AB908" s="97" t="n">
        <v>27.5577</v>
      </c>
      <c r="AC908" s="97" t="n">
        <v>71.87966</v>
      </c>
      <c r="AD908" s="97" t="n"/>
      <c r="AE908" s="97" t="n">
        <v>77.087</v>
      </c>
      <c r="AF908" s="97" t="n">
        <v>81.04646</v>
      </c>
      <c r="AG908" s="97" t="n">
        <v>102.7712</v>
      </c>
      <c r="AH908" s="97" t="n">
        <v>70.20116</v>
      </c>
      <c r="AI908" s="97" t="n">
        <v>30.58236</v>
      </c>
      <c r="AJ908" s="97" t="n">
        <v>103.0362</v>
      </c>
      <c r="AK908" s="97" t="n">
        <v>35.58754</v>
      </c>
      <c r="AL908" s="97" t="n">
        <v>70.24741</v>
      </c>
      <c r="AM908" s="97" t="n">
        <v>73.87842000000001</v>
      </c>
      <c r="AN908" s="97" t="n"/>
      <c r="AO908" s="97" t="n">
        <v>67.98927999999999</v>
      </c>
      <c r="AP908" s="97" t="n">
        <v>79.28679</v>
      </c>
      <c r="AQ908" s="97" t="n"/>
      <c r="AR908" s="97" t="n"/>
      <c r="AS908" s="97" t="n"/>
      <c r="AT908" s="97" t="n">
        <v>28.35721</v>
      </c>
      <c r="AU908" s="97" t="n"/>
      <c r="AV908" s="97" t="n">
        <v>58.45829</v>
      </c>
      <c r="AW908" s="97" t="n"/>
      <c r="AX908" s="97" t="n">
        <v>31.1974</v>
      </c>
      <c r="AY908" s="97" t="n">
        <v>74.09569999999999</v>
      </c>
    </row>
    <row r="909" s="135">
      <c r="A909" t="inlineStr">
        <is>
          <t>1994-08</t>
        </is>
      </c>
      <c r="B909" s="2" t="n">
        <v>34547</v>
      </c>
      <c r="C909" s="96" t="n">
        <v>909</v>
      </c>
      <c r="E909" s="2">
        <f>B909</f>
        <v/>
      </c>
      <c r="F909" s="3">
        <f>B909</f>
        <v/>
      </c>
      <c r="G909" s="96" t="n">
        <v>907</v>
      </c>
      <c r="H909" s="97" t="n"/>
      <c r="I909" s="97" t="n"/>
      <c r="J909" s="97" t="n">
        <v>61.84234</v>
      </c>
      <c r="K909" s="97" t="n">
        <v>74.94018</v>
      </c>
      <c r="L909" s="97" t="n"/>
      <c r="M909" s="97" t="n">
        <v>53.18996</v>
      </c>
      <c r="N909" s="97" t="n">
        <v>68.49429000000001</v>
      </c>
      <c r="O909" s="97" t="n">
        <v>87.1952</v>
      </c>
      <c r="P909" s="97" t="n">
        <v>100.0511</v>
      </c>
      <c r="Q909" s="97" t="n"/>
      <c r="R909" s="97" t="n">
        <v>73.38757</v>
      </c>
      <c r="S909" s="97" t="n">
        <v>91.71075999999999</v>
      </c>
      <c r="T909" s="97" t="n">
        <v>102.3452</v>
      </c>
      <c r="U909" s="97" t="n">
        <v>121.8271</v>
      </c>
      <c r="V909" s="97" t="n">
        <v>33.92651</v>
      </c>
      <c r="W909" s="97" t="n">
        <v>19.18716</v>
      </c>
      <c r="X909" s="97" t="n"/>
      <c r="Y909" s="97" t="n">
        <v>54.35204</v>
      </c>
      <c r="Z909" s="97" t="n">
        <v>113.1906</v>
      </c>
      <c r="AA909" s="97" t="n">
        <v>100.1933</v>
      </c>
      <c r="AB909" s="97" t="n">
        <v>28.28764</v>
      </c>
      <c r="AC909" s="97" t="n">
        <v>77.76756</v>
      </c>
      <c r="AD909" s="97" t="n"/>
      <c r="AE909" s="97" t="n">
        <v>77.59952</v>
      </c>
      <c r="AF909" s="97" t="n">
        <v>81.53985</v>
      </c>
      <c r="AG909" s="97" t="n">
        <v>96.75802</v>
      </c>
      <c r="AH909" s="97" t="n">
        <v>70.82043</v>
      </c>
      <c r="AI909" s="97" t="n">
        <v>31.59404</v>
      </c>
      <c r="AJ909" s="97" t="n">
        <v>103.3028</v>
      </c>
      <c r="AK909" s="97" t="n">
        <v>33.7128</v>
      </c>
      <c r="AL909" s="97" t="n">
        <v>70.09113000000001</v>
      </c>
      <c r="AM909" s="97" t="n">
        <v>75.39646</v>
      </c>
      <c r="AN909" s="97" t="n"/>
      <c r="AO909" s="97" t="n">
        <v>68.39337</v>
      </c>
      <c r="AP909" s="97" t="n">
        <v>79.48676</v>
      </c>
      <c r="AQ909" s="97" t="n"/>
      <c r="AR909" s="97" t="n"/>
      <c r="AS909" s="97" t="n"/>
      <c r="AT909" s="97" t="n">
        <v>28.52628</v>
      </c>
      <c r="AU909" s="97" t="n"/>
      <c r="AV909" s="97" t="n">
        <v>59.23164</v>
      </c>
      <c r="AW909" s="97" t="n"/>
      <c r="AX909" s="97" t="n">
        <v>33.39722</v>
      </c>
      <c r="AY909" s="97" t="n">
        <v>77.5016</v>
      </c>
    </row>
    <row r="910" s="135">
      <c r="A910" t="inlineStr">
        <is>
          <t>1994-09</t>
        </is>
      </c>
      <c r="B910" s="2" t="n">
        <v>34578</v>
      </c>
      <c r="C910" s="96" t="n">
        <v>910</v>
      </c>
      <c r="E910" s="2">
        <f>B910</f>
        <v/>
      </c>
      <c r="F910" s="3">
        <f>B910</f>
        <v/>
      </c>
      <c r="G910" s="96" t="n">
        <v>908</v>
      </c>
      <c r="H910" s="97" t="n"/>
      <c r="I910" s="97" t="n"/>
      <c r="J910" s="97" t="n">
        <v>61.06841</v>
      </c>
      <c r="K910" s="97" t="n">
        <v>75.59383</v>
      </c>
      <c r="L910" s="97" t="n"/>
      <c r="M910" s="97" t="n">
        <v>53.11089</v>
      </c>
      <c r="N910" s="97" t="n">
        <v>69.49421</v>
      </c>
      <c r="O910" s="97" t="n">
        <v>88.93693</v>
      </c>
      <c r="P910" s="97" t="n">
        <v>100.0871</v>
      </c>
      <c r="Q910" s="97" t="n"/>
      <c r="R910" s="97" t="n">
        <v>75.13223000000001</v>
      </c>
      <c r="S910" s="97" t="n">
        <v>91.40076000000001</v>
      </c>
      <c r="T910" s="97" t="n">
        <v>103.3218</v>
      </c>
      <c r="U910" s="97" t="n">
        <v>126.6619</v>
      </c>
      <c r="V910" s="97" t="n">
        <v>34.27808</v>
      </c>
      <c r="W910" s="97" t="n">
        <v>18.23671</v>
      </c>
      <c r="X910" s="97" t="n"/>
      <c r="Y910" s="97" t="n">
        <v>53.37146</v>
      </c>
      <c r="Z910" s="97" t="n">
        <v>113.7905</v>
      </c>
      <c r="AA910" s="97" t="n">
        <v>99.17918</v>
      </c>
      <c r="AB910" s="97" t="n">
        <v>29.22157</v>
      </c>
      <c r="AC910" s="97" t="n">
        <v>71.73059000000001</v>
      </c>
      <c r="AD910" s="97" t="n"/>
      <c r="AE910" s="97" t="n">
        <v>77.19504000000001</v>
      </c>
      <c r="AF910" s="97" t="n">
        <v>82.07178</v>
      </c>
      <c r="AG910" s="97" t="n">
        <v>104.1925</v>
      </c>
      <c r="AH910" s="97" t="n">
        <v>71.00122</v>
      </c>
      <c r="AI910" s="97" t="n">
        <v>31.14748</v>
      </c>
      <c r="AJ910" s="97" t="n">
        <v>106.2452</v>
      </c>
      <c r="AK910" s="97" t="n">
        <v>32.65217</v>
      </c>
      <c r="AL910" s="97" t="n">
        <v>68.05949</v>
      </c>
      <c r="AM910" s="97" t="n">
        <v>78.83738</v>
      </c>
      <c r="AN910" s="97" t="n"/>
      <c r="AO910" s="97" t="n">
        <v>68.65405</v>
      </c>
      <c r="AP910" s="97" t="n">
        <v>79.88669</v>
      </c>
      <c r="AQ910" s="97" t="n"/>
      <c r="AR910" s="97" t="n"/>
      <c r="AS910" s="97" t="n"/>
      <c r="AT910" s="97" t="n">
        <v>28.65582</v>
      </c>
      <c r="AU910" s="97" t="n"/>
      <c r="AV910" s="97" t="n">
        <v>58.43759</v>
      </c>
      <c r="AW910" s="97" t="n"/>
      <c r="AX910" s="97" t="n">
        <v>33.99717</v>
      </c>
      <c r="AY910" s="97" t="n">
        <v>77.93172</v>
      </c>
    </row>
    <row r="911" s="135">
      <c r="A911" t="inlineStr">
        <is>
          <t>1994-10</t>
        </is>
      </c>
      <c r="B911" s="2" t="n">
        <v>34608</v>
      </c>
      <c r="C911" s="96" t="n">
        <v>911</v>
      </c>
      <c r="E911" s="2">
        <f>B911</f>
        <v/>
      </c>
      <c r="F911" s="3">
        <f>B911</f>
        <v/>
      </c>
      <c r="G911" s="96" t="n">
        <v>909</v>
      </c>
      <c r="H911" s="97" t="n"/>
      <c r="I911" s="97" t="n"/>
      <c r="J911" s="97" t="n">
        <v>60.65044</v>
      </c>
      <c r="K911" s="97" t="n">
        <v>75.34007</v>
      </c>
      <c r="L911" s="97" t="n"/>
      <c r="M911" s="97" t="n">
        <v>51.66409</v>
      </c>
      <c r="N911" s="97" t="n">
        <v>70.7941</v>
      </c>
      <c r="O911" s="97" t="n">
        <v>90.24323</v>
      </c>
      <c r="P911" s="97" t="n">
        <v>100.9371</v>
      </c>
      <c r="Q911" s="97" t="n"/>
      <c r="R911" s="97" t="n">
        <v>75.45657</v>
      </c>
      <c r="S911" s="97" t="n">
        <v>92.29076999999999</v>
      </c>
      <c r="T911" s="97" t="n">
        <v>103.5171</v>
      </c>
      <c r="U911" s="97" t="n">
        <v>122.3887</v>
      </c>
      <c r="V911" s="97" t="n">
        <v>34.19019</v>
      </c>
      <c r="W911" s="97" t="n">
        <v>19.36537</v>
      </c>
      <c r="X911" s="97" t="n"/>
      <c r="Y911" s="97" t="n">
        <v>54.70225</v>
      </c>
      <c r="Z911" s="97" t="n">
        <v>113.4905</v>
      </c>
      <c r="AA911" s="97" t="n">
        <v>100.1933</v>
      </c>
      <c r="AB911" s="97" t="n">
        <v>29.61853</v>
      </c>
      <c r="AC911" s="97" t="n">
        <v>72.71818</v>
      </c>
      <c r="AD911" s="97" t="n"/>
      <c r="AE911" s="97" t="n">
        <v>77.24682</v>
      </c>
      <c r="AF911" s="97" t="n">
        <v>85.46381</v>
      </c>
      <c r="AG911" s="97" t="n">
        <v>106.0512</v>
      </c>
      <c r="AH911" s="97" t="n">
        <v>71.54209</v>
      </c>
      <c r="AI911" s="97" t="n">
        <v>30.49718</v>
      </c>
      <c r="AJ911" s="97" t="n">
        <v>102.2804</v>
      </c>
      <c r="AK911" s="97" t="n">
        <v>33.64344</v>
      </c>
      <c r="AL911" s="97" t="n">
        <v>67.51251999999999</v>
      </c>
      <c r="AM911" s="97" t="n">
        <v>79.64700000000001</v>
      </c>
      <c r="AN911" s="97" t="n"/>
      <c r="AO911" s="97" t="n">
        <v>69.23545</v>
      </c>
      <c r="AP911" s="97" t="n">
        <v>80.78654</v>
      </c>
      <c r="AQ911" s="97" t="n"/>
      <c r="AR911" s="97" t="n"/>
      <c r="AS911" s="97" t="n"/>
      <c r="AT911" s="97" t="n">
        <v>29.13908</v>
      </c>
      <c r="AU911" s="97" t="n"/>
      <c r="AV911" s="97" t="n">
        <v>59.45793</v>
      </c>
      <c r="AW911" s="97" t="n"/>
      <c r="AX911" s="97" t="n">
        <v>34.7971</v>
      </c>
      <c r="AY911" s="97" t="n">
        <v>77.98439</v>
      </c>
    </row>
    <row r="912" s="135">
      <c r="A912" t="inlineStr">
        <is>
          <t>1994-11</t>
        </is>
      </c>
      <c r="B912" s="2" t="n">
        <v>34639</v>
      </c>
      <c r="C912" s="96" t="n">
        <v>912</v>
      </c>
      <c r="E912" s="2">
        <f>B912</f>
        <v/>
      </c>
      <c r="F912" s="3">
        <f>B912</f>
        <v/>
      </c>
      <c r="G912" s="96" t="n">
        <v>910</v>
      </c>
      <c r="H912" s="97" t="n"/>
      <c r="I912" s="97" t="n"/>
      <c r="J912" s="97" t="n">
        <v>62.63833</v>
      </c>
      <c r="K912" s="97" t="n">
        <v>76.23196</v>
      </c>
      <c r="L912" s="97" t="n"/>
      <c r="M912" s="97" t="n">
        <v>52.53359</v>
      </c>
      <c r="N912" s="97" t="n">
        <v>71.19407</v>
      </c>
      <c r="O912" s="97" t="n">
        <v>92.96467</v>
      </c>
      <c r="P912" s="97" t="n">
        <v>102.4081</v>
      </c>
      <c r="Q912" s="97" t="n"/>
      <c r="R912" s="97" t="n">
        <v>75.83681</v>
      </c>
      <c r="S912" s="97" t="n">
        <v>93.10078</v>
      </c>
      <c r="T912" s="97" t="n">
        <v>103.4195</v>
      </c>
      <c r="U912" s="97" t="n">
        <v>121.8122</v>
      </c>
      <c r="V912" s="97" t="n">
        <v>34.30738</v>
      </c>
      <c r="W912" s="97" t="n">
        <v>19.30597</v>
      </c>
      <c r="X912" s="97" t="n"/>
      <c r="Y912" s="97" t="n">
        <v>55.33262</v>
      </c>
      <c r="Z912" s="97" t="n">
        <v>115.3904</v>
      </c>
      <c r="AA912" s="97" t="n">
        <v>100.8017</v>
      </c>
      <c r="AB912" s="97" t="n">
        <v>30.21948</v>
      </c>
      <c r="AC912" s="97" t="n">
        <v>74.03973999999999</v>
      </c>
      <c r="AD912" s="97" t="n"/>
      <c r="AE912" s="97" t="n">
        <v>76.94468000000001</v>
      </c>
      <c r="AF912" s="97" t="n">
        <v>80.14449</v>
      </c>
      <c r="AG912" s="97" t="n">
        <v>106.8165</v>
      </c>
      <c r="AH912" s="97" t="n">
        <v>71.97868</v>
      </c>
      <c r="AI912" s="97" t="n">
        <v>31.16842</v>
      </c>
      <c r="AJ912" s="97" t="n">
        <v>103.9538</v>
      </c>
      <c r="AK912" s="97" t="n">
        <v>33.78865</v>
      </c>
      <c r="AL912" s="97" t="n">
        <v>70.01299</v>
      </c>
      <c r="AM912" s="97" t="n">
        <v>80.35543</v>
      </c>
      <c r="AN912" s="97" t="n"/>
      <c r="AO912" s="97" t="n">
        <v>69.6622</v>
      </c>
      <c r="AP912" s="97" t="n">
        <v>81.38643999999999</v>
      </c>
      <c r="AQ912" s="97" t="n"/>
      <c r="AR912" s="97" t="n"/>
      <c r="AS912" s="97" t="n"/>
      <c r="AT912" s="97" t="n">
        <v>29.58613</v>
      </c>
      <c r="AU912" s="97" t="n"/>
      <c r="AV912" s="97" t="n">
        <v>60.35983</v>
      </c>
      <c r="AW912" s="97" t="n"/>
      <c r="AX912" s="97" t="n">
        <v>34.69711</v>
      </c>
      <c r="AY912" s="97" t="n">
        <v>79.23088</v>
      </c>
    </row>
    <row r="913" s="135">
      <c r="A913" t="inlineStr">
        <is>
          <t>1994-12</t>
        </is>
      </c>
      <c r="B913" s="2" t="n">
        <v>34669</v>
      </c>
      <c r="C913" s="96" t="n">
        <v>913</v>
      </c>
      <c r="E913" s="2">
        <f>B913</f>
        <v/>
      </c>
      <c r="F913" s="3">
        <f>B913</f>
        <v/>
      </c>
      <c r="G913" s="96" t="n">
        <v>911</v>
      </c>
      <c r="H913" s="97" t="n"/>
      <c r="I913" s="97" t="n"/>
      <c r="J913" s="97" t="n">
        <v>57.08418</v>
      </c>
      <c r="K913" s="97" t="n">
        <v>77.42552999999999</v>
      </c>
      <c r="L913" s="97" t="n"/>
      <c r="M913" s="97" t="n">
        <v>54.55584</v>
      </c>
      <c r="N913" s="97" t="n">
        <v>71.19407</v>
      </c>
      <c r="O913" s="97" t="n">
        <v>98.62528</v>
      </c>
      <c r="P913" s="97" t="n">
        <v>105.3771</v>
      </c>
      <c r="Q913" s="97" t="n"/>
      <c r="R913" s="97" t="n">
        <v>76.44073</v>
      </c>
      <c r="S913" s="97" t="n">
        <v>92.96078</v>
      </c>
      <c r="T913" s="97" t="n">
        <v>104.4937</v>
      </c>
      <c r="U913" s="97" t="n">
        <v>122.0883</v>
      </c>
      <c r="V913" s="97" t="n">
        <v>35.42068</v>
      </c>
      <c r="W913" s="97" t="n">
        <v>20.37522</v>
      </c>
      <c r="X913" s="97" t="n"/>
      <c r="Y913" s="97" t="n">
        <v>55.33262</v>
      </c>
      <c r="Z913" s="97" t="n">
        <v>118.1901</v>
      </c>
      <c r="AA913" s="97" t="n">
        <v>101.5116</v>
      </c>
      <c r="AB913" s="97" t="n">
        <v>30.0155</v>
      </c>
      <c r="AC913" s="97" t="n">
        <v>74.94974999999999</v>
      </c>
      <c r="AD913" s="97" t="n"/>
      <c r="AE913" s="97" t="n">
        <v>75.95708</v>
      </c>
      <c r="AF913" s="97" t="n">
        <v>82.95063</v>
      </c>
      <c r="AG913" s="97" t="n">
        <v>106.9258</v>
      </c>
      <c r="AH913" s="97" t="n">
        <v>72.53465</v>
      </c>
      <c r="AI913" s="97" t="n">
        <v>32.77331</v>
      </c>
      <c r="AJ913" s="97" t="n">
        <v>104.7188</v>
      </c>
      <c r="AK913" s="97" t="n">
        <v>35.75961</v>
      </c>
      <c r="AL913" s="97" t="n">
        <v>69.8567</v>
      </c>
      <c r="AM913" s="97" t="n">
        <v>80.86144</v>
      </c>
      <c r="AN913" s="97" t="n"/>
      <c r="AO913" s="97" t="n">
        <v>70.39373000000001</v>
      </c>
      <c r="AP913" s="97" t="n">
        <v>82.28628999999999</v>
      </c>
      <c r="AQ913" s="97" t="n"/>
      <c r="AR913" s="97" t="n"/>
      <c r="AS913" s="97" t="n"/>
      <c r="AT913" s="97" t="n">
        <v>29.99916</v>
      </c>
      <c r="AU913" s="97" t="n"/>
      <c r="AV913" s="97" t="n">
        <v>60.70841</v>
      </c>
      <c r="AW913" s="97" t="n"/>
      <c r="AX913" s="97" t="n">
        <v>33.99717</v>
      </c>
      <c r="AY913" s="97" t="n">
        <v>83.57603</v>
      </c>
    </row>
    <row r="914" s="135">
      <c r="A914" t="inlineStr">
        <is>
          <t>1995-01</t>
        </is>
      </c>
      <c r="B914" s="2" t="n">
        <v>34700</v>
      </c>
      <c r="C914" s="96" t="n">
        <v>914</v>
      </c>
      <c r="E914" s="2">
        <f>B914</f>
        <v/>
      </c>
      <c r="F914" s="3">
        <f>B914</f>
        <v/>
      </c>
      <c r="G914" s="96" t="n">
        <v>912</v>
      </c>
      <c r="H914" s="97" t="n"/>
      <c r="I914" s="97" t="n"/>
      <c r="J914" s="97" t="n">
        <v>62.79057</v>
      </c>
      <c r="K914" s="97" t="n">
        <v>78.25197</v>
      </c>
      <c r="L914" s="97" t="n"/>
      <c r="M914" s="97" t="n">
        <v>58.14028</v>
      </c>
      <c r="N914" s="97" t="n">
        <v>69.79418</v>
      </c>
      <c r="O914" s="97" t="n">
        <v>97.21013000000001</v>
      </c>
      <c r="P914" s="97" t="n">
        <v>104.8301</v>
      </c>
      <c r="Q914" s="97" t="n"/>
      <c r="R914" s="97" t="n">
        <v>80.2</v>
      </c>
      <c r="S914" s="97" t="n">
        <v>93.63078</v>
      </c>
      <c r="T914" s="97" t="n">
        <v>102.6382</v>
      </c>
      <c r="U914" s="97" t="n">
        <v>124.4307</v>
      </c>
      <c r="V914" s="97" t="n">
        <v>34.74684</v>
      </c>
      <c r="W914" s="97" t="n">
        <v>19.9594</v>
      </c>
      <c r="X914" s="97" t="n"/>
      <c r="Y914" s="97" t="n">
        <v>55.40266</v>
      </c>
      <c r="Z914" s="97" t="n">
        <v>117.7902</v>
      </c>
      <c r="AA914" s="97" t="n">
        <v>99.48341000000001</v>
      </c>
      <c r="AB914" s="97" t="n">
        <v>30.68144</v>
      </c>
      <c r="AC914" s="97" t="n">
        <v>74.46301</v>
      </c>
      <c r="AD914" s="97" t="n"/>
      <c r="AE914" s="97" t="n">
        <v>74.43326</v>
      </c>
      <c r="AF914" s="97" t="n">
        <v>85.00793</v>
      </c>
      <c r="AG914" s="97" t="n">
        <v>105.6138</v>
      </c>
      <c r="AH914" s="97" t="n">
        <v>72.29411</v>
      </c>
      <c r="AI914" s="97" t="n">
        <v>32.10922</v>
      </c>
      <c r="AJ914" s="97" t="n">
        <v>105.1128</v>
      </c>
      <c r="AK914" s="97" t="n">
        <v>33.20903</v>
      </c>
      <c r="AL914" s="97" t="n">
        <v>73.37299</v>
      </c>
      <c r="AM914" s="97" t="n">
        <v>82.07588</v>
      </c>
      <c r="AN914" s="97" t="n"/>
      <c r="AO914" s="97" t="n">
        <v>70.52244</v>
      </c>
      <c r="AP914" s="97" t="n">
        <v>81.68639</v>
      </c>
      <c r="AQ914" s="97" t="n"/>
      <c r="AR914" s="97" t="n"/>
      <c r="AS914" s="97" t="n"/>
      <c r="AT914" s="97" t="n">
        <v>30.55564</v>
      </c>
      <c r="AU914" s="97" t="n"/>
      <c r="AV914" s="97" t="n">
        <v>60.16991</v>
      </c>
      <c r="AW914" s="97" t="n"/>
      <c r="AX914" s="97" t="n">
        <v>34.49712</v>
      </c>
      <c r="AY914" s="97" t="n">
        <v>82.22421</v>
      </c>
    </row>
    <row r="915" s="135">
      <c r="A915" t="inlineStr">
        <is>
          <t>1995-02</t>
        </is>
      </c>
      <c r="B915" s="2" t="n">
        <v>34731</v>
      </c>
      <c r="C915" s="96" t="n">
        <v>915</v>
      </c>
      <c r="E915" s="2">
        <f>B915</f>
        <v/>
      </c>
      <c r="F915" s="3">
        <f>B915</f>
        <v/>
      </c>
      <c r="G915" s="96" t="n">
        <v>913</v>
      </c>
      <c r="H915" s="97" t="n"/>
      <c r="I915" s="97" t="n"/>
      <c r="J915" s="97" t="n">
        <v>63.9556</v>
      </c>
      <c r="K915" s="97" t="n">
        <v>78.26175000000001</v>
      </c>
      <c r="L915" s="97" t="n"/>
      <c r="M915" s="97" t="n">
        <v>56.02067</v>
      </c>
      <c r="N915" s="97" t="n">
        <v>70.7941</v>
      </c>
      <c r="O915" s="97" t="n">
        <v>94.48869000000001</v>
      </c>
      <c r="P915" s="97" t="n">
        <v>103.6361</v>
      </c>
      <c r="Q915" s="97" t="n"/>
      <c r="R915" s="97" t="n">
        <v>79</v>
      </c>
      <c r="S915" s="97" t="n">
        <v>93.00078000000001</v>
      </c>
      <c r="T915" s="97" t="n">
        <v>102.6382</v>
      </c>
      <c r="U915" s="97" t="n">
        <v>123.9574</v>
      </c>
      <c r="V915" s="97" t="n">
        <v>34.86403</v>
      </c>
      <c r="W915" s="97" t="n">
        <v>20.61283</v>
      </c>
      <c r="X915" s="97" t="n"/>
      <c r="Y915" s="97" t="n">
        <v>55.54274</v>
      </c>
      <c r="Z915" s="97" t="n">
        <v>117.0902</v>
      </c>
      <c r="AA915" s="97" t="n">
        <v>100.9032</v>
      </c>
      <c r="AB915" s="97" t="n">
        <v>30.49646</v>
      </c>
      <c r="AC915" s="97" t="n">
        <v>74.59036</v>
      </c>
      <c r="AD915" s="97" t="n"/>
      <c r="AE915" s="97" t="n">
        <v>69.54796</v>
      </c>
      <c r="AF915" s="97" t="n">
        <v>81.80718</v>
      </c>
      <c r="AG915" s="97" t="n">
        <v>105.2859</v>
      </c>
      <c r="AH915" s="97" t="n">
        <v>72.18102</v>
      </c>
      <c r="AI915" s="97" t="n">
        <v>32.81288</v>
      </c>
      <c r="AJ915" s="97" t="n">
        <v>106.2601</v>
      </c>
      <c r="AK915" s="97" t="n">
        <v>34.78329</v>
      </c>
      <c r="AL915" s="97" t="n">
        <v>73.13857</v>
      </c>
      <c r="AM915" s="97" t="n">
        <v>82.27829</v>
      </c>
      <c r="AN915" s="97" t="n"/>
      <c r="AO915" s="97" t="n">
        <v>70.40774999999999</v>
      </c>
      <c r="AP915" s="97" t="n">
        <v>81.88634999999999</v>
      </c>
      <c r="AQ915" s="97" t="n"/>
      <c r="AR915" s="97" t="n"/>
      <c r="AS915" s="97" t="n"/>
      <c r="AT915" s="97" t="n">
        <v>30.34476</v>
      </c>
      <c r="AU915" s="97" t="n"/>
      <c r="AV915" s="97" t="n">
        <v>60.41418</v>
      </c>
      <c r="AW915" s="97" t="n"/>
      <c r="AX915" s="97" t="n">
        <v>33.5972</v>
      </c>
      <c r="AY915" s="97" t="n">
        <v>81.89941</v>
      </c>
    </row>
    <row r="916" s="135">
      <c r="A916" t="inlineStr">
        <is>
          <t>1995-03</t>
        </is>
      </c>
      <c r="B916" s="2" t="n">
        <v>34759</v>
      </c>
      <c r="C916" s="96" t="n">
        <v>916</v>
      </c>
      <c r="E916" s="2">
        <f>B916</f>
        <v/>
      </c>
      <c r="F916" s="3">
        <f>B916</f>
        <v/>
      </c>
      <c r="G916" s="96" t="n">
        <v>914</v>
      </c>
      <c r="H916" s="97" t="n"/>
      <c r="I916" s="97" t="n"/>
      <c r="J916" s="97" t="n">
        <v>64.30989</v>
      </c>
      <c r="K916" s="97" t="n">
        <v>77.70402</v>
      </c>
      <c r="L916" s="97" t="n"/>
      <c r="M916" s="97" t="n">
        <v>56.47284</v>
      </c>
      <c r="N916" s="97" t="n">
        <v>69.99415999999999</v>
      </c>
      <c r="O916" s="97" t="n">
        <v>94.81525000000001</v>
      </c>
      <c r="P916" s="97" t="n">
        <v>103.5821</v>
      </c>
      <c r="Q916" s="97" t="n"/>
      <c r="R916" s="97" t="n">
        <v>78.7</v>
      </c>
      <c r="S916" s="97" t="n">
        <v>93.78077999999999</v>
      </c>
      <c r="T916" s="97" t="n">
        <v>103.0288</v>
      </c>
      <c r="U916" s="97" t="n">
        <v>123.4825</v>
      </c>
      <c r="V916" s="97" t="n">
        <v>35.01052</v>
      </c>
      <c r="W916" s="97" t="n">
        <v>21.14746</v>
      </c>
      <c r="X916" s="97" t="n"/>
      <c r="Y916" s="97" t="n">
        <v>55.68283</v>
      </c>
      <c r="Z916" s="97" t="n">
        <v>117.3902</v>
      </c>
      <c r="AA916" s="97" t="n">
        <v>101.9173</v>
      </c>
      <c r="AB916" s="97" t="n">
        <v>31.42038</v>
      </c>
      <c r="AC916" s="97" t="n">
        <v>73.96115</v>
      </c>
      <c r="AD916" s="97" t="n"/>
      <c r="AE916" s="97" t="n">
        <v>68.90761999999999</v>
      </c>
      <c r="AF916" s="97" t="n">
        <v>82.84272</v>
      </c>
      <c r="AG916" s="97" t="n">
        <v>107.6911</v>
      </c>
      <c r="AH916" s="97" t="n">
        <v>72.30415000000001</v>
      </c>
      <c r="AI916" s="97" t="n">
        <v>32.03169</v>
      </c>
      <c r="AJ916" s="97" t="n">
        <v>100.7808</v>
      </c>
      <c r="AK916" s="97" t="n">
        <v>35.18656</v>
      </c>
      <c r="AL916" s="97" t="n">
        <v>70.48182</v>
      </c>
      <c r="AM916" s="97" t="n">
        <v>83.59393</v>
      </c>
      <c r="AN916" s="97" t="n"/>
      <c r="AO916" s="97" t="n">
        <v>70.50918</v>
      </c>
      <c r="AP916" s="97" t="n">
        <v>81.78637000000001</v>
      </c>
      <c r="AQ916" s="97" t="n"/>
      <c r="AR916" s="97" t="n"/>
      <c r="AS916" s="97" t="n"/>
      <c r="AT916" s="97" t="n">
        <v>30.55982</v>
      </c>
      <c r="AU916" s="97" t="n"/>
      <c r="AV916" s="97" t="n">
        <v>58.05595</v>
      </c>
      <c r="AW916" s="97" t="n"/>
      <c r="AX916" s="97" t="n">
        <v>33.49721</v>
      </c>
      <c r="AY916" s="97" t="n">
        <v>81.89941</v>
      </c>
    </row>
    <row r="917" s="135">
      <c r="A917" t="inlineStr">
        <is>
          <t>1995-04</t>
        </is>
      </c>
      <c r="B917" s="2" t="n">
        <v>34790</v>
      </c>
      <c r="C917" s="96" t="n">
        <v>917</v>
      </c>
      <c r="E917" s="2">
        <f>B917</f>
        <v/>
      </c>
      <c r="F917" s="3">
        <f>B917</f>
        <v/>
      </c>
      <c r="G917" s="96" t="n">
        <v>915</v>
      </c>
      <c r="H917" s="97" t="n"/>
      <c r="I917" s="97" t="n"/>
      <c r="J917" s="97" t="n">
        <v>63.1637</v>
      </c>
      <c r="K917" s="97" t="n">
        <v>77.53743</v>
      </c>
      <c r="L917" s="97" t="n"/>
      <c r="M917" s="97" t="n">
        <v>56.55847</v>
      </c>
      <c r="N917" s="97" t="n">
        <v>70.39413</v>
      </c>
      <c r="O917" s="97" t="n">
        <v>94.92411</v>
      </c>
      <c r="P917" s="97" t="n">
        <v>104.0581</v>
      </c>
      <c r="Q917" s="97" t="n"/>
      <c r="R917" s="97" t="n">
        <v>78.5</v>
      </c>
      <c r="S917" s="97" t="n">
        <v>93.82079</v>
      </c>
      <c r="T917" s="97" t="n">
        <v>103.9078</v>
      </c>
      <c r="U917" s="97" t="n">
        <v>122.6992</v>
      </c>
      <c r="V917" s="97" t="n">
        <v>35.01052</v>
      </c>
      <c r="W917" s="97" t="n">
        <v>21.50388</v>
      </c>
      <c r="X917" s="97" t="n"/>
      <c r="Y917" s="97" t="n">
        <v>56.94357</v>
      </c>
      <c r="Z917" s="97" t="n">
        <v>117.4902</v>
      </c>
      <c r="AA917" s="97" t="n">
        <v>103.1342</v>
      </c>
      <c r="AB917" s="97" t="n">
        <v>31.51337</v>
      </c>
      <c r="AC917" s="97" t="n">
        <v>74.7868</v>
      </c>
      <c r="AD917" s="97" t="n"/>
      <c r="AE917" s="97" t="n">
        <v>68.32698000000001</v>
      </c>
      <c r="AF917" s="97" t="n">
        <v>81.6189</v>
      </c>
      <c r="AG917" s="97" t="n">
        <v>107.9098</v>
      </c>
      <c r="AH917" s="97" t="n">
        <v>72.69707</v>
      </c>
      <c r="AI917" s="97" t="n">
        <v>32.22218</v>
      </c>
      <c r="AJ917" s="97" t="n">
        <v>110.0409</v>
      </c>
      <c r="AK917" s="97" t="n">
        <v>36.32851</v>
      </c>
      <c r="AL917" s="97" t="n">
        <v>69.46601</v>
      </c>
      <c r="AM917" s="97" t="n">
        <v>84.20116</v>
      </c>
      <c r="AN917" s="97" t="n"/>
      <c r="AO917" s="97" t="n">
        <v>70.46413</v>
      </c>
      <c r="AP917" s="97" t="n">
        <v>82.08632</v>
      </c>
      <c r="AQ917" s="97" t="n"/>
      <c r="AR917" s="97" t="n"/>
      <c r="AS917" s="97" t="n"/>
      <c r="AT917" s="97" t="n">
        <v>31.21769</v>
      </c>
      <c r="AU917" s="97" t="n"/>
      <c r="AV917" s="97" t="n">
        <v>56.95897</v>
      </c>
      <c r="AW917" s="97" t="n"/>
      <c r="AX917" s="97" t="n">
        <v>36.29697</v>
      </c>
      <c r="AY917" s="97" t="n">
        <v>80.66171</v>
      </c>
    </row>
    <row r="918" s="135">
      <c r="A918" t="inlineStr">
        <is>
          <t>1995-05</t>
        </is>
      </c>
      <c r="B918" s="2" t="n">
        <v>34820</v>
      </c>
      <c r="C918" s="96" t="n">
        <v>918</v>
      </c>
      <c r="E918" s="2">
        <f>B918</f>
        <v/>
      </c>
      <c r="F918" s="3">
        <f>B918</f>
        <v/>
      </c>
      <c r="G918" s="96" t="n">
        <v>916</v>
      </c>
      <c r="H918" s="97" t="n"/>
      <c r="I918" s="97" t="n"/>
      <c r="J918" s="97" t="n">
        <v>65.79321</v>
      </c>
      <c r="K918" s="97" t="n">
        <v>77.4592</v>
      </c>
      <c r="L918" s="97" t="n"/>
      <c r="M918" s="97" t="n">
        <v>55.85469</v>
      </c>
      <c r="N918" s="97" t="n">
        <v>70.7941</v>
      </c>
      <c r="O918" s="97" t="n">
        <v>94.37982</v>
      </c>
      <c r="P918" s="97" t="n">
        <v>105.0221</v>
      </c>
      <c r="Q918" s="97" t="n"/>
      <c r="R918" s="97" t="n">
        <v>77.3</v>
      </c>
      <c r="S918" s="97" t="n">
        <v>93.36078000000001</v>
      </c>
      <c r="T918" s="97" t="n">
        <v>103.8101</v>
      </c>
      <c r="U918" s="97" t="n">
        <v>121.9604</v>
      </c>
      <c r="V918" s="97" t="n">
        <v>36.12382</v>
      </c>
      <c r="W918" s="97" t="n">
        <v>22.15731</v>
      </c>
      <c r="X918" s="97" t="n"/>
      <c r="Y918" s="97" t="n">
        <v>57.71402</v>
      </c>
      <c r="Z918" s="97" t="n">
        <v>118.1901</v>
      </c>
      <c r="AA918" s="97" t="n">
        <v>101.4102</v>
      </c>
      <c r="AB918" s="97" t="n">
        <v>31.05141</v>
      </c>
      <c r="AC918" s="97" t="n">
        <v>73.96513</v>
      </c>
      <c r="AD918" s="97" t="n"/>
      <c r="AE918" s="97" t="n">
        <v>67.46507</v>
      </c>
      <c r="AF918" s="97" t="n">
        <v>83.03100000000001</v>
      </c>
      <c r="AG918" s="97" t="n">
        <v>109.1124</v>
      </c>
      <c r="AH918" s="97" t="n">
        <v>72.63046</v>
      </c>
      <c r="AI918" s="97" t="n">
        <v>33.25127</v>
      </c>
      <c r="AJ918" s="97" t="n">
        <v>106.6622</v>
      </c>
      <c r="AK918" s="97" t="n">
        <v>36.86465</v>
      </c>
      <c r="AL918" s="97" t="n">
        <v>70.01299</v>
      </c>
      <c r="AM918" s="97" t="n">
        <v>84.20116</v>
      </c>
      <c r="AN918" s="97" t="n"/>
      <c r="AO918" s="97" t="n">
        <v>70.70349</v>
      </c>
      <c r="AP918" s="97" t="n">
        <v>82.38627</v>
      </c>
      <c r="AQ918" s="97" t="n"/>
      <c r="AR918" s="97" t="n"/>
      <c r="AS918" s="97" t="n"/>
      <c r="AT918" s="97" t="n">
        <v>30.96093</v>
      </c>
      <c r="AU918" s="97" t="n"/>
      <c r="AV918" s="97" t="n">
        <v>59.5472</v>
      </c>
      <c r="AW918" s="97" t="n"/>
      <c r="AX918" s="97" t="n">
        <v>35.997</v>
      </c>
      <c r="AY918" s="97" t="n">
        <v>71.62029</v>
      </c>
    </row>
    <row r="919" s="135">
      <c r="A919" t="inlineStr">
        <is>
          <t>1995-06</t>
        </is>
      </c>
      <c r="B919" s="2" t="n">
        <v>34851</v>
      </c>
      <c r="C919" s="96" t="n">
        <v>919</v>
      </c>
      <c r="E919" s="2">
        <f>B919</f>
        <v/>
      </c>
      <c r="F919" s="3">
        <f>B919</f>
        <v/>
      </c>
      <c r="G919" s="96" t="n">
        <v>917</v>
      </c>
      <c r="H919" s="97" t="n"/>
      <c r="I919" s="97" t="n"/>
      <c r="J919" s="97" t="n">
        <v>65.19225</v>
      </c>
      <c r="K919" s="97" t="n">
        <v>77.31723</v>
      </c>
      <c r="L919" s="97" t="n"/>
      <c r="M919" s="97" t="n">
        <v>56.64537</v>
      </c>
      <c r="N919" s="97" t="n">
        <v>69.99415999999999</v>
      </c>
      <c r="O919" s="97" t="n">
        <v>93.18239</v>
      </c>
      <c r="P919" s="97" t="n">
        <v>104.1801</v>
      </c>
      <c r="Q919" s="97" t="n"/>
      <c r="R919" s="97" t="n">
        <v>76.7</v>
      </c>
      <c r="S919" s="97" t="n">
        <v>93.97078</v>
      </c>
      <c r="T919" s="97" t="n">
        <v>103.2242</v>
      </c>
      <c r="U919" s="97" t="n">
        <v>120.9953</v>
      </c>
      <c r="V919" s="97" t="n">
        <v>34.68824</v>
      </c>
      <c r="W919" s="97" t="n">
        <v>21.62268</v>
      </c>
      <c r="X919" s="97" t="n"/>
      <c r="Y919" s="97" t="n">
        <v>56.45328</v>
      </c>
      <c r="Z919" s="97" t="n">
        <v>117.9902</v>
      </c>
      <c r="AA919" s="97" t="n">
        <v>101.3088</v>
      </c>
      <c r="AB919" s="97" t="n">
        <v>32.16032</v>
      </c>
      <c r="AC919" s="97" t="n">
        <v>74.94989</v>
      </c>
      <c r="AD919" s="97" t="n"/>
      <c r="AE919" s="97" t="n">
        <v>67.34688</v>
      </c>
      <c r="AF919" s="97" t="n">
        <v>82.18375</v>
      </c>
      <c r="AG919" s="97" t="n">
        <v>107.0351</v>
      </c>
      <c r="AH919" s="97" t="n">
        <v>72.6683</v>
      </c>
      <c r="AI919" s="97" t="n">
        <v>33.22781</v>
      </c>
      <c r="AJ919" s="97" t="n">
        <v>103.3199</v>
      </c>
      <c r="AK919" s="97" t="n">
        <v>36.90541</v>
      </c>
      <c r="AL919" s="97" t="n">
        <v>74.46693</v>
      </c>
      <c r="AM919" s="97" t="n">
        <v>84.50476</v>
      </c>
      <c r="AN919" s="97" t="n"/>
      <c r="AO919" s="97" t="n">
        <v>70.94343000000001</v>
      </c>
      <c r="AP919" s="97" t="n">
        <v>81.98634</v>
      </c>
      <c r="AQ919" s="97" t="n"/>
      <c r="AR919" s="97" t="n"/>
      <c r="AS919" s="97" t="n"/>
      <c r="AT919" s="97" t="n">
        <v>31.23411</v>
      </c>
      <c r="AU919" s="97" t="n"/>
      <c r="AV919" s="97" t="n">
        <v>59.72966</v>
      </c>
      <c r="AW919" s="97" t="n"/>
      <c r="AX919" s="97" t="n">
        <v>37.1969</v>
      </c>
      <c r="AY919" s="97" t="n">
        <v>76.51846</v>
      </c>
    </row>
    <row r="920" s="135">
      <c r="A920" t="inlineStr">
        <is>
          <t>1995-07</t>
        </is>
      </c>
      <c r="B920" s="2" t="n">
        <v>34881</v>
      </c>
      <c r="C920" s="96" t="n">
        <v>920</v>
      </c>
      <c r="E920" s="2">
        <f>B920</f>
        <v/>
      </c>
      <c r="F920" s="3">
        <f>B920</f>
        <v/>
      </c>
      <c r="G920" s="96" t="n">
        <v>918</v>
      </c>
      <c r="H920" s="97" t="n"/>
      <c r="I920" s="97" t="n"/>
      <c r="J920" s="97" t="n">
        <v>63.1477</v>
      </c>
      <c r="K920" s="97" t="n">
        <v>77.07277000000001</v>
      </c>
      <c r="L920" s="97" t="n"/>
      <c r="M920" s="97" t="n">
        <v>54.81801</v>
      </c>
      <c r="N920" s="97" t="n">
        <v>69.79418</v>
      </c>
      <c r="O920" s="97" t="n">
        <v>88.71922000000001</v>
      </c>
      <c r="P920" s="97" t="n">
        <v>103.4891</v>
      </c>
      <c r="Q920" s="97" t="n"/>
      <c r="R920" s="97" t="n">
        <v>78</v>
      </c>
      <c r="S920" s="97" t="n">
        <v>94.41079000000001</v>
      </c>
      <c r="T920" s="97" t="n">
        <v>103.8101</v>
      </c>
      <c r="U920" s="97" t="n">
        <v>121.2344</v>
      </c>
      <c r="V920" s="97" t="n">
        <v>35.2156</v>
      </c>
      <c r="W920" s="97" t="n">
        <v>22.63253</v>
      </c>
      <c r="X920" s="97" t="n"/>
      <c r="Y920" s="97" t="n">
        <v>58.13427</v>
      </c>
      <c r="Z920" s="97" t="n">
        <v>117.8902</v>
      </c>
      <c r="AA920" s="97" t="n">
        <v>99.88905</v>
      </c>
      <c r="AB920" s="97" t="n">
        <v>32.16032</v>
      </c>
      <c r="AC920" s="97" t="n">
        <v>70.84003</v>
      </c>
      <c r="AD920" s="97" t="n"/>
      <c r="AE920" s="97" t="n">
        <v>67.34430999999999</v>
      </c>
      <c r="AF920" s="97" t="n">
        <v>82.74858</v>
      </c>
      <c r="AG920" s="97" t="n">
        <v>111.1897</v>
      </c>
      <c r="AH920" s="97" t="n">
        <v>72.48468</v>
      </c>
      <c r="AI920" s="97" t="n">
        <v>33.84576</v>
      </c>
      <c r="AJ920" s="97" t="n">
        <v>109.8846</v>
      </c>
      <c r="AK920" s="97" t="n">
        <v>36.95717</v>
      </c>
      <c r="AL920" s="97" t="n">
        <v>70.01299</v>
      </c>
      <c r="AM920" s="97" t="n">
        <v>84.50476</v>
      </c>
      <c r="AN920" s="97" t="n"/>
      <c r="AO920" s="97" t="n">
        <v>70.66123</v>
      </c>
      <c r="AP920" s="97" t="n">
        <v>81.98634</v>
      </c>
      <c r="AQ920" s="97" t="n"/>
      <c r="AR920" s="97" t="n"/>
      <c r="AS920" s="97" t="n"/>
      <c r="AT920" s="97" t="n">
        <v>31.98158</v>
      </c>
      <c r="AU920" s="97" t="n"/>
      <c r="AV920" s="97" t="n">
        <v>59.95563</v>
      </c>
      <c r="AW920" s="97" t="n"/>
      <c r="AX920" s="97" t="n">
        <v>37.1969</v>
      </c>
      <c r="AY920" s="97" t="n">
        <v>74.62239</v>
      </c>
    </row>
    <row r="921" s="135">
      <c r="A921" t="inlineStr">
        <is>
          <t>1995-08</t>
        </is>
      </c>
      <c r="B921" s="2" t="n">
        <v>34912</v>
      </c>
      <c r="C921" s="96" t="n">
        <v>921</v>
      </c>
      <c r="E921" s="2">
        <f>B921</f>
        <v/>
      </c>
      <c r="F921" s="3">
        <f>B921</f>
        <v/>
      </c>
      <c r="G921" s="96" t="n">
        <v>919</v>
      </c>
      <c r="H921" s="97" t="n"/>
      <c r="I921" s="97" t="n"/>
      <c r="J921" s="97" t="n">
        <v>64.27628</v>
      </c>
      <c r="K921" s="97" t="n">
        <v>77.24370999999999</v>
      </c>
      <c r="L921" s="97" t="n"/>
      <c r="M921" s="97" t="n">
        <v>56.94618</v>
      </c>
      <c r="N921" s="97" t="n">
        <v>68.99424999999999</v>
      </c>
      <c r="O921" s="97" t="n">
        <v>91.22295</v>
      </c>
      <c r="P921" s="97" t="n">
        <v>103.3561</v>
      </c>
      <c r="Q921" s="97" t="n"/>
      <c r="R921" s="97" t="n">
        <v>78.40000000000001</v>
      </c>
      <c r="S921" s="97" t="n">
        <v>93.84078</v>
      </c>
      <c r="T921" s="97" t="n">
        <v>104.0054</v>
      </c>
      <c r="U921" s="97" t="n">
        <v>122.0381</v>
      </c>
      <c r="V921" s="97" t="n">
        <v>35.47927</v>
      </c>
      <c r="W921" s="97" t="n">
        <v>23.16716</v>
      </c>
      <c r="X921" s="97" t="n"/>
      <c r="Y921" s="97" t="n">
        <v>58.48448</v>
      </c>
      <c r="Z921" s="97" t="n">
        <v>119.99</v>
      </c>
      <c r="AA921" s="97" t="n">
        <v>101.4102</v>
      </c>
      <c r="AB921" s="97" t="n">
        <v>32.34531</v>
      </c>
      <c r="AC921" s="97" t="n">
        <v>78.21372</v>
      </c>
      <c r="AD921" s="97" t="n"/>
      <c r="AE921" s="97" t="n">
        <v>67.83338000000001</v>
      </c>
      <c r="AF921" s="97" t="n">
        <v>83.97239999999999</v>
      </c>
      <c r="AG921" s="97" t="n">
        <v>108.6751</v>
      </c>
      <c r="AH921" s="97" t="n">
        <v>73.05135</v>
      </c>
      <c r="AI921" s="97" t="n">
        <v>33.43531</v>
      </c>
      <c r="AJ921" s="97" t="n">
        <v>110.3184</v>
      </c>
      <c r="AK921" s="97" t="n">
        <v>37.45023</v>
      </c>
      <c r="AL921" s="97" t="n">
        <v>67.6688</v>
      </c>
      <c r="AM921" s="97" t="n">
        <v>84.60596</v>
      </c>
      <c r="AN921" s="97" t="n"/>
      <c r="AO921" s="97" t="n">
        <v>71.55315</v>
      </c>
      <c r="AP921" s="97" t="n">
        <v>81.98634</v>
      </c>
      <c r="AQ921" s="97" t="n"/>
      <c r="AR921" s="97" t="n"/>
      <c r="AS921" s="97" t="n"/>
      <c r="AT921" s="97" t="n">
        <v>32.06753</v>
      </c>
      <c r="AU921" s="97" t="n"/>
      <c r="AV921" s="97" t="n">
        <v>59.4563</v>
      </c>
      <c r="AW921" s="97" t="n"/>
      <c r="AX921" s="97" t="n">
        <v>37.79685</v>
      </c>
      <c r="AY921" s="97" t="n">
        <v>72.91943999999999</v>
      </c>
    </row>
    <row r="922" s="135">
      <c r="A922" t="inlineStr">
        <is>
          <t>1995-09</t>
        </is>
      </c>
      <c r="B922" s="2" t="n">
        <v>34943</v>
      </c>
      <c r="C922" s="96" t="n">
        <v>922</v>
      </c>
      <c r="E922" s="2">
        <f>B922</f>
        <v/>
      </c>
      <c r="F922" s="3">
        <f>B922</f>
        <v/>
      </c>
      <c r="G922" s="96" t="n">
        <v>920</v>
      </c>
      <c r="H922" s="97" t="n"/>
      <c r="I922" s="97" t="n"/>
      <c r="J922" s="97" t="n">
        <v>63.32169</v>
      </c>
      <c r="K922" s="97" t="n">
        <v>76.99925</v>
      </c>
      <c r="L922" s="97" t="n"/>
      <c r="M922" s="97" t="n">
        <v>56.31569</v>
      </c>
      <c r="N922" s="97" t="n">
        <v>70.39413</v>
      </c>
      <c r="O922" s="97" t="n">
        <v>91.76723</v>
      </c>
      <c r="P922" s="97" t="n">
        <v>104.0101</v>
      </c>
      <c r="Q922" s="97" t="n"/>
      <c r="R922" s="97" t="n">
        <v>76.3</v>
      </c>
      <c r="S922" s="97" t="n">
        <v>93.98078</v>
      </c>
      <c r="T922" s="97" t="n">
        <v>104.2984</v>
      </c>
      <c r="U922" s="97" t="n">
        <v>122.7491</v>
      </c>
      <c r="V922" s="97" t="n">
        <v>35.36209</v>
      </c>
      <c r="W922" s="97" t="n">
        <v>23.04835</v>
      </c>
      <c r="X922" s="97" t="n"/>
      <c r="Y922" s="97" t="n">
        <v>57.99419</v>
      </c>
      <c r="Z922" s="97" t="n">
        <v>119.1901</v>
      </c>
      <c r="AA922" s="97" t="n">
        <v>99.78764</v>
      </c>
      <c r="AB922" s="97" t="n">
        <v>32.06733</v>
      </c>
      <c r="AC922" s="97" t="n">
        <v>76.24799</v>
      </c>
      <c r="AD922" s="97" t="n"/>
      <c r="AE922" s="97" t="n">
        <v>68.5262</v>
      </c>
      <c r="AF922" s="97" t="n">
        <v>84.06654</v>
      </c>
      <c r="AG922" s="97" t="n">
        <v>111.7364</v>
      </c>
      <c r="AH922" s="97" t="n">
        <v>73.00841</v>
      </c>
      <c r="AI922" s="97" t="n">
        <v>33.95824</v>
      </c>
      <c r="AJ922" s="97" t="n">
        <v>107.6935</v>
      </c>
      <c r="AK922" s="97" t="n">
        <v>37.20453</v>
      </c>
      <c r="AL922" s="97" t="n">
        <v>69.07531</v>
      </c>
      <c r="AM922" s="97" t="n">
        <v>84.20116</v>
      </c>
      <c r="AN922" s="97" t="n"/>
      <c r="AO922" s="97" t="n">
        <v>71.84007</v>
      </c>
      <c r="AP922" s="97" t="n">
        <v>82.38627</v>
      </c>
      <c r="AQ922" s="97" t="n"/>
      <c r="AR922" s="97" t="n"/>
      <c r="AS922" s="97" t="n"/>
      <c r="AT922" s="97" t="n">
        <v>33.27685</v>
      </c>
      <c r="AU922" s="97" t="n"/>
      <c r="AV922" s="97" t="n">
        <v>58.98775</v>
      </c>
      <c r="AW922" s="97" t="n"/>
      <c r="AX922" s="97" t="n">
        <v>36.09699</v>
      </c>
      <c r="AY922" s="97" t="n">
        <v>73.5778</v>
      </c>
    </row>
    <row r="923" s="135">
      <c r="A923" t="inlineStr">
        <is>
          <t>1995-10</t>
        </is>
      </c>
      <c r="B923" s="2" t="n">
        <v>34973</v>
      </c>
      <c r="C923" s="96" t="n">
        <v>923</v>
      </c>
      <c r="E923" s="2">
        <f>B923</f>
        <v/>
      </c>
      <c r="F923" s="3">
        <f>B923</f>
        <v/>
      </c>
      <c r="G923" s="96" t="n">
        <v>921</v>
      </c>
      <c r="H923" s="97" t="n"/>
      <c r="I923" s="97" t="n"/>
      <c r="J923" s="97" t="n">
        <v>64.39091999999999</v>
      </c>
      <c r="K923" s="97" t="n">
        <v>76.96014</v>
      </c>
      <c r="L923" s="97" t="n"/>
      <c r="M923" s="97" t="n">
        <v>57.58918</v>
      </c>
      <c r="N923" s="97" t="n">
        <v>68.59428</v>
      </c>
      <c r="O923" s="97" t="n">
        <v>93.50896</v>
      </c>
      <c r="P923" s="97" t="n">
        <v>102.5911</v>
      </c>
      <c r="Q923" s="97" t="n"/>
      <c r="R923" s="97" t="n">
        <v>75.59999999999999</v>
      </c>
      <c r="S923" s="97" t="n">
        <v>92.17077</v>
      </c>
      <c r="T923" s="97" t="n">
        <v>103.9078</v>
      </c>
      <c r="U923" s="97" t="n">
        <v>123.8819</v>
      </c>
      <c r="V923" s="97" t="n">
        <v>35.30349</v>
      </c>
      <c r="W923" s="97" t="n">
        <v>23.70179</v>
      </c>
      <c r="X923" s="97" t="n"/>
      <c r="Y923" s="97" t="n">
        <v>58.41444</v>
      </c>
      <c r="Z923" s="97" t="n">
        <v>119.99</v>
      </c>
      <c r="AA923" s="97" t="n">
        <v>101.3088</v>
      </c>
      <c r="AB923" s="97" t="n">
        <v>32.25231</v>
      </c>
      <c r="AC923" s="97" t="n">
        <v>76.44471</v>
      </c>
      <c r="AD923" s="97" t="n"/>
      <c r="AE923" s="97" t="n">
        <v>64.70361</v>
      </c>
      <c r="AF923" s="97" t="n">
        <v>84.06654</v>
      </c>
      <c r="AG923" s="97" t="n">
        <v>111.0804</v>
      </c>
      <c r="AH923" s="97" t="n">
        <v>72.75790000000001</v>
      </c>
      <c r="AI923" s="97" t="n">
        <v>33.68149</v>
      </c>
      <c r="AJ923" s="97" t="n">
        <v>114.2644</v>
      </c>
      <c r="AK923" s="97" t="n">
        <v>37.40895</v>
      </c>
      <c r="AL923" s="97" t="n">
        <v>66.57483999999999</v>
      </c>
      <c r="AM923" s="97" t="n">
        <v>84.90958000000001</v>
      </c>
      <c r="AN923" s="97" t="n"/>
      <c r="AO923" s="97" t="n">
        <v>71.75169</v>
      </c>
      <c r="AP923" s="97" t="n">
        <v>81.38643999999999</v>
      </c>
      <c r="AQ923" s="97" t="n"/>
      <c r="AR923" s="97" t="n"/>
      <c r="AS923" s="97" t="n"/>
      <c r="AT923" s="97" t="n">
        <v>32.37823</v>
      </c>
      <c r="AU923" s="97" t="n"/>
      <c r="AV923" s="97" t="n">
        <v>58.3395</v>
      </c>
      <c r="AW923" s="97" t="n"/>
      <c r="AX923" s="97" t="n">
        <v>35.09708</v>
      </c>
      <c r="AY923" s="97" t="n">
        <v>74.51705</v>
      </c>
    </row>
    <row r="924" s="135">
      <c r="A924" t="inlineStr">
        <is>
          <t>1995-11</t>
        </is>
      </c>
      <c r="B924" s="2" t="n">
        <v>35004</v>
      </c>
      <c r="C924" s="96" t="n">
        <v>924</v>
      </c>
      <c r="E924" s="2">
        <f>B924</f>
        <v/>
      </c>
      <c r="F924" s="3">
        <f>B924</f>
        <v/>
      </c>
      <c r="G924" s="96" t="n">
        <v>922</v>
      </c>
      <c r="H924" s="97" t="n"/>
      <c r="I924" s="97" t="n"/>
      <c r="J924" s="97" t="n">
        <v>64.07151</v>
      </c>
      <c r="K924" s="97" t="n">
        <v>77.15571</v>
      </c>
      <c r="L924" s="97" t="n"/>
      <c r="M924" s="97" t="n">
        <v>58.19875</v>
      </c>
      <c r="N924" s="97" t="n">
        <v>68.99424999999999</v>
      </c>
      <c r="O924" s="97" t="n">
        <v>95.90383</v>
      </c>
      <c r="P924" s="97" t="n">
        <v>103.4831</v>
      </c>
      <c r="Q924" s="97" t="n"/>
      <c r="R924" s="97" t="n">
        <v>75.7</v>
      </c>
      <c r="S924" s="97" t="n">
        <v>92.13077</v>
      </c>
      <c r="T924" s="97" t="n">
        <v>104.4937</v>
      </c>
      <c r="U924" s="97" t="n">
        <v>122.7861</v>
      </c>
      <c r="V924" s="97" t="n">
        <v>34.42456</v>
      </c>
      <c r="W924" s="97" t="n">
        <v>23.58298</v>
      </c>
      <c r="X924" s="97" t="n"/>
      <c r="Y924" s="97" t="n">
        <v>58.34439</v>
      </c>
      <c r="Z924" s="97" t="n">
        <v>119.99</v>
      </c>
      <c r="AA924" s="97" t="n">
        <v>102.1201</v>
      </c>
      <c r="AB924" s="97" t="n">
        <v>32.4373</v>
      </c>
      <c r="AC924" s="97" t="n">
        <v>74.76235</v>
      </c>
      <c r="AD924" s="97" t="n"/>
      <c r="AE924" s="97" t="n">
        <v>69.35827999999999</v>
      </c>
      <c r="AF924" s="97" t="n">
        <v>84.25481000000001</v>
      </c>
      <c r="AG924" s="97" t="n">
        <v>112.8297</v>
      </c>
      <c r="AH924" s="97" t="n">
        <v>73.41253</v>
      </c>
      <c r="AI924" s="97" t="n">
        <v>34.92795</v>
      </c>
      <c r="AJ924" s="97" t="n">
        <v>110.1782</v>
      </c>
      <c r="AK924" s="97" t="n">
        <v>37.2653</v>
      </c>
      <c r="AL924" s="97" t="n">
        <v>68.76276</v>
      </c>
      <c r="AM924" s="97" t="n">
        <v>85.01078</v>
      </c>
      <c r="AN924" s="97" t="n"/>
      <c r="AO924" s="97" t="n">
        <v>71.93227</v>
      </c>
      <c r="AP924" s="97" t="n">
        <v>81.68639</v>
      </c>
      <c r="AQ924" s="97" t="n"/>
      <c r="AR924" s="97" t="n"/>
      <c r="AS924" s="97" t="n"/>
      <c r="AT924" s="97" t="n">
        <v>33.19024</v>
      </c>
      <c r="AU924" s="97" t="n"/>
      <c r="AV924" s="97" t="n">
        <v>56.75374</v>
      </c>
      <c r="AW924" s="97" t="n"/>
      <c r="AX924" s="97" t="n">
        <v>38.59678</v>
      </c>
      <c r="AY924" s="97" t="n">
        <v>74.99985</v>
      </c>
    </row>
    <row r="925" s="135">
      <c r="A925" t="inlineStr">
        <is>
          <t>1995-12</t>
        </is>
      </c>
      <c r="B925" s="2" t="n">
        <v>35034</v>
      </c>
      <c r="C925" s="96" t="n">
        <v>925</v>
      </c>
      <c r="E925" s="2">
        <f>B925</f>
        <v/>
      </c>
      <c r="F925" s="3">
        <f>B925</f>
        <v/>
      </c>
      <c r="G925" s="96" t="n">
        <v>923</v>
      </c>
      <c r="H925" s="97" t="n"/>
      <c r="I925" s="97" t="n"/>
      <c r="J925" s="97" t="n">
        <v>64.02808</v>
      </c>
      <c r="K925" s="97" t="n">
        <v>76.79355</v>
      </c>
      <c r="L925" s="97" t="n"/>
      <c r="M925" s="97" t="n">
        <v>56.96864</v>
      </c>
      <c r="N925" s="97" t="n">
        <v>68.99424999999999</v>
      </c>
      <c r="O925" s="97" t="n">
        <v>99.27843</v>
      </c>
      <c r="P925" s="97" t="n">
        <v>104.8041</v>
      </c>
      <c r="Q925" s="97" t="n"/>
      <c r="R925" s="97" t="n">
        <v>76.59999999999999</v>
      </c>
      <c r="S925" s="97" t="n">
        <v>94.09078</v>
      </c>
      <c r="T925" s="97" t="n">
        <v>105.0797</v>
      </c>
      <c r="U925" s="97" t="n">
        <v>124.9052</v>
      </c>
      <c r="V925" s="97" t="n">
        <v>35.44998</v>
      </c>
      <c r="W925" s="97" t="n">
        <v>24.35522</v>
      </c>
      <c r="X925" s="97" t="n"/>
      <c r="Y925" s="97" t="n">
        <v>59.60514</v>
      </c>
      <c r="Z925" s="97" t="n">
        <v>121.9898</v>
      </c>
      <c r="AA925" s="97" t="n">
        <v>103.4384</v>
      </c>
      <c r="AB925" s="97" t="n">
        <v>33.17624</v>
      </c>
      <c r="AC925" s="97" t="n">
        <v>74.65872</v>
      </c>
      <c r="AD925" s="97" t="n"/>
      <c r="AE925" s="97" t="n">
        <v>73.44743</v>
      </c>
      <c r="AF925" s="97" t="n">
        <v>86.51416</v>
      </c>
      <c r="AG925" s="97" t="n">
        <v>113.8137</v>
      </c>
      <c r="AH925" s="97" t="n">
        <v>74.16468</v>
      </c>
      <c r="AI925" s="97" t="n">
        <v>34.60751</v>
      </c>
      <c r="AJ925" s="97" t="n">
        <v>116.8654</v>
      </c>
      <c r="AK925" s="97" t="n">
        <v>37.36768</v>
      </c>
      <c r="AL925" s="97" t="n">
        <v>67.43438</v>
      </c>
      <c r="AM925" s="97" t="n">
        <v>83.99875</v>
      </c>
      <c r="AN925" s="97" t="n"/>
      <c r="AO925" s="97" t="n">
        <v>72.20679</v>
      </c>
      <c r="AP925" s="97" t="n">
        <v>82.68622000000001</v>
      </c>
      <c r="AQ925" s="97" t="n"/>
      <c r="AR925" s="97" t="n"/>
      <c r="AS925" s="97" t="n"/>
      <c r="AT925" s="97" t="n">
        <v>33.75653</v>
      </c>
      <c r="AU925" s="97" t="n"/>
      <c r="AV925" s="97" t="n">
        <v>56.36494</v>
      </c>
      <c r="AW925" s="97" t="n"/>
      <c r="AX925" s="97" t="n">
        <v>40.19665</v>
      </c>
      <c r="AY925" s="97" t="n">
        <v>75.83376</v>
      </c>
    </row>
    <row r="926" s="135">
      <c r="A926" t="inlineStr">
        <is>
          <t>1996-01</t>
        </is>
      </c>
      <c r="B926" s="2" t="n">
        <v>35065</v>
      </c>
      <c r="C926" s="96" t="n">
        <v>926</v>
      </c>
      <c r="E926" s="2">
        <f>B926</f>
        <v/>
      </c>
      <c r="F926" s="3">
        <f>B926</f>
        <v/>
      </c>
      <c r="G926" s="96" t="n">
        <v>924</v>
      </c>
      <c r="H926" s="97" t="n"/>
      <c r="I926" s="97" t="n"/>
      <c r="J926" s="97" t="n">
        <v>63.95581</v>
      </c>
      <c r="K926" s="97" t="n">
        <v>77.5425</v>
      </c>
      <c r="L926" s="97" t="n"/>
      <c r="M926" s="97" t="n">
        <v>59.41671</v>
      </c>
      <c r="N926" s="97" t="n">
        <v>69.29423</v>
      </c>
      <c r="O926" s="97" t="n">
        <v>89.69893999999999</v>
      </c>
      <c r="P926" s="97" t="n">
        <v>100.6371</v>
      </c>
      <c r="Q926" s="97" t="n"/>
      <c r="R926" s="97" t="n">
        <v>76.8</v>
      </c>
      <c r="S926" s="97" t="n">
        <v>93.26078</v>
      </c>
      <c r="T926" s="97" t="n">
        <v>104.5914</v>
      </c>
      <c r="U926" s="97" t="n">
        <v>123.2899</v>
      </c>
      <c r="V926" s="97" t="n">
        <v>35.157</v>
      </c>
      <c r="W926" s="97" t="n">
        <v>23.87999</v>
      </c>
      <c r="X926" s="97" t="n"/>
      <c r="Y926" s="97" t="n">
        <v>59.25493</v>
      </c>
      <c r="Z926" s="97" t="n">
        <v>120.19</v>
      </c>
      <c r="AA926" s="97" t="n">
        <v>101.9173</v>
      </c>
      <c r="AB926" s="97" t="n">
        <v>33.08424</v>
      </c>
      <c r="AC926" s="97" t="n">
        <v>75.05062</v>
      </c>
      <c r="AD926" s="97" t="n"/>
      <c r="AE926" s="97" t="n">
        <v>75.06638</v>
      </c>
      <c r="AF926" s="97" t="n">
        <v>85.47862000000001</v>
      </c>
      <c r="AG926" s="97" t="n">
        <v>114.907</v>
      </c>
      <c r="AH926" s="97" t="n">
        <v>73.6451</v>
      </c>
      <c r="AI926" s="97" t="n">
        <v>35.00495</v>
      </c>
      <c r="AJ926" s="97" t="n">
        <v>112.5323</v>
      </c>
      <c r="AK926" s="97" t="n">
        <v>36.71073</v>
      </c>
      <c r="AL926" s="97" t="n">
        <v>68.76276</v>
      </c>
      <c r="AM926" s="97" t="n">
        <v>84.20116</v>
      </c>
      <c r="AN926" s="97" t="n"/>
      <c r="AO926" s="97" t="n">
        <v>71.73479</v>
      </c>
      <c r="AP926" s="97" t="n">
        <v>81.88634999999999</v>
      </c>
      <c r="AQ926" s="97" t="n"/>
      <c r="AR926" s="97" t="n"/>
      <c r="AS926" s="97" t="n"/>
      <c r="AT926" s="97" t="n">
        <v>34.13619</v>
      </c>
      <c r="AU926" s="97" t="n"/>
      <c r="AV926" s="97" t="n">
        <v>56.45691</v>
      </c>
      <c r="AW926" s="97" t="n"/>
      <c r="AX926" s="97" t="n">
        <v>38.89676</v>
      </c>
      <c r="AY926" s="97" t="n">
        <v>74.95596</v>
      </c>
    </row>
    <row r="927" s="135">
      <c r="A927" t="inlineStr">
        <is>
          <t>1996-02</t>
        </is>
      </c>
      <c r="B927" s="2" t="n">
        <v>35096</v>
      </c>
      <c r="C927" s="96" t="n">
        <v>927</v>
      </c>
      <c r="E927" s="2">
        <f>B927</f>
        <v/>
      </c>
      <c r="F927" s="3">
        <f>B927</f>
        <v/>
      </c>
      <c r="G927" s="96" t="n">
        <v>925</v>
      </c>
      <c r="H927" s="97" t="n"/>
      <c r="I927" s="97" t="n"/>
      <c r="J927" s="97" t="n">
        <v>63.03745</v>
      </c>
      <c r="K927" s="97" t="n">
        <v>77.52294000000001</v>
      </c>
      <c r="L927" s="97" t="n"/>
      <c r="M927" s="97" t="n">
        <v>60.18473</v>
      </c>
      <c r="N927" s="97" t="n">
        <v>68.69427</v>
      </c>
      <c r="O927" s="97" t="n">
        <v>94.7064</v>
      </c>
      <c r="P927" s="97" t="n">
        <v>101.0111</v>
      </c>
      <c r="Q927" s="97" t="n"/>
      <c r="R927" s="97" t="n">
        <v>77.90000000000001</v>
      </c>
      <c r="S927" s="97" t="n">
        <v>93.53077999999999</v>
      </c>
      <c r="T927" s="97" t="n">
        <v>105.3726</v>
      </c>
      <c r="U927" s="97" t="n">
        <v>122.6694</v>
      </c>
      <c r="V927" s="97" t="n">
        <v>35.53787</v>
      </c>
      <c r="W927" s="97" t="n">
        <v>22.92955</v>
      </c>
      <c r="X927" s="97" t="n"/>
      <c r="Y927" s="97" t="n">
        <v>59.67518</v>
      </c>
      <c r="Z927" s="97" t="n">
        <v>118.8901</v>
      </c>
      <c r="AA927" s="97" t="n">
        <v>101.8158</v>
      </c>
      <c r="AB927" s="97" t="n">
        <v>33.82318</v>
      </c>
      <c r="AC927" s="97" t="n">
        <v>73.33813000000001</v>
      </c>
      <c r="AD927" s="97" t="n"/>
      <c r="AE927" s="97" t="n">
        <v>74.74236000000001</v>
      </c>
      <c r="AF927" s="97" t="n">
        <v>85.76103999999999</v>
      </c>
      <c r="AG927" s="97" t="n">
        <v>118.7336</v>
      </c>
      <c r="AH927" s="97" t="n">
        <v>73.95702</v>
      </c>
      <c r="AI927" s="97" t="n">
        <v>34.54006</v>
      </c>
      <c r="AJ927" s="97" t="n">
        <v>112.4423</v>
      </c>
      <c r="AK927" s="97" t="n">
        <v>36.52022</v>
      </c>
      <c r="AL927" s="97" t="n">
        <v>67.43438</v>
      </c>
      <c r="AM927" s="97" t="n">
        <v>84.90958000000001</v>
      </c>
      <c r="AN927" s="97" t="n"/>
      <c r="AO927" s="97" t="n">
        <v>72.83965999999999</v>
      </c>
      <c r="AP927" s="97" t="n">
        <v>81.5864</v>
      </c>
      <c r="AQ927" s="97" t="n"/>
      <c r="AR927" s="97" t="n"/>
      <c r="AS927" s="97" t="n"/>
      <c r="AT927" s="97" t="n">
        <v>33.49266</v>
      </c>
      <c r="AU927" s="97" t="n"/>
      <c r="AV927" s="97" t="n">
        <v>55.57853</v>
      </c>
      <c r="AW927" s="97" t="n"/>
      <c r="AX927" s="97" t="n">
        <v>36.19698</v>
      </c>
      <c r="AY927" s="97" t="n">
        <v>74.56094</v>
      </c>
    </row>
    <row r="928" s="135">
      <c r="A928" t="inlineStr">
        <is>
          <t>1996-03</t>
        </is>
      </c>
      <c r="B928" s="2" t="n">
        <v>35125</v>
      </c>
      <c r="C928" s="96" t="n">
        <v>928</v>
      </c>
      <c r="E928" s="2">
        <f>B928</f>
        <v/>
      </c>
      <c r="F928" s="3">
        <f>B928</f>
        <v/>
      </c>
      <c r="G928" s="96" t="n">
        <v>926</v>
      </c>
      <c r="H928" s="97" t="n"/>
      <c r="I928" s="97" t="n"/>
      <c r="J928" s="97" t="n">
        <v>63.04628</v>
      </c>
      <c r="K928" s="97" t="n">
        <v>77.03366</v>
      </c>
      <c r="L928" s="97" t="n"/>
      <c r="M928" s="97" t="n">
        <v>58.68552</v>
      </c>
      <c r="N928" s="97" t="n">
        <v>68.79427</v>
      </c>
      <c r="O928" s="97" t="n">
        <v>96.12155</v>
      </c>
      <c r="P928" s="97" t="n">
        <v>101.8891</v>
      </c>
      <c r="Q928" s="97" t="n"/>
      <c r="R928" s="97" t="n">
        <v>76.8</v>
      </c>
      <c r="S928" s="97" t="n">
        <v>94.18079</v>
      </c>
      <c r="T928" s="97" t="n">
        <v>105.4703</v>
      </c>
      <c r="U928" s="97" t="n">
        <v>123.1389</v>
      </c>
      <c r="V928" s="97" t="n">
        <v>36.09452</v>
      </c>
      <c r="W928" s="97" t="n">
        <v>23.22656</v>
      </c>
      <c r="X928" s="97" t="n"/>
      <c r="Y928" s="97" t="n">
        <v>60.02539</v>
      </c>
      <c r="Z928" s="97" t="n">
        <v>117.6902</v>
      </c>
      <c r="AA928" s="97" t="n">
        <v>101.7144</v>
      </c>
      <c r="AB928" s="97" t="n">
        <v>33.82318</v>
      </c>
      <c r="AC928" s="97" t="n">
        <v>78.81944</v>
      </c>
      <c r="AD928" s="97" t="n"/>
      <c r="AE928" s="97" t="n">
        <v>75.25031</v>
      </c>
      <c r="AF928" s="97" t="n">
        <v>86.89072</v>
      </c>
      <c r="AG928" s="97" t="n">
        <v>113.595</v>
      </c>
      <c r="AH928" s="97" t="n">
        <v>73.9534</v>
      </c>
      <c r="AI928" s="97" t="n">
        <v>35.86137</v>
      </c>
      <c r="AJ928" s="97" t="n">
        <v>113.1797</v>
      </c>
      <c r="AK928" s="97" t="n">
        <v>36.32024</v>
      </c>
      <c r="AL928" s="97" t="n">
        <v>68.60648</v>
      </c>
      <c r="AM928" s="97" t="n">
        <v>83.39153</v>
      </c>
      <c r="AN928" s="97" t="n"/>
      <c r="AO928" s="97" t="n">
        <v>72.77118</v>
      </c>
      <c r="AP928" s="97" t="n">
        <v>81.5864</v>
      </c>
      <c r="AQ928" s="97" t="n"/>
      <c r="AR928" s="97" t="n"/>
      <c r="AS928" s="97" t="n"/>
      <c r="AT928" s="97" t="n">
        <v>34.96182</v>
      </c>
      <c r="AU928" s="97" t="n"/>
      <c r="AV928" s="97" t="n">
        <v>56.27438</v>
      </c>
      <c r="AW928" s="97" t="n"/>
      <c r="AX928" s="97" t="n">
        <v>36.29697</v>
      </c>
      <c r="AY928" s="97" t="n">
        <v>74.43805</v>
      </c>
    </row>
    <row r="929" s="135">
      <c r="A929" t="inlineStr">
        <is>
          <t>1996-04</t>
        </is>
      </c>
      <c r="B929" s="2" t="n">
        <v>35156</v>
      </c>
      <c r="C929" s="96" t="n">
        <v>929</v>
      </c>
      <c r="E929" s="2">
        <f>B929</f>
        <v/>
      </c>
      <c r="F929" s="3">
        <f>B929</f>
        <v/>
      </c>
      <c r="G929" s="96" t="n">
        <v>927</v>
      </c>
      <c r="H929" s="97" t="n"/>
      <c r="I929" s="97" t="n"/>
      <c r="J929" s="97" t="n">
        <v>64.60173</v>
      </c>
      <c r="K929" s="97" t="n">
        <v>77.4248</v>
      </c>
      <c r="L929" s="97" t="n"/>
      <c r="M929" s="97" t="n">
        <v>56.79007</v>
      </c>
      <c r="N929" s="97" t="n">
        <v>68.79427</v>
      </c>
      <c r="O929" s="97" t="n">
        <v>98.29871</v>
      </c>
      <c r="P929" s="97" t="n">
        <v>100.3831</v>
      </c>
      <c r="Q929" s="97" t="n"/>
      <c r="R929" s="97" t="n">
        <v>75.7</v>
      </c>
      <c r="S929" s="97" t="n">
        <v>93.26078</v>
      </c>
      <c r="T929" s="97" t="n">
        <v>104.2007</v>
      </c>
      <c r="U929" s="97" t="n">
        <v>122.4908</v>
      </c>
      <c r="V929" s="97" t="n">
        <v>35.2449</v>
      </c>
      <c r="W929" s="97" t="n">
        <v>23.34537</v>
      </c>
      <c r="X929" s="97" t="n"/>
      <c r="Y929" s="97" t="n">
        <v>60.02539</v>
      </c>
      <c r="Z929" s="97" t="n">
        <v>116.3903</v>
      </c>
      <c r="AA929" s="97" t="n">
        <v>102.0187</v>
      </c>
      <c r="AB929" s="97" t="n">
        <v>34.8401</v>
      </c>
      <c r="AC929" s="97" t="n">
        <v>73.8944</v>
      </c>
      <c r="AD929" s="97" t="n"/>
      <c r="AE929" s="97" t="n">
        <v>75.84956</v>
      </c>
      <c r="AF929" s="97" t="n">
        <v>85.00793</v>
      </c>
      <c r="AG929" s="97" t="n">
        <v>114.4697</v>
      </c>
      <c r="AH929" s="97" t="n">
        <v>74.16282</v>
      </c>
      <c r="AI929" s="97" t="n">
        <v>35.83203</v>
      </c>
      <c r="AJ929" s="97" t="n">
        <v>113.2389</v>
      </c>
      <c r="AK929" s="97" t="n">
        <v>36.03833</v>
      </c>
      <c r="AL929" s="97" t="n">
        <v>75.01391</v>
      </c>
      <c r="AM929" s="97" t="n">
        <v>83.39153</v>
      </c>
      <c r="AN929" s="97" t="n"/>
      <c r="AO929" s="97" t="n">
        <v>73.43691</v>
      </c>
      <c r="AP929" s="97" t="n">
        <v>80.98650000000001</v>
      </c>
      <c r="AQ929" s="97" t="n"/>
      <c r="AR929" s="97" t="n"/>
      <c r="AS929" s="97" t="n"/>
      <c r="AT929" s="97" t="n">
        <v>34.58219</v>
      </c>
      <c r="AU929" s="97" t="n"/>
      <c r="AV929" s="97" t="n">
        <v>56.60393</v>
      </c>
      <c r="AW929" s="97" t="n"/>
      <c r="AX929" s="97" t="n">
        <v>37.89684</v>
      </c>
      <c r="AY929" s="97" t="n">
        <v>76.37801</v>
      </c>
    </row>
    <row r="930" s="135">
      <c r="A930" t="inlineStr">
        <is>
          <t>1996-05</t>
        </is>
      </c>
      <c r="B930" s="2" t="n">
        <v>35186</v>
      </c>
      <c r="C930" s="96" t="n">
        <v>930</v>
      </c>
      <c r="E930" s="2">
        <f>B930</f>
        <v/>
      </c>
      <c r="F930" s="3">
        <f>B930</f>
        <v/>
      </c>
      <c r="G930" s="96" t="n">
        <v>928</v>
      </c>
      <c r="H930" s="97" t="n"/>
      <c r="I930" s="97" t="n"/>
      <c r="J930" s="97" t="n">
        <v>64.53849</v>
      </c>
      <c r="K930" s="97" t="n">
        <v>77.81629</v>
      </c>
      <c r="L930" s="97" t="n"/>
      <c r="M930" s="97" t="n">
        <v>56.64689</v>
      </c>
      <c r="N930" s="97" t="n">
        <v>69.39422</v>
      </c>
      <c r="O930" s="97" t="n">
        <v>95.14183</v>
      </c>
      <c r="P930" s="97" t="n">
        <v>102.0161</v>
      </c>
      <c r="Q930" s="97" t="n"/>
      <c r="R930" s="97" t="n">
        <v>78.09999999999999</v>
      </c>
      <c r="S930" s="97" t="n">
        <v>95.11078999999999</v>
      </c>
      <c r="T930" s="97" t="n">
        <v>104.982</v>
      </c>
      <c r="U930" s="97" t="n">
        <v>124.1624</v>
      </c>
      <c r="V930" s="97" t="n">
        <v>36.3289</v>
      </c>
      <c r="W930" s="97" t="n">
        <v>24.53343</v>
      </c>
      <c r="X930" s="97" t="n"/>
      <c r="Y930" s="97" t="n">
        <v>59.5351</v>
      </c>
      <c r="Z930" s="97" t="n">
        <v>116.2903</v>
      </c>
      <c r="AA930" s="97" t="n">
        <v>102.6271</v>
      </c>
      <c r="AB930" s="97" t="n">
        <v>34.93209</v>
      </c>
      <c r="AC930" s="97" t="n">
        <v>73.38663</v>
      </c>
      <c r="AD930" s="97" t="n"/>
      <c r="AE930" s="97" t="n">
        <v>76.27209000000001</v>
      </c>
      <c r="AF930" s="97" t="n">
        <v>85.19620999999999</v>
      </c>
      <c r="AG930" s="97" t="n">
        <v>111.6271</v>
      </c>
      <c r="AH930" s="97" t="n">
        <v>74.61981</v>
      </c>
      <c r="AI930" s="97" t="n">
        <v>36.02873</v>
      </c>
      <c r="AJ930" s="97" t="n">
        <v>114.8738</v>
      </c>
      <c r="AK930" s="97" t="n">
        <v>36.87457</v>
      </c>
      <c r="AL930" s="97" t="n">
        <v>69.46601</v>
      </c>
      <c r="AM930" s="97" t="n">
        <v>84.90958000000001</v>
      </c>
      <c r="AN930" s="97" t="n"/>
      <c r="AO930" s="97" t="n">
        <v>73.9747</v>
      </c>
      <c r="AP930" s="97" t="n">
        <v>81.88634999999999</v>
      </c>
      <c r="AQ930" s="97" t="n"/>
      <c r="AR930" s="97" t="n"/>
      <c r="AS930" s="97" t="n"/>
      <c r="AT930" s="97" t="n">
        <v>34.95261</v>
      </c>
      <c r="AU930" s="97" t="n"/>
      <c r="AV930" s="97" t="n">
        <v>56.66865</v>
      </c>
      <c r="AW930" s="97" t="n"/>
      <c r="AX930" s="97" t="n">
        <v>37.59687</v>
      </c>
      <c r="AY930" s="97" t="n">
        <v>76.39556</v>
      </c>
    </row>
    <row r="931" s="135">
      <c r="A931" t="inlineStr">
        <is>
          <t>1996-06</t>
        </is>
      </c>
      <c r="B931" s="2" t="n">
        <v>35217</v>
      </c>
      <c r="C931" s="96" t="n">
        <v>931</v>
      </c>
      <c r="E931" s="2">
        <f>B931</f>
        <v/>
      </c>
      <c r="F931" s="3">
        <f>B931</f>
        <v/>
      </c>
      <c r="G931" s="96" t="n">
        <v>929</v>
      </c>
      <c r="H931" s="97" t="n"/>
      <c r="I931" s="97" t="n"/>
      <c r="J931" s="97" t="n">
        <v>63.31153</v>
      </c>
      <c r="K931" s="97" t="n">
        <v>78.00715</v>
      </c>
      <c r="L931" s="97" t="n"/>
      <c r="M931" s="97" t="n">
        <v>56.4366</v>
      </c>
      <c r="N931" s="97" t="n">
        <v>69.79418</v>
      </c>
      <c r="O931" s="97" t="n">
        <v>96.23041000000001</v>
      </c>
      <c r="P931" s="97" t="n">
        <v>103.5571</v>
      </c>
      <c r="Q931" s="97" t="n"/>
      <c r="R931" s="97" t="n">
        <v>78.8</v>
      </c>
      <c r="S931" s="97" t="n">
        <v>94.35078</v>
      </c>
      <c r="T931" s="97" t="n">
        <v>104.2984</v>
      </c>
      <c r="U931" s="97" t="n">
        <v>125.029</v>
      </c>
      <c r="V931" s="97" t="n">
        <v>35.65506</v>
      </c>
      <c r="W931" s="97" t="n">
        <v>24.53343</v>
      </c>
      <c r="X931" s="97" t="n"/>
      <c r="Y931" s="97" t="n">
        <v>60.65576</v>
      </c>
      <c r="Z931" s="97" t="n">
        <v>116.4903</v>
      </c>
      <c r="AA931" s="97" t="n">
        <v>102.8299</v>
      </c>
      <c r="AB931" s="97" t="n">
        <v>33.91617</v>
      </c>
      <c r="AC931" s="97" t="n">
        <v>74.89788</v>
      </c>
      <c r="AD931" s="97" t="n"/>
      <c r="AE931" s="97" t="n">
        <v>76.92464</v>
      </c>
      <c r="AF931" s="97" t="n">
        <v>84.53722999999999</v>
      </c>
      <c r="AG931" s="97" t="n">
        <v>116.547</v>
      </c>
      <c r="AH931" s="97" t="n">
        <v>74.87853</v>
      </c>
      <c r="AI931" s="97" t="n">
        <v>35.67644</v>
      </c>
      <c r="AJ931" s="97" t="n">
        <v>117.9857</v>
      </c>
      <c r="AK931" s="97" t="n">
        <v>36.99004</v>
      </c>
      <c r="AL931" s="97" t="n">
        <v>68.60648</v>
      </c>
      <c r="AM931" s="97" t="n">
        <v>85.11198</v>
      </c>
      <c r="AN931" s="97" t="n"/>
      <c r="AO931" s="97" t="n">
        <v>74.5998</v>
      </c>
      <c r="AP931" s="97" t="n">
        <v>81.88634999999999</v>
      </c>
      <c r="AQ931" s="97" t="n"/>
      <c r="AR931" s="97" t="n"/>
      <c r="AS931" s="97" t="n"/>
      <c r="AT931" s="97" t="n">
        <v>34.53372</v>
      </c>
      <c r="AU931" s="97" t="n"/>
      <c r="AV931" s="97" t="n">
        <v>56.52231</v>
      </c>
      <c r="AW931" s="97" t="n"/>
      <c r="AX931" s="97" t="n">
        <v>38.59678</v>
      </c>
      <c r="AY931" s="97" t="n">
        <v>76.18489</v>
      </c>
    </row>
    <row r="932" s="135">
      <c r="A932" t="inlineStr">
        <is>
          <t>1996-07</t>
        </is>
      </c>
      <c r="B932" s="2" t="n">
        <v>35247</v>
      </c>
      <c r="C932" s="96" t="n">
        <v>932</v>
      </c>
      <c r="E932" s="2">
        <f>B932</f>
        <v/>
      </c>
      <c r="F932" s="3">
        <f>B932</f>
        <v/>
      </c>
      <c r="G932" s="96" t="n">
        <v>930</v>
      </c>
      <c r="H932" s="97" t="n"/>
      <c r="I932" s="97" t="n"/>
      <c r="J932" s="97" t="n">
        <v>64.73222</v>
      </c>
      <c r="K932" s="97" t="n">
        <v>78.79993</v>
      </c>
      <c r="L932" s="97" t="n"/>
      <c r="M932" s="97" t="n">
        <v>57.76926</v>
      </c>
      <c r="N932" s="97" t="n">
        <v>68.99424999999999</v>
      </c>
      <c r="O932" s="97" t="n">
        <v>95.79498</v>
      </c>
      <c r="P932" s="97" t="n">
        <v>101.8621</v>
      </c>
      <c r="Q932" s="97" t="n"/>
      <c r="R932" s="97" t="n">
        <v>76</v>
      </c>
      <c r="S932" s="97" t="n">
        <v>92.70077999999999</v>
      </c>
      <c r="T932" s="97" t="n">
        <v>104.2984</v>
      </c>
      <c r="U932" s="97" t="n">
        <v>124.9314</v>
      </c>
      <c r="V932" s="97" t="n">
        <v>36.06523</v>
      </c>
      <c r="W932" s="97" t="n">
        <v>24.47402</v>
      </c>
      <c r="X932" s="97" t="n"/>
      <c r="Y932" s="97" t="n">
        <v>59.11485</v>
      </c>
      <c r="Z932" s="97" t="n">
        <v>116.3903</v>
      </c>
      <c r="AA932" s="97" t="n">
        <v>103.4384</v>
      </c>
      <c r="AB932" s="97" t="n">
        <v>34.65511</v>
      </c>
      <c r="AC932" s="97" t="n">
        <v>74.27587</v>
      </c>
      <c r="AD932" s="97" t="n"/>
      <c r="AE932" s="97" t="n">
        <v>77.3653</v>
      </c>
      <c r="AF932" s="97" t="n">
        <v>85.94933</v>
      </c>
      <c r="AG932" s="97" t="n">
        <v>117.2029</v>
      </c>
      <c r="AH932" s="97" t="n">
        <v>74.86801</v>
      </c>
      <c r="AI932" s="97" t="n">
        <v>36.62614</v>
      </c>
      <c r="AJ932" s="97" t="n">
        <v>114.6521</v>
      </c>
      <c r="AK932" s="97" t="n">
        <v>37.43389</v>
      </c>
      <c r="AL932" s="97" t="n">
        <v>71.57577999999999</v>
      </c>
      <c r="AM932" s="97" t="n">
        <v>85.92161</v>
      </c>
      <c r="AN932" s="97" t="n"/>
      <c r="AO932" s="97" t="n">
        <v>74.50306999999999</v>
      </c>
      <c r="AP932" s="97" t="n">
        <v>81.18647</v>
      </c>
      <c r="AQ932" s="97" t="n"/>
      <c r="AR932" s="97" t="n"/>
      <c r="AS932" s="97" t="n"/>
      <c r="AT932" s="97" t="n">
        <v>34.10414</v>
      </c>
      <c r="AU932" s="97" t="n"/>
      <c r="AV932" s="97" t="n">
        <v>56.28369</v>
      </c>
      <c r="AW932" s="97" t="n"/>
      <c r="AX932" s="97" t="n">
        <v>38.19682</v>
      </c>
      <c r="AY932" s="97" t="n">
        <v>80.43347</v>
      </c>
    </row>
    <row r="933" s="135">
      <c r="A933" t="inlineStr">
        <is>
          <t>1996-08</t>
        </is>
      </c>
      <c r="B933" s="2" t="n">
        <v>35278</v>
      </c>
      <c r="C933" s="96" t="n">
        <v>933</v>
      </c>
      <c r="E933" s="2">
        <f>B933</f>
        <v/>
      </c>
      <c r="F933" s="3">
        <f>B933</f>
        <v/>
      </c>
      <c r="G933" s="96" t="n">
        <v>931</v>
      </c>
      <c r="H933" s="97" t="n"/>
      <c r="I933" s="97" t="n"/>
      <c r="J933" s="97" t="n">
        <v>63.50011</v>
      </c>
      <c r="K933" s="97" t="n">
        <v>79.06901000000001</v>
      </c>
      <c r="L933" s="97" t="n"/>
      <c r="M933" s="97" t="n">
        <v>57.40826</v>
      </c>
      <c r="N933" s="97" t="n">
        <v>69.89417</v>
      </c>
      <c r="O933" s="97" t="n">
        <v>98.29871</v>
      </c>
      <c r="P933" s="97" t="n">
        <v>102.7841</v>
      </c>
      <c r="Q933" s="97" t="n"/>
      <c r="R933" s="97" t="n">
        <v>79.09999999999999</v>
      </c>
      <c r="S933" s="97" t="n">
        <v>94.75078999999999</v>
      </c>
      <c r="T933" s="97" t="n">
        <v>104.982</v>
      </c>
      <c r="U933" s="97" t="n">
        <v>122.4506</v>
      </c>
      <c r="V933" s="97" t="n">
        <v>35.94804</v>
      </c>
      <c r="W933" s="97" t="n">
        <v>23.52358</v>
      </c>
      <c r="X933" s="97" t="n"/>
      <c r="Y933" s="97" t="n">
        <v>60.37559</v>
      </c>
      <c r="Z933" s="97" t="n">
        <v>116.9902</v>
      </c>
      <c r="AA933" s="97" t="n">
        <v>103.5398</v>
      </c>
      <c r="AB933" s="97" t="n">
        <v>34.47013</v>
      </c>
      <c r="AC933" s="97" t="n">
        <v>72.85493</v>
      </c>
      <c r="AD933" s="97" t="n"/>
      <c r="AE933" s="97" t="n">
        <v>76.88303000000001</v>
      </c>
      <c r="AF933" s="97" t="n">
        <v>85.6669</v>
      </c>
      <c r="AG933" s="97" t="n">
        <v>116.8749</v>
      </c>
      <c r="AH933" s="97" t="n">
        <v>75.19459000000001</v>
      </c>
      <c r="AI933" s="97" t="n">
        <v>36.77327</v>
      </c>
      <c r="AJ933" s="97" t="n">
        <v>116.0629</v>
      </c>
      <c r="AK933" s="97" t="n">
        <v>37.34201</v>
      </c>
      <c r="AL933" s="97" t="n">
        <v>68.13763</v>
      </c>
      <c r="AM933" s="97" t="n">
        <v>86.42762999999999</v>
      </c>
      <c r="AN933" s="97" t="n"/>
      <c r="AO933" s="97" t="n">
        <v>74.93510999999999</v>
      </c>
      <c r="AP933" s="97" t="n">
        <v>82.1863</v>
      </c>
      <c r="AQ933" s="97" t="n"/>
      <c r="AR933" s="97" t="n"/>
      <c r="AS933" s="97" t="n"/>
      <c r="AT933" s="97" t="n">
        <v>34.92324</v>
      </c>
      <c r="AU933" s="97" t="n"/>
      <c r="AV933" s="97" t="n">
        <v>56.20936</v>
      </c>
      <c r="AW933" s="97" t="n"/>
      <c r="AX933" s="97" t="n">
        <v>38.09682</v>
      </c>
      <c r="AY933" s="97" t="n">
        <v>78.75687000000001</v>
      </c>
    </row>
    <row r="934" s="135">
      <c r="A934" t="inlineStr">
        <is>
          <t>1996-09</t>
        </is>
      </c>
      <c r="B934" s="2" t="n">
        <v>35309</v>
      </c>
      <c r="C934" s="96" t="n">
        <v>934</v>
      </c>
      <c r="E934" s="2">
        <f>B934</f>
        <v/>
      </c>
      <c r="F934" s="3">
        <f>B934</f>
        <v/>
      </c>
      <c r="G934" s="96" t="n">
        <v>932</v>
      </c>
      <c r="H934" s="97" t="n"/>
      <c r="I934" s="97" t="n"/>
      <c r="J934" s="97" t="n">
        <v>65.55264</v>
      </c>
      <c r="K934" s="97" t="n">
        <v>79.04944999999999</v>
      </c>
      <c r="L934" s="97" t="n"/>
      <c r="M934" s="97" t="n">
        <v>58.12232</v>
      </c>
      <c r="N934" s="97" t="n">
        <v>70.49413</v>
      </c>
      <c r="O934" s="97" t="n">
        <v>97.42785000000001</v>
      </c>
      <c r="P934" s="97" t="n">
        <v>103.1991</v>
      </c>
      <c r="Q934" s="97" t="n"/>
      <c r="R934" s="97" t="n">
        <v>81</v>
      </c>
      <c r="S934" s="97" t="n">
        <v>94.84079</v>
      </c>
      <c r="T934" s="97" t="n">
        <v>105.5679</v>
      </c>
      <c r="U934" s="97" t="n">
        <v>123.9185</v>
      </c>
      <c r="V934" s="97" t="n">
        <v>36.12382</v>
      </c>
      <c r="W934" s="97" t="n">
        <v>23.04835</v>
      </c>
      <c r="X934" s="97" t="n"/>
      <c r="Y934" s="97" t="n">
        <v>61.28613</v>
      </c>
      <c r="Z934" s="97" t="n">
        <v>115.3904</v>
      </c>
      <c r="AA934" s="97" t="n">
        <v>104.6553</v>
      </c>
      <c r="AB934" s="97" t="n">
        <v>34.93209</v>
      </c>
      <c r="AC934" s="97" t="n">
        <v>75.12888</v>
      </c>
      <c r="AD934" s="97" t="n"/>
      <c r="AE934" s="97" t="n">
        <v>77.44723999999999</v>
      </c>
      <c r="AF934" s="97" t="n">
        <v>86.13760000000001</v>
      </c>
      <c r="AG934" s="97" t="n">
        <v>116.219</v>
      </c>
      <c r="AH934" s="97" t="n">
        <v>75.56749000000001</v>
      </c>
      <c r="AI934" s="97" t="n">
        <v>36.73408</v>
      </c>
      <c r="AJ934" s="97" t="n">
        <v>115.5447</v>
      </c>
      <c r="AK934" s="97" t="n">
        <v>38.52203</v>
      </c>
      <c r="AL934" s="97" t="n">
        <v>71.65392</v>
      </c>
      <c r="AM934" s="97" t="n">
        <v>85.11198</v>
      </c>
      <c r="AN934" s="97" t="n"/>
      <c r="AO934" s="97" t="n">
        <v>75.4511</v>
      </c>
      <c r="AP934" s="97" t="n">
        <v>82.1863</v>
      </c>
      <c r="AQ934" s="97" t="n"/>
      <c r="AR934" s="97" t="n"/>
      <c r="AS934" s="97" t="n"/>
      <c r="AT934" s="97" t="n">
        <v>34.52224</v>
      </c>
      <c r="AU934" s="97" t="n"/>
      <c r="AV934" s="97" t="n">
        <v>56.49496</v>
      </c>
      <c r="AW934" s="97" t="n"/>
      <c r="AX934" s="97" t="n">
        <v>37.69686</v>
      </c>
      <c r="AY934" s="97" t="n">
        <v>79.70489999999999</v>
      </c>
    </row>
    <row r="935" s="135">
      <c r="A935" t="inlineStr">
        <is>
          <t>1996-10</t>
        </is>
      </c>
      <c r="B935" s="2" t="n">
        <v>35339</v>
      </c>
      <c r="C935" s="96" t="n">
        <v>935</v>
      </c>
      <c r="E935" s="2">
        <f>B935</f>
        <v/>
      </c>
      <c r="F935" s="3">
        <f>B935</f>
        <v/>
      </c>
      <c r="G935" s="96" t="n">
        <v>933</v>
      </c>
      <c r="H935" s="97" t="n"/>
      <c r="I935" s="97" t="n"/>
      <c r="J935" s="97" t="n">
        <v>65.80565</v>
      </c>
      <c r="K935" s="97" t="n">
        <v>78.79993</v>
      </c>
      <c r="L935" s="97" t="n"/>
      <c r="M935" s="97" t="n">
        <v>57.55674</v>
      </c>
      <c r="N935" s="97" t="n">
        <v>69.49421</v>
      </c>
      <c r="O935" s="97" t="n">
        <v>94.92411</v>
      </c>
      <c r="P935" s="97" t="n">
        <v>103.3701</v>
      </c>
      <c r="Q935" s="97" t="n"/>
      <c r="R935" s="97" t="n">
        <v>81.09999999999999</v>
      </c>
      <c r="S935" s="97" t="n">
        <v>93.87078</v>
      </c>
      <c r="T935" s="97" t="n">
        <v>105.4703</v>
      </c>
      <c r="U935" s="97" t="n">
        <v>122.7882</v>
      </c>
      <c r="V935" s="97" t="n">
        <v>36.47539</v>
      </c>
      <c r="W935" s="97" t="n">
        <v>24.23641</v>
      </c>
      <c r="X935" s="97" t="n"/>
      <c r="Y935" s="97" t="n">
        <v>60.16547</v>
      </c>
      <c r="Z935" s="97" t="n">
        <v>115.8903</v>
      </c>
      <c r="AA935" s="97" t="n">
        <v>105.2638</v>
      </c>
      <c r="AB935" s="97" t="n">
        <v>34.47013</v>
      </c>
      <c r="AC935" s="97" t="n">
        <v>75.07304000000001</v>
      </c>
      <c r="AD935" s="97" t="n"/>
      <c r="AE935" s="97" t="n">
        <v>78.44182000000001</v>
      </c>
      <c r="AF935" s="97" t="n">
        <v>85.47862000000001</v>
      </c>
      <c r="AG935" s="97" t="n">
        <v>112.3924</v>
      </c>
      <c r="AH935" s="97" t="n">
        <v>75.63461</v>
      </c>
      <c r="AI935" s="97" t="n">
        <v>37.60094</v>
      </c>
      <c r="AJ935" s="97" t="n">
        <v>113.3896</v>
      </c>
      <c r="AK935" s="97" t="n">
        <v>38.25387</v>
      </c>
      <c r="AL935" s="97" t="n">
        <v>72.12275</v>
      </c>
      <c r="AM935" s="97" t="n">
        <v>84.70717</v>
      </c>
      <c r="AN935" s="97" t="n"/>
      <c r="AO935" s="97" t="n">
        <v>75.40624</v>
      </c>
      <c r="AP935" s="97" t="n">
        <v>81.78637000000001</v>
      </c>
      <c r="AQ935" s="97" t="n"/>
      <c r="AR935" s="97" t="n"/>
      <c r="AS935" s="97" t="n"/>
      <c r="AT935" s="97" t="n">
        <v>35.09788</v>
      </c>
      <c r="AU935" s="97" t="n"/>
      <c r="AV935" s="97" t="n">
        <v>56.26401</v>
      </c>
      <c r="AW935" s="97" t="n"/>
      <c r="AX935" s="97" t="n">
        <v>40.69661</v>
      </c>
      <c r="AY935" s="97" t="n">
        <v>80.24914</v>
      </c>
    </row>
    <row r="936" s="135">
      <c r="A936" t="inlineStr">
        <is>
          <t>1996-11</t>
        </is>
      </c>
      <c r="B936" s="2" t="n">
        <v>35370</v>
      </c>
      <c r="C936" s="96" t="n">
        <v>936</v>
      </c>
      <c r="E936" s="2">
        <f>B936</f>
        <v/>
      </c>
      <c r="F936" s="3">
        <f>B936</f>
        <v/>
      </c>
      <c r="G936" s="96" t="n">
        <v>934</v>
      </c>
      <c r="H936" s="97" t="n"/>
      <c r="I936" s="97" t="n"/>
      <c r="J936" s="97" t="n">
        <v>65.89972</v>
      </c>
      <c r="K936" s="97" t="n">
        <v>80.03308</v>
      </c>
      <c r="L936" s="97" t="n"/>
      <c r="M936" s="97" t="n">
        <v>57.32124</v>
      </c>
      <c r="N936" s="97" t="n">
        <v>70.49413</v>
      </c>
      <c r="O936" s="97" t="n">
        <v>93.18239</v>
      </c>
      <c r="P936" s="97" t="n">
        <v>104.7671</v>
      </c>
      <c r="Q936" s="97" t="n"/>
      <c r="R936" s="97" t="n">
        <v>81</v>
      </c>
      <c r="S936" s="97" t="n">
        <v>95.04079</v>
      </c>
      <c r="T936" s="97" t="n">
        <v>106.0562</v>
      </c>
      <c r="U936" s="97" t="n">
        <v>125.0374</v>
      </c>
      <c r="V936" s="97" t="n">
        <v>37.17853</v>
      </c>
      <c r="W936" s="97" t="n">
        <v>25.89969</v>
      </c>
      <c r="X936" s="97" t="n"/>
      <c r="Y936" s="97" t="n">
        <v>59.74522</v>
      </c>
      <c r="Z936" s="97" t="n">
        <v>115.3904</v>
      </c>
      <c r="AA936" s="97" t="n">
        <v>105.7708</v>
      </c>
      <c r="AB936" s="97" t="n">
        <v>34.93209</v>
      </c>
      <c r="AC936" s="97" t="n">
        <v>75.70244</v>
      </c>
      <c r="AD936" s="97" t="n"/>
      <c r="AE936" s="97" t="n">
        <v>78.91357000000001</v>
      </c>
      <c r="AF936" s="97" t="n">
        <v>84.44309</v>
      </c>
      <c r="AG936" s="97" t="n">
        <v>114.7977</v>
      </c>
      <c r="AH936" s="97" t="n">
        <v>76.18304999999999</v>
      </c>
      <c r="AI936" s="97" t="n">
        <v>37.27243</v>
      </c>
      <c r="AJ936" s="97" t="n">
        <v>115.1882</v>
      </c>
      <c r="AK936" s="97" t="n">
        <v>37.70554</v>
      </c>
      <c r="AL936" s="97" t="n">
        <v>72.12275</v>
      </c>
      <c r="AM936" s="97" t="n">
        <v>85.82040000000001</v>
      </c>
      <c r="AN936" s="97" t="n"/>
      <c r="AO936" s="97" t="n">
        <v>76.07196999999999</v>
      </c>
      <c r="AP936" s="97" t="n">
        <v>82.48625</v>
      </c>
      <c r="AQ936" s="97" t="n"/>
      <c r="AR936" s="97" t="n"/>
      <c r="AS936" s="97" t="n"/>
      <c r="AT936" s="97" t="n">
        <v>33.97722</v>
      </c>
      <c r="AU936" s="97" t="n"/>
      <c r="AV936" s="97" t="n">
        <v>55.79276</v>
      </c>
      <c r="AW936" s="97" t="n"/>
      <c r="AX936" s="97" t="n">
        <v>40.89659</v>
      </c>
      <c r="AY936" s="97" t="n">
        <v>80.74948999999999</v>
      </c>
    </row>
    <row r="937" s="135">
      <c r="A937" t="inlineStr">
        <is>
          <t>1996-12</t>
        </is>
      </c>
      <c r="B937" s="2" t="n">
        <v>35400</v>
      </c>
      <c r="C937" s="96" t="n">
        <v>937</v>
      </c>
      <c r="E937" s="2">
        <f>B937</f>
        <v/>
      </c>
      <c r="F937" s="3">
        <f>B937</f>
        <v/>
      </c>
      <c r="G937" s="96" t="n">
        <v>935</v>
      </c>
      <c r="H937" s="97" t="n"/>
      <c r="I937" s="97" t="n"/>
      <c r="J937" s="97" t="n">
        <v>66.30710999999999</v>
      </c>
      <c r="K937" s="97" t="n">
        <v>78.69707</v>
      </c>
      <c r="L937" s="97" t="n"/>
      <c r="M937" s="97" t="n">
        <v>54.44369</v>
      </c>
      <c r="N937" s="97" t="n">
        <v>70.49413</v>
      </c>
      <c r="O937" s="97" t="n">
        <v>95.25069000000001</v>
      </c>
      <c r="P937" s="97" t="n">
        <v>103.2181</v>
      </c>
      <c r="Q937" s="97" t="n"/>
      <c r="R937" s="97" t="n">
        <v>78.40000000000001</v>
      </c>
      <c r="S937" s="97" t="n">
        <v>95.1908</v>
      </c>
      <c r="T937" s="97" t="n">
        <v>106.5445</v>
      </c>
      <c r="U937" s="97" t="n">
        <v>124.1343</v>
      </c>
      <c r="V937" s="97" t="n">
        <v>37.32502</v>
      </c>
      <c r="W937" s="97" t="n">
        <v>25.12746</v>
      </c>
      <c r="X937" s="97" t="n"/>
      <c r="Y937" s="97" t="n">
        <v>60.16547</v>
      </c>
      <c r="Z937" s="97" t="n">
        <v>115.0904</v>
      </c>
      <c r="AA937" s="97" t="n">
        <v>106.7849</v>
      </c>
      <c r="AB937" s="97" t="n">
        <v>35.85701</v>
      </c>
      <c r="AC937" s="97" t="n">
        <v>74.77911</v>
      </c>
      <c r="AD937" s="97" t="n"/>
      <c r="AE937" s="97" t="n">
        <v>80.94061000000001</v>
      </c>
      <c r="AF937" s="97" t="n">
        <v>85.85518</v>
      </c>
      <c r="AG937" s="97" t="n">
        <v>115.3443</v>
      </c>
      <c r="AH937" s="97" t="n">
        <v>76.54483</v>
      </c>
      <c r="AI937" s="97" t="n">
        <v>37.62179</v>
      </c>
      <c r="AJ937" s="97" t="n">
        <v>109.8285</v>
      </c>
      <c r="AK937" s="97" t="n">
        <v>37.59997</v>
      </c>
      <c r="AL937" s="97" t="n">
        <v>71.88834</v>
      </c>
      <c r="AM937" s="97" t="n">
        <v>88.14807999999999</v>
      </c>
      <c r="AN937" s="97" t="n"/>
      <c r="AO937" s="97" t="n">
        <v>76.56635</v>
      </c>
      <c r="AP937" s="97" t="n">
        <v>82.28628999999999</v>
      </c>
      <c r="AQ937" s="97" t="n"/>
      <c r="AR937" s="97" t="n"/>
      <c r="AS937" s="97" t="n"/>
      <c r="AT937" s="97" t="n">
        <v>35.00288</v>
      </c>
      <c r="AU937" s="97" t="n"/>
      <c r="AV937" s="97" t="n">
        <v>54.89457</v>
      </c>
      <c r="AW937" s="97" t="n"/>
      <c r="AX937" s="97" t="n">
        <v>40.29664</v>
      </c>
      <c r="AY937" s="97" t="n">
        <v>80.02969</v>
      </c>
    </row>
    <row r="938" s="135">
      <c r="A938" t="inlineStr">
        <is>
          <t>1997-01</t>
        </is>
      </c>
      <c r="B938" s="2" t="n">
        <v>35431</v>
      </c>
      <c r="C938" s="96" t="n">
        <v>938</v>
      </c>
      <c r="E938" s="2">
        <f>B938</f>
        <v/>
      </c>
      <c r="F938" s="3">
        <f>B938</f>
        <v/>
      </c>
      <c r="G938" s="96" t="n">
        <v>936</v>
      </c>
      <c r="H938" s="97" t="n"/>
      <c r="I938" s="97" t="n"/>
      <c r="J938" s="97" t="n">
        <v>65.07209</v>
      </c>
      <c r="K938" s="97" t="n">
        <v>80.63585999999999</v>
      </c>
      <c r="L938" s="97" t="n"/>
      <c r="M938" s="97" t="n">
        <v>58.48524</v>
      </c>
      <c r="N938" s="97" t="n">
        <v>69.5942</v>
      </c>
      <c r="O938" s="97" t="n">
        <v>98.08099</v>
      </c>
      <c r="P938" s="97" t="n">
        <v>106.0951</v>
      </c>
      <c r="Q938" s="97" t="n"/>
      <c r="R938" s="97" t="n">
        <v>80.59999999999999</v>
      </c>
      <c r="S938" s="97" t="n">
        <v>94.33078999999999</v>
      </c>
      <c r="T938" s="97" t="n">
        <v>106.7313</v>
      </c>
      <c r="U938" s="97" t="n">
        <v>126.1927</v>
      </c>
      <c r="V938" s="97" t="n">
        <v>37.94027</v>
      </c>
      <c r="W938" s="97" t="n">
        <v>27.20656</v>
      </c>
      <c r="X938" s="97" t="n"/>
      <c r="Y938" s="97" t="n">
        <v>61.00596</v>
      </c>
      <c r="Z938" s="97" t="n">
        <v>115.9903</v>
      </c>
      <c r="AA938" s="97" t="n">
        <v>108.4075</v>
      </c>
      <c r="AB938" s="97" t="n">
        <v>33.91617</v>
      </c>
      <c r="AC938" s="97" t="n">
        <v>72.95577</v>
      </c>
      <c r="AD938" s="97" t="n"/>
      <c r="AE938" s="97" t="n">
        <v>79.65380999999999</v>
      </c>
      <c r="AF938" s="97" t="n">
        <v>85.85518</v>
      </c>
      <c r="AG938" s="97" t="n">
        <v>117.2029</v>
      </c>
      <c r="AH938" s="97" t="n">
        <v>76.65308</v>
      </c>
      <c r="AI938" s="97" t="n">
        <v>38.40747</v>
      </c>
      <c r="AJ938" s="97" t="n">
        <v>113.7031</v>
      </c>
      <c r="AK938" s="97" t="n">
        <v>36.24499</v>
      </c>
      <c r="AL938" s="97" t="n">
        <v>66.10601</v>
      </c>
      <c r="AM938" s="97" t="n">
        <v>88.45169</v>
      </c>
      <c r="AN938" s="97" t="n"/>
      <c r="AO938" s="97" t="n">
        <v>76.67488</v>
      </c>
      <c r="AP938" s="97" t="n">
        <v>82.58624</v>
      </c>
      <c r="AQ938" s="97" t="n"/>
      <c r="AR938" s="97" t="n"/>
      <c r="AS938" s="97" t="n"/>
      <c r="AT938" s="97" t="n">
        <v>34.68401</v>
      </c>
      <c r="AU938" s="97" t="n"/>
      <c r="AV938" s="97" t="n">
        <v>55.91321</v>
      </c>
      <c r="AW938" s="97" t="n"/>
      <c r="AX938" s="97" t="n">
        <v>38.89676</v>
      </c>
      <c r="AY938" s="97" t="n">
        <v>80.09113000000001</v>
      </c>
    </row>
    <row r="939" s="135">
      <c r="A939" t="inlineStr">
        <is>
          <t>1997-02</t>
        </is>
      </c>
      <c r="B939" s="2" t="n">
        <v>35462</v>
      </c>
      <c r="C939" s="96" t="n">
        <v>939</v>
      </c>
      <c r="E939" s="2">
        <f>B939</f>
        <v/>
      </c>
      <c r="F939" s="3">
        <f>B939</f>
        <v/>
      </c>
      <c r="G939" s="96" t="n">
        <v>937</v>
      </c>
      <c r="H939" s="97" t="n"/>
      <c r="I939" s="97" t="n"/>
      <c r="J939" s="97" t="n">
        <v>66.50745000000001</v>
      </c>
      <c r="K939" s="97" t="n">
        <v>81.52379999999999</v>
      </c>
      <c r="L939" s="97" t="n"/>
      <c r="M939" s="97" t="n">
        <v>58.68259</v>
      </c>
      <c r="N939" s="97" t="n">
        <v>70.59412</v>
      </c>
      <c r="O939" s="97" t="n">
        <v>98.18985000000001</v>
      </c>
      <c r="P939" s="97" t="n">
        <v>104.8601</v>
      </c>
      <c r="Q939" s="97" t="n"/>
      <c r="R939" s="97" t="n">
        <v>80.40000000000001</v>
      </c>
      <c r="S939" s="97" t="n">
        <v>95.09079</v>
      </c>
      <c r="T939" s="97" t="n">
        <v>106.9389</v>
      </c>
      <c r="U939" s="97" t="n">
        <v>126.7635</v>
      </c>
      <c r="V939" s="97" t="n">
        <v>38.64341</v>
      </c>
      <c r="W939" s="97" t="n">
        <v>25.78089</v>
      </c>
      <c r="X939" s="97" t="n"/>
      <c r="Y939" s="97" t="n">
        <v>60.37559</v>
      </c>
      <c r="Z939" s="97" t="n">
        <v>117.9902</v>
      </c>
      <c r="AA939" s="97" t="n">
        <v>108.4075</v>
      </c>
      <c r="AB939" s="97" t="n">
        <v>35.39405</v>
      </c>
      <c r="AC939" s="97" t="n">
        <v>80.44444</v>
      </c>
      <c r="AD939" s="97" t="n"/>
      <c r="AE939" s="97" t="n">
        <v>79.95834000000001</v>
      </c>
      <c r="AF939" s="97" t="n">
        <v>83.40755</v>
      </c>
      <c r="AG939" s="97" t="n">
        <v>117.8589</v>
      </c>
      <c r="AH939" s="97" t="n">
        <v>77.3325</v>
      </c>
      <c r="AI939" s="97" t="n">
        <v>39.2365</v>
      </c>
      <c r="AJ939" s="97" t="n">
        <v>116.6485</v>
      </c>
      <c r="AK939" s="97" t="n">
        <v>38.07227</v>
      </c>
      <c r="AL939" s="97" t="n">
        <v>70.09113000000001</v>
      </c>
      <c r="AM939" s="97" t="n">
        <v>87.54086</v>
      </c>
      <c r="AN939" s="97" t="n"/>
      <c r="AO939" s="97" t="n">
        <v>77.60245</v>
      </c>
      <c r="AP939" s="97" t="n">
        <v>83.08615</v>
      </c>
      <c r="AQ939" s="97" t="n"/>
      <c r="AR939" s="97" t="n"/>
      <c r="AS939" s="97" t="n"/>
      <c r="AT939" s="97" t="n">
        <v>35.5002</v>
      </c>
      <c r="AU939" s="97" t="n"/>
      <c r="AV939" s="97" t="n">
        <v>58.4352</v>
      </c>
      <c r="AW939" s="97" t="n"/>
      <c r="AX939" s="97" t="n">
        <v>39.69669</v>
      </c>
      <c r="AY939" s="97" t="n">
        <v>80.45981</v>
      </c>
    </row>
    <row r="940" s="135">
      <c r="A940" t="inlineStr">
        <is>
          <t>1997-03</t>
        </is>
      </c>
      <c r="B940" s="2" t="n">
        <v>35490</v>
      </c>
      <c r="C940" s="96" t="n">
        <v>940</v>
      </c>
      <c r="E940" s="2">
        <f>B940</f>
        <v/>
      </c>
      <c r="F940" s="3">
        <f>B940</f>
        <v/>
      </c>
      <c r="G940" s="96" t="n">
        <v>938</v>
      </c>
      <c r="H940" s="97" t="n"/>
      <c r="I940" s="97" t="n"/>
      <c r="J940" s="97" t="n">
        <v>66.46369</v>
      </c>
      <c r="K940" s="97" t="n">
        <v>81.03475</v>
      </c>
      <c r="L940" s="97" t="n"/>
      <c r="M940" s="97" t="n">
        <v>59.12718</v>
      </c>
      <c r="N940" s="97" t="n">
        <v>71.39404999999999</v>
      </c>
      <c r="O940" s="97" t="n">
        <v>97.53671</v>
      </c>
      <c r="P940" s="97" t="n">
        <v>109.5131</v>
      </c>
      <c r="Q940" s="97" t="n"/>
      <c r="R940" s="97" t="n">
        <v>80.90000000000001</v>
      </c>
      <c r="S940" s="97" t="n">
        <v>95.42079</v>
      </c>
      <c r="T940" s="97" t="n">
        <v>106.1083</v>
      </c>
      <c r="U940" s="97" t="n">
        <v>127.0523</v>
      </c>
      <c r="V940" s="97" t="n">
        <v>37.67659</v>
      </c>
      <c r="W940" s="97" t="n">
        <v>27.26596</v>
      </c>
      <c r="X940" s="97" t="n"/>
      <c r="Y940" s="97" t="n">
        <v>61.42621</v>
      </c>
      <c r="Z940" s="97" t="n">
        <v>118.5901</v>
      </c>
      <c r="AA940" s="97" t="n">
        <v>108.8131</v>
      </c>
      <c r="AB940" s="97" t="n">
        <v>35.94901</v>
      </c>
      <c r="AC940" s="97" t="n">
        <v>75.77218999999999</v>
      </c>
      <c r="AD940" s="97" t="n"/>
      <c r="AE940" s="97" t="n">
        <v>80.64192</v>
      </c>
      <c r="AF940" s="97" t="n">
        <v>81.6189</v>
      </c>
      <c r="AG940" s="97" t="n">
        <v>118.4056</v>
      </c>
      <c r="AH940" s="97" t="n">
        <v>77.81041</v>
      </c>
      <c r="AI940" s="97" t="n">
        <v>37.97457</v>
      </c>
      <c r="AJ940" s="97" t="n">
        <v>116.4173</v>
      </c>
      <c r="AK940" s="97" t="n">
        <v>37.16388</v>
      </c>
      <c r="AL940" s="97" t="n">
        <v>69.77856</v>
      </c>
      <c r="AM940" s="97" t="n">
        <v>87.64207</v>
      </c>
      <c r="AN940" s="97" t="n"/>
      <c r="AO940" s="97" t="n">
        <v>78.12209</v>
      </c>
      <c r="AP940" s="97" t="n">
        <v>83.986</v>
      </c>
      <c r="AQ940" s="97" t="n"/>
      <c r="AR940" s="97" t="n"/>
      <c r="AS940" s="97" t="n"/>
      <c r="AT940" s="97" t="n">
        <v>36.09102</v>
      </c>
      <c r="AU940" s="97" t="n"/>
      <c r="AV940" s="97" t="n">
        <v>56.34686</v>
      </c>
      <c r="AW940" s="97" t="n"/>
      <c r="AX940" s="97" t="n">
        <v>41.39655</v>
      </c>
      <c r="AY940" s="97" t="n">
        <v>81.46051</v>
      </c>
    </row>
    <row r="941" s="135">
      <c r="A941" t="inlineStr">
        <is>
          <t>1997-04</t>
        </is>
      </c>
      <c r="B941" s="2" t="n">
        <v>35521</v>
      </c>
      <c r="C941" s="96" t="n">
        <v>941</v>
      </c>
      <c r="E941" s="2">
        <f>B941</f>
        <v/>
      </c>
      <c r="F941" s="3">
        <f>B941</f>
        <v/>
      </c>
      <c r="G941" s="96" t="n">
        <v>939</v>
      </c>
      <c r="H941" s="97" t="n"/>
      <c r="I941" s="97" t="n"/>
      <c r="J941" s="97" t="n">
        <v>66.90257</v>
      </c>
      <c r="K941" s="97" t="n">
        <v>82.15170000000001</v>
      </c>
      <c r="L941" s="97" t="n"/>
      <c r="M941" s="97" t="n">
        <v>61.92373</v>
      </c>
      <c r="N941" s="97" t="n">
        <v>71.09408000000001</v>
      </c>
      <c r="O941" s="97" t="n">
        <v>98.62528</v>
      </c>
      <c r="P941" s="97" t="n">
        <v>108.9221</v>
      </c>
      <c r="Q941" s="97" t="n"/>
      <c r="R941" s="97" t="n">
        <v>83.40000000000001</v>
      </c>
      <c r="S941" s="97" t="n">
        <v>98.77082</v>
      </c>
      <c r="T941" s="97" t="n">
        <v>106.316</v>
      </c>
      <c r="U941" s="97" t="n">
        <v>126.0728</v>
      </c>
      <c r="V941" s="97" t="n">
        <v>38.93638</v>
      </c>
      <c r="W941" s="97" t="n">
        <v>27.38477</v>
      </c>
      <c r="X941" s="97" t="n"/>
      <c r="Y941" s="97" t="n">
        <v>61.63633</v>
      </c>
      <c r="Z941" s="97" t="n">
        <v>120.6899</v>
      </c>
      <c r="AA941" s="97" t="n">
        <v>106.0751</v>
      </c>
      <c r="AB941" s="97" t="n">
        <v>36.59595</v>
      </c>
      <c r="AC941" s="97" t="n">
        <v>77.82355</v>
      </c>
      <c r="AD941" s="97" t="n"/>
      <c r="AE941" s="97" t="n">
        <v>81.61949</v>
      </c>
      <c r="AF941" s="97" t="n">
        <v>86.32588</v>
      </c>
      <c r="AG941" s="97" t="n">
        <v>118.1869</v>
      </c>
      <c r="AH941" s="97" t="n">
        <v>78.11815</v>
      </c>
      <c r="AI941" s="97" t="n">
        <v>41.22484</v>
      </c>
      <c r="AJ941" s="97" t="n">
        <v>117.0347</v>
      </c>
      <c r="AK941" s="97" t="n">
        <v>37.234</v>
      </c>
      <c r="AL941" s="97" t="n">
        <v>76.9674</v>
      </c>
      <c r="AM941" s="97" t="n">
        <v>89.36252</v>
      </c>
      <c r="AN941" s="97" t="n"/>
      <c r="AO941" s="97" t="n">
        <v>78.14042999999999</v>
      </c>
      <c r="AP941" s="97" t="n">
        <v>84.88585</v>
      </c>
      <c r="AQ941" s="97" t="n"/>
      <c r="AR941" s="97" t="n"/>
      <c r="AS941" s="97" t="n"/>
      <c r="AT941" s="97" t="n">
        <v>36.0807</v>
      </c>
      <c r="AU941" s="97" t="n"/>
      <c r="AV941" s="97" t="n">
        <v>56.21552</v>
      </c>
      <c r="AW941" s="97" t="n"/>
      <c r="AX941" s="97" t="n">
        <v>41.79652</v>
      </c>
      <c r="AY941" s="97" t="n">
        <v>79.88046</v>
      </c>
    </row>
    <row r="942" s="135">
      <c r="A942" t="inlineStr">
        <is>
          <t>1997-05</t>
        </is>
      </c>
      <c r="B942" s="2" t="n">
        <v>35551</v>
      </c>
      <c r="C942" s="96" t="n">
        <v>942</v>
      </c>
      <c r="E942" s="2">
        <f>B942</f>
        <v/>
      </c>
      <c r="F942" s="3">
        <f>B942</f>
        <v/>
      </c>
      <c r="G942" s="96" t="n">
        <v>940</v>
      </c>
      <c r="H942" s="97" t="n"/>
      <c r="I942" s="97" t="n"/>
      <c r="J942" s="97" t="n">
        <v>66.80454</v>
      </c>
      <c r="K942" s="97" t="n">
        <v>82.28466</v>
      </c>
      <c r="L942" s="97" t="n"/>
      <c r="M942" s="97" t="n">
        <v>57.13528</v>
      </c>
      <c r="N942" s="97" t="n">
        <v>70.19414999999999</v>
      </c>
      <c r="O942" s="97" t="n">
        <v>99.605</v>
      </c>
      <c r="P942" s="97" t="n">
        <v>107.6661</v>
      </c>
      <c r="Q942" s="97" t="n"/>
      <c r="R942" s="97" t="n">
        <v>81.7</v>
      </c>
      <c r="S942" s="97" t="n">
        <v>96.93080999999999</v>
      </c>
      <c r="T942" s="97" t="n">
        <v>105.9007</v>
      </c>
      <c r="U942" s="97" t="n">
        <v>127.3633</v>
      </c>
      <c r="V942" s="97" t="n">
        <v>38.11605</v>
      </c>
      <c r="W942" s="97" t="n">
        <v>27.02835</v>
      </c>
      <c r="X942" s="97" t="n"/>
      <c r="Y942" s="97" t="n">
        <v>62.12663</v>
      </c>
      <c r="Z942" s="97" t="n">
        <v>120.39</v>
      </c>
      <c r="AA942" s="97" t="n">
        <v>109.2188</v>
      </c>
      <c r="AB942" s="97" t="n">
        <v>36.31897</v>
      </c>
      <c r="AC942" s="97" t="n">
        <v>77.02397999999999</v>
      </c>
      <c r="AD942" s="97" t="n"/>
      <c r="AE942" s="97" t="n">
        <v>82.41909</v>
      </c>
      <c r="AF942" s="97" t="n">
        <v>84.06654</v>
      </c>
      <c r="AG942" s="97" t="n">
        <v>119.8269</v>
      </c>
      <c r="AH942" s="97" t="n">
        <v>78.28445000000001</v>
      </c>
      <c r="AI942" s="97" t="n">
        <v>39.36275</v>
      </c>
      <c r="AJ942" s="97" t="n">
        <v>115.0852</v>
      </c>
      <c r="AK942" s="97" t="n">
        <v>36.99852</v>
      </c>
      <c r="AL942" s="97" t="n">
        <v>70.40367999999999</v>
      </c>
      <c r="AM942" s="97" t="n">
        <v>88.95771000000001</v>
      </c>
      <c r="AN942" s="97" t="n"/>
      <c r="AO942" s="97" t="n">
        <v>78.59782</v>
      </c>
      <c r="AP942" s="97" t="n">
        <v>84.18597</v>
      </c>
      <c r="AQ942" s="97" t="n"/>
      <c r="AR942" s="97" t="n"/>
      <c r="AS942" s="97" t="n"/>
      <c r="AT942" s="97" t="n">
        <v>36.34343</v>
      </c>
      <c r="AU942" s="97" t="n"/>
      <c r="AV942" s="97" t="n">
        <v>57.30274</v>
      </c>
      <c r="AW942" s="97" t="n"/>
      <c r="AX942" s="97" t="n">
        <v>41.69653</v>
      </c>
      <c r="AY942" s="97" t="n">
        <v>79.41521</v>
      </c>
    </row>
    <row r="943" s="135">
      <c r="A943" t="inlineStr">
        <is>
          <t>1997-06</t>
        </is>
      </c>
      <c r="B943" s="2" t="n">
        <v>35582</v>
      </c>
      <c r="C943" s="96" t="n">
        <v>943</v>
      </c>
      <c r="E943" s="2">
        <f>B943</f>
        <v/>
      </c>
      <c r="F943" s="3">
        <f>B943</f>
        <v/>
      </c>
      <c r="G943" s="96" t="n">
        <v>941</v>
      </c>
      <c r="H943" s="97" t="n"/>
      <c r="I943" s="97" t="n"/>
      <c r="J943" s="97" t="n">
        <v>67.15485</v>
      </c>
      <c r="K943" s="97" t="n">
        <v>81.59014999999999</v>
      </c>
      <c r="L943" s="97" t="n"/>
      <c r="M943" s="97" t="n">
        <v>60.47003</v>
      </c>
      <c r="N943" s="97" t="n">
        <v>72.99392</v>
      </c>
      <c r="O943" s="97" t="n">
        <v>100.4759</v>
      </c>
      <c r="P943" s="97" t="n">
        <v>109.0521</v>
      </c>
      <c r="Q943" s="97" t="n"/>
      <c r="R943" s="97" t="n">
        <v>85.2</v>
      </c>
      <c r="S943" s="97" t="n">
        <v>97.65081000000001</v>
      </c>
      <c r="T943" s="97" t="n">
        <v>106.0045</v>
      </c>
      <c r="U943" s="97" t="n">
        <v>126.2747</v>
      </c>
      <c r="V943" s="97" t="n">
        <v>40.22547</v>
      </c>
      <c r="W943" s="97" t="n">
        <v>28.27581</v>
      </c>
      <c r="X943" s="97" t="n"/>
      <c r="Y943" s="97" t="n">
        <v>61.84646</v>
      </c>
      <c r="Z943" s="97" t="n">
        <v>121.3899</v>
      </c>
      <c r="AA943" s="97" t="n">
        <v>108.6103</v>
      </c>
      <c r="AB943" s="97" t="n">
        <v>37.1499</v>
      </c>
      <c r="AC943" s="97" t="n">
        <v>76.96844</v>
      </c>
      <c r="AD943" s="97" t="n"/>
      <c r="AE943" s="97" t="n">
        <v>83.17872</v>
      </c>
      <c r="AF943" s="97" t="n">
        <v>84.72551</v>
      </c>
      <c r="AG943" s="97" t="n">
        <v>118.4056</v>
      </c>
      <c r="AH943" s="97" t="n">
        <v>78.97811</v>
      </c>
      <c r="AI943" s="97" t="n">
        <v>41.96191</v>
      </c>
      <c r="AJ943" s="97" t="n">
        <v>118.7649</v>
      </c>
      <c r="AK943" s="97" t="n">
        <v>38.84467</v>
      </c>
      <c r="AL943" s="97" t="n">
        <v>70.87251999999999</v>
      </c>
      <c r="AM943" s="97" t="n">
        <v>88.35048999999999</v>
      </c>
      <c r="AN943" s="97" t="n"/>
      <c r="AO943" s="97" t="n">
        <v>78.98125</v>
      </c>
      <c r="AP943" s="97" t="n">
        <v>85.58574</v>
      </c>
      <c r="AQ943" s="97" t="n"/>
      <c r="AR943" s="97" t="n"/>
      <c r="AS943" s="97" t="n"/>
      <c r="AT943" s="97" t="n">
        <v>36.65956</v>
      </c>
      <c r="AU943" s="97" t="n"/>
      <c r="AV943" s="97" t="n">
        <v>57.75445</v>
      </c>
      <c r="AW943" s="97" t="n"/>
      <c r="AX943" s="97" t="n">
        <v>42.19648</v>
      </c>
      <c r="AY943" s="97" t="n">
        <v>82.32076000000001</v>
      </c>
    </row>
    <row r="944" s="135">
      <c r="A944" t="inlineStr">
        <is>
          <t>1997-07</t>
        </is>
      </c>
      <c r="B944" s="2" t="n">
        <v>35612</v>
      </c>
      <c r="C944" s="96" t="n">
        <v>944</v>
      </c>
      <c r="E944" s="2">
        <f>B944</f>
        <v/>
      </c>
      <c r="F944" s="3">
        <f>B944</f>
        <v/>
      </c>
      <c r="G944" s="96" t="n">
        <v>942</v>
      </c>
      <c r="H944" s="97" t="n"/>
      <c r="I944" s="97" t="n"/>
      <c r="J944" s="97" t="n">
        <v>69.42314</v>
      </c>
      <c r="K944" s="97" t="n">
        <v>83.61321</v>
      </c>
      <c r="L944" s="97" t="n"/>
      <c r="M944" s="97" t="n">
        <v>59.67176</v>
      </c>
      <c r="N944" s="97" t="n">
        <v>73.79385000000001</v>
      </c>
      <c r="O944" s="97" t="n">
        <v>99.16956999999999</v>
      </c>
      <c r="P944" s="97" t="n">
        <v>110.3841</v>
      </c>
      <c r="Q944" s="97" t="n"/>
      <c r="R944" s="97" t="n">
        <v>85</v>
      </c>
      <c r="S944" s="97" t="n">
        <v>97.82082</v>
      </c>
      <c r="T944" s="97" t="n">
        <v>107.5619</v>
      </c>
      <c r="U944" s="97" t="n">
        <v>124.9437</v>
      </c>
      <c r="V944" s="97" t="n">
        <v>39.49303</v>
      </c>
      <c r="W944" s="97" t="n">
        <v>28.75104</v>
      </c>
      <c r="X944" s="97" t="n"/>
      <c r="Y944" s="97" t="n">
        <v>61.84646</v>
      </c>
      <c r="Z944" s="97" t="n">
        <v>122.1898</v>
      </c>
      <c r="AA944" s="97" t="n">
        <v>108.9146</v>
      </c>
      <c r="AB944" s="97" t="n">
        <v>36.31897</v>
      </c>
      <c r="AC944" s="97" t="n">
        <v>81.13461</v>
      </c>
      <c r="AD944" s="97" t="n"/>
      <c r="AE944" s="97" t="n">
        <v>83.07746</v>
      </c>
      <c r="AF944" s="97" t="n">
        <v>85.19620999999999</v>
      </c>
      <c r="AG944" s="97" t="n">
        <v>121.9042</v>
      </c>
      <c r="AH944" s="97" t="n">
        <v>79.39928</v>
      </c>
      <c r="AI944" s="97" t="n">
        <v>40.19545</v>
      </c>
      <c r="AJ944" s="97" t="n">
        <v>116.5033</v>
      </c>
      <c r="AK944" s="97" t="n">
        <v>37.8237</v>
      </c>
      <c r="AL944" s="97" t="n">
        <v>72.66973</v>
      </c>
      <c r="AM944" s="97" t="n">
        <v>90.07095</v>
      </c>
      <c r="AN944" s="97" t="n"/>
      <c r="AO944" s="97" t="n">
        <v>79.58369</v>
      </c>
      <c r="AP944" s="97" t="n">
        <v>86.28561999999999</v>
      </c>
      <c r="AQ944" s="97" t="n"/>
      <c r="AR944" s="97" t="n"/>
      <c r="AS944" s="97" t="n"/>
      <c r="AT944" s="97" t="n">
        <v>36.91539</v>
      </c>
      <c r="AU944" s="97" t="n"/>
      <c r="AV944" s="97" t="n">
        <v>58.14246</v>
      </c>
      <c r="AW944" s="97" t="n"/>
      <c r="AX944" s="97" t="n">
        <v>41.9965</v>
      </c>
      <c r="AY944" s="97" t="n">
        <v>81.28494999999999</v>
      </c>
    </row>
    <row r="945" s="135">
      <c r="A945" t="inlineStr">
        <is>
          <t>1997-08</t>
        </is>
      </c>
      <c r="B945" s="2" t="n">
        <v>35643</v>
      </c>
      <c r="C945" s="96" t="n">
        <v>945</v>
      </c>
      <c r="E945" s="2">
        <f>B945</f>
        <v/>
      </c>
      <c r="F945" s="3">
        <f>B945</f>
        <v/>
      </c>
      <c r="G945" s="96" t="n">
        <v>943</v>
      </c>
      <c r="H945" s="97" t="n"/>
      <c r="I945" s="97" t="n"/>
      <c r="J945" s="97" t="n">
        <v>68.60762</v>
      </c>
      <c r="K945" s="97" t="n">
        <v>83.42889</v>
      </c>
      <c r="L945" s="97" t="n"/>
      <c r="M945" s="97" t="n">
        <v>60.51837</v>
      </c>
      <c r="N945" s="97" t="n">
        <v>71.39404999999999</v>
      </c>
      <c r="O945" s="97" t="n">
        <v>96.66584</v>
      </c>
      <c r="P945" s="97" t="n">
        <v>112.0841</v>
      </c>
      <c r="Q945" s="97" t="n"/>
      <c r="R945" s="97" t="n">
        <v>83.90000000000001</v>
      </c>
      <c r="S945" s="97" t="n">
        <v>101.6108</v>
      </c>
      <c r="T945" s="97" t="n">
        <v>105.7969</v>
      </c>
      <c r="U945" s="97" t="n">
        <v>120.341</v>
      </c>
      <c r="V945" s="97" t="n">
        <v>40.92861</v>
      </c>
      <c r="W945" s="97" t="n">
        <v>29.10746</v>
      </c>
      <c r="X945" s="97" t="n"/>
      <c r="Y945" s="97" t="n">
        <v>60.93592</v>
      </c>
      <c r="Z945" s="97" t="n">
        <v>122.8898</v>
      </c>
      <c r="AA945" s="97" t="n">
        <v>108.4075</v>
      </c>
      <c r="AB945" s="97" t="n">
        <v>37.42788</v>
      </c>
      <c r="AC945" s="97" t="n">
        <v>78.72504000000001</v>
      </c>
      <c r="AD945" s="97" t="n"/>
      <c r="AE945" s="97" t="n">
        <v>83.94262999999999</v>
      </c>
      <c r="AF945" s="97" t="n">
        <v>86.04346</v>
      </c>
      <c r="AG945" s="97" t="n">
        <v>116.1096</v>
      </c>
      <c r="AH945" s="97" t="n">
        <v>79.58481999999999</v>
      </c>
      <c r="AI945" s="97" t="n">
        <v>40.24757</v>
      </c>
      <c r="AJ945" s="97" t="n">
        <v>116.2887</v>
      </c>
      <c r="AK945" s="97" t="n">
        <v>36.77414</v>
      </c>
      <c r="AL945" s="97" t="n">
        <v>69.15345000000001</v>
      </c>
      <c r="AM945" s="97" t="n">
        <v>89.56493</v>
      </c>
      <c r="AN945" s="97" t="n"/>
      <c r="AO945" s="97" t="n">
        <v>80.4152</v>
      </c>
      <c r="AP945" s="97" t="n">
        <v>86.3856</v>
      </c>
      <c r="AQ945" s="97" t="n"/>
      <c r="AR945" s="97" t="n"/>
      <c r="AS945" s="97" t="n"/>
      <c r="AT945" s="97" t="n">
        <v>36.82687</v>
      </c>
      <c r="AU945" s="97" t="n"/>
      <c r="AV945" s="97" t="n">
        <v>58.64117</v>
      </c>
      <c r="AW945" s="97" t="n"/>
      <c r="AX945" s="97" t="n">
        <v>43.39639</v>
      </c>
      <c r="AY945" s="97" t="n">
        <v>81.95208</v>
      </c>
    </row>
    <row r="946" s="135">
      <c r="A946" t="inlineStr">
        <is>
          <t>1997-09</t>
        </is>
      </c>
      <c r="B946" s="2" t="n">
        <v>35674</v>
      </c>
      <c r="C946" s="96" t="n">
        <v>946</v>
      </c>
      <c r="E946" s="2">
        <f>B946</f>
        <v/>
      </c>
      <c r="F946" s="3">
        <f>B946</f>
        <v/>
      </c>
      <c r="G946" s="96" t="n">
        <v>944</v>
      </c>
      <c r="H946" s="97" t="n"/>
      <c r="I946" s="97" t="n"/>
      <c r="J946" s="97" t="n">
        <v>68.69996999999999</v>
      </c>
      <c r="K946" s="97" t="n">
        <v>83.29298</v>
      </c>
      <c r="L946" s="97" t="n"/>
      <c r="M946" s="97" t="n">
        <v>61.33649</v>
      </c>
      <c r="N946" s="97" t="n">
        <v>71.994</v>
      </c>
      <c r="O946" s="97" t="n">
        <v>99.16956999999999</v>
      </c>
      <c r="P946" s="97" t="n">
        <v>111.5551</v>
      </c>
      <c r="Q946" s="97" t="n"/>
      <c r="R946" s="97" t="n">
        <v>83.90000000000001</v>
      </c>
      <c r="S946" s="97" t="n">
        <v>99.23083</v>
      </c>
      <c r="T946" s="97" t="n">
        <v>106.316</v>
      </c>
      <c r="U946" s="97" t="n">
        <v>126.018</v>
      </c>
      <c r="V946" s="97" t="n">
        <v>41.13369</v>
      </c>
      <c r="W946" s="97" t="n">
        <v>29.22626</v>
      </c>
      <c r="X946" s="97" t="n"/>
      <c r="Y946" s="97" t="n">
        <v>61.35617</v>
      </c>
      <c r="Z946" s="97" t="n">
        <v>122.7898</v>
      </c>
      <c r="AA946" s="97" t="n">
        <v>107.6976</v>
      </c>
      <c r="AB946" s="97" t="n">
        <v>37.61287</v>
      </c>
      <c r="AC946" s="97" t="n">
        <v>81.16579</v>
      </c>
      <c r="AD946" s="97" t="n"/>
      <c r="AE946" s="97" t="n">
        <v>84.05973</v>
      </c>
      <c r="AF946" s="97" t="n">
        <v>86.51416</v>
      </c>
      <c r="AG946" s="97" t="n">
        <v>119.4989</v>
      </c>
      <c r="AH946" s="97" t="n">
        <v>79.8539</v>
      </c>
      <c r="AI946" s="97" t="n">
        <v>41.63357</v>
      </c>
      <c r="AJ946" s="97" t="n">
        <v>115.8476</v>
      </c>
      <c r="AK946" s="97" t="n">
        <v>37.41195</v>
      </c>
      <c r="AL946" s="97" t="n">
        <v>71.65392</v>
      </c>
      <c r="AM946" s="97" t="n">
        <v>89.86854</v>
      </c>
      <c r="AN946" s="97" t="n"/>
      <c r="AO946" s="97" t="n">
        <v>81.12953</v>
      </c>
      <c r="AP946" s="97" t="n">
        <v>86.08566</v>
      </c>
      <c r="AQ946" s="97" t="n"/>
      <c r="AR946" s="97" t="n"/>
      <c r="AS946" s="97" t="n"/>
      <c r="AT946" s="97" t="n">
        <v>37.31566</v>
      </c>
      <c r="AU946" s="97" t="n"/>
      <c r="AV946" s="97" t="n">
        <v>58.00948</v>
      </c>
      <c r="AW946" s="97" t="n"/>
      <c r="AX946" s="97" t="n">
        <v>43.29639</v>
      </c>
      <c r="AY946" s="97" t="n">
        <v>83.96226</v>
      </c>
    </row>
    <row r="947" s="135">
      <c r="A947" t="inlineStr">
        <is>
          <t>1997-10</t>
        </is>
      </c>
      <c r="B947" s="2" t="n">
        <v>35704</v>
      </c>
      <c r="C947" s="96" t="n">
        <v>947</v>
      </c>
      <c r="E947" s="2">
        <f>B947</f>
        <v/>
      </c>
      <c r="F947" s="3">
        <f>B947</f>
        <v/>
      </c>
      <c r="G947" s="96" t="n">
        <v>945</v>
      </c>
      <c r="H947" s="97" t="n"/>
      <c r="I947" s="97" t="n"/>
      <c r="J947" s="97" t="n">
        <v>68.43518</v>
      </c>
      <c r="K947" s="97" t="n">
        <v>84.26839</v>
      </c>
      <c r="L947" s="97" t="n"/>
      <c r="M947" s="97" t="n">
        <v>62.81023</v>
      </c>
      <c r="N947" s="97" t="n">
        <v>72.99392</v>
      </c>
      <c r="O947" s="97" t="n">
        <v>103.0885</v>
      </c>
      <c r="P947" s="97" t="n">
        <v>112.8841</v>
      </c>
      <c r="Q947" s="97" t="n"/>
      <c r="R947" s="97" t="n">
        <v>85.3</v>
      </c>
      <c r="S947" s="97" t="n">
        <v>101.7208</v>
      </c>
      <c r="T947" s="97" t="n">
        <v>107.0427</v>
      </c>
      <c r="U947" s="97" t="n">
        <v>126.9024</v>
      </c>
      <c r="V947" s="97" t="n">
        <v>41.66105</v>
      </c>
      <c r="W947" s="97" t="n">
        <v>29.16686</v>
      </c>
      <c r="X947" s="97" t="n"/>
      <c r="Y947" s="97" t="n">
        <v>61.77642</v>
      </c>
      <c r="Z947" s="97" t="n">
        <v>124.2896</v>
      </c>
      <c r="AA947" s="97" t="n">
        <v>106.9878</v>
      </c>
      <c r="AB947" s="97" t="n">
        <v>36.78093</v>
      </c>
      <c r="AC947" s="97" t="n">
        <v>81.70004</v>
      </c>
      <c r="AD947" s="97" t="n"/>
      <c r="AE947" s="97" t="n">
        <v>84.79470000000001</v>
      </c>
      <c r="AF947" s="97" t="n">
        <v>86.04346</v>
      </c>
      <c r="AG947" s="97" t="n">
        <v>122.7788</v>
      </c>
      <c r="AH947" s="97" t="n">
        <v>80.39199000000001</v>
      </c>
      <c r="AI947" s="97" t="n">
        <v>41.3624</v>
      </c>
      <c r="AJ947" s="97" t="n">
        <v>119.0166</v>
      </c>
      <c r="AK947" s="97" t="n">
        <v>38.80888</v>
      </c>
      <c r="AL947" s="97" t="n">
        <v>72.12275</v>
      </c>
      <c r="AM947" s="97" t="n">
        <v>91.28539000000001</v>
      </c>
      <c r="AN947" s="97" t="n"/>
      <c r="AO947" s="97" t="n">
        <v>81.82754</v>
      </c>
      <c r="AP947" s="97" t="n">
        <v>87.38544</v>
      </c>
      <c r="AQ947" s="97" t="n"/>
      <c r="AR947" s="97" t="n"/>
      <c r="AS947" s="97" t="n"/>
      <c r="AT947" s="97" t="n">
        <v>37.52988</v>
      </c>
      <c r="AU947" s="97" t="n"/>
      <c r="AV947" s="97" t="n">
        <v>57.53571</v>
      </c>
      <c r="AW947" s="97" t="n"/>
      <c r="AX947" s="97" t="n">
        <v>42.89643</v>
      </c>
      <c r="AY947" s="97" t="n">
        <v>84.40116</v>
      </c>
    </row>
    <row r="948" s="135">
      <c r="A948" t="inlineStr">
        <is>
          <t>1997-11</t>
        </is>
      </c>
      <c r="B948" s="2" t="n">
        <v>35735</v>
      </c>
      <c r="C948" s="96" t="n">
        <v>948</v>
      </c>
      <c r="E948" s="2">
        <f>B948</f>
        <v/>
      </c>
      <c r="F948" s="3">
        <f>B948</f>
        <v/>
      </c>
      <c r="G948" s="96" t="n">
        <v>946</v>
      </c>
      <c r="H948" s="97" t="n"/>
      <c r="I948" s="97" t="n"/>
      <c r="J948" s="97" t="n">
        <v>66.80759999999999</v>
      </c>
      <c r="K948" s="97" t="n">
        <v>84.36899</v>
      </c>
      <c r="L948" s="97" t="n"/>
      <c r="M948" s="97" t="n">
        <v>64.05316000000001</v>
      </c>
      <c r="N948" s="97" t="n">
        <v>73.39388</v>
      </c>
      <c r="O948" s="97" t="n">
        <v>105.701</v>
      </c>
      <c r="P948" s="97" t="n">
        <v>111.7921</v>
      </c>
      <c r="Q948" s="97" t="n"/>
      <c r="R948" s="97" t="n">
        <v>87.2</v>
      </c>
      <c r="S948" s="97" t="n">
        <v>99.38083</v>
      </c>
      <c r="T948" s="97" t="n">
        <v>107.3542</v>
      </c>
      <c r="U948" s="97" t="n">
        <v>128.0791</v>
      </c>
      <c r="V948" s="97" t="n">
        <v>43.03803</v>
      </c>
      <c r="W948" s="97" t="n">
        <v>30.29552</v>
      </c>
      <c r="X948" s="97" t="n"/>
      <c r="Y948" s="97" t="n">
        <v>63.31733</v>
      </c>
      <c r="Z948" s="97" t="n">
        <v>123.5897</v>
      </c>
      <c r="AA948" s="97" t="n">
        <v>105.6694</v>
      </c>
      <c r="AB948" s="97" t="n">
        <v>36.31897</v>
      </c>
      <c r="AC948" s="97" t="n">
        <v>83.58463</v>
      </c>
      <c r="AD948" s="97" t="n"/>
      <c r="AE948" s="97" t="n">
        <v>84.69239</v>
      </c>
      <c r="AF948" s="97" t="n">
        <v>87.26727</v>
      </c>
      <c r="AG948" s="97" t="n">
        <v>120.7015</v>
      </c>
      <c r="AH948" s="97" t="n">
        <v>80.435</v>
      </c>
      <c r="AI948" s="97" t="n">
        <v>42.32091</v>
      </c>
      <c r="AJ948" s="97" t="n">
        <v>119.8368</v>
      </c>
      <c r="AK948" s="97" t="n">
        <v>39.07798</v>
      </c>
      <c r="AL948" s="97" t="n">
        <v>73.06041999999999</v>
      </c>
      <c r="AM948" s="97" t="n">
        <v>90.98177</v>
      </c>
      <c r="AN948" s="97" t="n"/>
      <c r="AO948" s="97" t="n">
        <v>82.5459</v>
      </c>
      <c r="AP948" s="97" t="n">
        <v>86.9855</v>
      </c>
      <c r="AQ948" s="97" t="n"/>
      <c r="AR948" s="97" t="n"/>
      <c r="AS948" s="97" t="n"/>
      <c r="AT948" s="97" t="n">
        <v>37.61499</v>
      </c>
      <c r="AU948" s="97" t="n"/>
      <c r="AV948" s="97" t="n">
        <v>58.15804</v>
      </c>
      <c r="AW948" s="97" t="n"/>
      <c r="AX948" s="97" t="n">
        <v>42.29647</v>
      </c>
      <c r="AY948" s="97" t="n">
        <v>80.62658999999999</v>
      </c>
    </row>
    <row r="949" s="135">
      <c r="A949" t="inlineStr">
        <is>
          <t>1997-12</t>
        </is>
      </c>
      <c r="B949" s="2" t="n">
        <v>35765</v>
      </c>
      <c r="C949" s="96" t="n">
        <v>949</v>
      </c>
      <c r="E949" s="2">
        <f>B949</f>
        <v/>
      </c>
      <c r="F949" s="3">
        <f>B949</f>
        <v/>
      </c>
      <c r="G949" s="96" t="n">
        <v>947</v>
      </c>
      <c r="H949" s="97" t="n"/>
      <c r="I949" s="97" t="n"/>
      <c r="J949" s="97" t="n">
        <v>70.1412</v>
      </c>
      <c r="K949" s="97" t="n">
        <v>84.64427999999999</v>
      </c>
      <c r="L949" s="97" t="n"/>
      <c r="M949" s="97" t="n">
        <v>59.3946</v>
      </c>
      <c r="N949" s="97" t="n">
        <v>74.09383</v>
      </c>
      <c r="O949" s="97" t="n">
        <v>105.1568</v>
      </c>
      <c r="P949" s="97" t="n">
        <v>111.5521</v>
      </c>
      <c r="Q949" s="97" t="n"/>
      <c r="R949" s="97" t="n">
        <v>88.40000000000001</v>
      </c>
      <c r="S949" s="97" t="n">
        <v>101.3708</v>
      </c>
      <c r="T949" s="97" t="n">
        <v>107.1466</v>
      </c>
      <c r="U949" s="97" t="n">
        <v>128.8611</v>
      </c>
      <c r="V949" s="97" t="n">
        <v>42.07121</v>
      </c>
      <c r="W949" s="97" t="n">
        <v>29.82029</v>
      </c>
      <c r="X949" s="97" t="n"/>
      <c r="Y949" s="97" t="n">
        <v>61.076</v>
      </c>
      <c r="Z949" s="97" t="n">
        <v>124.4896</v>
      </c>
      <c r="AA949" s="97" t="n">
        <v>104.6553</v>
      </c>
      <c r="AB949" s="97" t="n">
        <v>35.76402</v>
      </c>
      <c r="AC949" s="97" t="n">
        <v>82.54879</v>
      </c>
      <c r="AD949" s="97" t="n"/>
      <c r="AE949" s="97" t="n">
        <v>84.06131000000001</v>
      </c>
      <c r="AF949" s="97" t="n">
        <v>84.16068</v>
      </c>
      <c r="AG949" s="97" t="n">
        <v>121.1389</v>
      </c>
      <c r="AH949" s="97" t="n">
        <v>80.45602</v>
      </c>
      <c r="AI949" s="97" t="n">
        <v>42.14329</v>
      </c>
      <c r="AJ949" s="97" t="n">
        <v>118.3754</v>
      </c>
      <c r="AK949" s="97" t="n">
        <v>38.93835</v>
      </c>
      <c r="AL949" s="97" t="n">
        <v>73.13857</v>
      </c>
      <c r="AM949" s="97" t="n">
        <v>92.60102999999999</v>
      </c>
      <c r="AN949" s="97" t="n"/>
      <c r="AO949" s="97" t="n">
        <v>82.80043999999999</v>
      </c>
      <c r="AP949" s="97" t="n">
        <v>87.98533999999999</v>
      </c>
      <c r="AQ949" s="97" t="n"/>
      <c r="AR949" s="97" t="n"/>
      <c r="AS949" s="97" t="n"/>
      <c r="AT949" s="97" t="n">
        <v>37.41751</v>
      </c>
      <c r="AU949" s="97" t="n"/>
      <c r="AV949" s="97" t="n">
        <v>56.00526</v>
      </c>
      <c r="AW949" s="97" t="n"/>
      <c r="AX949" s="97" t="n">
        <v>42.89643</v>
      </c>
      <c r="AY949" s="97" t="n">
        <v>77.09781</v>
      </c>
    </row>
    <row r="950" s="135">
      <c r="A950" t="inlineStr">
        <is>
          <t>1998-01</t>
        </is>
      </c>
      <c r="B950" s="2" t="n">
        <v>35796</v>
      </c>
      <c r="C950" s="96" t="n">
        <v>950</v>
      </c>
      <c r="E950" s="2">
        <f>B950</f>
        <v/>
      </c>
      <c r="F950" s="3">
        <f>B950</f>
        <v/>
      </c>
      <c r="G950" s="96" t="n">
        <v>948</v>
      </c>
      <c r="H950" s="97" t="n"/>
      <c r="I950" s="97" t="n"/>
      <c r="J950" s="97" t="n">
        <v>69.43736</v>
      </c>
      <c r="K950" s="97" t="n">
        <v>84.02200000000001</v>
      </c>
      <c r="L950" s="97" t="n"/>
      <c r="M950" s="97" t="n">
        <v>63.84033</v>
      </c>
      <c r="N950" s="97" t="n">
        <v>74.89376</v>
      </c>
      <c r="O950" s="97" t="n">
        <v>102.4353</v>
      </c>
      <c r="P950" s="97" t="n">
        <v>113.4411</v>
      </c>
      <c r="Q950" s="97" t="n"/>
      <c r="R950" s="97" t="n">
        <v>86.59999999999999</v>
      </c>
      <c r="S950" s="97" t="n">
        <v>101.3708</v>
      </c>
      <c r="T950" s="97" t="n">
        <v>106.9389</v>
      </c>
      <c r="U950" s="97" t="n">
        <v>132.173</v>
      </c>
      <c r="V950" s="97" t="n">
        <v>41.90744</v>
      </c>
      <c r="W950" s="97" t="n">
        <v>31.66178</v>
      </c>
      <c r="X950" s="97" t="n">
        <v>25.60022</v>
      </c>
      <c r="Y950" s="97" t="n">
        <v>60.93592</v>
      </c>
      <c r="Z950" s="97" t="n">
        <v>123.5897</v>
      </c>
      <c r="AA950" s="97" t="n">
        <v>106.1943</v>
      </c>
      <c r="AB950" s="97" t="n">
        <v>33.73119</v>
      </c>
      <c r="AC950" s="97" t="n">
        <v>82.0253</v>
      </c>
      <c r="AD950" s="97" t="n"/>
      <c r="AE950" s="97" t="n">
        <v>84.65749</v>
      </c>
      <c r="AF950" s="97" t="n">
        <v>86.70244</v>
      </c>
      <c r="AG950" s="97" t="n">
        <v>119.1709</v>
      </c>
      <c r="AH950" s="97" t="n">
        <v>80.80506</v>
      </c>
      <c r="AI950" s="97" t="n">
        <v>42.95168</v>
      </c>
      <c r="AJ950" s="97" t="n">
        <v>118.833</v>
      </c>
      <c r="AK950" s="97" t="n">
        <v>40.61821</v>
      </c>
      <c r="AL950" s="97" t="n">
        <v>73.74309</v>
      </c>
      <c r="AM950" s="97" t="n">
        <v>91.38659</v>
      </c>
      <c r="AN950" s="97" t="n"/>
      <c r="AO950" s="97" t="n">
        <v>83.22565</v>
      </c>
      <c r="AP950" s="97" t="n">
        <v>88.28529</v>
      </c>
      <c r="AQ950" s="97" t="n"/>
      <c r="AR950" s="97" t="n"/>
      <c r="AS950" s="97" t="n"/>
      <c r="AT950" s="97" t="n">
        <v>37.61305</v>
      </c>
      <c r="AU950" s="97" t="n"/>
      <c r="AV950" s="97" t="n">
        <v>53.74749</v>
      </c>
      <c r="AW950" s="97" t="n"/>
      <c r="AX950" s="97" t="n">
        <v>43.39639</v>
      </c>
      <c r="AY950" s="97" t="n">
        <v>78.51108000000001</v>
      </c>
    </row>
    <row r="951" s="135">
      <c r="A951" t="inlineStr">
        <is>
          <t>1998-02</t>
        </is>
      </c>
      <c r="B951" s="2" t="n">
        <v>35827</v>
      </c>
      <c r="C951" s="96" t="n">
        <v>951</v>
      </c>
      <c r="E951" s="2">
        <f>B951</f>
        <v/>
      </c>
      <c r="F951" s="3">
        <f>B951</f>
        <v/>
      </c>
      <c r="G951" s="96" t="n">
        <v>949</v>
      </c>
      <c r="H951" s="97" t="n"/>
      <c r="I951" s="97" t="n"/>
      <c r="J951" s="97" t="n">
        <v>70.23293</v>
      </c>
      <c r="K951" s="97" t="n">
        <v>85.05681</v>
      </c>
      <c r="L951" s="97" t="n"/>
      <c r="M951" s="97" t="n">
        <v>63.80018</v>
      </c>
      <c r="N951" s="97" t="n">
        <v>74.69378</v>
      </c>
      <c r="O951" s="97" t="n">
        <v>101.4556</v>
      </c>
      <c r="P951" s="97" t="n">
        <v>116.3251</v>
      </c>
      <c r="Q951" s="97" t="n"/>
      <c r="R951" s="97" t="n">
        <v>88.09999999999999</v>
      </c>
      <c r="S951" s="97" t="n">
        <v>102.0709</v>
      </c>
      <c r="T951" s="97" t="n">
        <v>108.1848</v>
      </c>
      <c r="U951" s="97" t="n">
        <v>134.0818</v>
      </c>
      <c r="V951" s="97" t="n">
        <v>43.37478</v>
      </c>
      <c r="W951" s="97" t="n">
        <v>32.96865</v>
      </c>
      <c r="X951" s="97" t="n">
        <v>25.58204</v>
      </c>
      <c r="Y951" s="97" t="n">
        <v>64.71814999999999</v>
      </c>
      <c r="Z951" s="97" t="n">
        <v>123.4897</v>
      </c>
      <c r="AA951" s="97" t="n">
        <v>103.4305</v>
      </c>
      <c r="AB951" s="97" t="n">
        <v>34.00817</v>
      </c>
      <c r="AC951" s="97" t="n">
        <v>85.47453</v>
      </c>
      <c r="AD951" s="97" t="n"/>
      <c r="AE951" s="97" t="n">
        <v>86.48952</v>
      </c>
      <c r="AF951" s="97" t="n">
        <v>85.47862000000001</v>
      </c>
      <c r="AG951" s="97" t="n">
        <v>118.2962</v>
      </c>
      <c r="AH951" s="97" t="n">
        <v>80.86424</v>
      </c>
      <c r="AI951" s="97" t="n">
        <v>43.52604</v>
      </c>
      <c r="AJ951" s="97" t="n">
        <v>124.4275</v>
      </c>
      <c r="AK951" s="97" t="n">
        <v>40.33678</v>
      </c>
      <c r="AL951" s="97" t="n">
        <v>74.58320000000001</v>
      </c>
      <c r="AM951" s="97" t="n">
        <v>91.28539000000001</v>
      </c>
      <c r="AN951" s="97" t="n"/>
      <c r="AO951" s="97" t="n">
        <v>83.33496</v>
      </c>
      <c r="AP951" s="97" t="n">
        <v>88.68522</v>
      </c>
      <c r="AQ951" s="97" t="n"/>
      <c r="AR951" s="97" t="n"/>
      <c r="AS951" s="97" t="n"/>
      <c r="AT951" s="97" t="n">
        <v>37.9968</v>
      </c>
      <c r="AU951" s="97" t="n"/>
      <c r="AV951" s="97" t="n">
        <v>56.24813</v>
      </c>
      <c r="AW951" s="97" t="n"/>
      <c r="AX951" s="97" t="n">
        <v>43.49638</v>
      </c>
      <c r="AY951" s="97" t="n">
        <v>79.97701000000001</v>
      </c>
    </row>
    <row r="952" s="135">
      <c r="A952" t="inlineStr">
        <is>
          <t>1998-03</t>
        </is>
      </c>
      <c r="B952" s="2" t="n">
        <v>35855</v>
      </c>
      <c r="C952" s="96" t="n">
        <v>952</v>
      </c>
      <c r="E952" s="2">
        <f>B952</f>
        <v/>
      </c>
      <c r="F952" s="3">
        <f>B952</f>
        <v/>
      </c>
      <c r="G952" s="96" t="n">
        <v>950</v>
      </c>
      <c r="H952" s="97" t="n"/>
      <c r="I952" s="97" t="n"/>
      <c r="J952" s="97" t="n">
        <v>69.69880000000001</v>
      </c>
      <c r="K952" s="97" t="n">
        <v>85.89471</v>
      </c>
      <c r="L952" s="97" t="n"/>
      <c r="M952" s="97" t="n">
        <v>63.99145</v>
      </c>
      <c r="N952" s="97" t="n">
        <v>75.69370000000001</v>
      </c>
      <c r="O952" s="97" t="n">
        <v>103.415</v>
      </c>
      <c r="P952" s="97" t="n">
        <v>114.3011</v>
      </c>
      <c r="Q952" s="97" t="n"/>
      <c r="R952" s="97" t="n">
        <v>89.3</v>
      </c>
      <c r="S952" s="97" t="n">
        <v>100.8508</v>
      </c>
      <c r="T952" s="97" t="n">
        <v>108.4963</v>
      </c>
      <c r="U952" s="97" t="n">
        <v>143.6789</v>
      </c>
      <c r="V952" s="97" t="n">
        <v>43.49217</v>
      </c>
      <c r="W952" s="97" t="n">
        <v>33.26566</v>
      </c>
      <c r="X952" s="97" t="n">
        <v>26.09271</v>
      </c>
      <c r="Y952" s="97" t="n">
        <v>63.73758</v>
      </c>
      <c r="Z952" s="97" t="n">
        <v>122.8898</v>
      </c>
      <c r="AA952" s="97" t="n">
        <v>101.1981</v>
      </c>
      <c r="AB952" s="97" t="n">
        <v>32.62228</v>
      </c>
      <c r="AC952" s="97" t="n">
        <v>82.73246</v>
      </c>
      <c r="AD952" s="97" t="n"/>
      <c r="AE952" s="97" t="n">
        <v>88.08450999999999</v>
      </c>
      <c r="AF952" s="97" t="n">
        <v>85.85518</v>
      </c>
      <c r="AG952" s="97" t="n">
        <v>119.6082</v>
      </c>
      <c r="AH952" s="97" t="n">
        <v>80.65637</v>
      </c>
      <c r="AI952" s="97" t="n">
        <v>42.3834</v>
      </c>
      <c r="AJ952" s="97" t="n">
        <v>123.6494</v>
      </c>
      <c r="AK952" s="97" t="n">
        <v>41.8299</v>
      </c>
      <c r="AL952" s="97" t="n">
        <v>73.92977999999999</v>
      </c>
      <c r="AM952" s="97" t="n">
        <v>91.99379999999999</v>
      </c>
      <c r="AN952" s="97" t="n"/>
      <c r="AO952" s="97" t="n">
        <v>83.39124</v>
      </c>
      <c r="AP952" s="97" t="n">
        <v>88.68522</v>
      </c>
      <c r="AQ952" s="97" t="n"/>
      <c r="AR952" s="97" t="n"/>
      <c r="AS952" s="97" t="n"/>
      <c r="AT952" s="97" t="n">
        <v>37.48008</v>
      </c>
      <c r="AU952" s="97" t="n"/>
      <c r="AV952" s="97" t="n">
        <v>55.46016</v>
      </c>
      <c r="AW952" s="97" t="n"/>
      <c r="AX952" s="97" t="n">
        <v>44.19632</v>
      </c>
      <c r="AY952" s="97" t="n">
        <v>79.64345</v>
      </c>
    </row>
    <row r="953" s="135">
      <c r="A953" t="inlineStr">
        <is>
          <t>1998-04</t>
        </is>
      </c>
      <c r="B953" s="2" t="n">
        <v>35886</v>
      </c>
      <c r="C953" s="96" t="n">
        <v>953</v>
      </c>
      <c r="E953" s="2">
        <f>B953</f>
        <v/>
      </c>
      <c r="F953" s="3">
        <f>B953</f>
        <v/>
      </c>
      <c r="G953" s="96" t="n">
        <v>951</v>
      </c>
      <c r="H953" s="97" t="n"/>
      <c r="I953" s="97" t="n"/>
      <c r="J953" s="97" t="n">
        <v>69.87501</v>
      </c>
      <c r="K953" s="97" t="n">
        <v>85.51804</v>
      </c>
      <c r="L953" s="97" t="n"/>
      <c r="M953" s="97" t="n">
        <v>63.83781</v>
      </c>
      <c r="N953" s="97" t="n">
        <v>74.99375000000001</v>
      </c>
      <c r="O953" s="97" t="n">
        <v>97.86328</v>
      </c>
      <c r="P953" s="97" t="n">
        <v>115.1901</v>
      </c>
      <c r="Q953" s="97" t="n"/>
      <c r="R953" s="97" t="n">
        <v>90</v>
      </c>
      <c r="S953" s="97" t="n">
        <v>102.1508</v>
      </c>
      <c r="T953" s="97" t="n">
        <v>108.3925</v>
      </c>
      <c r="U953" s="97" t="n">
        <v>138.516</v>
      </c>
      <c r="V953" s="97" t="n">
        <v>43.96172</v>
      </c>
      <c r="W953" s="97" t="n">
        <v>32.43402</v>
      </c>
      <c r="X953" s="97" t="n">
        <v>26.61379</v>
      </c>
      <c r="Y953" s="97" t="n">
        <v>62.54687</v>
      </c>
      <c r="Z953" s="97" t="n">
        <v>123.8897</v>
      </c>
      <c r="AA953" s="97" t="n">
        <v>100.9855</v>
      </c>
      <c r="AB953" s="97" t="n">
        <v>32.25231</v>
      </c>
      <c r="AC953" s="97" t="n">
        <v>81.14125</v>
      </c>
      <c r="AD953" s="97" t="n"/>
      <c r="AE953" s="97" t="n">
        <v>86.80073</v>
      </c>
      <c r="AF953" s="97" t="n">
        <v>86.79658000000001</v>
      </c>
      <c r="AG953" s="97" t="n">
        <v>121.5762</v>
      </c>
      <c r="AH953" s="97" t="n">
        <v>80.6344</v>
      </c>
      <c r="AI953" s="97" t="n">
        <v>43.11141</v>
      </c>
      <c r="AJ953" s="97" t="n">
        <v>124.861</v>
      </c>
      <c r="AK953" s="97" t="n">
        <v>41.65016</v>
      </c>
      <c r="AL953" s="97" t="n">
        <v>74.39651000000001</v>
      </c>
      <c r="AM953" s="97" t="n">
        <v>93.10705</v>
      </c>
      <c r="AN953" s="97" t="n"/>
      <c r="AO953" s="97" t="n">
        <v>83.69986</v>
      </c>
      <c r="AP953" s="97" t="n">
        <v>88.98517</v>
      </c>
      <c r="AQ953" s="97" t="n"/>
      <c r="AR953" s="97" t="n"/>
      <c r="AS953" s="97" t="n"/>
      <c r="AT953" s="97" t="n">
        <v>37.92799</v>
      </c>
      <c r="AU953" s="97" t="n"/>
      <c r="AV953" s="97" t="n">
        <v>54.75544</v>
      </c>
      <c r="AW953" s="97" t="n"/>
      <c r="AX953" s="97" t="n">
        <v>43.29639</v>
      </c>
      <c r="AY953" s="97" t="n">
        <v>80.3018</v>
      </c>
    </row>
    <row r="954" s="135">
      <c r="A954" t="inlineStr">
        <is>
          <t>1998-05</t>
        </is>
      </c>
      <c r="B954" s="2" t="n">
        <v>35916</v>
      </c>
      <c r="C954" s="96" t="n">
        <v>954</v>
      </c>
      <c r="E954" s="2">
        <f>B954</f>
        <v/>
      </c>
      <c r="F954" s="3">
        <f>B954</f>
        <v/>
      </c>
      <c r="G954" s="96" t="n">
        <v>952</v>
      </c>
      <c r="H954" s="97" t="n"/>
      <c r="I954" s="97" t="n"/>
      <c r="J954" s="97" t="n">
        <v>69.84775999999999</v>
      </c>
      <c r="K954" s="97" t="n">
        <v>84.83503</v>
      </c>
      <c r="L954" s="97" t="n"/>
      <c r="M954" s="97" t="n">
        <v>62.63242</v>
      </c>
      <c r="N954" s="97" t="n">
        <v>75.39371</v>
      </c>
      <c r="O954" s="97" t="n">
        <v>98.29871</v>
      </c>
      <c r="P954" s="97" t="n">
        <v>115.9891</v>
      </c>
      <c r="Q954" s="97" t="n"/>
      <c r="R954" s="97" t="n">
        <v>89.59999999999999</v>
      </c>
      <c r="S954" s="97" t="n">
        <v>103.4409</v>
      </c>
      <c r="T954" s="97" t="n">
        <v>107.3542</v>
      </c>
      <c r="U954" s="97" t="n">
        <v>134.3363</v>
      </c>
      <c r="V954" s="97" t="n">
        <v>45.0769</v>
      </c>
      <c r="W954" s="97" t="n">
        <v>32.79044</v>
      </c>
      <c r="X954" s="97" t="n">
        <v>27.1123</v>
      </c>
      <c r="Y954" s="97" t="n">
        <v>62.68695</v>
      </c>
      <c r="Z954" s="97" t="n">
        <v>123.6897</v>
      </c>
      <c r="AA954" s="97" t="n">
        <v>100.2414</v>
      </c>
      <c r="AB954" s="97" t="n">
        <v>32.62228</v>
      </c>
      <c r="AC954" s="97" t="n">
        <v>82.10871</v>
      </c>
      <c r="AD954" s="97" t="n"/>
      <c r="AE954" s="97" t="n">
        <v>87.42489999999999</v>
      </c>
      <c r="AF954" s="97" t="n">
        <v>87.64382999999999</v>
      </c>
      <c r="AG954" s="97" t="n">
        <v>117.0936</v>
      </c>
      <c r="AH954" s="97" t="n">
        <v>80.79047</v>
      </c>
      <c r="AI954" s="97" t="n">
        <v>43.39059</v>
      </c>
      <c r="AJ954" s="97" t="n">
        <v>125.5668</v>
      </c>
      <c r="AK954" s="97" t="n">
        <v>39.95477</v>
      </c>
      <c r="AL954" s="97" t="n">
        <v>74.20981999999999</v>
      </c>
      <c r="AM954" s="97" t="n">
        <v>91.589</v>
      </c>
      <c r="AN954" s="97" t="n"/>
      <c r="AO954" s="97" t="n">
        <v>84.23208</v>
      </c>
      <c r="AP954" s="97" t="n">
        <v>89.28512000000001</v>
      </c>
      <c r="AQ954" s="97" t="n"/>
      <c r="AR954" s="97" t="n"/>
      <c r="AS954" s="97" t="n"/>
      <c r="AT954" s="97" t="n">
        <v>37.98383</v>
      </c>
      <c r="AU954" s="97" t="n"/>
      <c r="AV954" s="97" t="n">
        <v>52.36089</v>
      </c>
      <c r="AW954" s="97" t="n"/>
      <c r="AX954" s="97" t="n">
        <v>44.29631</v>
      </c>
      <c r="AY954" s="97" t="n">
        <v>81.88186</v>
      </c>
    </row>
    <row r="955" s="135">
      <c r="A955" t="inlineStr">
        <is>
          <t>1998-06</t>
        </is>
      </c>
      <c r="B955" s="2" t="n">
        <v>35947</v>
      </c>
      <c r="C955" s="96" t="n">
        <v>955</v>
      </c>
      <c r="E955" s="2">
        <f>B955</f>
        <v/>
      </c>
      <c r="F955" s="3">
        <f>B955</f>
        <v/>
      </c>
      <c r="G955" s="96" t="n">
        <v>953</v>
      </c>
      <c r="H955" s="97" t="n"/>
      <c r="I955" s="97" t="n"/>
      <c r="J955" s="97" t="n">
        <v>71.10548</v>
      </c>
      <c r="K955" s="97" t="n">
        <v>84.78286</v>
      </c>
      <c r="L955" s="97" t="n"/>
      <c r="M955" s="97" t="n">
        <v>61.65412</v>
      </c>
      <c r="N955" s="97" t="n">
        <v>74.79376999999999</v>
      </c>
      <c r="O955" s="97" t="n">
        <v>110.3819</v>
      </c>
      <c r="P955" s="97" t="n">
        <v>115.5801</v>
      </c>
      <c r="Q955" s="97" t="n"/>
      <c r="R955" s="97" t="n">
        <v>88.40000000000001</v>
      </c>
      <c r="S955" s="97" t="n">
        <v>102.7609</v>
      </c>
      <c r="T955" s="97" t="n">
        <v>107.2504</v>
      </c>
      <c r="U955" s="97" t="n">
        <v>135.9441</v>
      </c>
      <c r="V955" s="97" t="n">
        <v>45.37037</v>
      </c>
      <c r="W955" s="97" t="n">
        <v>32.84984</v>
      </c>
      <c r="X955" s="97" t="n">
        <v>27.39298</v>
      </c>
      <c r="Y955" s="97" t="n">
        <v>64.50803000000001</v>
      </c>
      <c r="Z955" s="97" t="n">
        <v>123.4897</v>
      </c>
      <c r="AA955" s="97" t="n">
        <v>100.2414</v>
      </c>
      <c r="AB955" s="97" t="n">
        <v>32.16032</v>
      </c>
      <c r="AC955" s="97" t="n">
        <v>85.01226</v>
      </c>
      <c r="AD955" s="97" t="n"/>
      <c r="AE955" s="97" t="n">
        <v>86.67175</v>
      </c>
      <c r="AF955" s="97" t="n">
        <v>86.23174</v>
      </c>
      <c r="AG955" s="97" t="n">
        <v>120.9202</v>
      </c>
      <c r="AH955" s="97" t="n">
        <v>80.37271</v>
      </c>
      <c r="AI955" s="97" t="n">
        <v>43.0615</v>
      </c>
      <c r="AJ955" s="97" t="n">
        <v>122.291</v>
      </c>
      <c r="AK955" s="97" t="n">
        <v>39.32806</v>
      </c>
      <c r="AL955" s="97" t="n">
        <v>72.24956</v>
      </c>
      <c r="AM955" s="97" t="n">
        <v>93.71426</v>
      </c>
      <c r="AN955" s="97" t="n"/>
      <c r="AO955" s="97" t="n">
        <v>83.70361</v>
      </c>
      <c r="AP955" s="97" t="n">
        <v>88.88518999999999</v>
      </c>
      <c r="AQ955" s="97" t="n"/>
      <c r="AR955" s="97" t="n"/>
      <c r="AS955" s="97" t="n"/>
      <c r="AT955" s="97" t="n">
        <v>38.53098</v>
      </c>
      <c r="AU955" s="97" t="n"/>
      <c r="AV955" s="97" t="n">
        <v>51.2006</v>
      </c>
      <c r="AW955" s="97" t="n"/>
      <c r="AX955" s="97" t="n">
        <v>42.29647</v>
      </c>
      <c r="AY955" s="97" t="n">
        <v>80.71437</v>
      </c>
    </row>
    <row r="956" s="135">
      <c r="A956" t="inlineStr">
        <is>
          <t>1998-07</t>
        </is>
      </c>
      <c r="B956" s="2" t="n">
        <v>35977</v>
      </c>
      <c r="C956" s="96" t="n">
        <v>956</v>
      </c>
      <c r="E956" s="2">
        <f>B956</f>
        <v/>
      </c>
      <c r="F956" s="3">
        <f>B956</f>
        <v/>
      </c>
      <c r="G956" s="96" t="n">
        <v>954</v>
      </c>
      <c r="H956" s="97" t="n"/>
      <c r="I956" s="97" t="n"/>
      <c r="J956" s="97" t="n">
        <v>70.69471</v>
      </c>
      <c r="K956" s="97" t="n">
        <v>83.45911</v>
      </c>
      <c r="L956" s="97" t="n"/>
      <c r="M956" s="97" t="n">
        <v>62.16999</v>
      </c>
      <c r="N956" s="97" t="n">
        <v>76.39363</v>
      </c>
      <c r="O956" s="97" t="n">
        <v>115.0628</v>
      </c>
      <c r="P956" s="97" t="n">
        <v>115.4821</v>
      </c>
      <c r="Q956" s="97" t="n"/>
      <c r="R956" s="97" t="n">
        <v>89.3</v>
      </c>
      <c r="S956" s="97" t="n">
        <v>103.3609</v>
      </c>
      <c r="T956" s="97" t="n">
        <v>107.6657</v>
      </c>
      <c r="U956" s="97" t="n">
        <v>136.9223</v>
      </c>
      <c r="V956" s="97" t="n">
        <v>45.54646</v>
      </c>
      <c r="W956" s="97" t="n">
        <v>34.0379</v>
      </c>
      <c r="X956" s="97" t="n">
        <v>27.63058</v>
      </c>
      <c r="Y956" s="97" t="n">
        <v>63.24728</v>
      </c>
      <c r="Z956" s="97" t="n">
        <v>123.2897</v>
      </c>
      <c r="AA956" s="97" t="n">
        <v>100.0288</v>
      </c>
      <c r="AB956" s="97" t="n">
        <v>31.51337</v>
      </c>
      <c r="AC956" s="97" t="n">
        <v>70.62914000000001</v>
      </c>
      <c r="AD956" s="97" t="n"/>
      <c r="AE956" s="97" t="n">
        <v>87.34495</v>
      </c>
      <c r="AF956" s="97" t="n">
        <v>87.54969</v>
      </c>
      <c r="AG956" s="97" t="n">
        <v>118.4056</v>
      </c>
      <c r="AH956" s="97" t="n">
        <v>80.41197</v>
      </c>
      <c r="AI956" s="97" t="n">
        <v>42.47482</v>
      </c>
      <c r="AJ956" s="97" t="n">
        <v>124.2524</v>
      </c>
      <c r="AK956" s="97" t="n">
        <v>39.98803</v>
      </c>
      <c r="AL956" s="97" t="n">
        <v>73.08967</v>
      </c>
      <c r="AM956" s="97" t="n">
        <v>94.42268</v>
      </c>
      <c r="AN956" s="97" t="n"/>
      <c r="AO956" s="97" t="n">
        <v>83.41285999999999</v>
      </c>
      <c r="AP956" s="97" t="n">
        <v>89.78503000000001</v>
      </c>
      <c r="AQ956" s="97" t="n"/>
      <c r="AR956" s="97" t="n"/>
      <c r="AS956" s="97" t="n"/>
      <c r="AT956" s="97" t="n">
        <v>38.31808</v>
      </c>
      <c r="AU956" s="97" t="n"/>
      <c r="AV956" s="97" t="n">
        <v>49.78129</v>
      </c>
      <c r="AW956" s="97" t="n"/>
      <c r="AX956" s="97" t="n">
        <v>42.69644</v>
      </c>
      <c r="AY956" s="97" t="n">
        <v>81.40783999999999</v>
      </c>
    </row>
    <row r="957" s="135">
      <c r="A957" t="inlineStr">
        <is>
          <t>1998-08</t>
        </is>
      </c>
      <c r="B957" s="2" t="n">
        <v>36008</v>
      </c>
      <c r="C957" s="96" t="n">
        <v>957</v>
      </c>
      <c r="E957" s="2">
        <f>B957</f>
        <v/>
      </c>
      <c r="F957" s="3">
        <f>B957</f>
        <v/>
      </c>
      <c r="G957" s="96" t="n">
        <v>955</v>
      </c>
      <c r="H957" s="97" t="n"/>
      <c r="I957" s="97" t="n"/>
      <c r="J957" s="97" t="n">
        <v>69.56404999999999</v>
      </c>
      <c r="K957" s="97" t="n">
        <v>85.60257</v>
      </c>
      <c r="L957" s="97" t="n"/>
      <c r="M957" s="97" t="n">
        <v>60.93257</v>
      </c>
      <c r="N957" s="97" t="n">
        <v>74.69378</v>
      </c>
      <c r="O957" s="97" t="n">
        <v>109.8376</v>
      </c>
      <c r="P957" s="97" t="n">
        <v>115.4081</v>
      </c>
      <c r="Q957" s="97" t="n"/>
      <c r="R957" s="97" t="n">
        <v>88.90000000000001</v>
      </c>
      <c r="S957" s="97" t="n">
        <v>100.7108</v>
      </c>
      <c r="T957" s="97" t="n">
        <v>106.9389</v>
      </c>
      <c r="U957" s="97" t="n">
        <v>139.9288</v>
      </c>
      <c r="V957" s="97" t="n">
        <v>45.83992</v>
      </c>
      <c r="W957" s="97" t="n">
        <v>35.64178</v>
      </c>
      <c r="X957" s="97" t="n">
        <v>27.67872</v>
      </c>
      <c r="Y957" s="97" t="n">
        <v>63.52745</v>
      </c>
      <c r="Z957" s="97" t="n">
        <v>121.5899</v>
      </c>
      <c r="AA957" s="97" t="n">
        <v>98.22172999999999</v>
      </c>
      <c r="AB957" s="97" t="n">
        <v>32.80727</v>
      </c>
      <c r="AC957" s="97" t="n">
        <v>77.23102</v>
      </c>
      <c r="AD957" s="97" t="n"/>
      <c r="AE957" s="97" t="n">
        <v>87.41131</v>
      </c>
      <c r="AF957" s="97" t="n">
        <v>86.51416</v>
      </c>
      <c r="AG957" s="97" t="n">
        <v>111.1897</v>
      </c>
      <c r="AH957" s="97" t="n">
        <v>80.46998000000001</v>
      </c>
      <c r="AI957" s="97" t="n">
        <v>43.01665</v>
      </c>
      <c r="AJ957" s="97" t="n">
        <v>122.0635</v>
      </c>
      <c r="AK957" s="97" t="n">
        <v>39.76688</v>
      </c>
      <c r="AL957" s="97" t="n">
        <v>74.11647000000001</v>
      </c>
      <c r="AM957" s="97" t="n">
        <v>95.53592999999999</v>
      </c>
      <c r="AN957" s="97" t="n"/>
      <c r="AO957" s="97" t="n">
        <v>85.12487</v>
      </c>
      <c r="AP957" s="97" t="n">
        <v>88.48524999999999</v>
      </c>
      <c r="AQ957" s="97" t="n"/>
      <c r="AR957" s="97" t="n"/>
      <c r="AS957" s="97" t="n"/>
      <c r="AT957" s="97" t="n">
        <v>38.49912</v>
      </c>
      <c r="AU957" s="97" t="n"/>
      <c r="AV957" s="97" t="n">
        <v>49.28611</v>
      </c>
      <c r="AW957" s="97" t="n"/>
      <c r="AX957" s="97" t="n">
        <v>42.99642</v>
      </c>
      <c r="AY957" s="97" t="n">
        <v>80.05602</v>
      </c>
    </row>
    <row r="958" s="135">
      <c r="A958" t="inlineStr">
        <is>
          <t>1998-09</t>
        </is>
      </c>
      <c r="B958" s="2" t="n">
        <v>36039</v>
      </c>
      <c r="C958" s="96" t="n">
        <v>958</v>
      </c>
      <c r="E958" s="2">
        <f>B958</f>
        <v/>
      </c>
      <c r="F958" s="3">
        <f>B958</f>
        <v/>
      </c>
      <c r="G958" s="96" t="n">
        <v>956</v>
      </c>
      <c r="H958" s="97" t="n"/>
      <c r="I958" s="97" t="n"/>
      <c r="J958" s="97" t="n">
        <v>69.52404</v>
      </c>
      <c r="K958" s="97" t="n">
        <v>85.84602</v>
      </c>
      <c r="L958" s="97" t="n"/>
      <c r="M958" s="97" t="n">
        <v>60.42138</v>
      </c>
      <c r="N958" s="97" t="n">
        <v>74.19382</v>
      </c>
      <c r="O958" s="97" t="n">
        <v>108.8579</v>
      </c>
      <c r="P958" s="97" t="n">
        <v>115.7301</v>
      </c>
      <c r="Q958" s="97" t="n"/>
      <c r="R958" s="97" t="n">
        <v>88.40000000000001</v>
      </c>
      <c r="S958" s="97" t="n">
        <v>102.5309</v>
      </c>
      <c r="T958" s="97" t="n">
        <v>106.9389</v>
      </c>
      <c r="U958" s="97" t="n">
        <v>135.3964</v>
      </c>
      <c r="V958" s="97" t="n">
        <v>45.89862</v>
      </c>
      <c r="W958" s="97" t="n">
        <v>35.22596</v>
      </c>
      <c r="X958" s="97" t="n">
        <v>27.3017</v>
      </c>
      <c r="Y958" s="97" t="n">
        <v>63.31733</v>
      </c>
      <c r="Z958" s="97" t="n">
        <v>123.3897</v>
      </c>
      <c r="AA958" s="97" t="n">
        <v>99.49733000000001</v>
      </c>
      <c r="AB958" s="97" t="n">
        <v>34.65511</v>
      </c>
      <c r="AC958" s="97" t="n">
        <v>76.32062999999999</v>
      </c>
      <c r="AD958" s="97" t="n"/>
      <c r="AE958" s="97" t="n">
        <v>87.29626</v>
      </c>
      <c r="AF958" s="97" t="n">
        <v>86.98486</v>
      </c>
      <c r="AG958" s="97" t="n">
        <v>119.4989</v>
      </c>
      <c r="AH958" s="97" t="n">
        <v>80.81021</v>
      </c>
      <c r="AI958" s="97" t="n">
        <v>41.66703</v>
      </c>
      <c r="AJ958" s="97" t="n">
        <v>124.6682</v>
      </c>
      <c r="AK958" s="97" t="n">
        <v>39.20588</v>
      </c>
      <c r="AL958" s="97" t="n">
        <v>73.18301</v>
      </c>
      <c r="AM958" s="97" t="n">
        <v>94.22028</v>
      </c>
      <c r="AN958" s="97" t="n"/>
      <c r="AO958" s="97" t="n">
        <v>84.95851</v>
      </c>
      <c r="AP958" s="97" t="n">
        <v>88.88518999999999</v>
      </c>
      <c r="AQ958" s="97" t="n"/>
      <c r="AR958" s="97" t="n"/>
      <c r="AS958" s="97" t="n"/>
      <c r="AT958" s="97" t="n">
        <v>38.38189</v>
      </c>
      <c r="AU958" s="97" t="n"/>
      <c r="AV958" s="97" t="n">
        <v>46.86234</v>
      </c>
      <c r="AW958" s="97" t="n"/>
      <c r="AX958" s="97" t="n">
        <v>43.49638</v>
      </c>
      <c r="AY958" s="97" t="n">
        <v>79.70489999999999</v>
      </c>
    </row>
    <row r="959" s="135">
      <c r="A959" t="inlineStr">
        <is>
          <t>1998-10</t>
        </is>
      </c>
      <c r="B959" s="2" t="n">
        <v>36069</v>
      </c>
      <c r="C959" s="96" t="n">
        <v>959</v>
      </c>
      <c r="E959" s="2">
        <f>B959</f>
        <v/>
      </c>
      <c r="F959" s="3">
        <f>B959</f>
        <v/>
      </c>
      <c r="G959" s="96" t="n">
        <v>957</v>
      </c>
      <c r="H959" s="97" t="n"/>
      <c r="I959" s="97" t="n"/>
      <c r="J959" s="97" t="n">
        <v>69.74336</v>
      </c>
      <c r="K959" s="97" t="n">
        <v>86.01992</v>
      </c>
      <c r="L959" s="97" t="n"/>
      <c r="M959" s="97" t="n">
        <v>59.42498</v>
      </c>
      <c r="N959" s="97" t="n">
        <v>74.69378</v>
      </c>
      <c r="O959" s="97" t="n">
        <v>97.21013000000001</v>
      </c>
      <c r="P959" s="97" t="n">
        <v>117.2701</v>
      </c>
      <c r="Q959" s="97" t="n"/>
      <c r="R959" s="97" t="n">
        <v>89</v>
      </c>
      <c r="S959" s="97" t="n">
        <v>102.6409</v>
      </c>
      <c r="T959" s="97" t="n">
        <v>107.0427</v>
      </c>
      <c r="U959" s="97" t="n">
        <v>139.4876</v>
      </c>
      <c r="V959" s="97" t="n">
        <v>45.72254</v>
      </c>
      <c r="W959" s="97" t="n">
        <v>35.64178</v>
      </c>
      <c r="X959" s="97" t="n">
        <v>26.95263</v>
      </c>
      <c r="Y959" s="97" t="n">
        <v>63.59749</v>
      </c>
      <c r="Z959" s="97" t="n">
        <v>122.5898</v>
      </c>
      <c r="AA959" s="97" t="n">
        <v>98.96583</v>
      </c>
      <c r="AB959" s="97" t="n">
        <v>35.48704</v>
      </c>
      <c r="AC959" s="97" t="n">
        <v>76.55331</v>
      </c>
      <c r="AD959" s="97" t="n"/>
      <c r="AE959" s="97" t="n">
        <v>87.00427999999999</v>
      </c>
      <c r="AF959" s="97" t="n">
        <v>88.11453</v>
      </c>
      <c r="AG959" s="97" t="n">
        <v>117.6403</v>
      </c>
      <c r="AH959" s="97" t="n">
        <v>80.98751</v>
      </c>
      <c r="AI959" s="97" t="n">
        <v>41.86475</v>
      </c>
      <c r="AJ959" s="97" t="n">
        <v>124.7026</v>
      </c>
      <c r="AK959" s="97" t="n">
        <v>38.72543</v>
      </c>
      <c r="AL959" s="97" t="n">
        <v>72.71629</v>
      </c>
      <c r="AM959" s="97" t="n">
        <v>94.22028</v>
      </c>
      <c r="AN959" s="97" t="n"/>
      <c r="AO959" s="97" t="n">
        <v>85.64642000000001</v>
      </c>
      <c r="AP959" s="97" t="n">
        <v>89.08515</v>
      </c>
      <c r="AQ959" s="97" t="n"/>
      <c r="AR959" s="97" t="n"/>
      <c r="AS959" s="97" t="n"/>
      <c r="AT959" s="97" t="n">
        <v>37.60727</v>
      </c>
      <c r="AU959" s="97" t="n"/>
      <c r="AV959" s="97" t="n">
        <v>49.62354</v>
      </c>
      <c r="AW959" s="97" t="n"/>
      <c r="AX959" s="97" t="n">
        <v>41.9965</v>
      </c>
      <c r="AY959" s="97" t="n">
        <v>77.32603</v>
      </c>
    </row>
    <row r="960" s="135">
      <c r="A960" t="inlineStr">
        <is>
          <t>1998-11</t>
        </is>
      </c>
      <c r="B960" s="2" t="n">
        <v>36100</v>
      </c>
      <c r="C960" s="96" t="n">
        <v>960</v>
      </c>
      <c r="E960" s="2">
        <f>B960</f>
        <v/>
      </c>
      <c r="F960" s="3">
        <f>B960</f>
        <v/>
      </c>
      <c r="G960" s="96" t="n">
        <v>958</v>
      </c>
      <c r="H960" s="97" t="n"/>
      <c r="I960" s="97" t="n"/>
      <c r="J960" s="97" t="n">
        <v>69.44624</v>
      </c>
      <c r="K960" s="97" t="n">
        <v>86.26204</v>
      </c>
      <c r="L960" s="97" t="n"/>
      <c r="M960" s="97" t="n">
        <v>58.51758</v>
      </c>
      <c r="N960" s="97" t="n">
        <v>73.69386</v>
      </c>
      <c r="O960" s="97" t="n">
        <v>96.55698</v>
      </c>
      <c r="P960" s="97" t="n">
        <v>116.1901</v>
      </c>
      <c r="Q960" s="97" t="n"/>
      <c r="R960" s="97" t="n">
        <v>88.5</v>
      </c>
      <c r="S960" s="97" t="n">
        <v>103.2309</v>
      </c>
      <c r="T960" s="97" t="n">
        <v>106.9389</v>
      </c>
      <c r="U960" s="97" t="n">
        <v>140.064</v>
      </c>
      <c r="V960" s="97" t="n">
        <v>45.83992</v>
      </c>
      <c r="W960" s="97" t="n">
        <v>34.92895</v>
      </c>
      <c r="X960" s="97" t="n">
        <v>26.52557</v>
      </c>
      <c r="Y960" s="97" t="n">
        <v>63.73758</v>
      </c>
      <c r="Z960" s="97" t="n">
        <v>122.1898</v>
      </c>
      <c r="AA960" s="97" t="n">
        <v>98.43433</v>
      </c>
      <c r="AB960" s="97" t="n">
        <v>36.87293</v>
      </c>
      <c r="AC960" s="97" t="n">
        <v>74.93781</v>
      </c>
      <c r="AD960" s="97" t="n"/>
      <c r="AE960" s="97" t="n">
        <v>87.74317000000001</v>
      </c>
      <c r="AF960" s="97" t="n">
        <v>88.77351</v>
      </c>
      <c r="AG960" s="97" t="n">
        <v>116.8749</v>
      </c>
      <c r="AH960" s="97" t="n">
        <v>80.82156999999999</v>
      </c>
      <c r="AI960" s="97" t="n">
        <v>40.80269</v>
      </c>
      <c r="AJ960" s="97" t="n">
        <v>122.9089</v>
      </c>
      <c r="AK960" s="97" t="n">
        <v>38.52396</v>
      </c>
      <c r="AL960" s="97" t="n">
        <v>74.30316000000001</v>
      </c>
      <c r="AM960" s="97" t="n">
        <v>94.72629999999999</v>
      </c>
      <c r="AN960" s="97" t="n"/>
      <c r="AO960" s="97" t="n">
        <v>85.59081</v>
      </c>
      <c r="AP960" s="97" t="n">
        <v>88.58524</v>
      </c>
      <c r="AQ960" s="97" t="n"/>
      <c r="AR960" s="97" t="n"/>
      <c r="AS960" s="97" t="n"/>
      <c r="AT960" s="97" t="n">
        <v>39.42215</v>
      </c>
      <c r="AU960" s="97" t="n"/>
      <c r="AV960" s="97" t="n">
        <v>50.41254</v>
      </c>
      <c r="AW960" s="97" t="n"/>
      <c r="AX960" s="97" t="n">
        <v>41.39655</v>
      </c>
      <c r="AY960" s="97" t="n">
        <v>78.00194999999999</v>
      </c>
    </row>
    <row r="961" s="135">
      <c r="A961" t="inlineStr">
        <is>
          <t>1998-12</t>
        </is>
      </c>
      <c r="B961" s="2" t="n">
        <v>36130</v>
      </c>
      <c r="C961" s="96" t="n">
        <v>961</v>
      </c>
      <c r="E961" s="2">
        <f>B961</f>
        <v/>
      </c>
      <c r="F961" s="3">
        <f>B961</f>
        <v/>
      </c>
      <c r="G961" s="96" t="n">
        <v>959</v>
      </c>
      <c r="H961" s="97" t="n"/>
      <c r="I961" s="97" t="n"/>
      <c r="J961" s="97" t="n">
        <v>68.97996000000001</v>
      </c>
      <c r="K961" s="97" t="n">
        <v>87.62858</v>
      </c>
      <c r="L961" s="97" t="n"/>
      <c r="M961" s="97" t="n">
        <v>55.24473</v>
      </c>
      <c r="N961" s="97" t="n">
        <v>73.99384000000001</v>
      </c>
      <c r="O961" s="97" t="n">
        <v>95.57726</v>
      </c>
      <c r="P961" s="97" t="n">
        <v>117.1531</v>
      </c>
      <c r="Q961" s="97" t="n"/>
      <c r="R961" s="97" t="n">
        <v>88.2</v>
      </c>
      <c r="S961" s="97" t="n">
        <v>102.4609</v>
      </c>
      <c r="T961" s="97" t="n">
        <v>107.1466</v>
      </c>
      <c r="U961" s="97" t="n">
        <v>139.7559</v>
      </c>
      <c r="V961" s="97" t="n">
        <v>47.0725</v>
      </c>
      <c r="W961" s="97" t="n">
        <v>35.16656</v>
      </c>
      <c r="X961" s="97" t="n">
        <v>26.38988</v>
      </c>
      <c r="Y961" s="97" t="n">
        <v>63.38737</v>
      </c>
      <c r="Z961" s="97" t="n">
        <v>119.2901</v>
      </c>
      <c r="AA961" s="97" t="n">
        <v>98.32803</v>
      </c>
      <c r="AB961" s="97" t="n">
        <v>37.42788</v>
      </c>
      <c r="AC961" s="97" t="n">
        <v>73.68252</v>
      </c>
      <c r="AD961" s="97" t="n"/>
      <c r="AE961" s="97" t="n">
        <v>88.4126</v>
      </c>
      <c r="AF961" s="97" t="n">
        <v>84.16068</v>
      </c>
      <c r="AG961" s="97" t="n">
        <v>115.4536</v>
      </c>
      <c r="AH961" s="97" t="n">
        <v>80.64085</v>
      </c>
      <c r="AI961" s="97" t="n">
        <v>41.25306</v>
      </c>
      <c r="AJ961" s="97" t="n">
        <v>124.2646</v>
      </c>
      <c r="AK961" s="97" t="n">
        <v>38.17353</v>
      </c>
      <c r="AL961" s="97" t="n">
        <v>71.59614000000001</v>
      </c>
      <c r="AM961" s="97" t="n">
        <v>93.71426</v>
      </c>
      <c r="AN961" s="97" t="n"/>
      <c r="AO961" s="97" t="n">
        <v>85.90864999999999</v>
      </c>
      <c r="AP961" s="97" t="n">
        <v>88.08532</v>
      </c>
      <c r="AQ961" s="97" t="n"/>
      <c r="AR961" s="97" t="n"/>
      <c r="AS961" s="97" t="n"/>
      <c r="AT961" s="97" t="n">
        <v>39.00266</v>
      </c>
      <c r="AU961" s="97" t="n"/>
      <c r="AV961" s="97" t="n">
        <v>51.79406</v>
      </c>
      <c r="AW961" s="97" t="n"/>
      <c r="AX961" s="97" t="n">
        <v>39.09674</v>
      </c>
      <c r="AY961" s="97" t="n">
        <v>75.35097</v>
      </c>
    </row>
    <row r="962" s="135">
      <c r="A962" t="inlineStr">
        <is>
          <t>1999-01</t>
        </is>
      </c>
      <c r="B962" s="2" t="n">
        <v>36161</v>
      </c>
      <c r="C962" s="96" t="n">
        <v>962</v>
      </c>
      <c r="E962" s="2">
        <f>B962</f>
        <v/>
      </c>
      <c r="F962" s="3">
        <f>B962</f>
        <v/>
      </c>
      <c r="G962" s="96" t="n">
        <v>960</v>
      </c>
      <c r="H962" s="97" t="n"/>
      <c r="I962" s="97" t="n"/>
      <c r="J962" s="97" t="n">
        <v>69.05426</v>
      </c>
      <c r="K962" s="97" t="n">
        <v>88.60587</v>
      </c>
      <c r="L962" s="97" t="n"/>
      <c r="M962" s="97" t="n">
        <v>58.28448</v>
      </c>
      <c r="N962" s="97" t="n">
        <v>75.19373</v>
      </c>
      <c r="O962" s="97" t="n">
        <v>104.2859</v>
      </c>
      <c r="P962" s="97" t="n">
        <v>118.7441</v>
      </c>
      <c r="Q962" s="97" t="n"/>
      <c r="R962" s="97" t="n">
        <v>89.59999999999999</v>
      </c>
      <c r="S962" s="97" t="n">
        <v>102.7409</v>
      </c>
      <c r="T962" s="97" t="n">
        <v>106.8351</v>
      </c>
      <c r="U962" s="97" t="n">
        <v>139.1877</v>
      </c>
      <c r="V962" s="97" t="n">
        <v>47.54205</v>
      </c>
      <c r="W962" s="97" t="n">
        <v>39.32477</v>
      </c>
      <c r="X962" s="97" t="n">
        <v>26.29285</v>
      </c>
      <c r="Y962" s="97" t="n">
        <v>61.63633</v>
      </c>
      <c r="Z962" s="97" t="n">
        <v>121.5899</v>
      </c>
      <c r="AA962" s="97" t="n">
        <v>99.60363</v>
      </c>
      <c r="AB962" s="97" t="n">
        <v>37.1499</v>
      </c>
      <c r="AC962" s="97" t="n">
        <v>80.3653</v>
      </c>
      <c r="AD962" s="97" t="n"/>
      <c r="AE962" s="97" t="n">
        <v>88.98863</v>
      </c>
      <c r="AF962" s="97" t="n">
        <v>87.64382999999999</v>
      </c>
      <c r="AG962" s="97" t="n">
        <v>116.547</v>
      </c>
      <c r="AH962" s="97" t="n">
        <v>81.44843</v>
      </c>
      <c r="AI962" s="97" t="n">
        <v>41.18057</v>
      </c>
      <c r="AJ962" s="97" t="n">
        <v>125.2788</v>
      </c>
      <c r="AK962" s="97" t="n">
        <v>38.51763</v>
      </c>
      <c r="AL962" s="97" t="n">
        <v>73.46305</v>
      </c>
      <c r="AM962" s="97" t="n">
        <v>93.10705</v>
      </c>
      <c r="AN962" s="97" t="n"/>
      <c r="AO962" s="97" t="n">
        <v>86.31081</v>
      </c>
      <c r="AP962" s="97" t="n">
        <v>89.38509999999999</v>
      </c>
      <c r="AQ962" s="97" t="n"/>
      <c r="AR962" s="97" t="n"/>
      <c r="AS962" s="97" t="n"/>
      <c r="AT962" s="97" t="n">
        <v>39.7136</v>
      </c>
      <c r="AU962" s="97" t="n"/>
      <c r="AV962" s="97" t="n">
        <v>52.54144</v>
      </c>
      <c r="AW962" s="97" t="n"/>
      <c r="AX962" s="97" t="n">
        <v>40.7966</v>
      </c>
      <c r="AY962" s="97" t="n">
        <v>77.67716</v>
      </c>
    </row>
    <row r="963" s="135">
      <c r="A963" t="inlineStr">
        <is>
          <t>1999-02</t>
        </is>
      </c>
      <c r="B963" s="2" t="n">
        <v>36192</v>
      </c>
      <c r="C963" s="96" t="n">
        <v>963</v>
      </c>
      <c r="E963" s="2">
        <f>B963</f>
        <v/>
      </c>
      <c r="F963" s="3">
        <f>B963</f>
        <v/>
      </c>
      <c r="G963" s="96" t="n">
        <v>961</v>
      </c>
      <c r="H963" s="97" t="n"/>
      <c r="I963" s="97" t="n"/>
      <c r="J963" s="97" t="n">
        <v>68.35171</v>
      </c>
      <c r="K963" s="97" t="n">
        <v>88.52187000000001</v>
      </c>
      <c r="L963" s="97" t="n"/>
      <c r="M963" s="97" t="n">
        <v>58.91549</v>
      </c>
      <c r="N963" s="97" t="n">
        <v>73.79385000000001</v>
      </c>
      <c r="O963" s="97" t="n">
        <v>102.3265</v>
      </c>
      <c r="P963" s="97" t="n">
        <v>116.3051</v>
      </c>
      <c r="Q963" s="97" t="n"/>
      <c r="R963" s="97" t="n">
        <v>90.09999999999999</v>
      </c>
      <c r="S963" s="97" t="n">
        <v>102.4309</v>
      </c>
      <c r="T963" s="97" t="n">
        <v>106.6274</v>
      </c>
      <c r="U963" s="97" t="n">
        <v>137.5978</v>
      </c>
      <c r="V963" s="97" t="n">
        <v>45.78123</v>
      </c>
      <c r="W963" s="97" t="n">
        <v>36.94865</v>
      </c>
      <c r="X963" s="97" t="n">
        <v>26.86387</v>
      </c>
      <c r="Y963" s="97" t="n">
        <v>62.82704</v>
      </c>
      <c r="Z963" s="97" t="n">
        <v>120.9899</v>
      </c>
      <c r="AA963" s="97" t="n">
        <v>99.60363</v>
      </c>
      <c r="AB963" s="97" t="n">
        <v>38.62878</v>
      </c>
      <c r="AC963" s="97" t="n">
        <v>82.86429</v>
      </c>
      <c r="AD963" s="97" t="n"/>
      <c r="AE963" s="97" t="n">
        <v>88.40723</v>
      </c>
      <c r="AF963" s="97" t="n">
        <v>88.20867</v>
      </c>
      <c r="AG963" s="97" t="n">
        <v>116.219</v>
      </c>
      <c r="AH963" s="97" t="n">
        <v>81.40839</v>
      </c>
      <c r="AI963" s="97" t="n">
        <v>41.27563</v>
      </c>
      <c r="AJ963" s="97" t="n">
        <v>128.2339</v>
      </c>
      <c r="AK963" s="97" t="n">
        <v>38.23365</v>
      </c>
      <c r="AL963" s="97" t="n">
        <v>71.31610000000001</v>
      </c>
      <c r="AM963" s="97" t="n">
        <v>94.52388999999999</v>
      </c>
      <c r="AN963" s="97" t="n"/>
      <c r="AO963" s="97" t="n">
        <v>86.77109</v>
      </c>
      <c r="AP963" s="97" t="n">
        <v>88.38527000000001</v>
      </c>
      <c r="AQ963" s="97" t="n"/>
      <c r="AR963" s="97" t="n"/>
      <c r="AS963" s="97" t="n"/>
      <c r="AT963" s="97" t="n">
        <v>39.34454</v>
      </c>
      <c r="AU963" s="97" t="n"/>
      <c r="AV963" s="97" t="n">
        <v>50.98319</v>
      </c>
      <c r="AW963" s="97" t="n"/>
      <c r="AX963" s="97" t="n">
        <v>41.09658</v>
      </c>
      <c r="AY963" s="97" t="n">
        <v>76.46578</v>
      </c>
    </row>
    <row r="964" s="135">
      <c r="A964" t="inlineStr">
        <is>
          <t>1999-03</t>
        </is>
      </c>
      <c r="B964" s="2" t="n">
        <v>36220</v>
      </c>
      <c r="C964" s="96" t="n">
        <v>964</v>
      </c>
      <c r="E964" s="2">
        <f>B964</f>
        <v/>
      </c>
      <c r="F964" s="3">
        <f>B964</f>
        <v/>
      </c>
      <c r="G964" s="96" t="n">
        <v>962</v>
      </c>
      <c r="H964" s="97" t="n"/>
      <c r="I964" s="97" t="n"/>
      <c r="J964" s="97" t="n">
        <v>69.48325</v>
      </c>
      <c r="K964" s="97" t="n">
        <v>88.19092999999999</v>
      </c>
      <c r="L964" s="97" t="n"/>
      <c r="M964" s="97" t="n">
        <v>57.84205</v>
      </c>
      <c r="N964" s="97" t="n">
        <v>74.29380999999999</v>
      </c>
      <c r="O964" s="97" t="n">
        <v>104.5036</v>
      </c>
      <c r="P964" s="97" t="n">
        <v>114.9071</v>
      </c>
      <c r="Q964" s="97" t="n"/>
      <c r="R964" s="97" t="n">
        <v>90.90000000000001</v>
      </c>
      <c r="S964" s="97" t="n">
        <v>102.3708</v>
      </c>
      <c r="T964" s="97" t="n">
        <v>107.5619</v>
      </c>
      <c r="U964" s="97" t="n">
        <v>135.6637</v>
      </c>
      <c r="V964" s="97" t="n">
        <v>47.18988</v>
      </c>
      <c r="W964" s="97" t="n">
        <v>35.40417</v>
      </c>
      <c r="X964" s="97" t="n">
        <v>27.35466</v>
      </c>
      <c r="Y964" s="97" t="n">
        <v>61.42621</v>
      </c>
      <c r="Z964" s="97" t="n">
        <v>121.3899</v>
      </c>
      <c r="AA964" s="97" t="n">
        <v>100.8792</v>
      </c>
      <c r="AB964" s="97" t="n">
        <v>39.27573</v>
      </c>
      <c r="AC964" s="97" t="n">
        <v>84.22879</v>
      </c>
      <c r="AD964" s="97" t="n"/>
      <c r="AE964" s="97" t="n">
        <v>88.83422</v>
      </c>
      <c r="AF964" s="97" t="n">
        <v>89.15006</v>
      </c>
      <c r="AG964" s="97" t="n">
        <v>116.6563</v>
      </c>
      <c r="AH964" s="97" t="n">
        <v>81.79646</v>
      </c>
      <c r="AI964" s="97" t="n">
        <v>43.15997</v>
      </c>
      <c r="AJ964" s="97" t="n">
        <v>125.2438</v>
      </c>
      <c r="AK964" s="97" t="n">
        <v>38.57634</v>
      </c>
      <c r="AL964" s="97" t="n">
        <v>71.96952</v>
      </c>
      <c r="AM964" s="97" t="n">
        <v>95.43472</v>
      </c>
      <c r="AN964" s="97" t="n"/>
      <c r="AO964" s="97" t="n">
        <v>86.90873000000001</v>
      </c>
      <c r="AP964" s="97" t="n">
        <v>88.48524999999999</v>
      </c>
      <c r="AQ964" s="97" t="n"/>
      <c r="AR964" s="97" t="n"/>
      <c r="AS964" s="97" t="n"/>
      <c r="AT964" s="97" t="n">
        <v>39.20747</v>
      </c>
      <c r="AU964" s="97" t="n"/>
      <c r="AV964" s="97" t="n">
        <v>52.20948</v>
      </c>
      <c r="AW964" s="97" t="n"/>
      <c r="AX964" s="97" t="n">
        <v>41.9965</v>
      </c>
      <c r="AY964" s="97" t="n">
        <v>76.57111999999999</v>
      </c>
    </row>
    <row r="965" s="135">
      <c r="A965" t="inlineStr">
        <is>
          <t>1999-04</t>
        </is>
      </c>
      <c r="B965" s="2" t="n">
        <v>36251</v>
      </c>
      <c r="C965" s="96" t="n">
        <v>965</v>
      </c>
      <c r="E965" s="2">
        <f>B965</f>
        <v/>
      </c>
      <c r="F965" s="3">
        <f>B965</f>
        <v/>
      </c>
      <c r="G965" s="96" t="n">
        <v>963</v>
      </c>
      <c r="H965" s="97" t="n"/>
      <c r="I965" s="97" t="n"/>
      <c r="J965" s="97" t="n">
        <v>69.59958</v>
      </c>
      <c r="K965" s="97" t="n">
        <v>88.72947000000001</v>
      </c>
      <c r="L965" s="97" t="n"/>
      <c r="M965" s="97" t="n">
        <v>59.33867</v>
      </c>
      <c r="N965" s="97" t="n">
        <v>74.79376999999999</v>
      </c>
      <c r="O965" s="97" t="n">
        <v>98.18985000000001</v>
      </c>
      <c r="P965" s="97" t="n">
        <v>117.6691</v>
      </c>
      <c r="Q965" s="97" t="n"/>
      <c r="R965" s="97" t="n">
        <v>91.59999999999999</v>
      </c>
      <c r="S965" s="97" t="n">
        <v>103.1909</v>
      </c>
      <c r="T965" s="97" t="n">
        <v>106.6274</v>
      </c>
      <c r="U965" s="97" t="n">
        <v>135.5213</v>
      </c>
      <c r="V965" s="97" t="n">
        <v>47.48335</v>
      </c>
      <c r="W965" s="97" t="n">
        <v>36.29522</v>
      </c>
      <c r="X965" s="97" t="n">
        <v>27.9402</v>
      </c>
      <c r="Y965" s="97" t="n">
        <v>62.68695</v>
      </c>
      <c r="Z965" s="97" t="n">
        <v>120.49</v>
      </c>
      <c r="AA965" s="97" t="n">
        <v>99.17843000000001</v>
      </c>
      <c r="AB965" s="97" t="n">
        <v>38.90576</v>
      </c>
      <c r="AC965" s="97" t="n">
        <v>85.9633</v>
      </c>
      <c r="AD965" s="97" t="n"/>
      <c r="AE965" s="97" t="n">
        <v>88.83181</v>
      </c>
      <c r="AF965" s="97" t="n">
        <v>87.54969</v>
      </c>
      <c r="AG965" s="97" t="n">
        <v>113.3764</v>
      </c>
      <c r="AH965" s="97" t="n">
        <v>81.70466</v>
      </c>
      <c r="AI965" s="97" t="n">
        <v>43.09546</v>
      </c>
      <c r="AJ965" s="97" t="n">
        <v>128.0129</v>
      </c>
      <c r="AK965" s="97" t="n">
        <v>38.85649</v>
      </c>
      <c r="AL965" s="97" t="n">
        <v>70.00926</v>
      </c>
      <c r="AM965" s="97" t="n">
        <v>93.81547</v>
      </c>
      <c r="AN965" s="97" t="n"/>
      <c r="AO965" s="97" t="n">
        <v>87.14453</v>
      </c>
      <c r="AP965" s="97" t="n">
        <v>89.08515</v>
      </c>
      <c r="AQ965" s="97" t="n"/>
      <c r="AR965" s="97" t="n"/>
      <c r="AS965" s="97" t="n"/>
      <c r="AT965" s="97" t="n">
        <v>39.82363</v>
      </c>
      <c r="AU965" s="97" t="n"/>
      <c r="AV965" s="97" t="n">
        <v>51.59541</v>
      </c>
      <c r="AW965" s="97" t="n"/>
      <c r="AX965" s="97" t="n">
        <v>41.39655</v>
      </c>
      <c r="AY965" s="97" t="n">
        <v>77.89661</v>
      </c>
    </row>
    <row r="966" s="135">
      <c r="A966" t="inlineStr">
        <is>
          <t>1999-05</t>
        </is>
      </c>
      <c r="B966" s="2" t="n">
        <v>36281</v>
      </c>
      <c r="C966" s="96" t="n">
        <v>966</v>
      </c>
      <c r="E966" s="2">
        <f>B966</f>
        <v/>
      </c>
      <c r="F966" s="3">
        <f>B966</f>
        <v/>
      </c>
      <c r="G966" s="96" t="n">
        <v>964</v>
      </c>
      <c r="H966" s="97" t="n"/>
      <c r="I966" s="97" t="n"/>
      <c r="J966" s="97" t="n">
        <v>69.60715</v>
      </c>
      <c r="K966" s="97" t="n">
        <v>88.56413000000001</v>
      </c>
      <c r="L966" s="97" t="n"/>
      <c r="M966" s="97" t="n">
        <v>61.4767</v>
      </c>
      <c r="N966" s="97" t="n">
        <v>75.29371999999999</v>
      </c>
      <c r="O966" s="97" t="n">
        <v>101.7822</v>
      </c>
      <c r="P966" s="97" t="n">
        <v>116.8721</v>
      </c>
      <c r="Q966" s="97" t="n"/>
      <c r="R966" s="97" t="n">
        <v>91.5</v>
      </c>
      <c r="S966" s="97" t="n">
        <v>103.6009</v>
      </c>
      <c r="T966" s="97" t="n">
        <v>107.458</v>
      </c>
      <c r="U966" s="97" t="n">
        <v>139.1278</v>
      </c>
      <c r="V966" s="97" t="n">
        <v>47.0725</v>
      </c>
      <c r="W966" s="97" t="n">
        <v>36.71104</v>
      </c>
      <c r="X966" s="97" t="n">
        <v>28.18081</v>
      </c>
      <c r="Y966" s="97" t="n">
        <v>62.26671</v>
      </c>
      <c r="Z966" s="97" t="n">
        <v>119.59</v>
      </c>
      <c r="AA966" s="97" t="n">
        <v>100.7729</v>
      </c>
      <c r="AB966" s="97" t="n">
        <v>41.03158</v>
      </c>
      <c r="AC966" s="97" t="n">
        <v>87.62219</v>
      </c>
      <c r="AD966" s="97" t="n"/>
      <c r="AE966" s="97" t="n">
        <v>88.61556</v>
      </c>
      <c r="AF966" s="97" t="n">
        <v>87.45555</v>
      </c>
      <c r="AG966" s="97" t="n">
        <v>116.4376</v>
      </c>
      <c r="AH966" s="97" t="n">
        <v>82.40849</v>
      </c>
      <c r="AI966" s="97" t="n">
        <v>44.78791</v>
      </c>
      <c r="AJ966" s="97" t="n">
        <v>125.5281</v>
      </c>
      <c r="AK966" s="97" t="n">
        <v>39.90057</v>
      </c>
      <c r="AL966" s="97" t="n">
        <v>72.06287</v>
      </c>
      <c r="AM966" s="97" t="n">
        <v>94.8275</v>
      </c>
      <c r="AN966" s="97" t="n"/>
      <c r="AO966" s="97" t="n">
        <v>87.74447000000001</v>
      </c>
      <c r="AP966" s="97" t="n">
        <v>89.18513</v>
      </c>
      <c r="AQ966" s="97" t="n"/>
      <c r="AR966" s="97" t="n"/>
      <c r="AS966" s="97" t="n"/>
      <c r="AT966" s="97" t="n">
        <v>40.81092</v>
      </c>
      <c r="AU966" s="97" t="n"/>
      <c r="AV966" s="97" t="n">
        <v>51.76536</v>
      </c>
      <c r="AW966" s="97" t="n"/>
      <c r="AX966" s="97" t="n">
        <v>42.79643</v>
      </c>
      <c r="AY966" s="97" t="n">
        <v>79.30988000000001</v>
      </c>
    </row>
    <row r="967" s="135">
      <c r="A967" t="inlineStr">
        <is>
          <t>1999-06</t>
        </is>
      </c>
      <c r="B967" s="2" t="n">
        <v>36312</v>
      </c>
      <c r="C967" s="96" t="n">
        <v>967</v>
      </c>
      <c r="E967" s="2">
        <f>B967</f>
        <v/>
      </c>
      <c r="F967" s="3">
        <f>B967</f>
        <v/>
      </c>
      <c r="G967" s="96" t="n">
        <v>965</v>
      </c>
      <c r="H967" s="97" t="n"/>
      <c r="I967" s="97" t="n"/>
      <c r="J967" s="97" t="n">
        <v>69.69365000000001</v>
      </c>
      <c r="K967" s="97" t="n">
        <v>89.77979000000001</v>
      </c>
      <c r="L967" s="97" t="n"/>
      <c r="M967" s="97" t="n">
        <v>59.30154</v>
      </c>
      <c r="N967" s="97" t="n">
        <v>75.29371999999999</v>
      </c>
      <c r="O967" s="97" t="n">
        <v>101.2379</v>
      </c>
      <c r="P967" s="97" t="n">
        <v>118.0641</v>
      </c>
      <c r="Q967" s="97" t="n"/>
      <c r="R967" s="97" t="n">
        <v>92.09999999999999</v>
      </c>
      <c r="S967" s="97" t="n">
        <v>105.0309</v>
      </c>
      <c r="T967" s="97" t="n">
        <v>108.1848</v>
      </c>
      <c r="U967" s="97" t="n">
        <v>139.1776</v>
      </c>
      <c r="V967" s="97" t="n">
        <v>48.48115</v>
      </c>
      <c r="W967" s="97" t="n">
        <v>37.54268</v>
      </c>
      <c r="X967" s="97" t="n">
        <v>28.11278</v>
      </c>
      <c r="Y967" s="97" t="n">
        <v>63.03716</v>
      </c>
      <c r="Z967" s="97" t="n">
        <v>121.4899</v>
      </c>
      <c r="AA967" s="97" t="n">
        <v>100.0288</v>
      </c>
      <c r="AB967" s="97" t="n">
        <v>41.30856</v>
      </c>
      <c r="AC967" s="97" t="n">
        <v>86.75121</v>
      </c>
      <c r="AD967" s="97" t="n"/>
      <c r="AE967" s="97" t="n">
        <v>88.50014</v>
      </c>
      <c r="AF967" s="97" t="n">
        <v>90.27974</v>
      </c>
      <c r="AG967" s="97" t="n">
        <v>116.8749</v>
      </c>
      <c r="AH967" s="97" t="n">
        <v>82.54510999999999</v>
      </c>
      <c r="AI967" s="97" t="n">
        <v>43.11386</v>
      </c>
      <c r="AJ967" s="97" t="n">
        <v>129.5061</v>
      </c>
      <c r="AK967" s="97" t="n">
        <v>38.49794</v>
      </c>
      <c r="AL967" s="97" t="n">
        <v>73.5564</v>
      </c>
      <c r="AM967" s="97" t="n">
        <v>95.33351999999999</v>
      </c>
      <c r="AN967" s="97" t="n"/>
      <c r="AO967" s="97" t="n">
        <v>87.59789000000001</v>
      </c>
      <c r="AP967" s="97" t="n">
        <v>89.88502</v>
      </c>
      <c r="AQ967" s="97" t="n"/>
      <c r="AR967" s="97" t="n"/>
      <c r="AS967" s="97" t="n"/>
      <c r="AT967" s="97" t="n">
        <v>40.3527</v>
      </c>
      <c r="AU967" s="97" t="n"/>
      <c r="AV967" s="97" t="n">
        <v>51.40688</v>
      </c>
      <c r="AW967" s="97" t="n"/>
      <c r="AX967" s="97" t="n">
        <v>42.79643</v>
      </c>
      <c r="AY967" s="97" t="n">
        <v>78.74809</v>
      </c>
    </row>
    <row r="968" s="135">
      <c r="A968" t="inlineStr">
        <is>
          <t>1999-07</t>
        </is>
      </c>
      <c r="B968" s="2" t="n">
        <v>36342</v>
      </c>
      <c r="C968" s="96" t="n">
        <v>968</v>
      </c>
      <c r="E968" s="2">
        <f>B968</f>
        <v/>
      </c>
      <c r="F968" s="3">
        <f>B968</f>
        <v/>
      </c>
      <c r="G968" s="96" t="n">
        <v>966</v>
      </c>
      <c r="H968" s="97" t="n"/>
      <c r="I968" s="97" t="n"/>
      <c r="J968" s="97" t="n">
        <v>70.64934</v>
      </c>
      <c r="K968" s="97" t="n">
        <v>90.29025</v>
      </c>
      <c r="L968" s="97" t="n"/>
      <c r="M968" s="97" t="n">
        <v>58.995</v>
      </c>
      <c r="N968" s="97" t="n">
        <v>75.89368</v>
      </c>
      <c r="O968" s="97" t="n">
        <v>99.71386</v>
      </c>
      <c r="P968" s="97" t="n">
        <v>120.1111</v>
      </c>
      <c r="Q968" s="97" t="n"/>
      <c r="R968" s="97" t="n">
        <v>91.59999999999999</v>
      </c>
      <c r="S968" s="97" t="n">
        <v>105.2809</v>
      </c>
      <c r="T968" s="97" t="n">
        <v>108.6001</v>
      </c>
      <c r="U968" s="97" t="n">
        <v>142.5406</v>
      </c>
      <c r="V968" s="97" t="n">
        <v>49.06809</v>
      </c>
      <c r="W968" s="97" t="n">
        <v>39.9188</v>
      </c>
      <c r="X968" s="97" t="n">
        <v>27.50228</v>
      </c>
      <c r="Y968" s="97" t="n">
        <v>64.01774</v>
      </c>
      <c r="Z968" s="97" t="n">
        <v>122.3898</v>
      </c>
      <c r="AA968" s="97" t="n">
        <v>100.5603</v>
      </c>
      <c r="AB968" s="97" t="n">
        <v>42.60245</v>
      </c>
      <c r="AC968" s="97" t="n">
        <v>87.20602</v>
      </c>
      <c r="AD968" s="97" t="n"/>
      <c r="AE968" s="97" t="n">
        <v>89.36639</v>
      </c>
      <c r="AF968" s="97" t="n">
        <v>90.09146</v>
      </c>
      <c r="AG968" s="97" t="n">
        <v>119.1709</v>
      </c>
      <c r="AH968" s="97" t="n">
        <v>83.09699000000001</v>
      </c>
      <c r="AI968" s="97" t="n">
        <v>44.19096</v>
      </c>
      <c r="AJ968" s="97" t="n">
        <v>126.503</v>
      </c>
      <c r="AK968" s="97" t="n">
        <v>38.60094</v>
      </c>
      <c r="AL968" s="97" t="n">
        <v>72.24956</v>
      </c>
      <c r="AM968" s="97" t="n">
        <v>95.02991</v>
      </c>
      <c r="AN968" s="97" t="n"/>
      <c r="AO968" s="97" t="n">
        <v>88.1523</v>
      </c>
      <c r="AP968" s="97" t="n">
        <v>90.5849</v>
      </c>
      <c r="AQ968" s="97" t="n"/>
      <c r="AR968" s="97" t="n"/>
      <c r="AS968" s="97" t="n"/>
      <c r="AT968" s="97" t="n">
        <v>40.79244</v>
      </c>
      <c r="AU968" s="97" t="n"/>
      <c r="AV968" s="97" t="n">
        <v>52.81734</v>
      </c>
      <c r="AW968" s="97" t="n"/>
      <c r="AX968" s="97" t="n">
        <v>42.09649</v>
      </c>
      <c r="AY968" s="97" t="n">
        <v>77.76494</v>
      </c>
    </row>
    <row r="969" s="135">
      <c r="A969" t="inlineStr">
        <is>
          <t>1999-08</t>
        </is>
      </c>
      <c r="B969" s="2" t="n">
        <v>36373</v>
      </c>
      <c r="C969" s="96" t="n">
        <v>969</v>
      </c>
      <c r="E969" s="2">
        <f>B969</f>
        <v/>
      </c>
      <c r="F969" s="3">
        <f>B969</f>
        <v/>
      </c>
      <c r="G969" s="96" t="n">
        <v>967</v>
      </c>
      <c r="H969" s="97" t="n"/>
      <c r="I969" s="97" t="n"/>
      <c r="J969" s="97" t="n">
        <v>71.08871000000001</v>
      </c>
      <c r="K969" s="97" t="n">
        <v>91.15170000000001</v>
      </c>
      <c r="L969" s="97" t="n"/>
      <c r="M969" s="97" t="n">
        <v>59.92268</v>
      </c>
      <c r="N969" s="97" t="n">
        <v>76.59362</v>
      </c>
      <c r="O969" s="97" t="n">
        <v>97.86328</v>
      </c>
      <c r="P969" s="97" t="n">
        <v>118.3411</v>
      </c>
      <c r="Q969" s="97" t="n"/>
      <c r="R969" s="97" t="n">
        <v>90.59999999999999</v>
      </c>
      <c r="S969" s="97" t="n">
        <v>103.3409</v>
      </c>
      <c r="T969" s="97" t="n">
        <v>110.1575</v>
      </c>
      <c r="U969" s="97" t="n">
        <v>140.9606</v>
      </c>
      <c r="V969" s="97" t="n">
        <v>50.71152</v>
      </c>
      <c r="W969" s="97" t="n">
        <v>38.55253</v>
      </c>
      <c r="X969" s="97" t="n">
        <v>26.60312</v>
      </c>
      <c r="Y969" s="97" t="n">
        <v>64.43799</v>
      </c>
      <c r="Z969" s="97" t="n">
        <v>123.1897</v>
      </c>
      <c r="AA969" s="97" t="n">
        <v>101.517</v>
      </c>
      <c r="AB969" s="97" t="n">
        <v>42.60245</v>
      </c>
      <c r="AC969" s="97" t="n">
        <v>93.11201</v>
      </c>
      <c r="AD969" s="97" t="n"/>
      <c r="AE969" s="97" t="n">
        <v>88.64254</v>
      </c>
      <c r="AF969" s="97" t="n">
        <v>89.7149</v>
      </c>
      <c r="AG969" s="97" t="n">
        <v>119.3896</v>
      </c>
      <c r="AH969" s="97" t="n">
        <v>83.2894</v>
      </c>
      <c r="AI969" s="97" t="n">
        <v>44.6242</v>
      </c>
      <c r="AJ969" s="97" t="n">
        <v>128.2904</v>
      </c>
      <c r="AK969" s="97" t="n">
        <v>39.48185</v>
      </c>
      <c r="AL969" s="97" t="n">
        <v>73.18301</v>
      </c>
      <c r="AM969" s="97" t="n">
        <v>93.51186</v>
      </c>
      <c r="AN969" s="97" t="n"/>
      <c r="AO969" s="97" t="n">
        <v>88.52334999999999</v>
      </c>
      <c r="AP969" s="97" t="n">
        <v>90.48492</v>
      </c>
      <c r="AQ969" s="97" t="n"/>
      <c r="AR969" s="97" t="n"/>
      <c r="AS969" s="97" t="n"/>
      <c r="AT969" s="97" t="n">
        <v>41.11371</v>
      </c>
      <c r="AU969" s="97" t="n"/>
      <c r="AV969" s="97" t="n">
        <v>52.92514</v>
      </c>
      <c r="AW969" s="97" t="n"/>
      <c r="AX969" s="97" t="n">
        <v>39.5967</v>
      </c>
      <c r="AY969" s="97" t="n">
        <v>79.06408999999999</v>
      </c>
    </row>
    <row r="970" s="135">
      <c r="A970" t="inlineStr">
        <is>
          <t>1999-09</t>
        </is>
      </c>
      <c r="B970" s="2" t="n">
        <v>36404</v>
      </c>
      <c r="C970" s="96" t="n">
        <v>970</v>
      </c>
      <c r="E970" s="2">
        <f>B970</f>
        <v/>
      </c>
      <c r="F970" s="3">
        <f>B970</f>
        <v/>
      </c>
      <c r="G970" s="96" t="n">
        <v>968</v>
      </c>
      <c r="H970" s="97" t="n"/>
      <c r="I970" s="97" t="n"/>
      <c r="J970" s="97" t="n">
        <v>71.11073</v>
      </c>
      <c r="K970" s="97" t="n">
        <v>92.36468000000001</v>
      </c>
      <c r="L970" s="97" t="n"/>
      <c r="M970" s="97" t="n">
        <v>59.29835</v>
      </c>
      <c r="N970" s="97" t="n">
        <v>76.29364</v>
      </c>
      <c r="O970" s="97" t="n">
        <v>103.7416</v>
      </c>
      <c r="P970" s="97" t="n">
        <v>119.9371</v>
      </c>
      <c r="Q970" s="97" t="n"/>
      <c r="R970" s="97" t="n">
        <v>92.8</v>
      </c>
      <c r="S970" s="97" t="n">
        <v>106.1409</v>
      </c>
      <c r="T970" s="97" t="n">
        <v>110.4689</v>
      </c>
      <c r="U970" s="97" t="n">
        <v>141.088</v>
      </c>
      <c r="V970" s="97" t="n">
        <v>51.76801</v>
      </c>
      <c r="W970" s="97" t="n">
        <v>41.16626</v>
      </c>
      <c r="X970" s="97" t="n">
        <v>27.18643</v>
      </c>
      <c r="Y970" s="97" t="n">
        <v>65.62868</v>
      </c>
      <c r="Z970" s="97" t="n">
        <v>123.6897</v>
      </c>
      <c r="AA970" s="97" t="n">
        <v>102.2611</v>
      </c>
      <c r="AB970" s="97" t="n">
        <v>44.72827</v>
      </c>
      <c r="AC970" s="97" t="n">
        <v>93.96993000000001</v>
      </c>
      <c r="AD970" s="97" t="n"/>
      <c r="AE970" s="97" t="n">
        <v>88.99275</v>
      </c>
      <c r="AF970" s="97" t="n">
        <v>89.24420000000001</v>
      </c>
      <c r="AG970" s="97" t="n">
        <v>117.7496</v>
      </c>
      <c r="AH970" s="97" t="n">
        <v>83.78718000000001</v>
      </c>
      <c r="AI970" s="97" t="n">
        <v>45.48158</v>
      </c>
      <c r="AJ970" s="97" t="n">
        <v>125.7147</v>
      </c>
      <c r="AK970" s="97" t="n">
        <v>38.8697</v>
      </c>
      <c r="AL970" s="97" t="n">
        <v>74.11647000000001</v>
      </c>
      <c r="AM970" s="97" t="n">
        <v>96.75037</v>
      </c>
      <c r="AN970" s="97" t="n"/>
      <c r="AO970" s="97" t="n">
        <v>88.1498</v>
      </c>
      <c r="AP970" s="97" t="n">
        <v>91.28478</v>
      </c>
      <c r="AQ970" s="97" t="n"/>
      <c r="AR970" s="97" t="n"/>
      <c r="AS970" s="97" t="n"/>
      <c r="AT970" s="97" t="n">
        <v>41.08699</v>
      </c>
      <c r="AU970" s="97" t="n"/>
      <c r="AV970" s="97" t="n">
        <v>53.5519</v>
      </c>
      <c r="AW970" s="97" t="n"/>
      <c r="AX970" s="97" t="n">
        <v>40.69661</v>
      </c>
      <c r="AY970" s="97" t="n">
        <v>80.09113000000001</v>
      </c>
    </row>
    <row r="971" s="135">
      <c r="A971" t="inlineStr">
        <is>
          <t>1999-10</t>
        </is>
      </c>
      <c r="B971" s="2" t="n">
        <v>36434</v>
      </c>
      <c r="C971" s="96" t="n">
        <v>971</v>
      </c>
      <c r="E971" s="2">
        <f>B971</f>
        <v/>
      </c>
      <c r="F971" s="3">
        <f>B971</f>
        <v/>
      </c>
      <c r="G971" s="96" t="n">
        <v>969</v>
      </c>
      <c r="H971" s="97" t="n"/>
      <c r="I971" s="97" t="n"/>
      <c r="J971" s="97" t="n">
        <v>71.57174999999999</v>
      </c>
      <c r="K971" s="97" t="n">
        <v>91.85102000000001</v>
      </c>
      <c r="L971" s="97" t="n"/>
      <c r="M971" s="97" t="n">
        <v>59.76662</v>
      </c>
      <c r="N971" s="97" t="n">
        <v>77.09357</v>
      </c>
      <c r="O971" s="97" t="n">
        <v>106.6808</v>
      </c>
      <c r="P971" s="97" t="n">
        <v>120.5631</v>
      </c>
      <c r="Q971" s="97" t="n"/>
      <c r="R971" s="97" t="n">
        <v>91.8</v>
      </c>
      <c r="S971" s="97" t="n">
        <v>107.4709</v>
      </c>
      <c r="T971" s="97" t="n">
        <v>110.2613</v>
      </c>
      <c r="U971" s="97" t="n">
        <v>143.4629</v>
      </c>
      <c r="V971" s="97" t="n">
        <v>52.41364</v>
      </c>
      <c r="W971" s="97" t="n">
        <v>42.41372</v>
      </c>
      <c r="X971" s="97" t="n">
        <v>27.83848</v>
      </c>
      <c r="Y971" s="97" t="n">
        <v>65.48860999999999</v>
      </c>
      <c r="Z971" s="97" t="n">
        <v>124.8896</v>
      </c>
      <c r="AA971" s="97" t="n">
        <v>102.1548</v>
      </c>
      <c r="AB971" s="97" t="n">
        <v>44.82027</v>
      </c>
      <c r="AC971" s="97" t="n">
        <v>93.06398</v>
      </c>
      <c r="AD971" s="97" t="n"/>
      <c r="AE971" s="97" t="n">
        <v>89.04231</v>
      </c>
      <c r="AF971" s="97" t="n">
        <v>89.80904</v>
      </c>
      <c r="AG971" s="97" t="n">
        <v>116.219</v>
      </c>
      <c r="AH971" s="97" t="n">
        <v>84.36994</v>
      </c>
      <c r="AI971" s="97" t="n">
        <v>45.88393</v>
      </c>
      <c r="AJ971" s="97" t="n">
        <v>127.5383</v>
      </c>
      <c r="AK971" s="97" t="n">
        <v>39.16719</v>
      </c>
      <c r="AL971" s="97" t="n">
        <v>75.51666</v>
      </c>
      <c r="AM971" s="97" t="n">
        <v>96.75037</v>
      </c>
      <c r="AN971" s="97" t="n"/>
      <c r="AO971" s="97" t="n">
        <v>89.32537000000001</v>
      </c>
      <c r="AP971" s="97" t="n">
        <v>92.28462</v>
      </c>
      <c r="AQ971" s="97" t="n"/>
      <c r="AR971" s="97" t="n"/>
      <c r="AS971" s="97" t="n"/>
      <c r="AT971" s="97" t="n">
        <v>40.80905</v>
      </c>
      <c r="AU971" s="97" t="n"/>
      <c r="AV971" s="97" t="n">
        <v>51.89805</v>
      </c>
      <c r="AW971" s="97" t="n"/>
      <c r="AX971" s="97" t="n">
        <v>40.39663</v>
      </c>
      <c r="AY971" s="97" t="n">
        <v>81.39028</v>
      </c>
    </row>
    <row r="972" s="135">
      <c r="A972" t="inlineStr">
        <is>
          <t>1999-11</t>
        </is>
      </c>
      <c r="B972" s="2" t="n">
        <v>36465</v>
      </c>
      <c r="C972" s="96" t="n">
        <v>972</v>
      </c>
      <c r="E972" s="2">
        <f>B972</f>
        <v/>
      </c>
      <c r="F972" s="3">
        <f>B972</f>
        <v/>
      </c>
      <c r="G972" s="96" t="n">
        <v>970</v>
      </c>
      <c r="H972" s="97" t="n"/>
      <c r="I972" s="97" t="n"/>
      <c r="J972" s="97" t="n">
        <v>73.55759999999999</v>
      </c>
      <c r="K972" s="97" t="n">
        <v>93.02842</v>
      </c>
      <c r="L972" s="97" t="n"/>
      <c r="M972" s="97" t="n">
        <v>59.15447</v>
      </c>
      <c r="N972" s="97" t="n">
        <v>76.99357999999999</v>
      </c>
      <c r="O972" s="97" t="n">
        <v>108.4225</v>
      </c>
      <c r="P972" s="97" t="n">
        <v>121.0851</v>
      </c>
      <c r="Q972" s="97" t="n"/>
      <c r="R972" s="97" t="n">
        <v>91.8</v>
      </c>
      <c r="S972" s="97" t="n">
        <v>107.5509</v>
      </c>
      <c r="T972" s="97" t="n">
        <v>110.8842</v>
      </c>
      <c r="U972" s="97" t="n">
        <v>142.6227</v>
      </c>
      <c r="V972" s="97" t="n">
        <v>53.17666</v>
      </c>
      <c r="W972" s="97" t="n">
        <v>41.10686</v>
      </c>
      <c r="X972" s="97" t="n">
        <v>28.85314</v>
      </c>
      <c r="Y972" s="97" t="n">
        <v>66.74935000000001</v>
      </c>
      <c r="Z972" s="97" t="n">
        <v>125.6895</v>
      </c>
      <c r="AA972" s="97" t="n">
        <v>103.2178</v>
      </c>
      <c r="AB972" s="97" t="n">
        <v>46.8541</v>
      </c>
      <c r="AC972" s="97" t="n">
        <v>91.39593000000001</v>
      </c>
      <c r="AD972" s="97" t="n"/>
      <c r="AE972" s="97" t="n">
        <v>90.13149</v>
      </c>
      <c r="AF972" s="97" t="n">
        <v>91.50355</v>
      </c>
      <c r="AG972" s="97" t="n">
        <v>120.3735</v>
      </c>
      <c r="AH972" s="97" t="n">
        <v>85.05014</v>
      </c>
      <c r="AI972" s="97" t="n">
        <v>46.33386</v>
      </c>
      <c r="AJ972" s="97" t="n">
        <v>129.3776</v>
      </c>
      <c r="AK972" s="97" t="n">
        <v>39.72471</v>
      </c>
      <c r="AL972" s="97" t="n">
        <v>74.58320000000001</v>
      </c>
      <c r="AM972" s="97" t="n">
        <v>97.05397000000001</v>
      </c>
      <c r="AN972" s="97" t="n"/>
      <c r="AO972" s="97" t="n">
        <v>89.74722</v>
      </c>
      <c r="AP972" s="97" t="n">
        <v>92.68456</v>
      </c>
      <c r="AQ972" s="97" t="n"/>
      <c r="AR972" s="97" t="n"/>
      <c r="AS972" s="97" t="n"/>
      <c r="AT972" s="97" t="n">
        <v>40.77678</v>
      </c>
      <c r="AU972" s="97" t="n"/>
      <c r="AV972" s="97" t="n">
        <v>53.38863</v>
      </c>
      <c r="AW972" s="97" t="n"/>
      <c r="AX972" s="97" t="n">
        <v>40.99658</v>
      </c>
      <c r="AY972" s="97" t="n">
        <v>80.76703999999999</v>
      </c>
    </row>
    <row r="973" s="135">
      <c r="A973" t="inlineStr">
        <is>
          <t>1999-12</t>
        </is>
      </c>
      <c r="B973" s="2" t="n">
        <v>36495</v>
      </c>
      <c r="C973" s="96" t="n">
        <v>973</v>
      </c>
      <c r="E973" s="2">
        <f>B973</f>
        <v/>
      </c>
      <c r="F973" s="3">
        <f>B973</f>
        <v/>
      </c>
      <c r="G973" s="96" t="n">
        <v>971</v>
      </c>
      <c r="H973" s="97" t="n"/>
      <c r="I973" s="97" t="n"/>
      <c r="J973" s="97" t="n">
        <v>72.16607999999999</v>
      </c>
      <c r="K973" s="97" t="n">
        <v>94.47871000000001</v>
      </c>
      <c r="L973" s="97" t="n"/>
      <c r="M973" s="97" t="n">
        <v>59.13443</v>
      </c>
      <c r="N973" s="97" t="n">
        <v>77.09357</v>
      </c>
      <c r="O973" s="97" t="n">
        <v>110.9262</v>
      </c>
      <c r="P973" s="97" t="n">
        <v>122.0681</v>
      </c>
      <c r="Q973" s="97" t="n"/>
      <c r="R973" s="97" t="n">
        <v>98.90000000000001</v>
      </c>
      <c r="S973" s="97" t="n">
        <v>106.6109</v>
      </c>
      <c r="T973" s="97" t="n">
        <v>109.9498</v>
      </c>
      <c r="U973" s="97" t="n">
        <v>145.2206</v>
      </c>
      <c r="V973" s="97" t="n">
        <v>51.12238</v>
      </c>
      <c r="W973" s="97" t="n">
        <v>41.34447</v>
      </c>
      <c r="X973" s="97" t="n">
        <v>30.05324</v>
      </c>
      <c r="Y973" s="97" t="n">
        <v>67.37972000000001</v>
      </c>
      <c r="Z973" s="97" t="n">
        <v>124.2896</v>
      </c>
      <c r="AA973" s="97" t="n">
        <v>103.1115</v>
      </c>
      <c r="AB973" s="97" t="n">
        <v>46.66911</v>
      </c>
      <c r="AC973" s="97" t="n">
        <v>93.35796000000001</v>
      </c>
      <c r="AD973" s="97" t="n"/>
      <c r="AE973" s="97" t="n">
        <v>90.41288</v>
      </c>
      <c r="AF973" s="97" t="n">
        <v>91.22113</v>
      </c>
      <c r="AG973" s="97" t="n">
        <v>122.5602</v>
      </c>
      <c r="AH973" s="97" t="n">
        <v>85.32494</v>
      </c>
      <c r="AI973" s="97" t="n">
        <v>49.05901</v>
      </c>
      <c r="AJ973" s="97" t="n">
        <v>129.2956</v>
      </c>
      <c r="AK973" s="97" t="n">
        <v>39.23034</v>
      </c>
      <c r="AL973" s="97" t="n">
        <v>75.89005</v>
      </c>
      <c r="AM973" s="97" t="n">
        <v>96.64915999999999</v>
      </c>
      <c r="AN973" s="97" t="n"/>
      <c r="AO973" s="97" t="n">
        <v>90.4409</v>
      </c>
      <c r="AP973" s="97" t="n">
        <v>92.28462</v>
      </c>
      <c r="AQ973" s="97" t="n"/>
      <c r="AR973" s="97" t="n"/>
      <c r="AS973" s="97" t="n"/>
      <c r="AT973" s="97" t="n">
        <v>42.08772</v>
      </c>
      <c r="AU973" s="97" t="n"/>
      <c r="AV973" s="97" t="n">
        <v>62.02753</v>
      </c>
      <c r="AW973" s="97" t="n"/>
      <c r="AX973" s="97" t="n">
        <v>41.19657</v>
      </c>
      <c r="AY973" s="97" t="n">
        <v>81.47807</v>
      </c>
    </row>
    <row r="974" s="135">
      <c r="A974" t="inlineStr">
        <is>
          <t>2000-01</t>
        </is>
      </c>
      <c r="B974" s="2" t="n">
        <v>36526</v>
      </c>
      <c r="C974" s="96" t="n">
        <v>974</v>
      </c>
      <c r="E974" s="2">
        <f>B974</f>
        <v/>
      </c>
      <c r="F974" s="3">
        <f>B974</f>
        <v/>
      </c>
      <c r="G974" s="96" t="n">
        <v>972</v>
      </c>
      <c r="H974" s="97" t="n"/>
      <c r="I974" s="97" t="n"/>
      <c r="J974" s="97" t="n">
        <v>64.89458999999999</v>
      </c>
      <c r="K974" s="97" t="n">
        <v>94.84121</v>
      </c>
      <c r="L974" s="97" t="n"/>
      <c r="M974" s="97" t="n">
        <v>58.49025</v>
      </c>
      <c r="N974" s="97" t="n">
        <v>76.49362000000001</v>
      </c>
      <c r="O974" s="97" t="n">
        <v>107</v>
      </c>
      <c r="P974" s="97" t="n">
        <v>122.3621</v>
      </c>
      <c r="Q974" s="97" t="n"/>
      <c r="R974" s="97" t="n">
        <v>96</v>
      </c>
      <c r="S974" s="97" t="n">
        <v>107.4009</v>
      </c>
      <c r="T974" s="97" t="n">
        <v>109.846</v>
      </c>
      <c r="U974" s="97" t="n">
        <v>149.126</v>
      </c>
      <c r="V974" s="97" t="n">
        <v>53.80449</v>
      </c>
      <c r="W974" s="97" t="n">
        <v>38.79014</v>
      </c>
      <c r="X974" s="97" t="n">
        <v>28.94435</v>
      </c>
      <c r="Y974" s="97" t="n">
        <v>64.64811</v>
      </c>
      <c r="Z974" s="97" t="n">
        <v>124.5896</v>
      </c>
      <c r="AA974" s="97" t="n">
        <v>103.0052</v>
      </c>
      <c r="AB974" s="97" t="n">
        <v>47.59504</v>
      </c>
      <c r="AC974" s="97" t="n">
        <v>86.99275</v>
      </c>
      <c r="AD974" s="97" t="n">
        <v>57.4</v>
      </c>
      <c r="AE974" s="97" t="n">
        <v>91.58931</v>
      </c>
      <c r="AF974" s="97" t="n">
        <v>92.25667</v>
      </c>
      <c r="AG974" s="97" t="n">
        <v>120.0931</v>
      </c>
      <c r="AH974" s="97" t="n">
        <v>85.2366</v>
      </c>
      <c r="AI974" s="97" t="n">
        <v>44.6</v>
      </c>
      <c r="AJ974" s="97" t="n">
        <v>127.8547</v>
      </c>
      <c r="AK974" s="97" t="n">
        <v>39.90665</v>
      </c>
      <c r="AL974" s="97" t="n">
        <v>74.11647000000001</v>
      </c>
      <c r="AM974" s="97" t="n">
        <v>92.90000000000001</v>
      </c>
      <c r="AN974" s="97" t="n"/>
      <c r="AO974" s="97" t="n">
        <v>90.45676</v>
      </c>
      <c r="AP974" s="97" t="n">
        <v>92.08466</v>
      </c>
      <c r="AQ974" s="97" t="n"/>
      <c r="AR974" s="97" t="n"/>
      <c r="AS974" s="97" t="n"/>
      <c r="AT974" s="97" t="n">
        <v>41.65397</v>
      </c>
      <c r="AU974" s="97" t="n"/>
      <c r="AV974" s="97" t="n">
        <v>58.03509</v>
      </c>
      <c r="AW974" s="97" t="n"/>
      <c r="AX974" s="97" t="n">
        <v>41.49654</v>
      </c>
      <c r="AY974" s="97" t="n">
        <v>80.7056</v>
      </c>
    </row>
    <row r="975" s="135">
      <c r="A975" t="inlineStr">
        <is>
          <t>2000-02</t>
        </is>
      </c>
      <c r="B975" s="2" t="n">
        <v>36557</v>
      </c>
      <c r="C975" s="96" t="n">
        <v>975</v>
      </c>
      <c r="E975" s="2">
        <f>B975</f>
        <v/>
      </c>
      <c r="F975" s="3">
        <f>B975</f>
        <v/>
      </c>
      <c r="G975" s="96" t="n">
        <v>973</v>
      </c>
      <c r="H975" s="97" t="n"/>
      <c r="I975" s="97" t="n"/>
      <c r="J975" s="97" t="n">
        <v>67.59437</v>
      </c>
      <c r="K975" s="97" t="n">
        <v>94.47548999999999</v>
      </c>
      <c r="L975" s="97" t="n"/>
      <c r="M975" s="97" t="n">
        <v>60.08998</v>
      </c>
      <c r="N975" s="97" t="n">
        <v>78.39346999999999</v>
      </c>
      <c r="O975" s="97" t="n">
        <v>107</v>
      </c>
      <c r="P975" s="97" t="n">
        <v>122.7141</v>
      </c>
      <c r="Q975" s="97" t="n"/>
      <c r="R975" s="97" t="n">
        <v>96.2</v>
      </c>
      <c r="S975" s="97" t="n">
        <v>107.7309</v>
      </c>
      <c r="T975" s="97" t="n">
        <v>110.5728</v>
      </c>
      <c r="U975" s="97" t="n">
        <v>149.5256</v>
      </c>
      <c r="V975" s="97" t="n">
        <v>54.0045</v>
      </c>
      <c r="W975" s="97" t="n">
        <v>38.79014</v>
      </c>
      <c r="X975" s="97" t="n">
        <v>28.23429</v>
      </c>
      <c r="Y975" s="97" t="n">
        <v>68.01009000000001</v>
      </c>
      <c r="Z975" s="97" t="n">
        <v>125.1896</v>
      </c>
      <c r="AA975" s="97" t="n">
        <v>102.8989</v>
      </c>
      <c r="AB975" s="97" t="n">
        <v>47.84001</v>
      </c>
      <c r="AC975" s="97" t="n">
        <v>89.69253</v>
      </c>
      <c r="AD975" s="97" t="n">
        <v>57.8</v>
      </c>
      <c r="AE975" s="97" t="n">
        <v>92.23048</v>
      </c>
      <c r="AF975" s="97" t="n">
        <v>93.10392</v>
      </c>
      <c r="AG975" s="97" t="n">
        <v>121.4895</v>
      </c>
      <c r="AH975" s="97" t="n">
        <v>85.85301</v>
      </c>
      <c r="AI975" s="97" t="n">
        <v>45.9</v>
      </c>
      <c r="AJ975" s="97" t="n">
        <v>128.8786</v>
      </c>
      <c r="AK975" s="97" t="n">
        <v>40.70678</v>
      </c>
      <c r="AL975" s="97" t="n">
        <v>76.35677</v>
      </c>
      <c r="AM975" s="97" t="n">
        <v>97.8</v>
      </c>
      <c r="AN975" s="97" t="n"/>
      <c r="AO975" s="97" t="n">
        <v>90.7256</v>
      </c>
      <c r="AP975" s="97" t="n">
        <v>93.18447</v>
      </c>
      <c r="AQ975" s="97" t="n"/>
      <c r="AR975" s="97" t="n"/>
      <c r="AS975" s="97" t="n"/>
      <c r="AT975" s="97" t="n">
        <v>41.08761</v>
      </c>
      <c r="AU975" s="97" t="n"/>
      <c r="AV975" s="97" t="n">
        <v>56.07244</v>
      </c>
      <c r="AW975" s="97" t="n"/>
      <c r="AX975" s="97" t="n">
        <v>42.99642</v>
      </c>
      <c r="AY975" s="97" t="n">
        <v>80.81093</v>
      </c>
    </row>
    <row r="976" s="135">
      <c r="A976" t="inlineStr">
        <is>
          <t>2000-03</t>
        </is>
      </c>
      <c r="B976" s="2" t="n">
        <v>36586</v>
      </c>
      <c r="C976" s="96" t="n">
        <v>976</v>
      </c>
      <c r="E976" s="2">
        <f>B976</f>
        <v/>
      </c>
      <c r="F976" s="3">
        <f>B976</f>
        <v/>
      </c>
      <c r="G976" s="96" t="n">
        <v>974</v>
      </c>
      <c r="H976" s="97" t="n"/>
      <c r="I976" s="97" t="n"/>
      <c r="J976" s="97" t="n">
        <v>68.69427</v>
      </c>
      <c r="K976" s="97" t="n">
        <v>95.56889</v>
      </c>
      <c r="L976" s="97" t="n"/>
      <c r="M976" s="97" t="n">
        <v>60.5899</v>
      </c>
      <c r="N976" s="97" t="n">
        <v>78.49346</v>
      </c>
      <c r="O976" s="97" t="n">
        <v>108.6</v>
      </c>
      <c r="P976" s="97" t="n">
        <v>124.1921</v>
      </c>
      <c r="Q976" s="97" t="n"/>
      <c r="R976" s="97" t="n">
        <v>95.5</v>
      </c>
      <c r="S976" s="97" t="n">
        <v>108.4509</v>
      </c>
      <c r="T976" s="97" t="n">
        <v>110.4689</v>
      </c>
      <c r="U976" s="97" t="n">
        <v>151.8229</v>
      </c>
      <c r="V976" s="97" t="n">
        <v>56.4047</v>
      </c>
      <c r="W976" s="97" t="n">
        <v>39.9782</v>
      </c>
      <c r="X976" s="97" t="n">
        <v>28.2763</v>
      </c>
      <c r="Y976" s="97" t="n">
        <v>69.2008</v>
      </c>
      <c r="Z976" s="97" t="n">
        <v>126.2895</v>
      </c>
      <c r="AA976" s="97" t="n">
        <v>104.3872</v>
      </c>
      <c r="AB976" s="97" t="n">
        <v>48.064</v>
      </c>
      <c r="AC976" s="97" t="n">
        <v>87.39272</v>
      </c>
      <c r="AD976" s="97" t="n">
        <v>57.5</v>
      </c>
      <c r="AE976" s="97" t="n">
        <v>92.31659999999999</v>
      </c>
      <c r="AF976" s="97" t="n">
        <v>93.38634</v>
      </c>
      <c r="AG976" s="97" t="n">
        <v>123.0023</v>
      </c>
      <c r="AH976" s="97" t="n">
        <v>86.27154</v>
      </c>
      <c r="AI976" s="97" t="n">
        <v>45.6</v>
      </c>
      <c r="AJ976" s="97" t="n">
        <v>120.8157</v>
      </c>
      <c r="AK976" s="97" t="n">
        <v>40.8068</v>
      </c>
      <c r="AL976" s="97" t="n">
        <v>77.38357999999999</v>
      </c>
      <c r="AM976" s="97" t="n">
        <v>98.40000000000001</v>
      </c>
      <c r="AN976" s="97" t="n"/>
      <c r="AO976" s="97" t="n">
        <v>91.05437999999999</v>
      </c>
      <c r="AP976" s="97" t="n">
        <v>93.5844</v>
      </c>
      <c r="AQ976" s="97" t="n"/>
      <c r="AR976" s="97" t="n"/>
      <c r="AS976" s="97" t="n"/>
      <c r="AT976" s="97" t="n">
        <v>42.58943</v>
      </c>
      <c r="AU976" s="97" t="n"/>
      <c r="AV976" s="97" t="n">
        <v>56.08223</v>
      </c>
      <c r="AW976" s="97" t="n"/>
      <c r="AX976" s="97" t="n">
        <v>42.19648</v>
      </c>
      <c r="AY976" s="97" t="n">
        <v>82.13642</v>
      </c>
    </row>
    <row r="977" s="135">
      <c r="A977" t="inlineStr">
        <is>
          <t>2000-04</t>
        </is>
      </c>
      <c r="B977" s="2" t="n">
        <v>36617</v>
      </c>
      <c r="C977" s="96" t="n">
        <v>977</v>
      </c>
      <c r="E977" s="2">
        <f>B977</f>
        <v/>
      </c>
      <c r="F977" s="3">
        <f>B977</f>
        <v/>
      </c>
      <c r="G977" s="96" t="n">
        <v>975</v>
      </c>
      <c r="H977" s="97" t="n"/>
      <c r="I977" s="97" t="n"/>
      <c r="J977" s="97" t="n">
        <v>71.19407</v>
      </c>
      <c r="K977" s="97" t="n">
        <v>95.30003000000001</v>
      </c>
      <c r="L977" s="97" t="n"/>
      <c r="M977" s="97" t="n">
        <v>60.48992</v>
      </c>
      <c r="N977" s="97" t="n">
        <v>79.49338</v>
      </c>
      <c r="O977" s="97" t="n">
        <v>108.6</v>
      </c>
      <c r="P977" s="97" t="n">
        <v>123.6021</v>
      </c>
      <c r="Q977" s="97" t="n"/>
      <c r="R977" s="97" t="n">
        <v>97</v>
      </c>
      <c r="S977" s="97" t="n">
        <v>109.0609</v>
      </c>
      <c r="T977" s="97" t="n">
        <v>110.1575</v>
      </c>
      <c r="U977" s="97" t="n">
        <v>151.8229</v>
      </c>
      <c r="V977" s="97" t="n">
        <v>55.70464</v>
      </c>
      <c r="W977" s="97" t="n">
        <v>43.12656</v>
      </c>
      <c r="X977" s="97" t="n">
        <v>28.58301</v>
      </c>
      <c r="Y977" s="97" t="n">
        <v>69.90121000000001</v>
      </c>
      <c r="Z977" s="97" t="n">
        <v>127.2894</v>
      </c>
      <c r="AA977" s="97" t="n">
        <v>105.9817</v>
      </c>
      <c r="AB977" s="97" t="n">
        <v>47.75702</v>
      </c>
      <c r="AC977" s="97" t="n">
        <v>92.69228</v>
      </c>
      <c r="AD977" s="97" t="n">
        <v>57.1</v>
      </c>
      <c r="AE977" s="97" t="n">
        <v>92.18391</v>
      </c>
      <c r="AF977" s="97" t="n">
        <v>93.76289</v>
      </c>
      <c r="AG977" s="97" t="n">
        <v>117.8821</v>
      </c>
      <c r="AH977" s="97" t="n">
        <v>86.90922999999999</v>
      </c>
      <c r="AI977" s="97" t="n">
        <v>46.8</v>
      </c>
      <c r="AJ977" s="97" t="n">
        <v>119.6638</v>
      </c>
      <c r="AK977" s="97" t="n">
        <v>41.4069</v>
      </c>
      <c r="AL977" s="97" t="n">
        <v>77.38357999999999</v>
      </c>
      <c r="AM977" s="97" t="n">
        <v>99.3</v>
      </c>
      <c r="AN977" s="97" t="n"/>
      <c r="AO977" s="97" t="n">
        <v>91.71022000000001</v>
      </c>
      <c r="AP977" s="97" t="n">
        <v>94.68422</v>
      </c>
      <c r="AQ977" s="97" t="n"/>
      <c r="AR977" s="97" t="n"/>
      <c r="AS977" s="97" t="n"/>
      <c r="AT977" s="97" t="n">
        <v>42.79817</v>
      </c>
      <c r="AU977" s="97" t="n"/>
      <c r="AV977" s="97" t="n">
        <v>61.55255</v>
      </c>
      <c r="AW977" s="97" t="n"/>
      <c r="AX977" s="97" t="n">
        <v>43.29639</v>
      </c>
      <c r="AY977" s="97" t="n">
        <v>82.90012</v>
      </c>
    </row>
    <row r="978" s="135">
      <c r="A978" t="inlineStr">
        <is>
          <t>2000-05</t>
        </is>
      </c>
      <c r="B978" s="2" t="n">
        <v>36647</v>
      </c>
      <c r="C978" s="96" t="n">
        <v>978</v>
      </c>
      <c r="E978" s="2">
        <f>B978</f>
        <v/>
      </c>
      <c r="F978" s="3">
        <f>B978</f>
        <v/>
      </c>
      <c r="G978" s="96" t="n">
        <v>976</v>
      </c>
      <c r="H978" s="97" t="n"/>
      <c r="I978" s="97" t="n"/>
      <c r="J978" s="97" t="n">
        <v>71.89400999999999</v>
      </c>
      <c r="K978" s="97" t="n">
        <v>96.74789</v>
      </c>
      <c r="L978" s="97" t="n"/>
      <c r="M978" s="97" t="n">
        <v>61.38977</v>
      </c>
      <c r="N978" s="97" t="n">
        <v>81.39322</v>
      </c>
      <c r="O978" s="97" t="n">
        <v>112.8</v>
      </c>
      <c r="P978" s="97" t="n">
        <v>124.8291</v>
      </c>
      <c r="Q978" s="97" t="n"/>
      <c r="R978" s="97" t="n">
        <v>101.2</v>
      </c>
      <c r="S978" s="97" t="n">
        <v>110.4209</v>
      </c>
      <c r="T978" s="97" t="n">
        <v>110.3651</v>
      </c>
      <c r="U978" s="97" t="n">
        <v>148.1272</v>
      </c>
      <c r="V978" s="97" t="n">
        <v>57.00475</v>
      </c>
      <c r="W978" s="97" t="n">
        <v>43.48298</v>
      </c>
      <c r="X978" s="97" t="n">
        <v>29.115</v>
      </c>
      <c r="Y978" s="97" t="n">
        <v>71.44212</v>
      </c>
      <c r="Z978" s="97" t="n">
        <v>127.9893</v>
      </c>
      <c r="AA978" s="97" t="n">
        <v>105.3439</v>
      </c>
      <c r="AB978" s="97" t="n">
        <v>49.75686</v>
      </c>
      <c r="AC978" s="97" t="n">
        <v>93.49221</v>
      </c>
      <c r="AD978" s="97" t="n">
        <v>58.8</v>
      </c>
      <c r="AE978" s="97" t="n">
        <v>93.18172</v>
      </c>
      <c r="AF978" s="97" t="n">
        <v>95.08085</v>
      </c>
      <c r="AG978" s="97" t="n">
        <v>122.886</v>
      </c>
      <c r="AH978" s="97" t="n">
        <v>87.60459</v>
      </c>
      <c r="AI978" s="97" t="n">
        <v>47.9</v>
      </c>
      <c r="AJ978" s="97" t="n">
        <v>128.6226</v>
      </c>
      <c r="AK978" s="97" t="n">
        <v>39.50658</v>
      </c>
      <c r="AL978" s="97" t="n">
        <v>79.34383</v>
      </c>
      <c r="AM978" s="97" t="n">
        <v>101.2</v>
      </c>
      <c r="AN978" s="97" t="n"/>
      <c r="AO978" s="97" t="n">
        <v>91.86649</v>
      </c>
      <c r="AP978" s="97" t="n">
        <v>95.98399999999999</v>
      </c>
      <c r="AQ978" s="97" t="n"/>
      <c r="AR978" s="97" t="n"/>
      <c r="AS978" s="97" t="n"/>
      <c r="AT978" s="97" t="n">
        <v>43.07859</v>
      </c>
      <c r="AU978" s="97" t="n"/>
      <c r="AV978" s="97" t="n">
        <v>56.74097</v>
      </c>
      <c r="AW978" s="97" t="n"/>
      <c r="AX978" s="97" t="n">
        <v>43.89634</v>
      </c>
      <c r="AY978" s="97" t="n">
        <v>82.6631</v>
      </c>
    </row>
    <row r="979" s="135">
      <c r="A979" t="inlineStr">
        <is>
          <t>2000-06</t>
        </is>
      </c>
      <c r="B979" s="2" t="n">
        <v>36678</v>
      </c>
      <c r="C979" s="96" t="n">
        <v>979</v>
      </c>
      <c r="E979" s="2">
        <f>B979</f>
        <v/>
      </c>
      <c r="F979" s="3">
        <f>B979</f>
        <v/>
      </c>
      <c r="G979" s="96" t="n">
        <v>977</v>
      </c>
      <c r="H979" s="97" t="n"/>
      <c r="I979" s="97" t="n"/>
      <c r="J979" s="97" t="n">
        <v>70.99409</v>
      </c>
      <c r="K979" s="97" t="n">
        <v>97.07482</v>
      </c>
      <c r="L979" s="97" t="n"/>
      <c r="M979" s="97" t="n">
        <v>61.28978</v>
      </c>
      <c r="N979" s="97" t="n">
        <v>79.59336999999999</v>
      </c>
      <c r="O979" s="97" t="n">
        <v>110.3</v>
      </c>
      <c r="P979" s="97" t="n">
        <v>123.6011</v>
      </c>
      <c r="Q979" s="97" t="n"/>
      <c r="R979" s="97" t="n">
        <v>97.09999999999999</v>
      </c>
      <c r="S979" s="97" t="n">
        <v>108.9809</v>
      </c>
      <c r="T979" s="97" t="n">
        <v>110.9881</v>
      </c>
      <c r="U979" s="97" t="n">
        <v>150.1248</v>
      </c>
      <c r="V979" s="97" t="n">
        <v>58.70489</v>
      </c>
      <c r="W979" s="97" t="n">
        <v>43.8988</v>
      </c>
      <c r="X979" s="97" t="n">
        <v>29.24276</v>
      </c>
      <c r="Y979" s="97" t="n">
        <v>71.44212</v>
      </c>
      <c r="Z979" s="97" t="n">
        <v>127.7894</v>
      </c>
      <c r="AA979" s="97" t="n">
        <v>106.7258</v>
      </c>
      <c r="AB979" s="97" t="n">
        <v>49.35389</v>
      </c>
      <c r="AC979" s="97" t="n">
        <v>91.29239</v>
      </c>
      <c r="AD979" s="97" t="n">
        <v>58.6</v>
      </c>
      <c r="AE979" s="97" t="n">
        <v>93.60290999999999</v>
      </c>
      <c r="AF979" s="97" t="n">
        <v>93.95117</v>
      </c>
      <c r="AG979" s="97" t="n">
        <v>120.3258</v>
      </c>
      <c r="AH979" s="97" t="n">
        <v>87.63857</v>
      </c>
      <c r="AI979" s="97" t="n">
        <v>48</v>
      </c>
      <c r="AJ979" s="97" t="n">
        <v>127.7267</v>
      </c>
      <c r="AK979" s="97" t="n">
        <v>38.20637</v>
      </c>
      <c r="AL979" s="97" t="n">
        <v>79.43718</v>
      </c>
      <c r="AM979" s="97" t="n">
        <v>104.2</v>
      </c>
      <c r="AN979" s="97" t="n"/>
      <c r="AO979" s="97" t="n">
        <v>91.95466999999999</v>
      </c>
      <c r="AP979" s="97" t="n">
        <v>94.58423999999999</v>
      </c>
      <c r="AQ979" s="97" t="n"/>
      <c r="AR979" s="97" t="n"/>
      <c r="AS979" s="97" t="n"/>
      <c r="AT979" s="97" t="n">
        <v>42.7399</v>
      </c>
      <c r="AU979" s="97" t="n"/>
      <c r="AV979" s="97" t="n">
        <v>57.43358</v>
      </c>
      <c r="AW979" s="97" t="n"/>
      <c r="AX979" s="97" t="n">
        <v>44.49629</v>
      </c>
      <c r="AY979" s="97" t="n">
        <v>84.68206000000001</v>
      </c>
    </row>
    <row r="980" s="135">
      <c r="A980" t="inlineStr">
        <is>
          <t>2000-07</t>
        </is>
      </c>
      <c r="B980" s="2" t="n">
        <v>36708</v>
      </c>
      <c r="C980" s="96" t="n">
        <v>980</v>
      </c>
      <c r="E980" s="2">
        <f>B980</f>
        <v/>
      </c>
      <c r="F980" s="3">
        <f>B980</f>
        <v/>
      </c>
      <c r="G980" s="96" t="n">
        <v>978</v>
      </c>
      <c r="H980" s="97" t="n"/>
      <c r="I980" s="97" t="n"/>
      <c r="J980" s="97" t="n">
        <v>70.99409</v>
      </c>
      <c r="K980" s="97" t="n">
        <v>97.07964</v>
      </c>
      <c r="L980" s="97" t="n"/>
      <c r="M980" s="97" t="n">
        <v>61.7897</v>
      </c>
      <c r="N980" s="97" t="n">
        <v>80.89326</v>
      </c>
      <c r="O980" s="97" t="n">
        <v>107.4</v>
      </c>
      <c r="P980" s="97" t="n">
        <v>124.4821</v>
      </c>
      <c r="Q980" s="97" t="n"/>
      <c r="R980" s="97" t="n">
        <v>100.5</v>
      </c>
      <c r="S980" s="97" t="n">
        <v>110.2709</v>
      </c>
      <c r="T980" s="97" t="n">
        <v>109.846</v>
      </c>
      <c r="U980" s="97" t="n">
        <v>148.0273</v>
      </c>
      <c r="V980" s="97" t="n">
        <v>58.90491</v>
      </c>
      <c r="W980" s="97" t="n">
        <v>46.0373</v>
      </c>
      <c r="X980" s="97" t="n">
        <v>29.73598</v>
      </c>
      <c r="Y980" s="97" t="n">
        <v>72.14252999999999</v>
      </c>
      <c r="Z980" s="97" t="n">
        <v>126.7894</v>
      </c>
      <c r="AA980" s="97" t="n">
        <v>106.5132</v>
      </c>
      <c r="AB980" s="97" t="n">
        <v>51.04774</v>
      </c>
      <c r="AC980" s="97" t="n">
        <v>93.09224</v>
      </c>
      <c r="AD980" s="97" t="n">
        <v>58.4</v>
      </c>
      <c r="AE980" s="97" t="n">
        <v>92.77404</v>
      </c>
      <c r="AF980" s="97" t="n">
        <v>95.55154</v>
      </c>
      <c r="AG980" s="97" t="n">
        <v>124.0497</v>
      </c>
      <c r="AH980" s="97" t="n">
        <v>87.85329</v>
      </c>
      <c r="AI980" s="97" t="n">
        <v>47.6</v>
      </c>
      <c r="AJ980" s="97" t="n">
        <v>125.551</v>
      </c>
      <c r="AK980" s="97" t="n">
        <v>40.10669</v>
      </c>
      <c r="AL980" s="97" t="n">
        <v>79.15714</v>
      </c>
      <c r="AM980" s="97" t="n">
        <v>100.5</v>
      </c>
      <c r="AN980" s="97" t="n"/>
      <c r="AO980" s="97" t="n">
        <v>91.81568</v>
      </c>
      <c r="AP980" s="97" t="n">
        <v>95.78403</v>
      </c>
      <c r="AQ980" s="97" t="n"/>
      <c r="AR980" s="97" t="n"/>
      <c r="AS980" s="97" t="n"/>
      <c r="AT980" s="97" t="n">
        <v>42.86542</v>
      </c>
      <c r="AU980" s="97" t="n"/>
      <c r="AV980" s="97" t="n">
        <v>57.45162</v>
      </c>
      <c r="AW980" s="97" t="n"/>
      <c r="AX980" s="97" t="n">
        <v>44.69627</v>
      </c>
      <c r="AY980" s="97" t="n">
        <v>85.27897</v>
      </c>
    </row>
    <row r="981" s="135">
      <c r="A981" t="inlineStr">
        <is>
          <t>2000-08</t>
        </is>
      </c>
      <c r="B981" s="2" t="n">
        <v>36739</v>
      </c>
      <c r="C981" s="96" t="n">
        <v>981</v>
      </c>
      <c r="E981" s="2">
        <f>B981</f>
        <v/>
      </c>
      <c r="F981" s="3">
        <f>B981</f>
        <v/>
      </c>
      <c r="G981" s="96" t="n">
        <v>979</v>
      </c>
      <c r="H981" s="97" t="n"/>
      <c r="I981" s="97" t="n"/>
      <c r="J981" s="97" t="n">
        <v>72.99392</v>
      </c>
      <c r="K981" s="97" t="n">
        <v>98.06388</v>
      </c>
      <c r="L981" s="97" t="n"/>
      <c r="M981" s="97" t="n">
        <v>64.58923</v>
      </c>
      <c r="N981" s="97" t="n">
        <v>81.69319</v>
      </c>
      <c r="O981" s="97" t="n">
        <v>111.8</v>
      </c>
      <c r="P981" s="97" t="n">
        <v>123.7941</v>
      </c>
      <c r="Q981" s="97" t="n"/>
      <c r="R981" s="97" t="n">
        <v>100.8</v>
      </c>
      <c r="S981" s="97" t="n">
        <v>109.2909</v>
      </c>
      <c r="T981" s="97" t="n">
        <v>110.9881</v>
      </c>
      <c r="U981" s="97" t="n">
        <v>153.5209</v>
      </c>
      <c r="V981" s="97" t="n">
        <v>59.50496</v>
      </c>
      <c r="W981" s="97" t="n">
        <v>44.67104</v>
      </c>
      <c r="X981" s="97" t="n">
        <v>29.99391</v>
      </c>
      <c r="Y981" s="97" t="n">
        <v>72.84294</v>
      </c>
      <c r="Z981" s="97" t="n">
        <v>127.9893</v>
      </c>
      <c r="AA981" s="97" t="n">
        <v>108.0014</v>
      </c>
      <c r="AB981" s="97" t="n">
        <v>51.93867</v>
      </c>
      <c r="AC981" s="97" t="n">
        <v>94.09216000000001</v>
      </c>
      <c r="AD981" s="97" t="n">
        <v>59.7</v>
      </c>
      <c r="AE981" s="97" t="n">
        <v>93.56653</v>
      </c>
      <c r="AF981" s="97" t="n">
        <v>95.08085</v>
      </c>
      <c r="AG981" s="97" t="n">
        <v>121.1404</v>
      </c>
      <c r="AH981" s="97" t="n">
        <v>88.40823</v>
      </c>
      <c r="AI981" s="97" t="n">
        <v>48.1</v>
      </c>
      <c r="AJ981" s="97" t="n">
        <v>131.5662</v>
      </c>
      <c r="AK981" s="97" t="n">
        <v>40.60677</v>
      </c>
      <c r="AL981" s="97" t="n">
        <v>79.0638</v>
      </c>
      <c r="AM981" s="97" t="n">
        <v>102.8</v>
      </c>
      <c r="AN981" s="97" t="n"/>
      <c r="AO981" s="97" t="n">
        <v>91.54732</v>
      </c>
      <c r="AP981" s="97" t="n">
        <v>95.88402000000001</v>
      </c>
      <c r="AQ981" s="97" t="n"/>
      <c r="AR981" s="97" t="n"/>
      <c r="AS981" s="97" t="n"/>
      <c r="AT981" s="97" t="n">
        <v>42.91359</v>
      </c>
      <c r="AU981" s="97" t="n"/>
      <c r="AV981" s="97" t="n">
        <v>57.56572</v>
      </c>
      <c r="AW981" s="97" t="n"/>
      <c r="AX981" s="97" t="n">
        <v>45.79618</v>
      </c>
      <c r="AY981" s="97" t="n">
        <v>85.26141</v>
      </c>
    </row>
    <row r="982" s="135">
      <c r="A982" t="inlineStr">
        <is>
          <t>2000-09</t>
        </is>
      </c>
      <c r="B982" s="2" t="n">
        <v>36770</v>
      </c>
      <c r="C982" s="96" t="n">
        <v>982</v>
      </c>
      <c r="E982" s="2">
        <f>B982</f>
        <v/>
      </c>
      <c r="F982" s="3">
        <f>B982</f>
        <v/>
      </c>
      <c r="G982" s="96" t="n">
        <v>980</v>
      </c>
      <c r="H982" s="97" t="n"/>
      <c r="I982" s="97" t="n"/>
      <c r="J982" s="97" t="n">
        <v>74.29380999999999</v>
      </c>
      <c r="K982" s="97" t="n">
        <v>98.02509000000001</v>
      </c>
      <c r="L982" s="97" t="n"/>
      <c r="M982" s="97" t="n">
        <v>64.38927</v>
      </c>
      <c r="N982" s="97" t="n">
        <v>81.79318000000001</v>
      </c>
      <c r="O982" s="97" t="n">
        <v>108.2</v>
      </c>
      <c r="P982" s="97" t="n">
        <v>123.8191</v>
      </c>
      <c r="Q982" s="97" t="n"/>
      <c r="R982" s="97" t="n">
        <v>102.5</v>
      </c>
      <c r="S982" s="97" t="n">
        <v>109.5709</v>
      </c>
      <c r="T982" s="97" t="n">
        <v>109.9498</v>
      </c>
      <c r="U982" s="97" t="n">
        <v>146.8287</v>
      </c>
      <c r="V982" s="97" t="n">
        <v>61.00508</v>
      </c>
      <c r="W982" s="97" t="n">
        <v>45.68089</v>
      </c>
      <c r="X982" s="97" t="n">
        <v>29.65123</v>
      </c>
      <c r="Y982" s="97" t="n">
        <v>71.44212</v>
      </c>
      <c r="Z982" s="97" t="n">
        <v>127.8893</v>
      </c>
      <c r="AA982" s="97" t="n">
        <v>105.7691</v>
      </c>
      <c r="AB982" s="97" t="n">
        <v>51.16074</v>
      </c>
      <c r="AC982" s="97" t="n">
        <v>91.89234</v>
      </c>
      <c r="AD982" s="97" t="n">
        <v>60.4</v>
      </c>
      <c r="AE982" s="97" t="n">
        <v>93.46978</v>
      </c>
      <c r="AF982" s="97" t="n">
        <v>94.04532</v>
      </c>
      <c r="AG982" s="97" t="n">
        <v>121.4895</v>
      </c>
      <c r="AH982" s="97" t="n">
        <v>88.05477</v>
      </c>
      <c r="AI982" s="97" t="n">
        <v>48.1</v>
      </c>
      <c r="AJ982" s="97" t="n">
        <v>132.4621</v>
      </c>
      <c r="AK982" s="97" t="n">
        <v>40.70678</v>
      </c>
      <c r="AL982" s="97" t="n">
        <v>79.62387</v>
      </c>
      <c r="AM982" s="97" t="n">
        <v>102.9</v>
      </c>
      <c r="AN982" s="97" t="n"/>
      <c r="AO982" s="97" t="n">
        <v>91.90058999999999</v>
      </c>
      <c r="AP982" s="97" t="n">
        <v>95.98399999999999</v>
      </c>
      <c r="AQ982" s="97" t="n"/>
      <c r="AR982" s="97" t="n"/>
      <c r="AS982" s="97" t="n"/>
      <c r="AT982" s="97" t="n">
        <v>43.4428</v>
      </c>
      <c r="AU982" s="97" t="n"/>
      <c r="AV982" s="97" t="n">
        <v>57.40355</v>
      </c>
      <c r="AW982" s="97" t="n"/>
      <c r="AX982" s="97" t="n">
        <v>43.99633</v>
      </c>
      <c r="AY982" s="97" t="n">
        <v>84.24316</v>
      </c>
    </row>
    <row r="983" s="135">
      <c r="A983" t="inlineStr">
        <is>
          <t>2000-10</t>
        </is>
      </c>
      <c r="B983" s="2" t="n">
        <v>36800</v>
      </c>
      <c r="C983" s="96" t="n">
        <v>983</v>
      </c>
      <c r="E983" s="2">
        <f>B983</f>
        <v/>
      </c>
      <c r="F983" s="3">
        <f>B983</f>
        <v/>
      </c>
      <c r="G983" s="96" t="n">
        <v>981</v>
      </c>
      <c r="H983" s="97" t="n"/>
      <c r="I983" s="97" t="n"/>
      <c r="J983" s="97" t="n">
        <v>74.3938</v>
      </c>
      <c r="K983" s="97" t="n">
        <v>98.24232000000001</v>
      </c>
      <c r="L983" s="97" t="n"/>
      <c r="M983" s="97" t="n">
        <v>65.3891</v>
      </c>
      <c r="N983" s="97" t="n">
        <v>81.49321</v>
      </c>
      <c r="O983" s="97" t="n">
        <v>110.9</v>
      </c>
      <c r="P983" s="97" t="n">
        <v>121.7751</v>
      </c>
      <c r="Q983" s="97" t="n"/>
      <c r="R983" s="97" t="n">
        <v>103.5</v>
      </c>
      <c r="S983" s="97" t="n">
        <v>110.7809</v>
      </c>
      <c r="T983" s="97" t="n">
        <v>110.1575</v>
      </c>
      <c r="U983" s="97" t="n">
        <v>149.6254</v>
      </c>
      <c r="V983" s="97" t="n">
        <v>60.20502</v>
      </c>
      <c r="W983" s="97" t="n">
        <v>48.35402</v>
      </c>
      <c r="X983" s="97" t="n">
        <v>29.46842</v>
      </c>
      <c r="Y983" s="97" t="n">
        <v>72.14252999999999</v>
      </c>
      <c r="Z983" s="97" t="n">
        <v>128.3893</v>
      </c>
      <c r="AA983" s="97" t="n">
        <v>107.3636</v>
      </c>
      <c r="AB983" s="97" t="n">
        <v>50.4128</v>
      </c>
      <c r="AC983" s="97" t="n">
        <v>89.29255999999999</v>
      </c>
      <c r="AD983" s="97" t="n">
        <v>61</v>
      </c>
      <c r="AE983" s="97" t="n">
        <v>92.51863</v>
      </c>
      <c r="AF983" s="97" t="n">
        <v>95.26913</v>
      </c>
      <c r="AG983" s="97" t="n">
        <v>123.2351</v>
      </c>
      <c r="AH983" s="97" t="n">
        <v>88.17094</v>
      </c>
      <c r="AI983" s="97" t="n">
        <v>47.8</v>
      </c>
      <c r="AJ983" s="97" t="n">
        <v>130.0304</v>
      </c>
      <c r="AK983" s="97" t="n">
        <v>41.20687</v>
      </c>
      <c r="AL983" s="97" t="n">
        <v>78.78376</v>
      </c>
      <c r="AM983" s="97" t="n">
        <v>103.3</v>
      </c>
      <c r="AN983" s="97" t="n"/>
      <c r="AO983" s="97" t="n">
        <v>91.62973</v>
      </c>
      <c r="AP983" s="97" t="n">
        <v>96.18397</v>
      </c>
      <c r="AQ983" s="97" t="n"/>
      <c r="AR983" s="97" t="n"/>
      <c r="AS983" s="97" t="n"/>
      <c r="AT983" s="97" t="n">
        <v>43.32673</v>
      </c>
      <c r="AU983" s="97" t="n"/>
      <c r="AV983" s="97" t="n">
        <v>57.65436</v>
      </c>
      <c r="AW983" s="97" t="n"/>
      <c r="AX983" s="97" t="n">
        <v>44.59628</v>
      </c>
      <c r="AY983" s="97" t="n">
        <v>86.069</v>
      </c>
    </row>
    <row r="984" s="135">
      <c r="A984" t="inlineStr">
        <is>
          <t>2000-11</t>
        </is>
      </c>
      <c r="B984" s="2" t="n">
        <v>36831</v>
      </c>
      <c r="C984" s="96" t="n">
        <v>984</v>
      </c>
      <c r="E984" s="2">
        <f>B984</f>
        <v/>
      </c>
      <c r="F984" s="3">
        <f>B984</f>
        <v/>
      </c>
      <c r="G984" s="96" t="n">
        <v>982</v>
      </c>
      <c r="H984" s="97" t="n"/>
      <c r="I984" s="97" t="n"/>
      <c r="J984" s="97" t="n">
        <v>75.09374</v>
      </c>
      <c r="K984" s="97" t="n">
        <v>98.23483</v>
      </c>
      <c r="L984" s="97" t="n"/>
      <c r="M984" s="97" t="n">
        <v>64.88918</v>
      </c>
      <c r="N984" s="97" t="n">
        <v>82.19315</v>
      </c>
      <c r="O984" s="97" t="n">
        <v>110.2</v>
      </c>
      <c r="P984" s="97" t="n">
        <v>125.6051</v>
      </c>
      <c r="Q984" s="97" t="n"/>
      <c r="R984" s="97" t="n">
        <v>103.2</v>
      </c>
      <c r="S984" s="97" t="n">
        <v>110.5809</v>
      </c>
      <c r="T984" s="97" t="n">
        <v>111.2995</v>
      </c>
      <c r="U984" s="97" t="n">
        <v>148.9263</v>
      </c>
      <c r="V984" s="97" t="n">
        <v>61.10509</v>
      </c>
      <c r="W984" s="97" t="n">
        <v>50.37372</v>
      </c>
      <c r="X984" s="97" t="n">
        <v>30.34293</v>
      </c>
      <c r="Y984" s="97" t="n">
        <v>70.74169999999999</v>
      </c>
      <c r="Z984" s="97" t="n">
        <v>129.9892</v>
      </c>
      <c r="AA984" s="97" t="n">
        <v>107.7888</v>
      </c>
      <c r="AB984" s="97" t="n">
        <v>49.39188</v>
      </c>
      <c r="AC984" s="97" t="n">
        <v>93.89216999999999</v>
      </c>
      <c r="AD984" s="97" t="n">
        <v>61.4</v>
      </c>
      <c r="AE984" s="97" t="n">
        <v>91.66013</v>
      </c>
      <c r="AF984" s="97" t="n">
        <v>94.70429</v>
      </c>
      <c r="AG984" s="97" t="n">
        <v>119.9767</v>
      </c>
      <c r="AH984" s="97" t="n">
        <v>88.47299</v>
      </c>
      <c r="AI984" s="97" t="n">
        <v>47.6</v>
      </c>
      <c r="AJ984" s="97" t="n">
        <v>131.4382</v>
      </c>
      <c r="AK984" s="97" t="n">
        <v>41.4069</v>
      </c>
      <c r="AL984" s="97" t="n">
        <v>80.27728999999999</v>
      </c>
      <c r="AM984" s="97" t="n">
        <v>106.7</v>
      </c>
      <c r="AN984" s="97" t="n"/>
      <c r="AO984" s="97" t="n">
        <v>91.6546</v>
      </c>
      <c r="AP984" s="97" t="n">
        <v>97.08382</v>
      </c>
      <c r="AQ984" s="97" t="n"/>
      <c r="AR984" s="97" t="n"/>
      <c r="AS984" s="97" t="n"/>
      <c r="AT984" s="97" t="n">
        <v>43.7641</v>
      </c>
      <c r="AU984" s="97" t="n"/>
      <c r="AV984" s="97" t="n">
        <v>57.65467</v>
      </c>
      <c r="AW984" s="97" t="n"/>
      <c r="AX984" s="97" t="n">
        <v>45.19623</v>
      </c>
      <c r="AY984" s="97" t="n">
        <v>85.3492</v>
      </c>
    </row>
    <row r="985" s="135">
      <c r="A985" t="inlineStr">
        <is>
          <t>2000-12</t>
        </is>
      </c>
      <c r="B985" s="2" t="n">
        <v>36861</v>
      </c>
      <c r="C985" s="96" t="n">
        <v>985</v>
      </c>
      <c r="E985" s="2">
        <f>B985</f>
        <v/>
      </c>
      <c r="F985" s="3">
        <f>B985</f>
        <v/>
      </c>
      <c r="G985" s="96" t="n">
        <v>983</v>
      </c>
      <c r="H985" s="97" t="n"/>
      <c r="I985" s="97" t="n"/>
      <c r="J985" s="97" t="n">
        <v>75.29371999999999</v>
      </c>
      <c r="K985" s="97" t="n">
        <v>98.33275</v>
      </c>
      <c r="L985" s="97" t="n"/>
      <c r="M985" s="97" t="n">
        <v>66.28895</v>
      </c>
      <c r="N985" s="97" t="n">
        <v>82.69311</v>
      </c>
      <c r="O985" s="97" t="n">
        <v>115.2</v>
      </c>
      <c r="P985" s="97" t="n">
        <v>126.7861</v>
      </c>
      <c r="Q985" s="97" t="n"/>
      <c r="R985" s="97" t="n">
        <v>102.6</v>
      </c>
      <c r="S985" s="97" t="n">
        <v>111.6009</v>
      </c>
      <c r="T985" s="97" t="n">
        <v>110.9881</v>
      </c>
      <c r="U985" s="97" t="n">
        <v>150.9239</v>
      </c>
      <c r="V985" s="97" t="n">
        <v>61.60513</v>
      </c>
      <c r="W985" s="97" t="n">
        <v>49.9579</v>
      </c>
      <c r="X985" s="97" t="n">
        <v>31.37744</v>
      </c>
      <c r="Y985" s="97" t="n">
        <v>70.74169999999999</v>
      </c>
      <c r="Z985" s="97" t="n">
        <v>131.789</v>
      </c>
      <c r="AA985" s="97" t="n">
        <v>108.8518</v>
      </c>
      <c r="AB985" s="97" t="n">
        <v>48.92692</v>
      </c>
      <c r="AC985" s="97" t="n">
        <v>100.0917</v>
      </c>
      <c r="AD985" s="97" t="n">
        <v>63</v>
      </c>
      <c r="AE985" s="97" t="n">
        <v>90.62526</v>
      </c>
      <c r="AF985" s="97" t="n">
        <v>93.66875</v>
      </c>
      <c r="AG985" s="97" t="n">
        <v>120.5586</v>
      </c>
      <c r="AH985" s="97" t="n">
        <v>88.61306999999999</v>
      </c>
      <c r="AI985" s="97" t="n">
        <v>51.6</v>
      </c>
      <c r="AJ985" s="97" t="n">
        <v>131.0543</v>
      </c>
      <c r="AK985" s="97" t="n">
        <v>42.6071</v>
      </c>
      <c r="AL985" s="97" t="n">
        <v>81.39744</v>
      </c>
      <c r="AM985" s="97" t="n">
        <v>101.1</v>
      </c>
      <c r="AN985" s="97" t="n"/>
      <c r="AO985" s="97" t="n">
        <v>91.39949</v>
      </c>
      <c r="AP985" s="97" t="n">
        <v>97.68371999999999</v>
      </c>
      <c r="AQ985" s="97" t="n"/>
      <c r="AR985" s="97" t="n"/>
      <c r="AS985" s="97" t="n"/>
      <c r="AT985" s="97" t="n">
        <v>43.70204</v>
      </c>
      <c r="AU985" s="97" t="n"/>
      <c r="AV985" s="97" t="n">
        <v>58.71763</v>
      </c>
      <c r="AW985" s="97" t="n"/>
      <c r="AX985" s="97" t="n">
        <v>43.29639</v>
      </c>
      <c r="AY985" s="97" t="n">
        <v>89.18521</v>
      </c>
    </row>
    <row r="986" s="135">
      <c r="A986" t="inlineStr">
        <is>
          <t>2001-01</t>
        </is>
      </c>
      <c r="B986" s="2" t="n">
        <v>36892</v>
      </c>
      <c r="C986" s="96" t="n">
        <v>986</v>
      </c>
      <c r="E986" s="2">
        <f>B986</f>
        <v/>
      </c>
      <c r="F986" s="3">
        <f>B986</f>
        <v/>
      </c>
      <c r="G986" s="96" t="n">
        <v>984</v>
      </c>
      <c r="H986" s="97" t="n"/>
      <c r="I986" s="97" t="n"/>
      <c r="J986" s="97" t="n">
        <v>76.7936</v>
      </c>
      <c r="K986" s="97" t="n">
        <v>95.81635</v>
      </c>
      <c r="L986" s="97" t="n"/>
      <c r="M986" s="97" t="n">
        <v>66.88885000000001</v>
      </c>
      <c r="N986" s="97" t="n">
        <v>82.49312999999999</v>
      </c>
      <c r="O986" s="97" t="n">
        <v>110.4</v>
      </c>
      <c r="P986" s="97" t="n">
        <v>122.8421</v>
      </c>
      <c r="Q986" s="97" t="n"/>
      <c r="R986" s="97" t="n">
        <v>103.4</v>
      </c>
      <c r="S986" s="97" t="n">
        <v>111.1009</v>
      </c>
      <c r="T986" s="97" t="n">
        <v>110.8842</v>
      </c>
      <c r="U986" s="97" t="n">
        <v>153.2212</v>
      </c>
      <c r="V986" s="97" t="n">
        <v>63.10526</v>
      </c>
      <c r="W986" s="97" t="n">
        <v>49.83909</v>
      </c>
      <c r="X986" s="97" t="n">
        <v>31.49953</v>
      </c>
      <c r="Y986" s="97" t="n">
        <v>71.44212</v>
      </c>
      <c r="Z986" s="97" t="n">
        <v>128.1893</v>
      </c>
      <c r="AA986" s="97" t="n">
        <v>104.8124</v>
      </c>
      <c r="AB986" s="97" t="n">
        <v>48.36597</v>
      </c>
      <c r="AC986" s="97" t="n">
        <v>93.69219</v>
      </c>
      <c r="AD986" s="97" t="n">
        <v>63.3</v>
      </c>
      <c r="AE986" s="97" t="n">
        <v>91.08179</v>
      </c>
      <c r="AF986" s="97" t="n">
        <v>92.75217000000001</v>
      </c>
      <c r="AG986" s="97" t="n">
        <v>122.886</v>
      </c>
      <c r="AH986" s="97" t="n">
        <v>87.44356000000001</v>
      </c>
      <c r="AI986" s="97" t="n">
        <v>48.1</v>
      </c>
      <c r="AJ986" s="97" t="n">
        <v>129.5185</v>
      </c>
      <c r="AK986" s="97" t="n">
        <v>42.6071</v>
      </c>
      <c r="AL986" s="97" t="n">
        <v>80.37063999999999</v>
      </c>
      <c r="AM986" s="97" t="n">
        <v>102.1</v>
      </c>
      <c r="AN986" s="97" t="n"/>
      <c r="AO986" s="97" t="n">
        <v>90.81117999999999</v>
      </c>
      <c r="AP986" s="97" t="n">
        <v>96.88385</v>
      </c>
      <c r="AQ986" s="97" t="n"/>
      <c r="AR986" s="97" t="n"/>
      <c r="AS986" s="97" t="n"/>
      <c r="AT986" s="97" t="n">
        <v>43.22868</v>
      </c>
      <c r="AU986" s="97" t="n"/>
      <c r="AV986" s="97" t="n">
        <v>57.77432</v>
      </c>
      <c r="AW986" s="97" t="n"/>
      <c r="AX986" s="97" t="n">
        <v>41.79652</v>
      </c>
      <c r="AY986" s="97" t="n">
        <v>87.02581000000001</v>
      </c>
    </row>
    <row r="987" s="135">
      <c r="A987" t="inlineStr">
        <is>
          <t>2001-02</t>
        </is>
      </c>
      <c r="B987" s="2" t="n">
        <v>36923</v>
      </c>
      <c r="C987" s="96" t="n">
        <v>987</v>
      </c>
      <c r="E987" s="2">
        <f>B987</f>
        <v/>
      </c>
      <c r="F987" s="3">
        <f>B987</f>
        <v/>
      </c>
      <c r="G987" s="96" t="n">
        <v>985</v>
      </c>
      <c r="H987" s="97" t="n"/>
      <c r="I987" s="97" t="n"/>
      <c r="J987" s="97" t="n">
        <v>76.19365000000001</v>
      </c>
      <c r="K987" s="97" t="n">
        <v>95.59108999999999</v>
      </c>
      <c r="L987" s="97" t="n"/>
      <c r="M987" s="97" t="n">
        <v>65.989</v>
      </c>
      <c r="N987" s="97" t="n">
        <v>83.39305</v>
      </c>
      <c r="O987" s="97" t="n">
        <v>115</v>
      </c>
      <c r="P987" s="97" t="n">
        <v>123.4541</v>
      </c>
      <c r="Q987" s="97" t="n"/>
      <c r="R987" s="97" t="n">
        <v>101.8</v>
      </c>
      <c r="S987" s="97" t="n">
        <v>111.8409</v>
      </c>
      <c r="T987" s="97" t="n">
        <v>110.0536</v>
      </c>
      <c r="U987" s="97" t="n">
        <v>150.4245</v>
      </c>
      <c r="V987" s="97" t="n">
        <v>62.10518</v>
      </c>
      <c r="W987" s="97" t="n">
        <v>53.9379</v>
      </c>
      <c r="X987" s="97" t="n">
        <v>32.2807</v>
      </c>
      <c r="Y987" s="97" t="n">
        <v>70.74169999999999</v>
      </c>
      <c r="Z987" s="97" t="n">
        <v>127.3894</v>
      </c>
      <c r="AA987" s="97" t="n">
        <v>105.7691</v>
      </c>
      <c r="AB987" s="97" t="n">
        <v>48.38297</v>
      </c>
      <c r="AC987" s="97" t="n">
        <v>96.19199</v>
      </c>
      <c r="AD987" s="97" t="n">
        <v>64.59999999999999</v>
      </c>
      <c r="AE987" s="97" t="n">
        <v>90.47902999999999</v>
      </c>
      <c r="AF987" s="97" t="n">
        <v>90.98171000000001</v>
      </c>
      <c r="AG987" s="97" t="n">
        <v>118.5803</v>
      </c>
      <c r="AH987" s="97" t="n">
        <v>87.36648</v>
      </c>
      <c r="AI987" s="97" t="n">
        <v>47.5</v>
      </c>
      <c r="AJ987" s="97" t="n">
        <v>130.4144</v>
      </c>
      <c r="AK987" s="97" t="n">
        <v>40.60677</v>
      </c>
      <c r="AL987" s="97" t="n">
        <v>80.93071</v>
      </c>
      <c r="AM987" s="97" t="n">
        <v>101</v>
      </c>
      <c r="AN987" s="97" t="n"/>
      <c r="AO987" s="97" t="n">
        <v>90.23007</v>
      </c>
      <c r="AP987" s="97" t="n">
        <v>97.28377999999999</v>
      </c>
      <c r="AQ987" s="97" t="n"/>
      <c r="AR987" s="97" t="n"/>
      <c r="AS987" s="97" t="n"/>
      <c r="AT987" s="97" t="n">
        <v>43.93528</v>
      </c>
      <c r="AU987" s="97" t="n"/>
      <c r="AV987" s="97" t="n">
        <v>58.47987</v>
      </c>
      <c r="AW987" s="97" t="n"/>
      <c r="AX987" s="97" t="n">
        <v>42.19648</v>
      </c>
      <c r="AY987" s="97" t="n">
        <v>87.92117</v>
      </c>
    </row>
    <row r="988" s="135">
      <c r="A988" t="inlineStr">
        <is>
          <t>2001-03</t>
        </is>
      </c>
      <c r="B988" s="2" t="n">
        <v>36951</v>
      </c>
      <c r="C988" s="96" t="n">
        <v>988</v>
      </c>
      <c r="E988" s="2">
        <f>B988</f>
        <v/>
      </c>
      <c r="F988" s="3">
        <f>B988</f>
        <v/>
      </c>
      <c r="G988" s="96" t="n">
        <v>986</v>
      </c>
      <c r="H988" s="97" t="n"/>
      <c r="I988" s="97" t="n"/>
      <c r="J988" s="97" t="n">
        <v>74.49379</v>
      </c>
      <c r="K988" s="97" t="n">
        <v>94.86742</v>
      </c>
      <c r="L988" s="97" t="n"/>
      <c r="M988" s="97" t="n">
        <v>66.48891999999999</v>
      </c>
      <c r="N988" s="97" t="n">
        <v>81.99316</v>
      </c>
      <c r="O988" s="97" t="n">
        <v>114.3</v>
      </c>
      <c r="P988" s="97" t="n">
        <v>122.9801</v>
      </c>
      <c r="Q988" s="97" t="n"/>
      <c r="R988" s="97" t="n">
        <v>102.6</v>
      </c>
      <c r="S988" s="97" t="n">
        <v>112.3009</v>
      </c>
      <c r="T988" s="97" t="n">
        <v>109.846</v>
      </c>
      <c r="U988" s="97" t="n">
        <v>142.2341</v>
      </c>
      <c r="V988" s="97" t="n">
        <v>59.00492</v>
      </c>
      <c r="W988" s="97" t="n">
        <v>50.67073</v>
      </c>
      <c r="X988" s="97" t="n">
        <v>32.45638</v>
      </c>
      <c r="Y988" s="97" t="n">
        <v>69.76112000000001</v>
      </c>
      <c r="Z988" s="97" t="n">
        <v>127.3894</v>
      </c>
      <c r="AA988" s="97" t="n">
        <v>103.962</v>
      </c>
      <c r="AB988" s="97" t="n">
        <v>48.72794</v>
      </c>
      <c r="AC988" s="97" t="n">
        <v>98.59178</v>
      </c>
      <c r="AD988" s="97" t="n">
        <v>65.3</v>
      </c>
      <c r="AE988" s="97" t="n">
        <v>90.65356</v>
      </c>
      <c r="AF988" s="97" t="n">
        <v>94.8177</v>
      </c>
      <c r="AG988" s="97" t="n">
        <v>120.3258</v>
      </c>
      <c r="AH988" s="97" t="n">
        <v>86.8802</v>
      </c>
      <c r="AI988" s="97" t="n">
        <v>48.2</v>
      </c>
      <c r="AJ988" s="97" t="n">
        <v>133.8699</v>
      </c>
      <c r="AK988" s="97" t="n">
        <v>42.20704</v>
      </c>
      <c r="AL988" s="97" t="n">
        <v>81.39744</v>
      </c>
      <c r="AM988" s="97" t="n">
        <v>101.4</v>
      </c>
      <c r="AN988" s="97" t="n"/>
      <c r="AO988" s="97" t="n">
        <v>90.01904999999999</v>
      </c>
      <c r="AP988" s="97" t="n">
        <v>96.68388</v>
      </c>
      <c r="AQ988" s="97" t="n"/>
      <c r="AR988" s="97" t="n"/>
      <c r="AS988" s="97" t="n"/>
      <c r="AT988" s="97" t="n">
        <v>43.80047</v>
      </c>
      <c r="AU988" s="97" t="n"/>
      <c r="AV988" s="97" t="n">
        <v>58.13024</v>
      </c>
      <c r="AW988" s="97" t="n"/>
      <c r="AX988" s="97" t="n">
        <v>39.79668</v>
      </c>
      <c r="AY988" s="97" t="n">
        <v>86.68346</v>
      </c>
    </row>
    <row r="989" s="135">
      <c r="A989" t="inlineStr">
        <is>
          <t>2001-04</t>
        </is>
      </c>
      <c r="B989" s="2" t="n">
        <v>36982</v>
      </c>
      <c r="C989" s="96" t="n">
        <v>989</v>
      </c>
      <c r="E989" s="2">
        <f>B989</f>
        <v/>
      </c>
      <c r="F989" s="3">
        <f>B989</f>
        <v/>
      </c>
      <c r="G989" s="96" t="n">
        <v>987</v>
      </c>
      <c r="H989" s="97" t="n"/>
      <c r="I989" s="97" t="n"/>
      <c r="J989" s="97" t="n">
        <v>73.09390999999999</v>
      </c>
      <c r="K989" s="97" t="n">
        <v>95.18792999999999</v>
      </c>
      <c r="L989" s="97" t="n"/>
      <c r="M989" s="97" t="n">
        <v>66.78887</v>
      </c>
      <c r="N989" s="97" t="n">
        <v>80.59327999999999</v>
      </c>
      <c r="O989" s="97" t="n">
        <v>113.6</v>
      </c>
      <c r="P989" s="97" t="n">
        <v>120.9811</v>
      </c>
      <c r="Q989" s="97" t="n"/>
      <c r="R989" s="97" t="n">
        <v>98.40000000000001</v>
      </c>
      <c r="S989" s="97" t="n">
        <v>110.4809</v>
      </c>
      <c r="T989" s="97" t="n">
        <v>109.0154</v>
      </c>
      <c r="U989" s="97" t="n">
        <v>140.1365</v>
      </c>
      <c r="V989" s="97" t="n">
        <v>61.00508</v>
      </c>
      <c r="W989" s="97" t="n">
        <v>50.78954</v>
      </c>
      <c r="X989" s="97" t="n">
        <v>32.98914</v>
      </c>
      <c r="Y989" s="97" t="n">
        <v>68.64046</v>
      </c>
      <c r="Z989" s="97" t="n">
        <v>126.2895</v>
      </c>
      <c r="AA989" s="97" t="n">
        <v>103.2178</v>
      </c>
      <c r="AB989" s="97" t="n">
        <v>49.1539</v>
      </c>
      <c r="AC989" s="97" t="n">
        <v>93.39221999999999</v>
      </c>
      <c r="AD989" s="97" t="n">
        <v>65</v>
      </c>
      <c r="AE989" s="97" t="n">
        <v>88.16262</v>
      </c>
      <c r="AF989" s="97" t="n">
        <v>95.70292999999999</v>
      </c>
      <c r="AG989" s="97" t="n">
        <v>120.9077</v>
      </c>
      <c r="AH989" s="97" t="n">
        <v>86.2286</v>
      </c>
      <c r="AI989" s="97" t="n">
        <v>47.6</v>
      </c>
      <c r="AJ989" s="97" t="n">
        <v>129.1346</v>
      </c>
      <c r="AK989" s="97" t="n">
        <v>41.20687</v>
      </c>
      <c r="AL989" s="97" t="n">
        <v>81.1174</v>
      </c>
      <c r="AM989" s="97" t="n">
        <v>96.5</v>
      </c>
      <c r="AN989" s="97" t="n"/>
      <c r="AO989" s="97" t="n">
        <v>89.75664</v>
      </c>
      <c r="AP989" s="97" t="n">
        <v>95.88402000000001</v>
      </c>
      <c r="AQ989" s="97" t="n"/>
      <c r="AR989" s="97" t="n"/>
      <c r="AS989" s="97" t="n"/>
      <c r="AT989" s="97" t="n">
        <v>43.93601</v>
      </c>
      <c r="AU989" s="97" t="n"/>
      <c r="AV989" s="97" t="n">
        <v>58.13923</v>
      </c>
      <c r="AW989" s="97" t="n"/>
      <c r="AX989" s="97" t="n">
        <v>39.49671</v>
      </c>
      <c r="AY989" s="97" t="n">
        <v>86.38500999999999</v>
      </c>
    </row>
    <row r="990" s="135">
      <c r="A990" t="inlineStr">
        <is>
          <t>2001-05</t>
        </is>
      </c>
      <c r="B990" s="2" t="n">
        <v>37012</v>
      </c>
      <c r="C990" s="96" t="n">
        <v>990</v>
      </c>
      <c r="E990" s="2">
        <f>B990</f>
        <v/>
      </c>
      <c r="F990" s="3">
        <f>B990</f>
        <v/>
      </c>
      <c r="G990" s="96" t="n">
        <v>988</v>
      </c>
      <c r="H990" s="97" t="n"/>
      <c r="I990" s="97" t="n"/>
      <c r="J990" s="97" t="n">
        <v>75.79369</v>
      </c>
      <c r="K990" s="97" t="n">
        <v>95.31527</v>
      </c>
      <c r="L990" s="97" t="n"/>
      <c r="M990" s="97" t="n">
        <v>66.88885000000001</v>
      </c>
      <c r="N990" s="97" t="n">
        <v>81.49321</v>
      </c>
      <c r="O990" s="97" t="n">
        <v>108.3</v>
      </c>
      <c r="P990" s="97" t="n">
        <v>123.5991</v>
      </c>
      <c r="Q990" s="97" t="n"/>
      <c r="R990" s="97" t="n">
        <v>99</v>
      </c>
      <c r="S990" s="97" t="n">
        <v>111.2909</v>
      </c>
      <c r="T990" s="97" t="n">
        <v>109.0154</v>
      </c>
      <c r="U990" s="97" t="n">
        <v>144.3316</v>
      </c>
      <c r="V990" s="97" t="n">
        <v>62.00517</v>
      </c>
      <c r="W990" s="97" t="n">
        <v>45.08685</v>
      </c>
      <c r="X990" s="97" t="n">
        <v>33.53066</v>
      </c>
      <c r="Y990" s="97" t="n">
        <v>67.23963999999999</v>
      </c>
      <c r="Z990" s="97" t="n">
        <v>126.0895</v>
      </c>
      <c r="AA990" s="97" t="n">
        <v>101.1981</v>
      </c>
      <c r="AB990" s="97" t="n">
        <v>49.71186</v>
      </c>
      <c r="AC990" s="97" t="n">
        <v>96.39197</v>
      </c>
      <c r="AD990" s="97" t="n">
        <v>65.59999999999999</v>
      </c>
      <c r="AE990" s="97" t="n">
        <v>89.44094</v>
      </c>
      <c r="AF990" s="97" t="n">
        <v>96.48979</v>
      </c>
      <c r="AG990" s="97" t="n">
        <v>115.5547</v>
      </c>
      <c r="AH990" s="97" t="n">
        <v>86.09944</v>
      </c>
      <c r="AI990" s="97" t="n">
        <v>47.9</v>
      </c>
      <c r="AJ990" s="97" t="n">
        <v>133.23</v>
      </c>
      <c r="AK990" s="97" t="n">
        <v>42.007</v>
      </c>
      <c r="AL990" s="97" t="n">
        <v>80.93071</v>
      </c>
      <c r="AM990" s="97" t="n">
        <v>100.4</v>
      </c>
      <c r="AN990" s="97" t="n"/>
      <c r="AO990" s="97" t="n">
        <v>89.20828</v>
      </c>
      <c r="AP990" s="97" t="n">
        <v>96.08398</v>
      </c>
      <c r="AQ990" s="97" t="n"/>
      <c r="AR990" s="97" t="n"/>
      <c r="AS990" s="97" t="n"/>
      <c r="AT990" s="97" t="n">
        <v>43.8127</v>
      </c>
      <c r="AU990" s="97" t="n"/>
      <c r="AV990" s="97" t="n">
        <v>60.5346</v>
      </c>
      <c r="AW990" s="97" t="n"/>
      <c r="AX990" s="97" t="n">
        <v>39.39672</v>
      </c>
      <c r="AY990" s="97" t="n">
        <v>87.05213999999999</v>
      </c>
    </row>
    <row r="991" s="135">
      <c r="A991" t="inlineStr">
        <is>
          <t>2001-06</t>
        </is>
      </c>
      <c r="B991" s="2" t="n">
        <v>37043</v>
      </c>
      <c r="C991" s="96" t="n">
        <v>991</v>
      </c>
      <c r="E991" s="2">
        <f>B991</f>
        <v/>
      </c>
      <c r="F991" s="3">
        <f>B991</f>
        <v/>
      </c>
      <c r="G991" s="96" t="n">
        <v>989</v>
      </c>
      <c r="H991" s="97" t="n"/>
      <c r="I991" s="97" t="n"/>
      <c r="J991" s="97" t="n">
        <v>76.7936</v>
      </c>
      <c r="K991" s="97" t="n">
        <v>94.37703999999999</v>
      </c>
      <c r="L991" s="97" t="n"/>
      <c r="M991" s="97" t="n">
        <v>66.78887</v>
      </c>
      <c r="N991" s="97" t="n">
        <v>81.89317</v>
      </c>
      <c r="O991" s="97" t="n">
        <v>108.9</v>
      </c>
      <c r="P991" s="97" t="n">
        <v>123.6091</v>
      </c>
      <c r="Q991" s="97" t="n"/>
      <c r="R991" s="97" t="n">
        <v>99</v>
      </c>
      <c r="S991" s="97" t="n">
        <v>111.3209</v>
      </c>
      <c r="T991" s="97" t="n">
        <v>108.9116</v>
      </c>
      <c r="U991" s="97" t="n">
        <v>141.7346</v>
      </c>
      <c r="V991" s="97" t="n">
        <v>59.20493</v>
      </c>
      <c r="W991" s="97" t="n">
        <v>49.60148</v>
      </c>
      <c r="X991" s="97" t="n">
        <v>33.56818</v>
      </c>
      <c r="Y991" s="97" t="n">
        <v>65.20844</v>
      </c>
      <c r="Z991" s="97" t="n">
        <v>126.3895</v>
      </c>
      <c r="AA991" s="97" t="n">
        <v>100.1351</v>
      </c>
      <c r="AB991" s="97" t="n">
        <v>49.83485</v>
      </c>
      <c r="AC991" s="97" t="n">
        <v>96.49196000000001</v>
      </c>
      <c r="AD991" s="97" t="n">
        <v>65.40000000000001</v>
      </c>
      <c r="AE991" s="97" t="n">
        <v>90.11404</v>
      </c>
      <c r="AF991" s="97" t="n">
        <v>93.83411</v>
      </c>
      <c r="AG991" s="97" t="n">
        <v>118.6967</v>
      </c>
      <c r="AH991" s="97" t="n">
        <v>85.86018</v>
      </c>
      <c r="AI991" s="97" t="n">
        <v>46.9</v>
      </c>
      <c r="AJ991" s="97" t="n">
        <v>132.974</v>
      </c>
      <c r="AK991" s="97" t="n">
        <v>43.40723</v>
      </c>
      <c r="AL991" s="97" t="n">
        <v>81.02406000000001</v>
      </c>
      <c r="AM991" s="97" t="n">
        <v>99.7</v>
      </c>
      <c r="AN991" s="97" t="n"/>
      <c r="AO991" s="97" t="n">
        <v>88.67501</v>
      </c>
      <c r="AP991" s="97" t="n">
        <v>96.18397</v>
      </c>
      <c r="AQ991" s="97" t="n"/>
      <c r="AR991" s="97" t="n"/>
      <c r="AS991" s="97" t="n"/>
      <c r="AT991" s="97" t="n">
        <v>44.04466</v>
      </c>
      <c r="AU991" s="97" t="n"/>
      <c r="AV991" s="97" t="n">
        <v>59.93974</v>
      </c>
      <c r="AW991" s="97" t="n"/>
      <c r="AX991" s="97" t="n">
        <v>39.69669</v>
      </c>
      <c r="AY991" s="97" t="n">
        <v>85.97243</v>
      </c>
    </row>
    <row r="992" s="135">
      <c r="A992" t="inlineStr">
        <is>
          <t>2001-07</t>
        </is>
      </c>
      <c r="B992" s="2" t="n">
        <v>37073</v>
      </c>
      <c r="C992" s="96" t="n">
        <v>992</v>
      </c>
      <c r="E992" s="2">
        <f>B992</f>
        <v/>
      </c>
      <c r="F992" s="3">
        <f>B992</f>
        <v/>
      </c>
      <c r="G992" s="96" t="n">
        <v>990</v>
      </c>
      <c r="H992" s="97" t="n"/>
      <c r="I992" s="97" t="n"/>
      <c r="J992" s="97" t="n">
        <v>72.49396</v>
      </c>
      <c r="K992" s="97" t="n">
        <v>93.06292999999999</v>
      </c>
      <c r="L992" s="97" t="n"/>
      <c r="M992" s="97" t="n">
        <v>65.58907000000001</v>
      </c>
      <c r="N992" s="97" t="n">
        <v>79.39339</v>
      </c>
      <c r="O992" s="97" t="n">
        <v>110.6</v>
      </c>
      <c r="P992" s="97" t="n">
        <v>120.9291</v>
      </c>
      <c r="Q992" s="97" t="n"/>
      <c r="R992" s="97" t="n">
        <v>96.90000000000001</v>
      </c>
      <c r="S992" s="97" t="n">
        <v>109.7909</v>
      </c>
      <c r="T992" s="97" t="n">
        <v>108.081</v>
      </c>
      <c r="U992" s="97" t="n">
        <v>141.1353</v>
      </c>
      <c r="V992" s="97" t="n">
        <v>59.00492</v>
      </c>
      <c r="W992" s="97" t="n">
        <v>46.98775</v>
      </c>
      <c r="X992" s="97" t="n">
        <v>35.89343</v>
      </c>
      <c r="Y992" s="97" t="n">
        <v>66.74935000000001</v>
      </c>
      <c r="Z992" s="97" t="n">
        <v>124.0897</v>
      </c>
      <c r="AA992" s="97" t="n">
        <v>98.75323</v>
      </c>
      <c r="AB992" s="97" t="n">
        <v>48.95992</v>
      </c>
      <c r="AC992" s="97" t="n">
        <v>97.79185</v>
      </c>
      <c r="AD992" s="97" t="n">
        <v>66.3</v>
      </c>
      <c r="AE992" s="97" t="n">
        <v>91.26211000000001</v>
      </c>
      <c r="AF992" s="97" t="n">
        <v>92.94888</v>
      </c>
      <c r="AG992" s="97" t="n">
        <v>118.5803</v>
      </c>
      <c r="AH992" s="97" t="n">
        <v>84.94708</v>
      </c>
      <c r="AI992" s="97" t="n">
        <v>47.2</v>
      </c>
      <c r="AJ992" s="97" t="n">
        <v>128.6226</v>
      </c>
      <c r="AK992" s="97" t="n">
        <v>42.10702</v>
      </c>
      <c r="AL992" s="97" t="n">
        <v>81.77082</v>
      </c>
      <c r="AM992" s="97" t="n">
        <v>99.40000000000001</v>
      </c>
      <c r="AN992" s="97" t="n"/>
      <c r="AO992" s="97" t="n">
        <v>88.16834</v>
      </c>
      <c r="AP992" s="97" t="n">
        <v>94.48425</v>
      </c>
      <c r="AQ992" s="97" t="n"/>
      <c r="AR992" s="97" t="n"/>
      <c r="AS992" s="97" t="n"/>
      <c r="AT992" s="97" t="n">
        <v>43.74736</v>
      </c>
      <c r="AU992" s="97" t="n"/>
      <c r="AV992" s="97" t="n">
        <v>59.84679</v>
      </c>
      <c r="AW992" s="97" t="n"/>
      <c r="AX992" s="97" t="n">
        <v>40.19665</v>
      </c>
      <c r="AY992" s="97" t="n">
        <v>85.76176</v>
      </c>
    </row>
    <row r="993" s="135">
      <c r="A993" t="inlineStr">
        <is>
          <t>2001-08</t>
        </is>
      </c>
      <c r="B993" s="2" t="n">
        <v>37104</v>
      </c>
      <c r="C993" s="96" t="n">
        <v>993</v>
      </c>
      <c r="E993" s="2">
        <f>B993</f>
        <v/>
      </c>
      <c r="F993" s="3">
        <f>B993</f>
        <v/>
      </c>
      <c r="G993" s="96" t="n">
        <v>991</v>
      </c>
      <c r="H993" s="97" t="n"/>
      <c r="I993" s="97" t="n"/>
      <c r="J993" s="97" t="n">
        <v>75.89368</v>
      </c>
      <c r="K993" s="97" t="n">
        <v>93.55573</v>
      </c>
      <c r="L993" s="97" t="n"/>
      <c r="M993" s="97" t="n">
        <v>66.98884</v>
      </c>
      <c r="N993" s="97" t="n">
        <v>81.5932</v>
      </c>
      <c r="O993" s="97" t="n">
        <v>114.6</v>
      </c>
      <c r="P993" s="97" t="n">
        <v>125.5761</v>
      </c>
      <c r="Q993" s="97" t="n"/>
      <c r="R993" s="97" t="n">
        <v>100.8</v>
      </c>
      <c r="S993" s="97" t="n">
        <v>112.5109</v>
      </c>
      <c r="T993" s="97" t="n">
        <v>109.9498</v>
      </c>
      <c r="U993" s="97" t="n">
        <v>143.2329</v>
      </c>
      <c r="V993" s="97" t="n">
        <v>62.10518</v>
      </c>
      <c r="W993" s="97" t="n">
        <v>49.60148</v>
      </c>
      <c r="X993" s="97" t="n">
        <v>38.08623</v>
      </c>
      <c r="Y993" s="97" t="n">
        <v>65.9789</v>
      </c>
      <c r="Z993" s="97" t="n">
        <v>126.2895</v>
      </c>
      <c r="AA993" s="97" t="n">
        <v>97.37132</v>
      </c>
      <c r="AB993" s="97" t="n">
        <v>50.19882</v>
      </c>
      <c r="AC993" s="97" t="n">
        <v>96.092</v>
      </c>
      <c r="AD993" s="97" t="n">
        <v>66.09999999999999</v>
      </c>
      <c r="AE993" s="97" t="n">
        <v>90.52122</v>
      </c>
      <c r="AF993" s="97" t="n">
        <v>96.09636</v>
      </c>
      <c r="AG993" s="97" t="n">
        <v>119.744</v>
      </c>
      <c r="AH993" s="97" t="n">
        <v>85.65891000000001</v>
      </c>
      <c r="AI993" s="97" t="n">
        <v>48.7</v>
      </c>
      <c r="AJ993" s="97" t="n">
        <v>131.8222</v>
      </c>
      <c r="AK993" s="97" t="n">
        <v>42.20704</v>
      </c>
      <c r="AL993" s="97" t="n">
        <v>81.58413</v>
      </c>
      <c r="AM993" s="97" t="n">
        <v>101.7</v>
      </c>
      <c r="AN993" s="97" t="n"/>
      <c r="AO993" s="97" t="n">
        <v>88.05904</v>
      </c>
      <c r="AP993" s="97" t="n">
        <v>96.78386999999999</v>
      </c>
      <c r="AQ993" s="97" t="n"/>
      <c r="AR993" s="97" t="n"/>
      <c r="AS993" s="97" t="n"/>
      <c r="AT993" s="97" t="n">
        <v>44.13658</v>
      </c>
      <c r="AU993" s="97" t="n"/>
      <c r="AV993" s="97" t="n">
        <v>59.52385</v>
      </c>
      <c r="AW993" s="97" t="n"/>
      <c r="AX993" s="97" t="n">
        <v>41.39655</v>
      </c>
      <c r="AY993" s="97" t="n">
        <v>85.77932</v>
      </c>
    </row>
    <row r="994" s="135">
      <c r="A994" t="inlineStr">
        <is>
          <t>2001-09</t>
        </is>
      </c>
      <c r="B994" s="2" t="n">
        <v>37135</v>
      </c>
      <c r="C994" s="96" t="n">
        <v>994</v>
      </c>
      <c r="E994" s="2">
        <f>B994</f>
        <v/>
      </c>
      <c r="F994" s="3">
        <f>B994</f>
        <v/>
      </c>
      <c r="G994" s="96" t="n">
        <v>992</v>
      </c>
      <c r="H994" s="97" t="n"/>
      <c r="I994" s="97" t="n"/>
      <c r="J994" s="97" t="n">
        <v>74.79376999999999</v>
      </c>
      <c r="K994" s="97" t="n">
        <v>92.12148999999999</v>
      </c>
      <c r="L994" s="97" t="n"/>
      <c r="M994" s="97" t="n">
        <v>66.28895</v>
      </c>
      <c r="N994" s="97" t="n">
        <v>80.49329</v>
      </c>
      <c r="O994" s="97" t="n">
        <v>112.6</v>
      </c>
      <c r="P994" s="97" t="n">
        <v>122.9001</v>
      </c>
      <c r="Q994" s="97" t="n"/>
      <c r="R994" s="97" t="n">
        <v>100.1</v>
      </c>
      <c r="S994" s="97" t="n">
        <v>110.7709</v>
      </c>
      <c r="T994" s="97" t="n">
        <v>108.3925</v>
      </c>
      <c r="U994" s="97" t="n">
        <v>141.3351</v>
      </c>
      <c r="V994" s="97" t="n">
        <v>58.40487</v>
      </c>
      <c r="W994" s="97" t="n">
        <v>48.82924</v>
      </c>
      <c r="X994" s="97" t="n">
        <v>37.34385</v>
      </c>
      <c r="Y994" s="97" t="n">
        <v>66.18902</v>
      </c>
      <c r="Z994" s="97" t="n">
        <v>124.2896</v>
      </c>
      <c r="AA994" s="97" t="n">
        <v>95.56421</v>
      </c>
      <c r="AB994" s="97" t="n">
        <v>50.59678</v>
      </c>
      <c r="AC994" s="97" t="n">
        <v>95.89201</v>
      </c>
      <c r="AD994" s="97" t="n">
        <v>66.2</v>
      </c>
      <c r="AE994" s="97" t="n">
        <v>90.66228</v>
      </c>
      <c r="AF994" s="97" t="n">
        <v>94.42426</v>
      </c>
      <c r="AG994" s="97" t="n">
        <v>123.2351</v>
      </c>
      <c r="AH994" s="97" t="n">
        <v>84.88861</v>
      </c>
      <c r="AI994" s="97" t="n">
        <v>47.5</v>
      </c>
      <c r="AJ994" s="97" t="n">
        <v>132.4621</v>
      </c>
      <c r="AK994" s="97" t="n">
        <v>42.50708</v>
      </c>
      <c r="AL994" s="97" t="n">
        <v>80.65067000000001</v>
      </c>
      <c r="AM994" s="97" t="n">
        <v>100.4</v>
      </c>
      <c r="AN994" s="97" t="n"/>
      <c r="AO994" s="97" t="n">
        <v>87.72228</v>
      </c>
      <c r="AP994" s="97" t="n">
        <v>95.3841</v>
      </c>
      <c r="AQ994" s="97" t="n"/>
      <c r="AR994" s="97" t="n"/>
      <c r="AS994" s="97" t="n"/>
      <c r="AT994" s="97" t="n">
        <v>44.28423</v>
      </c>
      <c r="AU994" s="97" t="n"/>
      <c r="AV994" s="97" t="n">
        <v>60.20914</v>
      </c>
      <c r="AW994" s="97" t="n"/>
      <c r="AX994" s="97" t="n">
        <v>41.19657</v>
      </c>
      <c r="AY994" s="97" t="n">
        <v>84.13782</v>
      </c>
    </row>
    <row r="995" s="135">
      <c r="A995" t="inlineStr">
        <is>
          <t>2001-10</t>
        </is>
      </c>
      <c r="B995" s="2" t="n">
        <v>37165</v>
      </c>
      <c r="C995" s="96" t="n">
        <v>995</v>
      </c>
      <c r="E995" s="2">
        <f>B995</f>
        <v/>
      </c>
      <c r="F995" s="3">
        <f>B995</f>
        <v/>
      </c>
      <c r="G995" s="96" t="n">
        <v>993</v>
      </c>
      <c r="H995" s="97" t="n"/>
      <c r="I995" s="97" t="n"/>
      <c r="J995" s="97" t="n">
        <v>73.1939</v>
      </c>
      <c r="K995" s="97" t="n">
        <v>92.39516999999999</v>
      </c>
      <c r="L995" s="97" t="n"/>
      <c r="M995" s="97" t="n">
        <v>66.68889</v>
      </c>
      <c r="N995" s="97" t="n">
        <v>79.09341000000001</v>
      </c>
      <c r="O995" s="97" t="n">
        <v>109.5</v>
      </c>
      <c r="P995" s="97" t="n">
        <v>121.7861</v>
      </c>
      <c r="Q995" s="97" t="n"/>
      <c r="R995" s="97" t="n">
        <v>99.2</v>
      </c>
      <c r="S995" s="97" t="n">
        <v>109.9809</v>
      </c>
      <c r="T995" s="97" t="n">
        <v>107.458</v>
      </c>
      <c r="U995" s="97" t="n">
        <v>142.7335</v>
      </c>
      <c r="V995" s="97" t="n">
        <v>61.70514</v>
      </c>
      <c r="W995" s="97" t="n">
        <v>46.92835</v>
      </c>
      <c r="X995" s="97" t="n">
        <v>36.88896</v>
      </c>
      <c r="Y995" s="97" t="n">
        <v>65.55865</v>
      </c>
      <c r="Z995" s="97" t="n">
        <v>123.5897</v>
      </c>
      <c r="AA995" s="97" t="n">
        <v>95.56421</v>
      </c>
      <c r="AB995" s="97" t="n">
        <v>50.70778</v>
      </c>
      <c r="AC995" s="97" t="n">
        <v>96.092</v>
      </c>
      <c r="AD995" s="97" t="n">
        <v>66.2</v>
      </c>
      <c r="AE995" s="97" t="n">
        <v>88.73286</v>
      </c>
      <c r="AF995" s="97" t="n">
        <v>90.98171000000001</v>
      </c>
      <c r="AG995" s="97" t="n">
        <v>120.9077</v>
      </c>
      <c r="AH995" s="97" t="n">
        <v>84.3141</v>
      </c>
      <c r="AI995" s="97" t="n">
        <v>47.6</v>
      </c>
      <c r="AJ995" s="97" t="n">
        <v>133.23</v>
      </c>
      <c r="AK995" s="97" t="n">
        <v>42.40707</v>
      </c>
      <c r="AL995" s="97" t="n">
        <v>82.05086</v>
      </c>
      <c r="AM995" s="97" t="n">
        <v>100.7</v>
      </c>
      <c r="AN995" s="97" t="n"/>
      <c r="AO995" s="97" t="n">
        <v>87.34058</v>
      </c>
      <c r="AP995" s="97" t="n">
        <v>94.18429999999999</v>
      </c>
      <c r="AQ995" s="97" t="n"/>
      <c r="AR995" s="97" t="n"/>
      <c r="AS995" s="97" t="n"/>
      <c r="AT995" s="97" t="n">
        <v>44.41259</v>
      </c>
      <c r="AU995" s="97" t="n"/>
      <c r="AV995" s="97" t="n">
        <v>60.78638</v>
      </c>
      <c r="AW995" s="97" t="n"/>
      <c r="AX995" s="97" t="n">
        <v>38.89676</v>
      </c>
      <c r="AY995" s="97" t="n">
        <v>82.20663999999999</v>
      </c>
    </row>
    <row r="996" s="135">
      <c r="A996" t="inlineStr">
        <is>
          <t>2001-11</t>
        </is>
      </c>
      <c r="B996" s="2" t="n">
        <v>37196</v>
      </c>
      <c r="C996" s="96" t="n">
        <v>996</v>
      </c>
      <c r="E996" s="2">
        <f>B996</f>
        <v/>
      </c>
      <c r="F996" s="3">
        <f>B996</f>
        <v/>
      </c>
      <c r="G996" s="96" t="n">
        <v>994</v>
      </c>
      <c r="H996" s="97" t="n"/>
      <c r="I996" s="97" t="n"/>
      <c r="J996" s="97" t="n">
        <v>73.09390999999999</v>
      </c>
      <c r="K996" s="97" t="n">
        <v>92.47891</v>
      </c>
      <c r="L996" s="97" t="n"/>
      <c r="M996" s="97" t="n">
        <v>67.1888</v>
      </c>
      <c r="N996" s="97" t="n">
        <v>78.09349</v>
      </c>
      <c r="O996" s="97" t="n">
        <v>117.8</v>
      </c>
      <c r="P996" s="97" t="n">
        <v>119.9531</v>
      </c>
      <c r="Q996" s="97" t="n"/>
      <c r="R996" s="97" t="n">
        <v>99.09999999999999</v>
      </c>
      <c r="S996" s="97" t="n">
        <v>108.7809</v>
      </c>
      <c r="T996" s="97" t="n">
        <v>107.0427</v>
      </c>
      <c r="U996" s="97" t="n">
        <v>144.7311</v>
      </c>
      <c r="V996" s="97" t="n">
        <v>59.80499</v>
      </c>
      <c r="W996" s="97" t="n">
        <v>47.81939</v>
      </c>
      <c r="X996" s="97" t="n">
        <v>36.26882</v>
      </c>
      <c r="Y996" s="97" t="n">
        <v>64.92828</v>
      </c>
      <c r="Z996" s="97" t="n">
        <v>121.7898</v>
      </c>
      <c r="AA996" s="97" t="n">
        <v>94.07599999999999</v>
      </c>
      <c r="AB996" s="97" t="n">
        <v>50.66578</v>
      </c>
      <c r="AC996" s="97" t="n">
        <v>96.69194</v>
      </c>
      <c r="AD996" s="97" t="n">
        <v>65.90000000000001</v>
      </c>
      <c r="AE996" s="97" t="n">
        <v>90.66701</v>
      </c>
      <c r="AF996" s="97" t="n">
        <v>94.03082999999999</v>
      </c>
      <c r="AG996" s="97" t="n">
        <v>122.3041</v>
      </c>
      <c r="AH996" s="97" t="n">
        <v>83.91207</v>
      </c>
      <c r="AI996" s="97" t="n">
        <v>47</v>
      </c>
      <c r="AJ996" s="97" t="n">
        <v>134.7658</v>
      </c>
      <c r="AK996" s="97" t="n">
        <v>41.4069</v>
      </c>
      <c r="AL996" s="97" t="n">
        <v>81.02406000000001</v>
      </c>
      <c r="AM996" s="97" t="n">
        <v>101.3</v>
      </c>
      <c r="AN996" s="97" t="n"/>
      <c r="AO996" s="97" t="n">
        <v>86.91267000000001</v>
      </c>
      <c r="AP996" s="97" t="n">
        <v>93.48442</v>
      </c>
      <c r="AQ996" s="97" t="n"/>
      <c r="AR996" s="97" t="n"/>
      <c r="AS996" s="97" t="n"/>
      <c r="AT996" s="97" t="n">
        <v>44.87156</v>
      </c>
      <c r="AU996" s="97" t="n"/>
      <c r="AV996" s="97" t="n">
        <v>61.36831</v>
      </c>
      <c r="AW996" s="97" t="n"/>
      <c r="AX996" s="97" t="n">
        <v>39.5967</v>
      </c>
      <c r="AY996" s="97" t="n">
        <v>83.16345</v>
      </c>
    </row>
    <row r="997" s="135">
      <c r="A997" t="inlineStr">
        <is>
          <t>2001-12</t>
        </is>
      </c>
      <c r="B997" s="2" t="n">
        <v>37226</v>
      </c>
      <c r="C997" s="96" t="n">
        <v>997</v>
      </c>
      <c r="E997" s="2">
        <f>B997</f>
        <v/>
      </c>
      <c r="F997" s="3">
        <f>B997</f>
        <v/>
      </c>
      <c r="G997" s="96" t="n">
        <v>995</v>
      </c>
      <c r="H997" s="97" t="n"/>
      <c r="I997" s="97" t="n"/>
      <c r="J997" s="97" t="n">
        <v>72.29398</v>
      </c>
      <c r="K997" s="97" t="n">
        <v>90.67709000000001</v>
      </c>
      <c r="L997" s="97" t="n"/>
      <c r="M997" s="97" t="n">
        <v>67.28879000000001</v>
      </c>
      <c r="N997" s="97" t="n">
        <v>78.59345</v>
      </c>
      <c r="O997" s="97" t="n">
        <v>113.7</v>
      </c>
      <c r="P997" s="97" t="n">
        <v>119.8041</v>
      </c>
      <c r="Q997" s="97" t="n"/>
      <c r="R997" s="97" t="n">
        <v>95.5</v>
      </c>
      <c r="S997" s="97" t="n">
        <v>109.4809</v>
      </c>
      <c r="T997" s="97" t="n">
        <v>107.1466</v>
      </c>
      <c r="U997" s="97" t="n">
        <v>132.7451</v>
      </c>
      <c r="V997" s="97" t="n">
        <v>59.40495</v>
      </c>
      <c r="W997" s="97" t="n">
        <v>52.51223</v>
      </c>
      <c r="X997" s="97" t="n">
        <v>35.80476</v>
      </c>
      <c r="Y997" s="97" t="n">
        <v>65.1384</v>
      </c>
      <c r="Z997" s="97" t="n">
        <v>123.3897</v>
      </c>
      <c r="AA997" s="97" t="n">
        <v>95.03270999999999</v>
      </c>
      <c r="AB997" s="97" t="n">
        <v>49.64886</v>
      </c>
      <c r="AC997" s="97" t="n">
        <v>98.3918</v>
      </c>
      <c r="AD997" s="97" t="n">
        <v>66.3</v>
      </c>
      <c r="AE997" s="97" t="n">
        <v>90.38336</v>
      </c>
      <c r="AF997" s="97" t="n">
        <v>95.80128000000001</v>
      </c>
      <c r="AG997" s="97" t="n">
        <v>126.4934</v>
      </c>
      <c r="AH997" s="97" t="n">
        <v>84.07589</v>
      </c>
      <c r="AI997" s="97" t="n">
        <v>49.1</v>
      </c>
      <c r="AJ997" s="97" t="n">
        <v>132.8461</v>
      </c>
      <c r="AK997" s="97" t="n">
        <v>41.00684</v>
      </c>
      <c r="AL997" s="97" t="n">
        <v>81.86417</v>
      </c>
      <c r="AM997" s="97" t="n">
        <v>100.7</v>
      </c>
      <c r="AN997" s="97" t="n"/>
      <c r="AO997" s="97" t="n">
        <v>86.93312</v>
      </c>
      <c r="AP997" s="97" t="n">
        <v>94.18429999999999</v>
      </c>
      <c r="AQ997" s="97" t="n"/>
      <c r="AR997" s="97" t="n"/>
      <c r="AS997" s="97" t="n"/>
      <c r="AT997" s="97" t="n">
        <v>44.93439</v>
      </c>
      <c r="AU997" s="97" t="n"/>
      <c r="AV997" s="97" t="n">
        <v>59.56734</v>
      </c>
      <c r="AW997" s="97" t="n"/>
      <c r="AX997" s="97" t="n">
        <v>39.49671</v>
      </c>
      <c r="AY997" s="97" t="n">
        <v>83.40924</v>
      </c>
    </row>
    <row r="998" s="135">
      <c r="A998" t="inlineStr">
        <is>
          <t>2002-01</t>
        </is>
      </c>
      <c r="B998" s="2" t="n">
        <v>37257</v>
      </c>
      <c r="C998" s="96" t="n">
        <v>998</v>
      </c>
      <c r="E998" s="2">
        <f>B998</f>
        <v/>
      </c>
      <c r="F998" s="3">
        <f>B998</f>
        <v/>
      </c>
      <c r="G998" s="96" t="n">
        <v>996</v>
      </c>
      <c r="H998" s="97" t="n"/>
      <c r="I998" s="97" t="n"/>
      <c r="J998" s="97" t="n">
        <v>73.69386</v>
      </c>
      <c r="K998" s="97" t="n">
        <v>93.86606</v>
      </c>
      <c r="L998" s="97" t="n"/>
      <c r="M998" s="97" t="n">
        <v>65.3891</v>
      </c>
      <c r="N998" s="97" t="n">
        <v>78.99342</v>
      </c>
      <c r="O998" s="97" t="n">
        <v>115.6</v>
      </c>
      <c r="P998" s="97" t="n">
        <v>121.4561</v>
      </c>
      <c r="Q998" s="97" t="n"/>
      <c r="R998" s="97" t="n">
        <v>98.5</v>
      </c>
      <c r="S998" s="97" t="n">
        <v>109.4509</v>
      </c>
      <c r="T998" s="97" t="n">
        <v>106.8351</v>
      </c>
      <c r="U998" s="97" t="n">
        <v>141.1353</v>
      </c>
      <c r="V998" s="97" t="n">
        <v>59.70498</v>
      </c>
      <c r="W998" s="97" t="n">
        <v>53.22506</v>
      </c>
      <c r="X998" s="97" t="n">
        <v>37.2173</v>
      </c>
      <c r="Y998" s="97" t="n">
        <v>64.78819</v>
      </c>
      <c r="Z998" s="97" t="n">
        <v>122.2898</v>
      </c>
      <c r="AA998" s="97" t="n">
        <v>94.50121</v>
      </c>
      <c r="AB998" s="97" t="n">
        <v>50.82877</v>
      </c>
      <c r="AC998" s="97" t="n">
        <v>97.99184</v>
      </c>
      <c r="AD998" s="97" t="n">
        <v>67.7</v>
      </c>
      <c r="AE998" s="97" t="n">
        <v>88.71823000000001</v>
      </c>
      <c r="AF998" s="97" t="n">
        <v>94.12918999999999</v>
      </c>
      <c r="AG998" s="97" t="n">
        <v>122.5368</v>
      </c>
      <c r="AH998" s="97" t="n">
        <v>84.31077000000001</v>
      </c>
      <c r="AI998" s="97" t="n">
        <v>47.9</v>
      </c>
      <c r="AJ998" s="97" t="n">
        <v>130.1584</v>
      </c>
      <c r="AK998" s="97" t="n">
        <v>41.50692</v>
      </c>
      <c r="AL998" s="97" t="n">
        <v>82.98430999999999</v>
      </c>
      <c r="AM998" s="97" t="n">
        <v>99.5</v>
      </c>
      <c r="AN998" s="97" t="n"/>
      <c r="AO998" s="97" t="n">
        <v>87.48264</v>
      </c>
      <c r="AP998" s="97" t="n">
        <v>94.18429999999999</v>
      </c>
      <c r="AQ998" s="97" t="n"/>
      <c r="AR998" s="97" t="n"/>
      <c r="AS998" s="97" t="n"/>
      <c r="AT998" s="97" t="n">
        <v>44.81569</v>
      </c>
      <c r="AU998" s="97" t="n"/>
      <c r="AV998" s="97" t="n">
        <v>60.35918</v>
      </c>
      <c r="AW998" s="97" t="n"/>
      <c r="AX998" s="97" t="n">
        <v>40.7966</v>
      </c>
      <c r="AY998" s="97" t="n">
        <v>85.54913000000001</v>
      </c>
    </row>
    <row r="999" s="135">
      <c r="A999" t="inlineStr">
        <is>
          <t>2002-02</t>
        </is>
      </c>
      <c r="B999" s="2" t="n">
        <v>37288</v>
      </c>
      <c r="C999" s="96" t="n">
        <v>999</v>
      </c>
      <c r="E999" s="2">
        <f>B999</f>
        <v/>
      </c>
      <c r="F999" s="3">
        <f>B999</f>
        <v/>
      </c>
      <c r="G999" s="96" t="n">
        <v>997</v>
      </c>
      <c r="H999" s="97" t="n"/>
      <c r="I999" s="97" t="n"/>
      <c r="J999" s="97" t="n">
        <v>73.49387</v>
      </c>
      <c r="K999" s="97" t="n">
        <v>95.13469000000001</v>
      </c>
      <c r="L999" s="97" t="n"/>
      <c r="M999" s="97" t="n">
        <v>66.88885000000001</v>
      </c>
      <c r="N999" s="97" t="n">
        <v>79.1934</v>
      </c>
      <c r="O999" s="97" t="n">
        <v>113.4</v>
      </c>
      <c r="P999" s="97" t="n">
        <v>121.8021</v>
      </c>
      <c r="Q999" s="97" t="n"/>
      <c r="R999" s="97" t="n">
        <v>97.5</v>
      </c>
      <c r="S999" s="97" t="n">
        <v>109.8409</v>
      </c>
      <c r="T999" s="97" t="n">
        <v>107.458</v>
      </c>
      <c r="U999" s="97" t="n">
        <v>144.9309</v>
      </c>
      <c r="V999" s="97" t="n">
        <v>63.30527</v>
      </c>
      <c r="W999" s="97" t="n">
        <v>50.78954</v>
      </c>
      <c r="X999" s="97" t="n">
        <v>39.44416</v>
      </c>
      <c r="Y999" s="97" t="n">
        <v>65.41856</v>
      </c>
      <c r="Z999" s="97" t="n">
        <v>123.8897</v>
      </c>
      <c r="AA999" s="97" t="n">
        <v>95.67050999999999</v>
      </c>
      <c r="AB999" s="97" t="n">
        <v>51.91167</v>
      </c>
      <c r="AC999" s="97" t="n">
        <v>99.19173000000001</v>
      </c>
      <c r="AD999" s="97" t="n">
        <v>66.59999999999999</v>
      </c>
      <c r="AE999" s="97" t="n">
        <v>87.69687999999999</v>
      </c>
      <c r="AF999" s="97" t="n">
        <v>90.2932</v>
      </c>
      <c r="AG999" s="97" t="n">
        <v>124.6315</v>
      </c>
      <c r="AH999" s="97" t="n">
        <v>84.7299</v>
      </c>
      <c r="AI999" s="97" t="n">
        <v>47.7</v>
      </c>
      <c r="AJ999" s="97" t="n">
        <v>128.1107</v>
      </c>
      <c r="AK999" s="97" t="n">
        <v>43.30722</v>
      </c>
      <c r="AL999" s="97" t="n">
        <v>82.70428</v>
      </c>
      <c r="AM999" s="97" t="n">
        <v>101.7</v>
      </c>
      <c r="AN999" s="97" t="n"/>
      <c r="AO999" s="97" t="n">
        <v>87.45948</v>
      </c>
      <c r="AP999" s="97" t="n">
        <v>94.48425</v>
      </c>
      <c r="AQ999" s="97" t="n"/>
      <c r="AR999" s="97" t="n"/>
      <c r="AS999" s="97" t="n"/>
      <c r="AT999" s="97" t="n">
        <v>45.09424</v>
      </c>
      <c r="AU999" s="97" t="n"/>
      <c r="AV999" s="97" t="n">
        <v>60.36749</v>
      </c>
      <c r="AW999" s="97" t="n"/>
      <c r="AX999" s="97" t="n">
        <v>43.1964</v>
      </c>
      <c r="AY999" s="97" t="n">
        <v>88.30168</v>
      </c>
    </row>
    <row r="1000" s="135">
      <c r="A1000" t="inlineStr">
        <is>
          <t>2002-03</t>
        </is>
      </c>
      <c r="B1000" s="2" t="n">
        <v>37316</v>
      </c>
      <c r="C1000" s="96" t="n">
        <v>1000</v>
      </c>
      <c r="E1000" s="2">
        <f>B1000</f>
        <v/>
      </c>
      <c r="F1000" s="3">
        <f>B1000</f>
        <v/>
      </c>
      <c r="G1000" s="96" t="n">
        <v>998</v>
      </c>
      <c r="H1000" s="97" t="n"/>
      <c r="I1000" s="97" t="n"/>
      <c r="J1000" s="97" t="n">
        <v>75.69370000000001</v>
      </c>
      <c r="K1000" s="97" t="n">
        <v>94.98005999999999</v>
      </c>
      <c r="L1000" s="97" t="n"/>
      <c r="M1000" s="97" t="n">
        <v>66.48891999999999</v>
      </c>
      <c r="N1000" s="97" t="n">
        <v>79.39339</v>
      </c>
      <c r="O1000" s="97" t="n">
        <v>111.7</v>
      </c>
      <c r="P1000" s="97" t="n">
        <v>121.1911</v>
      </c>
      <c r="Q1000" s="97" t="n"/>
      <c r="R1000" s="97" t="n">
        <v>102.5</v>
      </c>
      <c r="S1000" s="97" t="n">
        <v>110.3709</v>
      </c>
      <c r="T1000" s="97" t="n">
        <v>109.4307</v>
      </c>
      <c r="U1000" s="97" t="n">
        <v>142.5337</v>
      </c>
      <c r="V1000" s="97" t="n">
        <v>62.60522</v>
      </c>
      <c r="W1000" s="97" t="n">
        <v>55.66058</v>
      </c>
      <c r="X1000" s="97" t="n">
        <v>37.82626</v>
      </c>
      <c r="Y1000" s="97" t="n">
        <v>66.53922</v>
      </c>
      <c r="Z1000" s="97" t="n">
        <v>124.5896</v>
      </c>
      <c r="AA1000" s="97" t="n">
        <v>96.09571</v>
      </c>
      <c r="AB1000" s="97" t="n">
        <v>52.86959</v>
      </c>
      <c r="AC1000" s="97" t="n">
        <v>97.09191</v>
      </c>
      <c r="AD1000" s="97" t="n">
        <v>67.5</v>
      </c>
      <c r="AE1000" s="97" t="n">
        <v>88.3712</v>
      </c>
      <c r="AF1000" s="97" t="n">
        <v>94.03082999999999</v>
      </c>
      <c r="AG1000" s="97" t="n">
        <v>112.9946</v>
      </c>
      <c r="AH1000" s="97" t="n">
        <v>85.20276</v>
      </c>
      <c r="AI1000" s="97" t="n">
        <v>47.8</v>
      </c>
      <c r="AJ1000" s="97" t="n">
        <v>132.8461</v>
      </c>
      <c r="AK1000" s="97" t="n">
        <v>42.20704</v>
      </c>
      <c r="AL1000" s="97" t="n">
        <v>82.33089</v>
      </c>
      <c r="AM1000" s="97" t="n">
        <v>102</v>
      </c>
      <c r="AN1000" s="97" t="n"/>
      <c r="AO1000" s="97" t="n">
        <v>88.17285</v>
      </c>
      <c r="AP1000" s="97" t="n">
        <v>95.28412</v>
      </c>
      <c r="AQ1000" s="97" t="n"/>
      <c r="AR1000" s="97" t="n"/>
      <c r="AS1000" s="97" t="n"/>
      <c r="AT1000" s="97" t="n">
        <v>45.36998</v>
      </c>
      <c r="AU1000" s="97" t="n"/>
      <c r="AV1000" s="97" t="n">
        <v>60.3356</v>
      </c>
      <c r="AW1000" s="97" t="n"/>
      <c r="AX1000" s="97" t="n">
        <v>43.69636</v>
      </c>
      <c r="AY1000" s="97" t="n">
        <v>87.86127</v>
      </c>
    </row>
    <row r="1001" s="135">
      <c r="A1001" t="inlineStr">
        <is>
          <t>2002-04</t>
        </is>
      </c>
      <c r="B1001" s="2" t="n">
        <v>37347</v>
      </c>
      <c r="C1001" s="96" t="n">
        <v>1001</v>
      </c>
      <c r="E1001" s="2">
        <f>B1001</f>
        <v/>
      </c>
      <c r="F1001" s="3">
        <f>B1001</f>
        <v/>
      </c>
      <c r="G1001" s="96" t="n">
        <v>999</v>
      </c>
      <c r="H1001" s="97" t="n"/>
      <c r="I1001" s="97" t="n"/>
      <c r="J1001" s="97" t="n">
        <v>75.19373</v>
      </c>
      <c r="K1001" s="97" t="n">
        <v>96.33562999999999</v>
      </c>
      <c r="L1001" s="97" t="n"/>
      <c r="M1001" s="97" t="n">
        <v>67.08882</v>
      </c>
      <c r="N1001" s="97" t="n">
        <v>79.49338</v>
      </c>
      <c r="O1001" s="97" t="n">
        <v>115.5</v>
      </c>
      <c r="P1001" s="97" t="n">
        <v>122.7251</v>
      </c>
      <c r="Q1001" s="97" t="n"/>
      <c r="R1001" s="97" t="n">
        <v>100.3</v>
      </c>
      <c r="S1001" s="97" t="n">
        <v>111.0909</v>
      </c>
      <c r="T1001" s="97" t="n">
        <v>107.5619</v>
      </c>
      <c r="U1001" s="97" t="n">
        <v>144.7311</v>
      </c>
      <c r="V1001" s="97" t="n">
        <v>62.30519</v>
      </c>
      <c r="W1001" s="97" t="n">
        <v>52.51223</v>
      </c>
      <c r="X1001" s="97" t="n">
        <v>36.9316</v>
      </c>
      <c r="Y1001" s="97" t="n">
        <v>66.67931</v>
      </c>
      <c r="Z1001" s="97" t="n">
        <v>120.9899</v>
      </c>
      <c r="AA1001" s="97" t="n">
        <v>95.98941000000001</v>
      </c>
      <c r="AB1001" s="97" t="n">
        <v>53.55154</v>
      </c>
      <c r="AC1001" s="97" t="n">
        <v>99.99167</v>
      </c>
      <c r="AD1001" s="97" t="n">
        <v>68.7</v>
      </c>
      <c r="AE1001" s="97" t="n">
        <v>89.17979</v>
      </c>
      <c r="AF1001" s="97" t="n">
        <v>96.29308</v>
      </c>
      <c r="AG1001" s="97" t="n">
        <v>126.4934</v>
      </c>
      <c r="AH1001" s="97" t="n">
        <v>85.64456</v>
      </c>
      <c r="AI1001" s="97" t="n">
        <v>46.6</v>
      </c>
      <c r="AJ1001" s="97" t="n">
        <v>135.2777</v>
      </c>
      <c r="AK1001" s="97" t="n">
        <v>43.60727</v>
      </c>
      <c r="AL1001" s="97" t="n">
        <v>84.19781</v>
      </c>
      <c r="AM1001" s="97" t="n">
        <v>100.8</v>
      </c>
      <c r="AN1001" s="97" t="n"/>
      <c r="AO1001" s="97" t="n">
        <v>88.53698</v>
      </c>
      <c r="AP1001" s="97" t="n">
        <v>95.08414999999999</v>
      </c>
      <c r="AQ1001" s="97" t="n"/>
      <c r="AR1001" s="97" t="n"/>
      <c r="AS1001" s="97" t="n"/>
      <c r="AT1001" s="97" t="n">
        <v>45.88514</v>
      </c>
      <c r="AU1001" s="97" t="n"/>
      <c r="AV1001" s="97" t="n">
        <v>60.40162</v>
      </c>
      <c r="AW1001" s="97" t="n"/>
      <c r="AX1001" s="97" t="n">
        <v>44.49629</v>
      </c>
      <c r="AY1001" s="97" t="n">
        <v>87.53097</v>
      </c>
    </row>
    <row r="1002" s="135">
      <c r="A1002" t="inlineStr">
        <is>
          <t>2002-05</t>
        </is>
      </c>
      <c r="B1002" s="2" t="n">
        <v>37377</v>
      </c>
      <c r="C1002" s="96" t="n">
        <v>1002</v>
      </c>
      <c r="E1002" s="2">
        <f>B1002</f>
        <v/>
      </c>
      <c r="F1002" s="3">
        <f>B1002</f>
        <v/>
      </c>
      <c r="G1002" s="96" t="n">
        <v>1000</v>
      </c>
      <c r="H1002" s="97" t="n"/>
      <c r="I1002" s="97" t="n"/>
      <c r="J1002" s="97" t="n">
        <v>75.89368</v>
      </c>
      <c r="K1002" s="97" t="n">
        <v>96.27758</v>
      </c>
      <c r="L1002" s="97" t="n"/>
      <c r="M1002" s="97" t="n">
        <v>67.1888</v>
      </c>
      <c r="N1002" s="97" t="n">
        <v>78.69344</v>
      </c>
      <c r="O1002" s="97" t="n">
        <v>113.8</v>
      </c>
      <c r="P1002" s="97" t="n">
        <v>121.4791</v>
      </c>
      <c r="Q1002" s="97" t="n"/>
      <c r="R1002" s="97" t="n">
        <v>100.7</v>
      </c>
      <c r="S1002" s="97" t="n">
        <v>110.1309</v>
      </c>
      <c r="T1002" s="97" t="n">
        <v>108.8078</v>
      </c>
      <c r="U1002" s="97" t="n">
        <v>139.1377</v>
      </c>
      <c r="V1002" s="97" t="n">
        <v>61.30511</v>
      </c>
      <c r="W1002" s="97" t="n">
        <v>55.24476</v>
      </c>
      <c r="X1002" s="97" t="n">
        <v>35.96883</v>
      </c>
      <c r="Y1002" s="97" t="n">
        <v>66.11897999999999</v>
      </c>
      <c r="Z1002" s="97" t="n">
        <v>125.1896</v>
      </c>
      <c r="AA1002" s="97" t="n">
        <v>99.81623</v>
      </c>
      <c r="AB1002" s="97" t="n">
        <v>53.11757</v>
      </c>
      <c r="AC1002" s="97" t="n">
        <v>100.7916</v>
      </c>
      <c r="AD1002" s="97" t="n">
        <v>68.40000000000001</v>
      </c>
      <c r="AE1002" s="97" t="n">
        <v>89.47086</v>
      </c>
      <c r="AF1002" s="97" t="n">
        <v>97.07993999999999</v>
      </c>
      <c r="AG1002" s="97" t="n">
        <v>124.166</v>
      </c>
      <c r="AH1002" s="97" t="n">
        <v>86.12209</v>
      </c>
      <c r="AI1002" s="97" t="n">
        <v>47</v>
      </c>
      <c r="AJ1002" s="97" t="n">
        <v>131.9502</v>
      </c>
      <c r="AK1002" s="97" t="n">
        <v>44.4074</v>
      </c>
      <c r="AL1002" s="97" t="n">
        <v>81.86417</v>
      </c>
      <c r="AM1002" s="97" t="n">
        <v>100.9</v>
      </c>
      <c r="AN1002" s="97" t="n"/>
      <c r="AO1002" s="97" t="n">
        <v>88.91128999999999</v>
      </c>
      <c r="AP1002" s="97" t="n">
        <v>95.48408999999999</v>
      </c>
      <c r="AQ1002" s="97" t="n"/>
      <c r="AR1002" s="97" t="n"/>
      <c r="AS1002" s="97" t="n"/>
      <c r="AT1002" s="97" t="n">
        <v>45.69567</v>
      </c>
      <c r="AU1002" s="97" t="n"/>
      <c r="AV1002" s="97" t="n">
        <v>59.86753</v>
      </c>
      <c r="AW1002" s="97" t="n"/>
      <c r="AX1002" s="97" t="n">
        <v>43.09641</v>
      </c>
      <c r="AY1002" s="97" t="n">
        <v>87.09056</v>
      </c>
    </row>
    <row r="1003" s="135">
      <c r="A1003" t="inlineStr">
        <is>
          <t>2002-06</t>
        </is>
      </c>
      <c r="B1003" s="2" t="n">
        <v>37408</v>
      </c>
      <c r="C1003" s="96" t="n">
        <v>1003</v>
      </c>
      <c r="E1003" s="2">
        <f>B1003</f>
        <v/>
      </c>
      <c r="F1003" s="3">
        <f>B1003</f>
        <v/>
      </c>
      <c r="G1003" s="96" t="n">
        <v>1001</v>
      </c>
      <c r="H1003" s="97" t="n"/>
      <c r="I1003" s="97" t="n"/>
      <c r="J1003" s="97" t="n">
        <v>74.59378</v>
      </c>
      <c r="K1003" s="97" t="n">
        <v>95.59003</v>
      </c>
      <c r="L1003" s="97" t="n"/>
      <c r="M1003" s="97" t="n">
        <v>67.1888</v>
      </c>
      <c r="N1003" s="97" t="n">
        <v>80.89326</v>
      </c>
      <c r="O1003" s="97" t="n">
        <v>112.7</v>
      </c>
      <c r="P1003" s="97" t="n">
        <v>121.2251</v>
      </c>
      <c r="Q1003" s="97" t="n"/>
      <c r="R1003" s="97" t="n">
        <v>102.9</v>
      </c>
      <c r="S1003" s="97" t="n">
        <v>109.9409</v>
      </c>
      <c r="T1003" s="97" t="n">
        <v>105.1739</v>
      </c>
      <c r="U1003" s="97" t="n">
        <v>141.6348</v>
      </c>
      <c r="V1003" s="97" t="n">
        <v>62.10518</v>
      </c>
      <c r="W1003" s="97" t="n">
        <v>56.61103</v>
      </c>
      <c r="X1003" s="97" t="n">
        <v>34.52236</v>
      </c>
      <c r="Y1003" s="97" t="n">
        <v>65.9789</v>
      </c>
      <c r="Z1003" s="97" t="n">
        <v>123.9897</v>
      </c>
      <c r="AA1003" s="97" t="n">
        <v>98.64693</v>
      </c>
      <c r="AB1003" s="97" t="n">
        <v>52.49063</v>
      </c>
      <c r="AC1003" s="97" t="n">
        <v>101.3915</v>
      </c>
      <c r="AD1003" s="97" t="n">
        <v>70.5</v>
      </c>
      <c r="AE1003" s="97" t="n">
        <v>89.18980999999999</v>
      </c>
      <c r="AF1003" s="97" t="n">
        <v>96.19472</v>
      </c>
      <c r="AG1003" s="97" t="n">
        <v>124.166</v>
      </c>
      <c r="AH1003" s="97" t="n">
        <v>86.21211</v>
      </c>
      <c r="AI1003" s="97" t="n">
        <v>48</v>
      </c>
      <c r="AJ1003" s="97" t="n">
        <v>132.4621</v>
      </c>
      <c r="AK1003" s="97" t="n">
        <v>45.6076</v>
      </c>
      <c r="AL1003" s="97" t="n">
        <v>82.05086</v>
      </c>
      <c r="AM1003" s="97" t="n">
        <v>99.40000000000001</v>
      </c>
      <c r="AN1003" s="97" t="n"/>
      <c r="AO1003" s="97" t="n">
        <v>89.75731</v>
      </c>
      <c r="AP1003" s="97" t="n">
        <v>95.88402000000001</v>
      </c>
      <c r="AQ1003" s="97" t="n"/>
      <c r="AR1003" s="97" t="n"/>
      <c r="AS1003" s="97" t="n"/>
      <c r="AT1003" s="97" t="n">
        <v>46.12993</v>
      </c>
      <c r="AU1003" s="97" t="n"/>
      <c r="AV1003" s="97" t="n">
        <v>61.17619</v>
      </c>
      <c r="AW1003" s="97" t="n"/>
      <c r="AX1003" s="97" t="n">
        <v>43.49638</v>
      </c>
      <c r="AY1003" s="97" t="n">
        <v>87.42086999999999</v>
      </c>
    </row>
    <row r="1004" s="135">
      <c r="A1004" t="inlineStr">
        <is>
          <t>2002-07</t>
        </is>
      </c>
      <c r="B1004" s="2" t="n">
        <v>37438</v>
      </c>
      <c r="C1004" s="96" t="n">
        <v>1004</v>
      </c>
      <c r="E1004" s="2">
        <f>B1004</f>
        <v/>
      </c>
      <c r="F1004" s="3">
        <f>B1004</f>
        <v/>
      </c>
      <c r="G1004" s="96" t="n">
        <v>1002</v>
      </c>
      <c r="H1004" s="97" t="n"/>
      <c r="I1004" s="97" t="n"/>
      <c r="J1004" s="97" t="n">
        <v>74.09383</v>
      </c>
      <c r="K1004" s="97" t="n">
        <v>96.58176</v>
      </c>
      <c r="L1004" s="97" t="n"/>
      <c r="M1004" s="97" t="n">
        <v>68.68855000000001</v>
      </c>
      <c r="N1004" s="97" t="n">
        <v>79.39339</v>
      </c>
      <c r="O1004" s="97" t="n">
        <v>114.1</v>
      </c>
      <c r="P1004" s="97" t="n">
        <v>122.2231</v>
      </c>
      <c r="Q1004" s="97" t="n"/>
      <c r="R1004" s="97" t="n">
        <v>101.6</v>
      </c>
      <c r="S1004" s="97" t="n">
        <v>108.8109</v>
      </c>
      <c r="T1004" s="97" t="n">
        <v>106.316</v>
      </c>
      <c r="U1004" s="97" t="n">
        <v>141.7346</v>
      </c>
      <c r="V1004" s="97" t="n">
        <v>63.10526</v>
      </c>
      <c r="W1004" s="97" t="n">
        <v>53.40327</v>
      </c>
      <c r="X1004" s="97" t="n">
        <v>35.15178</v>
      </c>
      <c r="Y1004" s="97" t="n">
        <v>65.06836</v>
      </c>
      <c r="Z1004" s="97" t="n">
        <v>123.4897</v>
      </c>
      <c r="AA1004" s="97" t="n">
        <v>99.39103</v>
      </c>
      <c r="AB1004" s="97" t="n">
        <v>54.08449</v>
      </c>
      <c r="AC1004" s="97" t="n">
        <v>99.09174</v>
      </c>
      <c r="AD1004" s="97" t="n">
        <v>70.40000000000001</v>
      </c>
      <c r="AE1004" s="97" t="n">
        <v>89.68967000000001</v>
      </c>
      <c r="AF1004" s="97" t="n">
        <v>96.19472</v>
      </c>
      <c r="AG1004" s="97" t="n">
        <v>120.3258</v>
      </c>
      <c r="AH1004" s="97" t="n">
        <v>86.24875</v>
      </c>
      <c r="AI1004" s="97" t="n">
        <v>48.6</v>
      </c>
      <c r="AJ1004" s="97" t="n">
        <v>132.974</v>
      </c>
      <c r="AK1004" s="97" t="n">
        <v>45.6076</v>
      </c>
      <c r="AL1004" s="97" t="n">
        <v>83.26434999999999</v>
      </c>
      <c r="AM1004" s="97" t="n">
        <v>100</v>
      </c>
      <c r="AN1004" s="97" t="n"/>
      <c r="AO1004" s="97" t="n">
        <v>89.54225</v>
      </c>
      <c r="AP1004" s="97" t="n">
        <v>95.18414</v>
      </c>
      <c r="AQ1004" s="97" t="n"/>
      <c r="AR1004" s="97" t="n"/>
      <c r="AS1004" s="97" t="n"/>
      <c r="AT1004" s="97" t="n">
        <v>46.6476</v>
      </c>
      <c r="AU1004" s="97" t="n"/>
      <c r="AV1004" s="97" t="n">
        <v>62.1837</v>
      </c>
      <c r="AW1004" s="97" t="n"/>
      <c r="AX1004" s="97" t="n">
        <v>43.99633</v>
      </c>
      <c r="AY1004" s="97" t="n">
        <v>87.75117</v>
      </c>
    </row>
    <row r="1005" s="135">
      <c r="A1005" t="inlineStr">
        <is>
          <t>2002-08</t>
        </is>
      </c>
      <c r="B1005" s="2" t="n">
        <v>37469</v>
      </c>
      <c r="C1005" s="96" t="n">
        <v>1005</v>
      </c>
      <c r="E1005" s="2">
        <f>B1005</f>
        <v/>
      </c>
      <c r="F1005" s="3">
        <f>B1005</f>
        <v/>
      </c>
      <c r="G1005" s="96" t="n">
        <v>1003</v>
      </c>
      <c r="H1005" s="97" t="n"/>
      <c r="I1005" s="97" t="n"/>
      <c r="J1005" s="97" t="n">
        <v>75.39371</v>
      </c>
      <c r="K1005" s="97" t="n">
        <v>96.38245000000001</v>
      </c>
      <c r="L1005" s="97" t="n"/>
      <c r="M1005" s="97" t="n">
        <v>67.1888</v>
      </c>
      <c r="N1005" s="97" t="n">
        <v>81.29322999999999</v>
      </c>
      <c r="O1005" s="97" t="n">
        <v>112.9</v>
      </c>
      <c r="P1005" s="97" t="n">
        <v>122.7531</v>
      </c>
      <c r="Q1005" s="97" t="n"/>
      <c r="R1005" s="97" t="n">
        <v>101.2</v>
      </c>
      <c r="S1005" s="97" t="n">
        <v>110.8409</v>
      </c>
      <c r="T1005" s="97" t="n">
        <v>107.1466</v>
      </c>
      <c r="U1005" s="97" t="n">
        <v>139.4373</v>
      </c>
      <c r="V1005" s="97" t="n">
        <v>62.10518</v>
      </c>
      <c r="W1005" s="97" t="n">
        <v>52.92805</v>
      </c>
      <c r="X1005" s="97" t="n">
        <v>35.58879</v>
      </c>
      <c r="Y1005" s="97" t="n">
        <v>65.41856</v>
      </c>
      <c r="Z1005" s="97" t="n">
        <v>122.0898</v>
      </c>
      <c r="AA1005" s="97" t="n">
        <v>99.81623</v>
      </c>
      <c r="AB1005" s="97" t="n">
        <v>54.69044</v>
      </c>
      <c r="AC1005" s="97" t="n">
        <v>99.5917</v>
      </c>
      <c r="AD1005" s="97" t="n">
        <v>72.09999999999999</v>
      </c>
      <c r="AE1005" s="97" t="n">
        <v>89.88702000000001</v>
      </c>
      <c r="AF1005" s="97" t="n">
        <v>96.58815</v>
      </c>
      <c r="AG1005" s="97" t="n">
        <v>120.5586</v>
      </c>
      <c r="AH1005" s="97" t="n">
        <v>86.61593999999999</v>
      </c>
      <c r="AI1005" s="97" t="n">
        <v>49.3</v>
      </c>
      <c r="AJ1005" s="97" t="n">
        <v>129.6465</v>
      </c>
      <c r="AK1005" s="97" t="n">
        <v>46.00767</v>
      </c>
      <c r="AL1005" s="97" t="n">
        <v>83.17101</v>
      </c>
      <c r="AM1005" s="97" t="n">
        <v>99.7</v>
      </c>
      <c r="AN1005" s="97" t="n"/>
      <c r="AO1005" s="97" t="n">
        <v>89.55397000000001</v>
      </c>
      <c r="AP1005" s="97" t="n">
        <v>95.58407</v>
      </c>
      <c r="AQ1005" s="97" t="n"/>
      <c r="AR1005" s="97" t="n"/>
      <c r="AS1005" s="97" t="n"/>
      <c r="AT1005" s="97" t="n">
        <v>46.96331</v>
      </c>
      <c r="AU1005" s="97" t="n"/>
      <c r="AV1005" s="97" t="n">
        <v>62.88793</v>
      </c>
      <c r="AW1005" s="97" t="n"/>
      <c r="AX1005" s="97" t="n">
        <v>44.09632</v>
      </c>
      <c r="AY1005" s="97" t="n">
        <v>86.54004999999999</v>
      </c>
    </row>
    <row r="1006" s="135">
      <c r="A1006" t="inlineStr">
        <is>
          <t>2002-09</t>
        </is>
      </c>
      <c r="B1006" s="2" t="n">
        <v>37500</v>
      </c>
      <c r="C1006" s="96" t="n">
        <v>1006</v>
      </c>
      <c r="E1006" s="2">
        <f>B1006</f>
        <v/>
      </c>
      <c r="F1006" s="3">
        <f>B1006</f>
        <v/>
      </c>
      <c r="G1006" s="96" t="n">
        <v>1004</v>
      </c>
      <c r="H1006" s="97" t="n"/>
      <c r="I1006" s="97" t="n"/>
      <c r="J1006" s="97" t="n">
        <v>75.29371999999999</v>
      </c>
      <c r="K1006" s="97" t="n">
        <v>95.50494999999999</v>
      </c>
      <c r="L1006" s="97" t="n"/>
      <c r="M1006" s="97" t="n">
        <v>68.68855000000001</v>
      </c>
      <c r="N1006" s="97" t="n">
        <v>80.19331</v>
      </c>
      <c r="O1006" s="97" t="n">
        <v>113.8</v>
      </c>
      <c r="P1006" s="97" t="n">
        <v>122.9241</v>
      </c>
      <c r="Q1006" s="97" t="n"/>
      <c r="R1006" s="97" t="n">
        <v>100.9</v>
      </c>
      <c r="S1006" s="97" t="n">
        <v>109.4609</v>
      </c>
      <c r="T1006" s="97" t="n">
        <v>108.4963</v>
      </c>
      <c r="U1006" s="97" t="n">
        <v>139.4373</v>
      </c>
      <c r="V1006" s="97" t="n">
        <v>63.50529</v>
      </c>
      <c r="W1006" s="97" t="n">
        <v>54.82894</v>
      </c>
      <c r="X1006" s="97" t="n">
        <v>35.97872</v>
      </c>
      <c r="Y1006" s="97" t="n">
        <v>65.76877</v>
      </c>
      <c r="Z1006" s="97" t="n">
        <v>124.3896</v>
      </c>
      <c r="AA1006" s="97" t="n">
        <v>100.454</v>
      </c>
      <c r="AB1006" s="97" t="n">
        <v>54.30647</v>
      </c>
      <c r="AC1006" s="97" t="n">
        <v>100.9916</v>
      </c>
      <c r="AD1006" s="97" t="n">
        <v>71</v>
      </c>
      <c r="AE1006" s="97" t="n">
        <v>89.67798000000001</v>
      </c>
      <c r="AF1006" s="97" t="n">
        <v>96.09636</v>
      </c>
      <c r="AG1006" s="97" t="n">
        <v>115.6711</v>
      </c>
      <c r="AH1006" s="97" t="n">
        <v>86.70417999999999</v>
      </c>
      <c r="AI1006" s="97" t="n">
        <v>49.4</v>
      </c>
      <c r="AJ1006" s="97" t="n">
        <v>130.5424</v>
      </c>
      <c r="AK1006" s="97" t="n">
        <v>45.6076</v>
      </c>
      <c r="AL1006" s="97" t="n">
        <v>83.54439000000001</v>
      </c>
      <c r="AM1006" s="97" t="n">
        <v>99.7</v>
      </c>
      <c r="AN1006" s="97" t="n"/>
      <c r="AO1006" s="97" t="n">
        <v>89.67836</v>
      </c>
      <c r="AP1006" s="97" t="n">
        <v>95.88402000000001</v>
      </c>
      <c r="AQ1006" s="97" t="n"/>
      <c r="AR1006" s="97" t="n"/>
      <c r="AS1006" s="97" t="n"/>
      <c r="AT1006" s="97" t="n">
        <v>46.82911</v>
      </c>
      <c r="AU1006" s="97" t="n"/>
      <c r="AV1006" s="97" t="n">
        <v>62.46502</v>
      </c>
      <c r="AW1006" s="97" t="n"/>
      <c r="AX1006" s="97" t="n">
        <v>45.39622</v>
      </c>
      <c r="AY1006" s="97" t="n">
        <v>87.64107</v>
      </c>
    </row>
    <row r="1007" s="135">
      <c r="A1007" t="inlineStr">
        <is>
          <t>2002-10</t>
        </is>
      </c>
      <c r="B1007" s="2" t="n">
        <v>37530</v>
      </c>
      <c r="C1007" s="96" t="n">
        <v>1007</v>
      </c>
      <c r="E1007" s="2">
        <f>B1007</f>
        <v/>
      </c>
      <c r="F1007" s="3">
        <f>B1007</f>
        <v/>
      </c>
      <c r="G1007" s="96" t="n">
        <v>1005</v>
      </c>
      <c r="H1007" s="97" t="n"/>
      <c r="I1007" s="97" t="n"/>
      <c r="J1007" s="97" t="n">
        <v>76.39363</v>
      </c>
      <c r="K1007" s="97" t="n">
        <v>96.15184000000001</v>
      </c>
      <c r="L1007" s="97" t="n"/>
      <c r="M1007" s="97" t="n">
        <v>69.78837</v>
      </c>
      <c r="N1007" s="97" t="n">
        <v>79.59336999999999</v>
      </c>
      <c r="O1007" s="97" t="n">
        <v>117.6</v>
      </c>
      <c r="P1007" s="97" t="n">
        <v>124.0261</v>
      </c>
      <c r="Q1007" s="97" t="n"/>
      <c r="R1007" s="97" t="n">
        <v>102.5</v>
      </c>
      <c r="S1007" s="97" t="n">
        <v>108.6009</v>
      </c>
      <c r="T1007" s="97" t="n">
        <v>106.7313</v>
      </c>
      <c r="U1007" s="97" t="n">
        <v>143.133</v>
      </c>
      <c r="V1007" s="97" t="n">
        <v>61.10509</v>
      </c>
      <c r="W1007" s="97" t="n">
        <v>52.80924</v>
      </c>
      <c r="X1007" s="97" t="n">
        <v>36.67768</v>
      </c>
      <c r="Y1007" s="97" t="n">
        <v>65.20844</v>
      </c>
      <c r="Z1007" s="97" t="n">
        <v>122.8898</v>
      </c>
      <c r="AA1007" s="97" t="n">
        <v>100.454</v>
      </c>
      <c r="AB1007" s="97" t="n">
        <v>54.71444</v>
      </c>
      <c r="AC1007" s="97" t="n">
        <v>107.2911</v>
      </c>
      <c r="AD1007" s="97" t="n">
        <v>72.40000000000001</v>
      </c>
      <c r="AE1007" s="97" t="n">
        <v>90.32203</v>
      </c>
      <c r="AF1007" s="97" t="n">
        <v>97.07993999999999</v>
      </c>
      <c r="AG1007" s="97" t="n">
        <v>119.8604</v>
      </c>
      <c r="AH1007" s="97" t="n">
        <v>86.5744</v>
      </c>
      <c r="AI1007" s="97" t="n">
        <v>49</v>
      </c>
      <c r="AJ1007" s="97" t="n">
        <v>132.7181</v>
      </c>
      <c r="AK1007" s="97" t="n">
        <v>45.70762</v>
      </c>
      <c r="AL1007" s="97" t="n">
        <v>82.51759</v>
      </c>
      <c r="AM1007" s="97" t="n">
        <v>100.5</v>
      </c>
      <c r="AN1007" s="97" t="n"/>
      <c r="AO1007" s="97" t="n">
        <v>89.40749</v>
      </c>
      <c r="AP1007" s="97" t="n">
        <v>95.28412</v>
      </c>
      <c r="AQ1007" s="97" t="n"/>
      <c r="AR1007" s="97" t="n"/>
      <c r="AS1007" s="97" t="n"/>
      <c r="AT1007" s="97" t="n">
        <v>47.30338</v>
      </c>
      <c r="AU1007" s="97" t="n"/>
      <c r="AV1007" s="97" t="n">
        <v>62.8116</v>
      </c>
      <c r="AW1007" s="97" t="n"/>
      <c r="AX1007" s="97" t="n">
        <v>44.29631</v>
      </c>
      <c r="AY1007" s="97" t="n">
        <v>88.30168</v>
      </c>
    </row>
    <row r="1008" s="135">
      <c r="A1008" t="inlineStr">
        <is>
          <t>2002-11</t>
        </is>
      </c>
      <c r="B1008" s="2" t="n">
        <v>37561</v>
      </c>
      <c r="C1008" s="96" t="n">
        <v>1008</v>
      </c>
      <c r="E1008" s="2">
        <f>B1008</f>
        <v/>
      </c>
      <c r="F1008" s="3">
        <f>B1008</f>
        <v/>
      </c>
      <c r="G1008" s="96" t="n">
        <v>1006</v>
      </c>
      <c r="H1008" s="97" t="n"/>
      <c r="I1008" s="97" t="n"/>
      <c r="J1008" s="97" t="n">
        <v>77.19356999999999</v>
      </c>
      <c r="K1008" s="97" t="n">
        <v>95.54667999999999</v>
      </c>
      <c r="L1008" s="97" t="n"/>
      <c r="M1008" s="97" t="n">
        <v>70.88818000000001</v>
      </c>
      <c r="N1008" s="97" t="n">
        <v>80.99325</v>
      </c>
      <c r="O1008" s="97" t="n">
        <v>114.2</v>
      </c>
      <c r="P1008" s="97" t="n">
        <v>123.4681</v>
      </c>
      <c r="Q1008" s="97" t="n"/>
      <c r="R1008" s="97" t="n">
        <v>103.7</v>
      </c>
      <c r="S1008" s="97" t="n">
        <v>109.6509</v>
      </c>
      <c r="T1008" s="97" t="n">
        <v>106.4198</v>
      </c>
      <c r="U1008" s="97" t="n">
        <v>143.3328</v>
      </c>
      <c r="V1008" s="97" t="n">
        <v>63.80532</v>
      </c>
      <c r="W1008" s="97" t="n">
        <v>53.75969</v>
      </c>
      <c r="X1008" s="97" t="n">
        <v>35.98581</v>
      </c>
      <c r="Y1008" s="97" t="n">
        <v>64.57807</v>
      </c>
      <c r="Z1008" s="97" t="n">
        <v>124.9896</v>
      </c>
      <c r="AA1008" s="97" t="n">
        <v>100.3477</v>
      </c>
      <c r="AB1008" s="97" t="n">
        <v>55.27839</v>
      </c>
      <c r="AC1008" s="97" t="n">
        <v>105.2912</v>
      </c>
      <c r="AD1008" s="97" t="n">
        <v>74.5</v>
      </c>
      <c r="AE1008" s="97" t="n">
        <v>89.87291999999999</v>
      </c>
      <c r="AF1008" s="97" t="n">
        <v>94.42426</v>
      </c>
      <c r="AG1008" s="97" t="n">
        <v>118.6967</v>
      </c>
      <c r="AH1008" s="97" t="n">
        <v>86.90042</v>
      </c>
      <c r="AI1008" s="97" t="n">
        <v>50.7</v>
      </c>
      <c r="AJ1008" s="97" t="n">
        <v>128.4946</v>
      </c>
      <c r="AK1008" s="97" t="n">
        <v>47.70795</v>
      </c>
      <c r="AL1008" s="97" t="n">
        <v>82.42424</v>
      </c>
      <c r="AM1008" s="97" t="n">
        <v>101.4</v>
      </c>
      <c r="AN1008" s="97" t="n"/>
      <c r="AO1008" s="97" t="n">
        <v>89.87421000000001</v>
      </c>
      <c r="AP1008" s="97" t="n">
        <v>95.88402000000001</v>
      </c>
      <c r="AQ1008" s="97" t="n"/>
      <c r="AR1008" s="97" t="n"/>
      <c r="AS1008" s="97" t="n"/>
      <c r="AT1008" s="97" t="n">
        <v>46.97548</v>
      </c>
      <c r="AU1008" s="97" t="n"/>
      <c r="AV1008" s="97" t="n">
        <v>62.07892</v>
      </c>
      <c r="AW1008" s="97" t="n"/>
      <c r="AX1008" s="97" t="n">
        <v>43.39639</v>
      </c>
      <c r="AY1008" s="97" t="n">
        <v>88.41177999999999</v>
      </c>
    </row>
    <row r="1009" s="135">
      <c r="A1009" t="inlineStr">
        <is>
          <t>2002-12</t>
        </is>
      </c>
      <c r="B1009" s="2" t="n">
        <v>37591</v>
      </c>
      <c r="C1009" s="96" t="n">
        <v>1009</v>
      </c>
      <c r="E1009" s="2">
        <f>B1009</f>
        <v/>
      </c>
      <c r="F1009" s="3">
        <f>B1009</f>
        <v/>
      </c>
      <c r="G1009" s="96" t="n">
        <v>1007</v>
      </c>
      <c r="H1009" s="97" t="n"/>
      <c r="I1009" s="97" t="n"/>
      <c r="J1009" s="97" t="n">
        <v>73.49387</v>
      </c>
      <c r="K1009" s="97" t="n">
        <v>94.47977</v>
      </c>
      <c r="L1009" s="97" t="n"/>
      <c r="M1009" s="97" t="n">
        <v>70.38827000000001</v>
      </c>
      <c r="N1009" s="97" t="n">
        <v>79.59336999999999</v>
      </c>
      <c r="O1009" s="97" t="n">
        <v>112.7</v>
      </c>
      <c r="P1009" s="97" t="n">
        <v>122.5161</v>
      </c>
      <c r="Q1009" s="97" t="n"/>
      <c r="R1009" s="97" t="n">
        <v>100.2</v>
      </c>
      <c r="S1009" s="97" t="n">
        <v>107.0409</v>
      </c>
      <c r="T1009" s="97" t="n">
        <v>106.7313</v>
      </c>
      <c r="U1009" s="97" t="n">
        <v>143.133</v>
      </c>
      <c r="V1009" s="97" t="n">
        <v>64.80540000000001</v>
      </c>
      <c r="W1009" s="97" t="n">
        <v>48.94805</v>
      </c>
      <c r="X1009" s="97" t="n">
        <v>35.53693</v>
      </c>
      <c r="Y1009" s="97" t="n">
        <v>65.76877</v>
      </c>
      <c r="Z1009" s="97" t="n">
        <v>123.6897</v>
      </c>
      <c r="AA1009" s="97" t="n">
        <v>100.2414</v>
      </c>
      <c r="AB1009" s="97" t="n">
        <v>56.06433</v>
      </c>
      <c r="AC1009" s="97" t="n">
        <v>103.0914</v>
      </c>
      <c r="AD1009" s="97" t="n">
        <v>72.40000000000001</v>
      </c>
      <c r="AE1009" s="97" t="n">
        <v>90.0538</v>
      </c>
      <c r="AF1009" s="97" t="n">
        <v>93.04724</v>
      </c>
      <c r="AG1009" s="97" t="n">
        <v>117.4166</v>
      </c>
      <c r="AH1009" s="97" t="n">
        <v>86.53341</v>
      </c>
      <c r="AI1009" s="97" t="n">
        <v>50.4</v>
      </c>
      <c r="AJ1009" s="97" t="n">
        <v>130.4144</v>
      </c>
      <c r="AK1009" s="97" t="n">
        <v>47.90799</v>
      </c>
      <c r="AL1009" s="97" t="n">
        <v>82.23755</v>
      </c>
      <c r="AM1009" s="97" t="n">
        <v>102</v>
      </c>
      <c r="AN1009" s="97" t="n"/>
      <c r="AO1009" s="97" t="n">
        <v>89.43333</v>
      </c>
      <c r="AP1009" s="97" t="n">
        <v>94.38427</v>
      </c>
      <c r="AQ1009" s="97" t="n"/>
      <c r="AR1009" s="97" t="n"/>
      <c r="AS1009" s="97" t="n"/>
      <c r="AT1009" s="97" t="n">
        <v>47.51332</v>
      </c>
      <c r="AU1009" s="97" t="n"/>
      <c r="AV1009" s="97" t="n">
        <v>62.05572</v>
      </c>
      <c r="AW1009" s="97" t="n"/>
      <c r="AX1009" s="97" t="n">
        <v>45.99617</v>
      </c>
      <c r="AY1009" s="97" t="n">
        <v>87.53097</v>
      </c>
    </row>
    <row r="1010" s="135">
      <c r="A1010" t="inlineStr">
        <is>
          <t>2003-01</t>
        </is>
      </c>
      <c r="B1010" s="2" t="n">
        <v>37622</v>
      </c>
      <c r="C1010" s="96" t="n">
        <v>1010</v>
      </c>
      <c r="E1010" s="2">
        <f>B1010</f>
        <v/>
      </c>
      <c r="F1010" s="3">
        <f>B1010</f>
        <v/>
      </c>
      <c r="G1010" s="96" t="n">
        <v>1008</v>
      </c>
      <c r="H1010" s="97" t="n"/>
      <c r="I1010" s="97" t="n"/>
      <c r="J1010" s="97" t="n">
        <v>76.09366</v>
      </c>
      <c r="K1010" s="97" t="n">
        <v>95.51618999999999</v>
      </c>
      <c r="L1010" s="97" t="n"/>
      <c r="M1010" s="97" t="n">
        <v>69.18847</v>
      </c>
      <c r="N1010" s="97" t="n">
        <v>80.19331</v>
      </c>
      <c r="O1010" s="97" t="n">
        <v>113.7</v>
      </c>
      <c r="P1010" s="97" t="n">
        <v>123.8191</v>
      </c>
      <c r="Q1010" s="97" t="n"/>
      <c r="R1010" s="97" t="n">
        <v>100</v>
      </c>
      <c r="S1010" s="97" t="n">
        <v>109.2509</v>
      </c>
      <c r="T1010" s="97" t="n">
        <v>106.1083</v>
      </c>
      <c r="U1010" s="97" t="n">
        <v>142.1342</v>
      </c>
      <c r="V1010" s="97" t="n">
        <v>63.6053</v>
      </c>
      <c r="W1010" s="97" t="n">
        <v>53.10625</v>
      </c>
      <c r="X1010" s="97" t="n">
        <v>35.65804</v>
      </c>
      <c r="Y1010" s="97" t="n">
        <v>65.69873</v>
      </c>
      <c r="Z1010" s="97" t="n">
        <v>124.9896</v>
      </c>
      <c r="AA1010" s="97" t="n">
        <v>101.6233</v>
      </c>
      <c r="AB1010" s="97" t="n">
        <v>54.70744</v>
      </c>
      <c r="AC1010" s="97" t="n">
        <v>104.8913</v>
      </c>
      <c r="AD1010" s="97" t="n">
        <v>72.8</v>
      </c>
      <c r="AE1010" s="97" t="n">
        <v>89.9061</v>
      </c>
      <c r="AF1010" s="97" t="n">
        <v>96.78487</v>
      </c>
      <c r="AG1010" s="97" t="n">
        <v>119.744</v>
      </c>
      <c r="AH1010" s="97" t="n">
        <v>87.18838</v>
      </c>
      <c r="AI1010" s="97" t="n">
        <v>49.4</v>
      </c>
      <c r="AJ1010" s="97" t="n">
        <v>129.7745</v>
      </c>
      <c r="AK1010" s="97" t="n">
        <v>49.50825</v>
      </c>
      <c r="AL1010" s="97" t="n">
        <v>81.86417</v>
      </c>
      <c r="AM1010" s="97" t="n">
        <v>102.3</v>
      </c>
      <c r="AN1010" s="97" t="n"/>
      <c r="AO1010" s="97" t="n">
        <v>90.11481000000001</v>
      </c>
      <c r="AP1010" s="97" t="n">
        <v>95.98399999999999</v>
      </c>
      <c r="AQ1010" s="97" t="n"/>
      <c r="AR1010" s="97" t="n"/>
      <c r="AS1010" s="97" t="n"/>
      <c r="AT1010" s="97" t="n">
        <v>47.76501</v>
      </c>
      <c r="AU1010" s="97" t="n"/>
      <c r="AV1010" s="97" t="n">
        <v>63.84343</v>
      </c>
      <c r="AW1010" s="97" t="n"/>
      <c r="AX1010" s="97" t="n">
        <v>47.29606</v>
      </c>
      <c r="AY1010" s="97" t="n">
        <v>87.86127</v>
      </c>
    </row>
    <row r="1011" s="135">
      <c r="A1011" t="inlineStr">
        <is>
          <t>2003-02</t>
        </is>
      </c>
      <c r="B1011" s="2" t="n">
        <v>37653</v>
      </c>
      <c r="C1011" s="96" t="n">
        <v>1011</v>
      </c>
      <c r="E1011" s="2">
        <f>B1011</f>
        <v/>
      </c>
      <c r="F1011" s="3">
        <f>B1011</f>
        <v/>
      </c>
      <c r="G1011" s="96" t="n">
        <v>1009</v>
      </c>
      <c r="H1011" s="97" t="n"/>
      <c r="I1011" s="97" t="n"/>
      <c r="J1011" s="97" t="n">
        <v>75.99366999999999</v>
      </c>
      <c r="K1011" s="97" t="n">
        <v>95.66867999999999</v>
      </c>
      <c r="L1011" s="97" t="n"/>
      <c r="M1011" s="97" t="n">
        <v>68.68855000000001</v>
      </c>
      <c r="N1011" s="97" t="n">
        <v>80.19331</v>
      </c>
      <c r="O1011" s="97" t="n">
        <v>115.9</v>
      </c>
      <c r="P1011" s="97" t="n">
        <v>124.1751</v>
      </c>
      <c r="Q1011" s="97" t="n"/>
      <c r="R1011" s="97" t="n">
        <v>102.5</v>
      </c>
      <c r="S1011" s="97" t="n">
        <v>110.2309</v>
      </c>
      <c r="T1011" s="97" t="n">
        <v>106.8351</v>
      </c>
      <c r="U1011" s="97" t="n">
        <v>139.6371</v>
      </c>
      <c r="V1011" s="97" t="n">
        <v>63.40528</v>
      </c>
      <c r="W1011" s="97" t="n">
        <v>55.24476</v>
      </c>
      <c r="X1011" s="97" t="n">
        <v>36.13676</v>
      </c>
      <c r="Y1011" s="97" t="n">
        <v>65.34853</v>
      </c>
      <c r="Z1011" s="97" t="n">
        <v>122.4898</v>
      </c>
      <c r="AA1011" s="97" t="n">
        <v>101.1886</v>
      </c>
      <c r="AB1011" s="97" t="n">
        <v>54.71044</v>
      </c>
      <c r="AC1011" s="97" t="n">
        <v>106.0912</v>
      </c>
      <c r="AD1011" s="97" t="n">
        <v>72.8</v>
      </c>
      <c r="AE1011" s="97" t="n">
        <v>90.91808</v>
      </c>
      <c r="AF1011" s="97" t="n">
        <v>97.57174000000001</v>
      </c>
      <c r="AG1011" s="97" t="n">
        <v>119.1621</v>
      </c>
      <c r="AH1011" s="97" t="n">
        <v>87.19280000000001</v>
      </c>
      <c r="AI1011" s="97" t="n">
        <v>49.7</v>
      </c>
      <c r="AJ1011" s="97" t="n">
        <v>133.8699</v>
      </c>
      <c r="AK1011" s="97" t="n">
        <v>49.70829</v>
      </c>
      <c r="AL1011" s="97" t="n">
        <v>83.63773</v>
      </c>
      <c r="AM1011" s="97" t="n">
        <v>99.90000000000001</v>
      </c>
      <c r="AN1011" s="97" t="n"/>
      <c r="AO1011" s="97" t="n">
        <v>90.24294</v>
      </c>
      <c r="AP1011" s="97" t="n">
        <v>96.18397</v>
      </c>
      <c r="AQ1011" s="97" t="n"/>
      <c r="AR1011" s="97" t="n"/>
      <c r="AS1011" s="97" t="n"/>
      <c r="AT1011" s="97" t="n">
        <v>48.39834</v>
      </c>
      <c r="AU1011" s="97" t="n"/>
      <c r="AV1011" s="97" t="n">
        <v>65.4478</v>
      </c>
      <c r="AW1011" s="97" t="n"/>
      <c r="AX1011" s="97" t="n">
        <v>45.99617</v>
      </c>
      <c r="AY1011" s="97" t="n">
        <v>87.64107</v>
      </c>
    </row>
    <row r="1012" s="135">
      <c r="A1012" t="inlineStr">
        <is>
          <t>2003-03</t>
        </is>
      </c>
      <c r="B1012" s="2" t="n">
        <v>37681</v>
      </c>
      <c r="C1012" s="96" t="n">
        <v>1012</v>
      </c>
      <c r="E1012" s="2">
        <f>B1012</f>
        <v/>
      </c>
      <c r="F1012" s="3">
        <f>B1012</f>
        <v/>
      </c>
      <c r="G1012" s="96" t="n">
        <v>1010</v>
      </c>
      <c r="H1012" s="97" t="n"/>
      <c r="I1012" s="97" t="n"/>
      <c r="J1012" s="97" t="n">
        <v>74.99375000000001</v>
      </c>
      <c r="K1012" s="97" t="n">
        <v>95.31527</v>
      </c>
      <c r="L1012" s="97" t="n"/>
      <c r="M1012" s="97" t="n">
        <v>68.48859</v>
      </c>
      <c r="N1012" s="97" t="n">
        <v>79.99333</v>
      </c>
      <c r="O1012" s="97" t="n">
        <v>112.6</v>
      </c>
      <c r="P1012" s="97" t="n">
        <v>123.4481</v>
      </c>
      <c r="Q1012" s="97" t="n"/>
      <c r="R1012" s="97" t="n">
        <v>99.09999999999999</v>
      </c>
      <c r="S1012" s="97" t="n">
        <v>109.3709</v>
      </c>
      <c r="T1012" s="97" t="n">
        <v>106.6274</v>
      </c>
      <c r="U1012" s="97" t="n">
        <v>140.2364</v>
      </c>
      <c r="V1012" s="97" t="n">
        <v>64.90541</v>
      </c>
      <c r="W1012" s="97" t="n">
        <v>54.65073</v>
      </c>
      <c r="X1012" s="97" t="n">
        <v>35.07655</v>
      </c>
      <c r="Y1012" s="97" t="n">
        <v>64.64811</v>
      </c>
      <c r="Z1012" s="97" t="n">
        <v>122.5898</v>
      </c>
      <c r="AA1012" s="97" t="n">
        <v>101.9494</v>
      </c>
      <c r="AB1012" s="97" t="n">
        <v>55.66836</v>
      </c>
      <c r="AC1012" s="97" t="n">
        <v>105.5912</v>
      </c>
      <c r="AD1012" s="97" t="n">
        <v>73.09999999999999</v>
      </c>
      <c r="AE1012" s="97" t="n">
        <v>90.40231</v>
      </c>
      <c r="AF1012" s="97" t="n">
        <v>94.3259</v>
      </c>
      <c r="AG1012" s="97" t="n">
        <v>119.1621</v>
      </c>
      <c r="AH1012" s="97" t="n">
        <v>87.13094</v>
      </c>
      <c r="AI1012" s="97" t="n">
        <v>50.4</v>
      </c>
      <c r="AJ1012" s="97" t="n">
        <v>127.7267</v>
      </c>
      <c r="AK1012" s="97" t="n">
        <v>50.10835</v>
      </c>
      <c r="AL1012" s="97" t="n">
        <v>83.07765999999999</v>
      </c>
      <c r="AM1012" s="97" t="n">
        <v>100.1</v>
      </c>
      <c r="AN1012" s="97" t="n"/>
      <c r="AO1012" s="97" t="n">
        <v>90.03413</v>
      </c>
      <c r="AP1012" s="97" t="n">
        <v>95.3841</v>
      </c>
      <c r="AQ1012" s="97" t="n"/>
      <c r="AR1012" s="97" t="n"/>
      <c r="AS1012" s="97" t="n"/>
      <c r="AT1012" s="97" t="n">
        <v>47.99899</v>
      </c>
      <c r="AU1012" s="97" t="n"/>
      <c r="AV1012" s="97" t="n">
        <v>66.63136</v>
      </c>
      <c r="AW1012" s="97" t="n"/>
      <c r="AX1012" s="97" t="n">
        <v>46.69611</v>
      </c>
      <c r="AY1012" s="97" t="n">
        <v>87.86127</v>
      </c>
    </row>
    <row r="1013" s="135">
      <c r="A1013" t="inlineStr">
        <is>
          <t>2003-04</t>
        </is>
      </c>
      <c r="B1013" s="2" t="n">
        <v>37712</v>
      </c>
      <c r="C1013" s="96" t="n">
        <v>1013</v>
      </c>
      <c r="E1013" s="2">
        <f>B1013</f>
        <v/>
      </c>
      <c r="F1013" s="3">
        <f>B1013</f>
        <v/>
      </c>
      <c r="G1013" s="96" t="n">
        <v>1011</v>
      </c>
      <c r="H1013" s="97" t="n"/>
      <c r="I1013" s="97" t="n"/>
      <c r="J1013" s="97" t="n">
        <v>76.99357999999999</v>
      </c>
      <c r="K1013" s="97" t="n">
        <v>94.97176</v>
      </c>
      <c r="L1013" s="97" t="n"/>
      <c r="M1013" s="97" t="n">
        <v>70.1883</v>
      </c>
      <c r="N1013" s="97" t="n">
        <v>79.79335</v>
      </c>
      <c r="O1013" s="97" t="n">
        <v>114.6</v>
      </c>
      <c r="P1013" s="97" t="n">
        <v>124.1251</v>
      </c>
      <c r="Q1013" s="97" t="n"/>
      <c r="R1013" s="97" t="n">
        <v>102.9</v>
      </c>
      <c r="S1013" s="97" t="n">
        <v>109.3909</v>
      </c>
      <c r="T1013" s="97" t="n">
        <v>106.1083</v>
      </c>
      <c r="U1013" s="97" t="n">
        <v>142.4338</v>
      </c>
      <c r="V1013" s="97" t="n">
        <v>64.30535999999999</v>
      </c>
      <c r="W1013" s="97" t="n">
        <v>54.35372</v>
      </c>
      <c r="X1013" s="97" t="n">
        <v>34.4994</v>
      </c>
      <c r="Y1013" s="97" t="n">
        <v>65.20844</v>
      </c>
      <c r="Z1013" s="97" t="n">
        <v>124.3896</v>
      </c>
      <c r="AA1013" s="97" t="n">
        <v>100.5365</v>
      </c>
      <c r="AB1013" s="97" t="n">
        <v>54.89743</v>
      </c>
      <c r="AC1013" s="97" t="n">
        <v>107.791</v>
      </c>
      <c r="AD1013" s="97" t="n">
        <v>73.8</v>
      </c>
      <c r="AE1013" s="97" t="n">
        <v>90.15361</v>
      </c>
      <c r="AF1013" s="97" t="n">
        <v>93.53903</v>
      </c>
      <c r="AG1013" s="97" t="n">
        <v>116.4856</v>
      </c>
      <c r="AH1013" s="97" t="n">
        <v>86.74269</v>
      </c>
      <c r="AI1013" s="97" t="n">
        <v>50.5</v>
      </c>
      <c r="AJ1013" s="97" t="n">
        <v>131.3103</v>
      </c>
      <c r="AK1013" s="97" t="n">
        <v>50.60844</v>
      </c>
      <c r="AL1013" s="97" t="n">
        <v>82.33089</v>
      </c>
      <c r="AM1013" s="97" t="n">
        <v>103.6</v>
      </c>
      <c r="AN1013" s="97" t="n"/>
      <c r="AO1013" s="97" t="n">
        <v>89.3905</v>
      </c>
      <c r="AP1013" s="97" t="n">
        <v>95.78403</v>
      </c>
      <c r="AQ1013" s="97" t="n"/>
      <c r="AR1013" s="97" t="n"/>
      <c r="AS1013" s="97" t="n"/>
      <c r="AT1013" s="97" t="n">
        <v>48.07504</v>
      </c>
      <c r="AU1013" s="97" t="n"/>
      <c r="AV1013" s="97" t="n">
        <v>66.91306</v>
      </c>
      <c r="AW1013" s="97" t="n"/>
      <c r="AX1013" s="97" t="n">
        <v>45.29623</v>
      </c>
      <c r="AY1013" s="97" t="n">
        <v>87.53097</v>
      </c>
    </row>
    <row r="1014" s="135">
      <c r="A1014" t="inlineStr">
        <is>
          <t>2003-05</t>
        </is>
      </c>
      <c r="B1014" s="2" t="n">
        <v>37742</v>
      </c>
      <c r="C1014" s="96" t="n">
        <v>1014</v>
      </c>
      <c r="E1014" s="2">
        <f>B1014</f>
        <v/>
      </c>
      <c r="F1014" s="3">
        <f>B1014</f>
        <v/>
      </c>
      <c r="G1014" s="96" t="n">
        <v>1012</v>
      </c>
      <c r="H1014" s="97" t="n"/>
      <c r="I1014" s="97" t="n"/>
      <c r="J1014" s="97" t="n">
        <v>74.29380999999999</v>
      </c>
      <c r="K1014" s="97" t="n">
        <v>95.03249</v>
      </c>
      <c r="L1014" s="97" t="n"/>
      <c r="M1014" s="97" t="n">
        <v>68.68855000000001</v>
      </c>
      <c r="N1014" s="97" t="n">
        <v>79.09341000000001</v>
      </c>
      <c r="O1014" s="97" t="n">
        <v>112.8</v>
      </c>
      <c r="P1014" s="97" t="n">
        <v>122.8471</v>
      </c>
      <c r="Q1014" s="97" t="n"/>
      <c r="R1014" s="97" t="n">
        <v>99.40000000000001</v>
      </c>
      <c r="S1014" s="97" t="n">
        <v>106.7609</v>
      </c>
      <c r="T1014" s="97" t="n">
        <v>105.7969</v>
      </c>
      <c r="U1014" s="97" t="n">
        <v>142.8334</v>
      </c>
      <c r="V1014" s="97" t="n">
        <v>63.90533</v>
      </c>
      <c r="W1014" s="97" t="n">
        <v>54.94775</v>
      </c>
      <c r="X1014" s="97" t="n">
        <v>34.69416</v>
      </c>
      <c r="Y1014" s="97" t="n">
        <v>65.1384</v>
      </c>
      <c r="Z1014" s="97" t="n">
        <v>120.29</v>
      </c>
      <c r="AA1014" s="97" t="n">
        <v>101.8407</v>
      </c>
      <c r="AB1014" s="97" t="n">
        <v>54.68944</v>
      </c>
      <c r="AC1014" s="97" t="n">
        <v>105.1912</v>
      </c>
      <c r="AD1014" s="97" t="n">
        <v>75.09999999999999</v>
      </c>
      <c r="AE1014" s="97" t="n">
        <v>90.28400000000001</v>
      </c>
      <c r="AF1014" s="97" t="n">
        <v>92.75217000000001</v>
      </c>
      <c r="AG1014" s="97" t="n">
        <v>116.0202</v>
      </c>
      <c r="AH1014" s="97" t="n">
        <v>86.49115999999999</v>
      </c>
      <c r="AI1014" s="97" t="n">
        <v>51.4</v>
      </c>
      <c r="AJ1014" s="97" t="n">
        <v>130.7983</v>
      </c>
      <c r="AK1014" s="97" t="n">
        <v>50.4084</v>
      </c>
      <c r="AL1014" s="97" t="n">
        <v>83.07765999999999</v>
      </c>
      <c r="AM1014" s="97" t="n">
        <v>101.5</v>
      </c>
      <c r="AN1014" s="97" t="n"/>
      <c r="AO1014" s="97" t="n">
        <v>89.41556</v>
      </c>
      <c r="AP1014" s="97" t="n">
        <v>94.18429999999999</v>
      </c>
      <c r="AQ1014" s="97" t="n"/>
      <c r="AR1014" s="97" t="n"/>
      <c r="AS1014" s="97" t="n"/>
      <c r="AT1014" s="97" t="n">
        <v>48.79934</v>
      </c>
      <c r="AU1014" s="97" t="n"/>
      <c r="AV1014" s="97" t="n">
        <v>66.7889</v>
      </c>
      <c r="AW1014" s="97" t="n"/>
      <c r="AX1014" s="97" t="n">
        <v>45.39622</v>
      </c>
      <c r="AY1014" s="97" t="n">
        <v>85.65922999999999</v>
      </c>
    </row>
    <row r="1015" s="135">
      <c r="A1015" t="inlineStr">
        <is>
          <t>2003-06</t>
        </is>
      </c>
      <c r="B1015" s="2" t="n">
        <v>37773</v>
      </c>
      <c r="C1015" s="96" t="n">
        <v>1015</v>
      </c>
      <c r="E1015" s="2">
        <f>B1015</f>
        <v/>
      </c>
      <c r="F1015" s="3">
        <f>B1015</f>
        <v/>
      </c>
      <c r="G1015" s="96" t="n">
        <v>1013</v>
      </c>
      <c r="H1015" s="97" t="n"/>
      <c r="I1015" s="97" t="n"/>
      <c r="J1015" s="97" t="n">
        <v>75.5937</v>
      </c>
      <c r="K1015" s="97" t="n">
        <v>94.58571999999999</v>
      </c>
      <c r="L1015" s="97" t="n"/>
      <c r="M1015" s="97" t="n">
        <v>69.48842</v>
      </c>
      <c r="N1015" s="97" t="n">
        <v>78.69344</v>
      </c>
      <c r="O1015" s="97" t="n">
        <v>113.5</v>
      </c>
      <c r="P1015" s="97" t="n">
        <v>123.2011</v>
      </c>
      <c r="Q1015" s="97" t="n"/>
      <c r="R1015" s="97" t="n">
        <v>100.3</v>
      </c>
      <c r="S1015" s="97" t="n">
        <v>106.5009</v>
      </c>
      <c r="T1015" s="97" t="n">
        <v>106.5236</v>
      </c>
      <c r="U1015" s="97" t="n">
        <v>143.8322</v>
      </c>
      <c r="V1015" s="97" t="n">
        <v>66.0055</v>
      </c>
      <c r="W1015" s="97" t="n">
        <v>55.12596</v>
      </c>
      <c r="X1015" s="97" t="n">
        <v>34.48022</v>
      </c>
      <c r="Y1015" s="97" t="n">
        <v>64.57807</v>
      </c>
      <c r="Z1015" s="97" t="n">
        <v>121.7898</v>
      </c>
      <c r="AA1015" s="97" t="n">
        <v>100.9712</v>
      </c>
      <c r="AB1015" s="97" t="n">
        <v>56.3713</v>
      </c>
      <c r="AC1015" s="97" t="n">
        <v>101.6915</v>
      </c>
      <c r="AD1015" s="97" t="n">
        <v>75.09999999999999</v>
      </c>
      <c r="AE1015" s="97" t="n">
        <v>90.76600000000001</v>
      </c>
      <c r="AF1015" s="97" t="n">
        <v>91.08007000000001</v>
      </c>
      <c r="AG1015" s="97" t="n">
        <v>116.2529</v>
      </c>
      <c r="AH1015" s="97" t="n">
        <v>86.62642</v>
      </c>
      <c r="AI1015" s="97" t="n">
        <v>51.8</v>
      </c>
      <c r="AJ1015" s="97" t="n">
        <v>129.2625</v>
      </c>
      <c r="AK1015" s="97" t="n">
        <v>52.10868</v>
      </c>
      <c r="AL1015" s="97" t="n">
        <v>82.42424</v>
      </c>
      <c r="AM1015" s="97" t="n">
        <v>102.1</v>
      </c>
      <c r="AN1015" s="97" t="n"/>
      <c r="AO1015" s="97" t="n">
        <v>89.56520999999999</v>
      </c>
      <c r="AP1015" s="97" t="n">
        <v>94.18429999999999</v>
      </c>
      <c r="AQ1015" s="97" t="n"/>
      <c r="AR1015" s="97" t="n"/>
      <c r="AS1015" s="97" t="n"/>
      <c r="AT1015" s="97" t="n">
        <v>48.96805</v>
      </c>
      <c r="AU1015" s="97" t="n"/>
      <c r="AV1015" s="97" t="n">
        <v>66.74267999999999</v>
      </c>
      <c r="AW1015" s="97" t="n"/>
      <c r="AX1015" s="97" t="n">
        <v>47.19607</v>
      </c>
      <c r="AY1015" s="97" t="n">
        <v>86.09963999999999</v>
      </c>
    </row>
    <row r="1016" s="135">
      <c r="A1016" t="inlineStr">
        <is>
          <t>2003-07</t>
        </is>
      </c>
      <c r="B1016" s="2" t="n">
        <v>37803</v>
      </c>
      <c r="C1016" s="96" t="n">
        <v>1016</v>
      </c>
      <c r="E1016" s="2">
        <f>B1016</f>
        <v/>
      </c>
      <c r="F1016" s="3">
        <f>B1016</f>
        <v/>
      </c>
      <c r="G1016" s="96" t="n">
        <v>1014</v>
      </c>
      <c r="H1016" s="97" t="n"/>
      <c r="I1016" s="97" t="n"/>
      <c r="J1016" s="97" t="n">
        <v>77.79352</v>
      </c>
      <c r="K1016" s="97" t="n">
        <v>95.62079</v>
      </c>
      <c r="L1016" s="97" t="n"/>
      <c r="M1016" s="97" t="n">
        <v>69.58839999999999</v>
      </c>
      <c r="N1016" s="97" t="n">
        <v>80.59327999999999</v>
      </c>
      <c r="O1016" s="97" t="n">
        <v>113.5</v>
      </c>
      <c r="P1016" s="97" t="n">
        <v>124.0621</v>
      </c>
      <c r="Q1016" s="97" t="n"/>
      <c r="R1016" s="97" t="n">
        <v>101.7</v>
      </c>
      <c r="S1016" s="97" t="n">
        <v>108.4109</v>
      </c>
      <c r="T1016" s="97" t="n">
        <v>107.2504</v>
      </c>
      <c r="U1016" s="97" t="n">
        <v>143.6324</v>
      </c>
      <c r="V1016" s="97" t="n">
        <v>66.20552000000001</v>
      </c>
      <c r="W1016" s="97" t="n">
        <v>56.61103</v>
      </c>
      <c r="X1016" s="97" t="n">
        <v>34.7057</v>
      </c>
      <c r="Y1016" s="97" t="n">
        <v>65.34853</v>
      </c>
      <c r="Z1016" s="97" t="n">
        <v>123.4897</v>
      </c>
      <c r="AA1016" s="97" t="n">
        <v>101.406</v>
      </c>
      <c r="AB1016" s="97" t="n">
        <v>54.0165</v>
      </c>
      <c r="AC1016" s="97" t="n">
        <v>103.8913</v>
      </c>
      <c r="AD1016" s="97" t="n">
        <v>77</v>
      </c>
      <c r="AE1016" s="97" t="n">
        <v>90.75207</v>
      </c>
      <c r="AF1016" s="97" t="n">
        <v>92.35872999999999</v>
      </c>
      <c r="AG1016" s="97" t="n">
        <v>118.1148</v>
      </c>
      <c r="AH1016" s="97" t="n">
        <v>87.34014999999999</v>
      </c>
      <c r="AI1016" s="97" t="n">
        <v>53.7</v>
      </c>
      <c r="AJ1016" s="97" t="n">
        <v>131.6942</v>
      </c>
      <c r="AK1016" s="97" t="n">
        <v>52.70879</v>
      </c>
      <c r="AL1016" s="97" t="n">
        <v>83.17101</v>
      </c>
      <c r="AM1016" s="97" t="n">
        <v>103.4</v>
      </c>
      <c r="AN1016" s="97" t="n"/>
      <c r="AO1016" s="97" t="n">
        <v>89.95959000000001</v>
      </c>
      <c r="AP1016" s="97" t="n">
        <v>95.78403</v>
      </c>
      <c r="AQ1016" s="97" t="n"/>
      <c r="AR1016" s="97" t="n"/>
      <c r="AS1016" s="97" t="n"/>
      <c r="AT1016" s="97" t="n">
        <v>49.59429</v>
      </c>
      <c r="AU1016" s="97" t="n"/>
      <c r="AV1016" s="97" t="n">
        <v>67.39693</v>
      </c>
      <c r="AW1016" s="97" t="n"/>
      <c r="AX1016" s="97" t="n">
        <v>48.29597</v>
      </c>
      <c r="AY1016" s="97" t="n">
        <v>85.21883</v>
      </c>
    </row>
    <row r="1017" s="135">
      <c r="A1017" t="inlineStr">
        <is>
          <t>2003-08</t>
        </is>
      </c>
      <c r="B1017" s="2" t="n">
        <v>37834</v>
      </c>
      <c r="C1017" s="96" t="n">
        <v>1017</v>
      </c>
      <c r="E1017" s="2">
        <f>B1017</f>
        <v/>
      </c>
      <c r="F1017" s="3">
        <f>B1017</f>
        <v/>
      </c>
      <c r="G1017" s="96" t="n">
        <v>1015</v>
      </c>
      <c r="H1017" s="97" t="n"/>
      <c r="I1017" s="97" t="n"/>
      <c r="J1017" s="97" t="n">
        <v>75.69370000000001</v>
      </c>
      <c r="K1017" s="97" t="n">
        <v>94.33611000000001</v>
      </c>
      <c r="L1017" s="97" t="n"/>
      <c r="M1017" s="97" t="n">
        <v>71.08815</v>
      </c>
      <c r="N1017" s="97" t="n">
        <v>78.59345</v>
      </c>
      <c r="O1017" s="97" t="n">
        <v>115.4</v>
      </c>
      <c r="P1017" s="97" t="n">
        <v>123.7941</v>
      </c>
      <c r="Q1017" s="97" t="n"/>
      <c r="R1017" s="97" t="n">
        <v>101.2</v>
      </c>
      <c r="S1017" s="97" t="n">
        <v>107.9409</v>
      </c>
      <c r="T1017" s="97" t="n">
        <v>107.1466</v>
      </c>
      <c r="U1017" s="97" t="n">
        <v>137.2399</v>
      </c>
      <c r="V1017" s="97" t="n">
        <v>68.60572000000001</v>
      </c>
      <c r="W1017" s="97" t="n">
        <v>59.22476</v>
      </c>
      <c r="X1017" s="97" t="n">
        <v>34.92492</v>
      </c>
      <c r="Y1017" s="97" t="n">
        <v>64.50803000000001</v>
      </c>
      <c r="Z1017" s="97" t="n">
        <v>120.9899</v>
      </c>
      <c r="AA1017" s="97" t="n">
        <v>100.4278</v>
      </c>
      <c r="AB1017" s="97" t="n">
        <v>56.73327</v>
      </c>
      <c r="AC1017" s="97" t="n">
        <v>108.491</v>
      </c>
      <c r="AD1017" s="97" t="n">
        <v>76.5</v>
      </c>
      <c r="AE1017" s="97" t="n">
        <v>90.53870000000001</v>
      </c>
      <c r="AF1017" s="97" t="n">
        <v>93.34232</v>
      </c>
      <c r="AG1017" s="97" t="n">
        <v>116.8348</v>
      </c>
      <c r="AH1017" s="97" t="n">
        <v>87.0609</v>
      </c>
      <c r="AI1017" s="97" t="n">
        <v>53.8</v>
      </c>
      <c r="AJ1017" s="97" t="n">
        <v>129.9025</v>
      </c>
      <c r="AK1017" s="97" t="n">
        <v>52.50875</v>
      </c>
      <c r="AL1017" s="97" t="n">
        <v>83.26434999999999</v>
      </c>
      <c r="AM1017" s="97" t="n">
        <v>102.3</v>
      </c>
      <c r="AN1017" s="97" t="n"/>
      <c r="AO1017" s="97" t="n">
        <v>89.83127</v>
      </c>
      <c r="AP1017" s="97" t="n">
        <v>94.7842</v>
      </c>
      <c r="AQ1017" s="97" t="n"/>
      <c r="AR1017" s="97" t="n"/>
      <c r="AS1017" s="97" t="n"/>
      <c r="AT1017" s="97" t="n">
        <v>49.86923</v>
      </c>
      <c r="AU1017" s="97" t="n"/>
      <c r="AV1017" s="97" t="n">
        <v>67.25723000000001</v>
      </c>
      <c r="AW1017" s="97" t="n"/>
      <c r="AX1017" s="97" t="n">
        <v>49.49588</v>
      </c>
      <c r="AY1017" s="97" t="n">
        <v>86.54004999999999</v>
      </c>
    </row>
    <row r="1018" s="135">
      <c r="A1018" t="inlineStr">
        <is>
          <t>2003-09</t>
        </is>
      </c>
      <c r="B1018" s="2" t="n">
        <v>37865</v>
      </c>
      <c r="C1018" s="96" t="n">
        <v>1018</v>
      </c>
      <c r="E1018" s="2">
        <f>B1018</f>
        <v/>
      </c>
      <c r="F1018" s="3">
        <f>B1018</f>
        <v/>
      </c>
      <c r="G1018" s="96" t="n">
        <v>1016</v>
      </c>
      <c r="H1018" s="97" t="n"/>
      <c r="I1018" s="97" t="n"/>
      <c r="J1018" s="97" t="n">
        <v>75.89368</v>
      </c>
      <c r="K1018" s="97" t="n">
        <v>96.21364</v>
      </c>
      <c r="L1018" s="97" t="n"/>
      <c r="M1018" s="97" t="n">
        <v>71.38809999999999</v>
      </c>
      <c r="N1018" s="97" t="n">
        <v>78.39346999999999</v>
      </c>
      <c r="O1018" s="97" t="n">
        <v>117</v>
      </c>
      <c r="P1018" s="97" t="n">
        <v>122.8621</v>
      </c>
      <c r="Q1018" s="97" t="n"/>
      <c r="R1018" s="97" t="n">
        <v>101.6</v>
      </c>
      <c r="S1018" s="97" t="n">
        <v>107.5609</v>
      </c>
      <c r="T1018" s="97" t="n">
        <v>107.1466</v>
      </c>
      <c r="U1018" s="97" t="n">
        <v>145.73</v>
      </c>
      <c r="V1018" s="97" t="n">
        <v>67.40562</v>
      </c>
      <c r="W1018" s="97" t="n">
        <v>53.75969</v>
      </c>
      <c r="X1018" s="97" t="n">
        <v>35.29787</v>
      </c>
      <c r="Y1018" s="97" t="n">
        <v>64.71814999999999</v>
      </c>
      <c r="Z1018" s="97" t="n">
        <v>121.3899</v>
      </c>
      <c r="AA1018" s="97" t="n">
        <v>103.471</v>
      </c>
      <c r="AB1018" s="97" t="n">
        <v>58.31214</v>
      </c>
      <c r="AC1018" s="97" t="n">
        <v>109.1909</v>
      </c>
      <c r="AD1018" s="97" t="n">
        <v>78.09999999999999</v>
      </c>
      <c r="AE1018" s="97" t="n">
        <v>90.58448</v>
      </c>
      <c r="AF1018" s="97" t="n">
        <v>93.34232</v>
      </c>
      <c r="AG1018" s="97" t="n">
        <v>118.4639</v>
      </c>
      <c r="AH1018" s="97" t="n">
        <v>87.75185</v>
      </c>
      <c r="AI1018" s="97" t="n">
        <v>53.7</v>
      </c>
      <c r="AJ1018" s="97" t="n">
        <v>134.1259</v>
      </c>
      <c r="AK1018" s="97" t="n">
        <v>52.10868</v>
      </c>
      <c r="AL1018" s="97" t="n">
        <v>83.73108000000001</v>
      </c>
      <c r="AM1018" s="97" t="n">
        <v>103</v>
      </c>
      <c r="AN1018" s="97" t="n"/>
      <c r="AO1018" s="97" t="n">
        <v>90.36002999999999</v>
      </c>
      <c r="AP1018" s="97" t="n">
        <v>94.48425</v>
      </c>
      <c r="AQ1018" s="97" t="n"/>
      <c r="AR1018" s="97" t="n"/>
      <c r="AS1018" s="97" t="n"/>
      <c r="AT1018" s="97" t="n">
        <v>50.17299</v>
      </c>
      <c r="AU1018" s="97" t="n"/>
      <c r="AV1018" s="97" t="n">
        <v>68.53522</v>
      </c>
      <c r="AW1018" s="97" t="n"/>
      <c r="AX1018" s="97" t="n">
        <v>49.49588</v>
      </c>
      <c r="AY1018" s="97" t="n">
        <v>89.40269000000001</v>
      </c>
    </row>
    <row r="1019" s="135">
      <c r="A1019" t="inlineStr">
        <is>
          <t>2003-10</t>
        </is>
      </c>
      <c r="B1019" s="2" t="n">
        <v>37895</v>
      </c>
      <c r="C1019" s="96" t="n">
        <v>1019</v>
      </c>
      <c r="E1019" s="2">
        <f>B1019</f>
        <v/>
      </c>
      <c r="F1019" s="3">
        <f>B1019</f>
        <v/>
      </c>
      <c r="G1019" s="96" t="n">
        <v>1017</v>
      </c>
      <c r="H1019" s="97" t="n"/>
      <c r="I1019" s="97" t="n"/>
      <c r="J1019" s="97" t="n">
        <v>76.39363</v>
      </c>
      <c r="K1019" s="97" t="n">
        <v>96.75620000000001</v>
      </c>
      <c r="L1019" s="97" t="n"/>
      <c r="M1019" s="97" t="n">
        <v>71.78803000000001</v>
      </c>
      <c r="N1019" s="97" t="n">
        <v>80.79327000000001</v>
      </c>
      <c r="O1019" s="97" t="n">
        <v>114.8</v>
      </c>
      <c r="P1019" s="97" t="n">
        <v>125.5041</v>
      </c>
      <c r="Q1019" s="97" t="n"/>
      <c r="R1019" s="97" t="n">
        <v>101.4</v>
      </c>
      <c r="S1019" s="97" t="n">
        <v>110.1609</v>
      </c>
      <c r="T1019" s="97" t="n">
        <v>107.9772</v>
      </c>
      <c r="U1019" s="97" t="n">
        <v>144.7311</v>
      </c>
      <c r="V1019" s="97" t="n">
        <v>67.90566</v>
      </c>
      <c r="W1019" s="97" t="n">
        <v>61.42267</v>
      </c>
      <c r="X1019" s="97" t="n">
        <v>35.97672</v>
      </c>
      <c r="Y1019" s="97" t="n">
        <v>68.15018000000001</v>
      </c>
      <c r="Z1019" s="97" t="n">
        <v>122.6898</v>
      </c>
      <c r="AA1019" s="97" t="n">
        <v>104.6666</v>
      </c>
      <c r="AB1019" s="97" t="n">
        <v>59.15107</v>
      </c>
      <c r="AC1019" s="97" t="n">
        <v>108.591</v>
      </c>
      <c r="AD1019" s="97" t="n">
        <v>78.59999999999999</v>
      </c>
      <c r="AE1019" s="97" t="n">
        <v>91.04163</v>
      </c>
      <c r="AF1019" s="97" t="n">
        <v>96.88321999999999</v>
      </c>
      <c r="AG1019" s="97" t="n">
        <v>121.024</v>
      </c>
      <c r="AH1019" s="97" t="n">
        <v>88.64573</v>
      </c>
      <c r="AI1019" s="97" t="n">
        <v>55</v>
      </c>
      <c r="AJ1019" s="97" t="n">
        <v>131.0543</v>
      </c>
      <c r="AK1019" s="97" t="n">
        <v>52.8088</v>
      </c>
      <c r="AL1019" s="97" t="n">
        <v>85.59799</v>
      </c>
      <c r="AM1019" s="97" t="n">
        <v>102.6</v>
      </c>
      <c r="AN1019" s="97" t="n"/>
      <c r="AO1019" s="97" t="n">
        <v>90.48759</v>
      </c>
      <c r="AP1019" s="97" t="n">
        <v>96.88385</v>
      </c>
      <c r="AQ1019" s="97" t="n"/>
      <c r="AR1019" s="97" t="n"/>
      <c r="AS1019" s="97" t="n"/>
      <c r="AT1019" s="97" t="n">
        <v>49.97036</v>
      </c>
      <c r="AU1019" s="97" t="n"/>
      <c r="AV1019" s="97" t="n">
        <v>68.33544999999999</v>
      </c>
      <c r="AW1019" s="97" t="n"/>
      <c r="AX1019" s="97" t="n">
        <v>48.99592</v>
      </c>
      <c r="AY1019" s="97" t="n">
        <v>89.84310000000001</v>
      </c>
    </row>
    <row r="1020" s="135">
      <c r="A1020" t="inlineStr">
        <is>
          <t>2003-11</t>
        </is>
      </c>
      <c r="B1020" s="2" t="n">
        <v>37926</v>
      </c>
      <c r="C1020" s="96" t="n">
        <v>1020</v>
      </c>
      <c r="E1020" s="2">
        <f>B1020</f>
        <v/>
      </c>
      <c r="F1020" s="3">
        <f>B1020</f>
        <v/>
      </c>
      <c r="G1020" s="96" t="n">
        <v>1018</v>
      </c>
      <c r="H1020" s="97" t="n"/>
      <c r="I1020" s="97" t="n"/>
      <c r="J1020" s="97" t="n">
        <v>75.79369</v>
      </c>
      <c r="K1020" s="97" t="n">
        <v>96.83618</v>
      </c>
      <c r="L1020" s="97" t="n"/>
      <c r="M1020" s="97" t="n">
        <v>72.78787</v>
      </c>
      <c r="N1020" s="97" t="n">
        <v>81.5932</v>
      </c>
      <c r="O1020" s="97" t="n">
        <v>112.8</v>
      </c>
      <c r="P1020" s="97" t="n">
        <v>124.3961</v>
      </c>
      <c r="Q1020" s="97" t="n"/>
      <c r="R1020" s="97" t="n">
        <v>102.8</v>
      </c>
      <c r="S1020" s="97" t="n">
        <v>108.0109</v>
      </c>
      <c r="T1020" s="97" t="n">
        <v>107.5619</v>
      </c>
      <c r="U1020" s="97" t="n">
        <v>141.8345</v>
      </c>
      <c r="V1020" s="97" t="n">
        <v>69.00575000000001</v>
      </c>
      <c r="W1020" s="97" t="n">
        <v>61.42267</v>
      </c>
      <c r="X1020" s="97" t="n">
        <v>35.44579</v>
      </c>
      <c r="Y1020" s="97" t="n">
        <v>64.64811</v>
      </c>
      <c r="Z1020" s="97" t="n">
        <v>124.0897</v>
      </c>
      <c r="AA1020" s="97" t="n">
        <v>104.884</v>
      </c>
      <c r="AB1020" s="97" t="n">
        <v>58.99508</v>
      </c>
      <c r="AC1020" s="97" t="n">
        <v>107.491</v>
      </c>
      <c r="AD1020" s="97" t="n">
        <v>78.3</v>
      </c>
      <c r="AE1020" s="97" t="n">
        <v>91.34547000000001</v>
      </c>
      <c r="AF1020" s="97" t="n">
        <v>94.3259</v>
      </c>
      <c r="AG1020" s="97" t="n">
        <v>119.0458</v>
      </c>
      <c r="AH1020" s="97" t="n">
        <v>88.86758</v>
      </c>
      <c r="AI1020" s="97" t="n">
        <v>55.4</v>
      </c>
      <c r="AJ1020" s="97" t="n">
        <v>131.8222</v>
      </c>
      <c r="AK1020" s="97" t="n">
        <v>54.30905</v>
      </c>
      <c r="AL1020" s="97" t="n">
        <v>85.97136999999999</v>
      </c>
      <c r="AM1020" s="97" t="n">
        <v>102.3</v>
      </c>
      <c r="AN1020" s="97" t="n"/>
      <c r="AO1020" s="97" t="n">
        <v>91.18482</v>
      </c>
      <c r="AP1020" s="97" t="n">
        <v>96.48392</v>
      </c>
      <c r="AQ1020" s="97" t="n"/>
      <c r="AR1020" s="97" t="n"/>
      <c r="AS1020" s="97" t="n"/>
      <c r="AT1020" s="97" t="n">
        <v>51.17662</v>
      </c>
      <c r="AU1020" s="97" t="n"/>
      <c r="AV1020" s="97" t="n">
        <v>68.35131</v>
      </c>
      <c r="AW1020" s="97" t="n"/>
      <c r="AX1020" s="97" t="n">
        <v>48.79593</v>
      </c>
      <c r="AY1020" s="97" t="n">
        <v>90.94412</v>
      </c>
    </row>
    <row r="1021" s="135">
      <c r="A1021" t="inlineStr">
        <is>
          <t>2003-12</t>
        </is>
      </c>
      <c r="B1021" s="2" t="n">
        <v>37956</v>
      </c>
      <c r="C1021" s="96" t="n">
        <v>1021</v>
      </c>
      <c r="E1021" s="2">
        <f>B1021</f>
        <v/>
      </c>
      <c r="F1021" s="3">
        <f>B1021</f>
        <v/>
      </c>
      <c r="G1021" s="96" t="n">
        <v>1019</v>
      </c>
      <c r="H1021" s="97" t="n"/>
      <c r="I1021" s="97" t="n"/>
      <c r="J1021" s="97" t="n">
        <v>78.49346</v>
      </c>
      <c r="K1021" s="97" t="n">
        <v>97.03068</v>
      </c>
      <c r="L1021" s="97" t="n"/>
      <c r="M1021" s="97" t="n">
        <v>74.48759</v>
      </c>
      <c r="N1021" s="97" t="n">
        <v>81.99316</v>
      </c>
      <c r="O1021" s="97" t="n">
        <v>111.2</v>
      </c>
      <c r="P1021" s="97" t="n">
        <v>123.7151</v>
      </c>
      <c r="Q1021" s="97" t="n"/>
      <c r="R1021" s="97" t="n">
        <v>101.3</v>
      </c>
      <c r="S1021" s="97" t="n">
        <v>108.6409</v>
      </c>
      <c r="T1021" s="97" t="n">
        <v>108.2886</v>
      </c>
      <c r="U1021" s="97" t="n">
        <v>146.8287</v>
      </c>
      <c r="V1021" s="97" t="n">
        <v>72.20602</v>
      </c>
      <c r="W1021" s="97" t="n">
        <v>58.21491</v>
      </c>
      <c r="X1021" s="97" t="n">
        <v>35.23162</v>
      </c>
      <c r="Y1021" s="97" t="n">
        <v>66.25906000000001</v>
      </c>
      <c r="Z1021" s="97" t="n">
        <v>124.1897</v>
      </c>
      <c r="AA1021" s="97" t="n">
        <v>104.5579</v>
      </c>
      <c r="AB1021" s="97" t="n">
        <v>60.47396</v>
      </c>
      <c r="AC1021" s="97" t="n">
        <v>105.0912</v>
      </c>
      <c r="AD1021" s="97" t="n">
        <v>79.90000000000001</v>
      </c>
      <c r="AE1021" s="97" t="n">
        <v>92.66046</v>
      </c>
      <c r="AF1021" s="97" t="n">
        <v>92.26038</v>
      </c>
      <c r="AG1021" s="97" t="n">
        <v>120.0931</v>
      </c>
      <c r="AH1021" s="97" t="n">
        <v>89.20301000000001</v>
      </c>
      <c r="AI1021" s="97" t="n">
        <v>56.6</v>
      </c>
      <c r="AJ1021" s="97" t="n">
        <v>133.486</v>
      </c>
      <c r="AK1021" s="97" t="n">
        <v>55.8093</v>
      </c>
      <c r="AL1021" s="97" t="n">
        <v>84.75788</v>
      </c>
      <c r="AM1021" s="97" t="n">
        <v>104.9</v>
      </c>
      <c r="AN1021" s="97" t="n"/>
      <c r="AO1021" s="97" t="n">
        <v>91.11989</v>
      </c>
      <c r="AP1021" s="97" t="n">
        <v>96.78386999999999</v>
      </c>
      <c r="AQ1021" s="97" t="n"/>
      <c r="AR1021" s="97" t="n"/>
      <c r="AS1021" s="97" t="n"/>
      <c r="AT1021" s="97" t="n">
        <v>50.90885</v>
      </c>
      <c r="AU1021" s="97" t="n"/>
      <c r="AV1021" s="97" t="n">
        <v>69.99769000000001</v>
      </c>
      <c r="AW1021" s="97" t="n"/>
      <c r="AX1021" s="97" t="n">
        <v>49.69586</v>
      </c>
      <c r="AY1021" s="97" t="n">
        <v>89.5128</v>
      </c>
    </row>
    <row r="1022" s="135">
      <c r="A1022" t="inlineStr">
        <is>
          <t>2004-01</t>
        </is>
      </c>
      <c r="B1022" s="2" t="n">
        <v>37987</v>
      </c>
      <c r="C1022" s="96" t="n">
        <v>1022</v>
      </c>
      <c r="E1022" s="2">
        <f>B1022</f>
        <v/>
      </c>
      <c r="F1022" s="3">
        <f>B1022</f>
        <v/>
      </c>
      <c r="G1022" s="96" t="n">
        <v>1020</v>
      </c>
      <c r="H1022" s="97" t="n"/>
      <c r="I1022" s="97" t="n"/>
      <c r="J1022" s="97" t="n">
        <v>76.89359</v>
      </c>
      <c r="K1022" s="97" t="n">
        <v>96.62965</v>
      </c>
      <c r="L1022" s="97" t="n"/>
      <c r="M1022" s="97" t="n">
        <v>74.38760000000001</v>
      </c>
      <c r="N1022" s="97" t="n">
        <v>81.29322999999999</v>
      </c>
      <c r="O1022" s="97" t="n">
        <v>111.3</v>
      </c>
      <c r="P1022" s="97" t="n">
        <v>123.7901</v>
      </c>
      <c r="Q1022" s="97" t="n"/>
      <c r="R1022" s="97" t="n">
        <v>101.9</v>
      </c>
      <c r="S1022" s="97" t="n">
        <v>109.3609</v>
      </c>
      <c r="T1022" s="97" t="n">
        <v>107.6657</v>
      </c>
      <c r="U1022" s="97" t="n">
        <v>140.8357</v>
      </c>
      <c r="V1022" s="97" t="n">
        <v>69.90582000000001</v>
      </c>
      <c r="W1022" s="97" t="n">
        <v>55.71999</v>
      </c>
      <c r="X1022" s="97" t="n">
        <v>35.87313</v>
      </c>
      <c r="Y1022" s="97" t="n">
        <v>69.69555</v>
      </c>
      <c r="Z1022" s="97" t="n">
        <v>124.0897</v>
      </c>
      <c r="AA1022" s="97" t="n">
        <v>106.4056</v>
      </c>
      <c r="AB1022" s="97" t="n">
        <v>60.22098</v>
      </c>
      <c r="AC1022" s="97" t="n">
        <v>108.8909</v>
      </c>
      <c r="AD1022" s="97" t="n">
        <v>79.8</v>
      </c>
      <c r="AE1022" s="97" t="n">
        <v>93.23121999999999</v>
      </c>
      <c r="AF1022" s="97" t="n">
        <v>97.57174000000001</v>
      </c>
      <c r="AG1022" s="97" t="n">
        <v>118.4639</v>
      </c>
      <c r="AH1022" s="97" t="n">
        <v>89.4862</v>
      </c>
      <c r="AI1022" s="97" t="n">
        <v>57.8</v>
      </c>
      <c r="AJ1022" s="97" t="n">
        <v>129.843</v>
      </c>
      <c r="AK1022" s="97" t="n">
        <v>51.30855</v>
      </c>
      <c r="AL1022" s="97" t="n">
        <v>85.78467999999999</v>
      </c>
      <c r="AM1022" s="97" t="n">
        <v>106</v>
      </c>
      <c r="AN1022" s="97" t="n"/>
      <c r="AO1022" s="97" t="n">
        <v>91.35262</v>
      </c>
      <c r="AP1022" s="97" t="n">
        <v>96.68388</v>
      </c>
      <c r="AQ1022" s="97" t="n"/>
      <c r="AR1022" s="97" t="n"/>
      <c r="AS1022" s="97" t="n"/>
      <c r="AT1022" s="97" t="n">
        <v>51.66567</v>
      </c>
      <c r="AU1022" s="97" t="n"/>
      <c r="AV1022" s="97" t="n">
        <v>70.1127</v>
      </c>
      <c r="AW1022" s="97" t="n"/>
      <c r="AX1022" s="97" t="n">
        <v>50.49579</v>
      </c>
      <c r="AY1022" s="97" t="n">
        <v>91.05422</v>
      </c>
    </row>
    <row r="1023" s="135">
      <c r="A1023" t="inlineStr">
        <is>
          <t>2004-02</t>
        </is>
      </c>
      <c r="B1023" s="2" t="n">
        <v>38018</v>
      </c>
      <c r="C1023" s="96" t="n">
        <v>1023</v>
      </c>
      <c r="E1023" s="2">
        <f>B1023</f>
        <v/>
      </c>
      <c r="F1023" s="3">
        <f>B1023</f>
        <v/>
      </c>
      <c r="G1023" s="96" t="n">
        <v>1021</v>
      </c>
      <c r="H1023" s="97" t="n"/>
      <c r="I1023" s="97" t="n"/>
      <c r="J1023" s="97" t="n">
        <v>77.9935</v>
      </c>
      <c r="K1023" s="97" t="n">
        <v>96.29684</v>
      </c>
      <c r="L1023" s="97" t="n"/>
      <c r="M1023" s="97" t="n">
        <v>76.68722</v>
      </c>
      <c r="N1023" s="97" t="n">
        <v>81.69319</v>
      </c>
      <c r="O1023" s="97" t="n">
        <v>111.7</v>
      </c>
      <c r="P1023" s="97" t="n">
        <v>124.4391</v>
      </c>
      <c r="Q1023" s="97" t="n"/>
      <c r="R1023" s="97" t="n">
        <v>103.5</v>
      </c>
      <c r="S1023" s="97" t="n">
        <v>110.4709</v>
      </c>
      <c r="T1023" s="97" t="n">
        <v>107.3542</v>
      </c>
      <c r="U1023" s="97" t="n">
        <v>143.4327</v>
      </c>
      <c r="V1023" s="97" t="n">
        <v>70.70589</v>
      </c>
      <c r="W1023" s="97" t="n">
        <v>56.37342</v>
      </c>
      <c r="X1023" s="97" t="n">
        <v>36.68673</v>
      </c>
      <c r="Y1023" s="97" t="n">
        <v>68.75878</v>
      </c>
      <c r="Z1023" s="97" t="n">
        <v>123.6897</v>
      </c>
      <c r="AA1023" s="97" t="n">
        <v>106.0796</v>
      </c>
      <c r="AB1023" s="97" t="n">
        <v>62.57978</v>
      </c>
      <c r="AC1023" s="97" t="n">
        <v>109.4909</v>
      </c>
      <c r="AD1023" s="97" t="n">
        <v>80.59999999999999</v>
      </c>
      <c r="AE1023" s="97" t="n">
        <v>93.43998000000001</v>
      </c>
      <c r="AF1023" s="97" t="n">
        <v>97.96517</v>
      </c>
      <c r="AG1023" s="97" t="n">
        <v>117.8821</v>
      </c>
      <c r="AH1023" s="97" t="n">
        <v>89.95018</v>
      </c>
      <c r="AI1023" s="97" t="n">
        <v>58.1</v>
      </c>
      <c r="AJ1023" s="97" t="n">
        <v>126.8695</v>
      </c>
      <c r="AK1023" s="97" t="n">
        <v>54.90915</v>
      </c>
      <c r="AL1023" s="97" t="n">
        <v>85.69134</v>
      </c>
      <c r="AM1023" s="97" t="n">
        <v>106.3</v>
      </c>
      <c r="AN1023" s="97" t="n"/>
      <c r="AO1023" s="97" t="n">
        <v>91.90607</v>
      </c>
      <c r="AP1023" s="97" t="n">
        <v>97.08382</v>
      </c>
      <c r="AQ1023" s="97" t="n"/>
      <c r="AR1023" s="97" t="n"/>
      <c r="AS1023" s="97" t="n"/>
      <c r="AT1023" s="97" t="n">
        <v>50.87598</v>
      </c>
      <c r="AU1023" s="97" t="n"/>
      <c r="AV1023" s="97" t="n">
        <v>70.51878000000001</v>
      </c>
      <c r="AW1023" s="97" t="n"/>
      <c r="AX1023" s="97" t="n">
        <v>50.89576</v>
      </c>
      <c r="AY1023" s="97" t="n">
        <v>92.48555</v>
      </c>
    </row>
    <row r="1024" s="135">
      <c r="A1024" t="inlineStr">
        <is>
          <t>2004-03</t>
        </is>
      </c>
      <c r="B1024" s="2" t="n">
        <v>38047</v>
      </c>
      <c r="C1024" s="96" t="n">
        <v>1024</v>
      </c>
      <c r="E1024" s="2">
        <f>B1024</f>
        <v/>
      </c>
      <c r="F1024" s="3">
        <f>B1024</f>
        <v/>
      </c>
      <c r="G1024" s="96" t="n">
        <v>1022</v>
      </c>
      <c r="H1024" s="97" t="n"/>
      <c r="I1024" s="97" t="n"/>
      <c r="J1024" s="97" t="n">
        <v>78.59345</v>
      </c>
      <c r="K1024" s="97" t="n">
        <v>97.47398</v>
      </c>
      <c r="L1024" s="97" t="n"/>
      <c r="M1024" s="97" t="n">
        <v>76.08732000000001</v>
      </c>
      <c r="N1024" s="97" t="n">
        <v>81.19324</v>
      </c>
      <c r="O1024" s="97" t="n">
        <v>112.9</v>
      </c>
      <c r="P1024" s="97" t="n">
        <v>126.1631</v>
      </c>
      <c r="Q1024" s="97" t="n"/>
      <c r="R1024" s="97" t="n">
        <v>103.7</v>
      </c>
      <c r="S1024" s="97" t="n">
        <v>110.1009</v>
      </c>
      <c r="T1024" s="97" t="n">
        <v>109.5345</v>
      </c>
      <c r="U1024" s="97" t="n">
        <v>146.8287</v>
      </c>
      <c r="V1024" s="97" t="n">
        <v>70.50587</v>
      </c>
      <c r="W1024" s="97" t="n">
        <v>57.9179</v>
      </c>
      <c r="X1024" s="97" t="n">
        <v>38.09007</v>
      </c>
      <c r="Y1024" s="97" t="n">
        <v>70.16392999999999</v>
      </c>
      <c r="Z1024" s="97" t="n">
        <v>121.5899</v>
      </c>
      <c r="AA1024" s="97" t="n">
        <v>105.5361</v>
      </c>
      <c r="AB1024" s="97" t="n">
        <v>61.65286</v>
      </c>
      <c r="AC1024" s="97" t="n">
        <v>113.0906</v>
      </c>
      <c r="AD1024" s="97" t="n">
        <v>81.5</v>
      </c>
      <c r="AE1024" s="97" t="n">
        <v>95.0013</v>
      </c>
      <c r="AF1024" s="97" t="n">
        <v>97.57174000000001</v>
      </c>
      <c r="AG1024" s="97" t="n">
        <v>119.6276</v>
      </c>
      <c r="AH1024" s="97" t="n">
        <v>89.88996</v>
      </c>
      <c r="AI1024" s="97" t="n">
        <v>59.4</v>
      </c>
      <c r="AJ1024" s="97" t="n">
        <v>132.8165</v>
      </c>
      <c r="AK1024" s="97" t="n">
        <v>53.00883</v>
      </c>
      <c r="AL1024" s="97" t="n">
        <v>86.90483</v>
      </c>
      <c r="AM1024" s="97" t="n">
        <v>104.7</v>
      </c>
      <c r="AN1024" s="97" t="n"/>
      <c r="AO1024" s="97" t="n">
        <v>91.44896</v>
      </c>
      <c r="AP1024" s="97" t="n">
        <v>96.88385</v>
      </c>
      <c r="AQ1024" s="97" t="n"/>
      <c r="AR1024" s="97" t="n"/>
      <c r="AS1024" s="97" t="n"/>
      <c r="AT1024" s="97" t="n">
        <v>51.48199</v>
      </c>
      <c r="AU1024" s="97" t="n"/>
      <c r="AV1024" s="97" t="n">
        <v>71.03426</v>
      </c>
      <c r="AW1024" s="97" t="n"/>
      <c r="AX1024" s="97" t="n">
        <v>51.19573</v>
      </c>
      <c r="AY1024" s="97" t="n">
        <v>93.03606000000001</v>
      </c>
    </row>
    <row r="1025" s="135">
      <c r="A1025" t="inlineStr">
        <is>
          <t>2004-04</t>
        </is>
      </c>
      <c r="B1025" s="2" t="n">
        <v>38078</v>
      </c>
      <c r="C1025" s="96" t="n">
        <v>1025</v>
      </c>
      <c r="E1025" s="2">
        <f>B1025</f>
        <v/>
      </c>
      <c r="F1025" s="3">
        <f>B1025</f>
        <v/>
      </c>
      <c r="G1025" s="96" t="n">
        <v>1023</v>
      </c>
      <c r="H1025" s="97" t="n"/>
      <c r="I1025" s="97" t="n"/>
      <c r="J1025" s="97" t="n">
        <v>80.49329</v>
      </c>
      <c r="K1025" s="97" t="n">
        <v>97.29607</v>
      </c>
      <c r="L1025" s="97" t="n"/>
      <c r="M1025" s="97" t="n">
        <v>77.18713</v>
      </c>
      <c r="N1025" s="97" t="n">
        <v>82.39314</v>
      </c>
      <c r="O1025" s="97" t="n">
        <v>114.3</v>
      </c>
      <c r="P1025" s="97" t="n">
        <v>125.4591</v>
      </c>
      <c r="Q1025" s="97" t="n"/>
      <c r="R1025" s="97" t="n">
        <v>104.5</v>
      </c>
      <c r="S1025" s="97" t="n">
        <v>110.1309</v>
      </c>
      <c r="T1025" s="97" t="n">
        <v>108.9116</v>
      </c>
      <c r="U1025" s="97" t="n">
        <v>147.428</v>
      </c>
      <c r="V1025" s="97" t="n">
        <v>70.80589999999999</v>
      </c>
      <c r="W1025" s="97" t="n">
        <v>58.74954</v>
      </c>
      <c r="X1025" s="97" t="n">
        <v>39.33401</v>
      </c>
      <c r="Y1025" s="97" t="n">
        <v>69.03981</v>
      </c>
      <c r="Z1025" s="97" t="n">
        <v>123.7897</v>
      </c>
      <c r="AA1025" s="97" t="n">
        <v>107.3838</v>
      </c>
      <c r="AB1025" s="97" t="n">
        <v>62.31581</v>
      </c>
      <c r="AC1025" s="97" t="n">
        <v>109.8908</v>
      </c>
      <c r="AD1025" s="97" t="n">
        <v>82.5</v>
      </c>
      <c r="AE1025" s="97" t="n">
        <v>94.40833000000001</v>
      </c>
      <c r="AF1025" s="97" t="n">
        <v>96.88321999999999</v>
      </c>
      <c r="AG1025" s="97" t="n">
        <v>117.4166</v>
      </c>
      <c r="AH1025" s="97" t="n">
        <v>90.52394</v>
      </c>
      <c r="AI1025" s="97" t="n">
        <v>61.5</v>
      </c>
      <c r="AJ1025" s="97" t="n">
        <v>131.9492</v>
      </c>
      <c r="AK1025" s="97" t="n">
        <v>52.50875</v>
      </c>
      <c r="AL1025" s="97" t="n">
        <v>87.55825</v>
      </c>
      <c r="AM1025" s="97" t="n">
        <v>108</v>
      </c>
      <c r="AN1025" s="97" t="n"/>
      <c r="AO1025" s="97" t="n">
        <v>91.86169</v>
      </c>
      <c r="AP1025" s="97" t="n">
        <v>97.7837</v>
      </c>
      <c r="AQ1025" s="97" t="n"/>
      <c r="AR1025" s="97" t="n"/>
      <c r="AS1025" s="97" t="n"/>
      <c r="AT1025" s="97" t="n">
        <v>53.98023</v>
      </c>
      <c r="AU1025" s="97" t="n"/>
      <c r="AV1025" s="97" t="n">
        <v>71.75385</v>
      </c>
      <c r="AW1025" s="97" t="n"/>
      <c r="AX1025" s="97" t="n">
        <v>52.09566</v>
      </c>
      <c r="AY1025" s="97" t="n">
        <v>93.69667</v>
      </c>
    </row>
    <row r="1026" s="135">
      <c r="A1026" t="inlineStr">
        <is>
          <t>2004-05</t>
        </is>
      </c>
      <c r="B1026" s="2" t="n">
        <v>38108</v>
      </c>
      <c r="C1026" s="96" t="n">
        <v>1026</v>
      </c>
      <c r="E1026" s="2">
        <f>B1026</f>
        <v/>
      </c>
      <c r="F1026" s="3">
        <f>B1026</f>
        <v/>
      </c>
      <c r="G1026" s="96" t="n">
        <v>1024</v>
      </c>
      <c r="H1026" s="97" t="n"/>
      <c r="I1026" s="97" t="n"/>
      <c r="J1026" s="97" t="n">
        <v>79.1934</v>
      </c>
      <c r="K1026" s="97" t="n">
        <v>96.87926</v>
      </c>
      <c r="L1026" s="97" t="n"/>
      <c r="M1026" s="97" t="n">
        <v>76.68722</v>
      </c>
      <c r="N1026" s="97" t="n">
        <v>83.29306</v>
      </c>
      <c r="O1026" s="97" t="n">
        <v>114.1</v>
      </c>
      <c r="P1026" s="97" t="n">
        <v>126.1161</v>
      </c>
      <c r="Q1026" s="97" t="n"/>
      <c r="R1026" s="97" t="n">
        <v>107</v>
      </c>
      <c r="S1026" s="97" t="n">
        <v>109.5409</v>
      </c>
      <c r="T1026" s="97" t="n">
        <v>108.3925</v>
      </c>
      <c r="U1026" s="97" t="n">
        <v>146.8287</v>
      </c>
      <c r="V1026" s="97" t="n">
        <v>70.60588</v>
      </c>
      <c r="W1026" s="97" t="n">
        <v>55.77939</v>
      </c>
      <c r="X1026" s="97" t="n">
        <v>39.05936</v>
      </c>
      <c r="Y1026" s="97" t="n">
        <v>69.03981</v>
      </c>
      <c r="Z1026" s="97" t="n">
        <v>123.5897</v>
      </c>
      <c r="AA1026" s="97" t="n">
        <v>107.4925</v>
      </c>
      <c r="AB1026" s="97" t="n">
        <v>63.28273</v>
      </c>
      <c r="AC1026" s="97" t="n">
        <v>108.491</v>
      </c>
      <c r="AD1026" s="97" t="n">
        <v>80.7</v>
      </c>
      <c r="AE1026" s="97" t="n">
        <v>94.1292</v>
      </c>
      <c r="AF1026" s="97" t="n">
        <v>97.96517</v>
      </c>
      <c r="AG1026" s="97" t="n">
        <v>118.4639</v>
      </c>
      <c r="AH1026" s="97" t="n">
        <v>90.81886</v>
      </c>
      <c r="AI1026" s="97" t="n">
        <v>59.2</v>
      </c>
      <c r="AJ1026" s="97" t="n">
        <v>130.3386</v>
      </c>
      <c r="AK1026" s="97" t="n">
        <v>54.50909</v>
      </c>
      <c r="AL1026" s="97" t="n">
        <v>85.31796</v>
      </c>
      <c r="AM1026" s="97" t="n">
        <v>106.8</v>
      </c>
      <c r="AN1026" s="97" t="n"/>
      <c r="AO1026" s="97" t="n">
        <v>92.58985</v>
      </c>
      <c r="AP1026" s="97" t="n">
        <v>97.88368</v>
      </c>
      <c r="AQ1026" s="97" t="n"/>
      <c r="AR1026" s="97" t="n"/>
      <c r="AS1026" s="97" t="n"/>
      <c r="AT1026" s="97" t="n">
        <v>53.63792</v>
      </c>
      <c r="AU1026" s="97" t="n"/>
      <c r="AV1026" s="97" t="n">
        <v>72.19105999999999</v>
      </c>
      <c r="AW1026" s="97" t="n"/>
      <c r="AX1026" s="97" t="n">
        <v>53.59554</v>
      </c>
      <c r="AY1026" s="97" t="n">
        <v>94.57747999999999</v>
      </c>
    </row>
    <row r="1027" s="135">
      <c r="A1027" t="inlineStr">
        <is>
          <t>2004-06</t>
        </is>
      </c>
      <c r="B1027" s="2" t="n">
        <v>38139</v>
      </c>
      <c r="C1027" s="96" t="n">
        <v>1027</v>
      </c>
      <c r="E1027" s="2">
        <f>B1027</f>
        <v/>
      </c>
      <c r="F1027" s="3">
        <f>B1027</f>
        <v/>
      </c>
      <c r="G1027" s="96" t="n">
        <v>1025</v>
      </c>
      <c r="H1027" s="97" t="n"/>
      <c r="I1027" s="97" t="n"/>
      <c r="J1027" s="97" t="n">
        <v>80.69328</v>
      </c>
      <c r="K1027" s="97" t="n">
        <v>98.2953</v>
      </c>
      <c r="L1027" s="97" t="n"/>
      <c r="M1027" s="97" t="n">
        <v>76.48725</v>
      </c>
      <c r="N1027" s="97" t="n">
        <v>82.69311</v>
      </c>
      <c r="O1027" s="97" t="n">
        <v>114.3</v>
      </c>
      <c r="P1027" s="97" t="n">
        <v>126.7481</v>
      </c>
      <c r="Q1027" s="97" t="n"/>
      <c r="R1027" s="97" t="n">
        <v>108.4</v>
      </c>
      <c r="S1027" s="97" t="n">
        <v>110.5909</v>
      </c>
      <c r="T1027" s="97" t="n">
        <v>108.6001</v>
      </c>
      <c r="U1027" s="97" t="n">
        <v>144.2317</v>
      </c>
      <c r="V1027" s="97" t="n">
        <v>71.20593</v>
      </c>
      <c r="W1027" s="97" t="n">
        <v>57.20506</v>
      </c>
      <c r="X1027" s="97" t="n">
        <v>38.5275</v>
      </c>
      <c r="Y1027" s="97" t="n">
        <v>70.25761</v>
      </c>
      <c r="Z1027" s="97" t="n">
        <v>122.8898</v>
      </c>
      <c r="AA1027" s="97" t="n">
        <v>107.8186</v>
      </c>
      <c r="AB1027" s="97" t="n">
        <v>61.74886</v>
      </c>
      <c r="AC1027" s="97" t="n">
        <v>115.8903</v>
      </c>
      <c r="AD1027" s="97" t="n">
        <v>80</v>
      </c>
      <c r="AE1027" s="97" t="n">
        <v>94.23952</v>
      </c>
      <c r="AF1027" s="97" t="n">
        <v>98.06353</v>
      </c>
      <c r="AG1027" s="97" t="n">
        <v>125.6788</v>
      </c>
      <c r="AH1027" s="97" t="n">
        <v>90.63746</v>
      </c>
      <c r="AI1027" s="97" t="n">
        <v>58.6</v>
      </c>
      <c r="AJ1027" s="97" t="n">
        <v>129.9669</v>
      </c>
      <c r="AK1027" s="97" t="n">
        <v>53.00883</v>
      </c>
      <c r="AL1027" s="97" t="n">
        <v>86.34475999999999</v>
      </c>
      <c r="AM1027" s="97" t="n">
        <v>106.5</v>
      </c>
      <c r="AN1027" s="97" t="n"/>
      <c r="AO1027" s="97" t="n">
        <v>91.82653999999999</v>
      </c>
      <c r="AP1027" s="97" t="n">
        <v>97.88368</v>
      </c>
      <c r="AQ1027" s="97" t="n"/>
      <c r="AR1027" s="97" t="n"/>
      <c r="AS1027" s="97" t="n"/>
      <c r="AT1027" s="97" t="n">
        <v>53.72165</v>
      </c>
      <c r="AU1027" s="97" t="n"/>
      <c r="AV1027" s="97" t="n">
        <v>72.78255</v>
      </c>
      <c r="AW1027" s="97" t="n"/>
      <c r="AX1027" s="97" t="n">
        <v>53.09558</v>
      </c>
      <c r="AY1027" s="97" t="n">
        <v>94.79769</v>
      </c>
    </row>
    <row r="1028" s="135">
      <c r="A1028" t="inlineStr">
        <is>
          <t>2004-07</t>
        </is>
      </c>
      <c r="B1028" s="2" t="n">
        <v>38169</v>
      </c>
      <c r="C1028" s="96" t="n">
        <v>1028</v>
      </c>
      <c r="E1028" s="2">
        <f>B1028</f>
        <v/>
      </c>
      <c r="F1028" s="3">
        <f>B1028</f>
        <v/>
      </c>
      <c r="G1028" s="96" t="n">
        <v>1026</v>
      </c>
      <c r="H1028" s="97" t="n"/>
      <c r="I1028" s="97" t="n"/>
      <c r="J1028" s="97" t="n">
        <v>82.59312</v>
      </c>
      <c r="K1028" s="97" t="n">
        <v>97.63048000000001</v>
      </c>
      <c r="L1028" s="97" t="n"/>
      <c r="M1028" s="97" t="n">
        <v>77.68705</v>
      </c>
      <c r="N1028" s="97" t="n">
        <v>83.69302</v>
      </c>
      <c r="O1028" s="97" t="n">
        <v>111.9</v>
      </c>
      <c r="P1028" s="97" t="n">
        <v>126.7381</v>
      </c>
      <c r="Q1028" s="97" t="n"/>
      <c r="R1028" s="97" t="n">
        <v>105.1</v>
      </c>
      <c r="S1028" s="97" t="n">
        <v>111.0409</v>
      </c>
      <c r="T1028" s="97" t="n">
        <v>106.8351</v>
      </c>
      <c r="U1028" s="97" t="n">
        <v>146.6289</v>
      </c>
      <c r="V1028" s="97" t="n">
        <v>71.00592</v>
      </c>
      <c r="W1028" s="97" t="n">
        <v>63.62058</v>
      </c>
      <c r="X1028" s="97" t="n">
        <v>37.90901</v>
      </c>
      <c r="Y1028" s="97" t="n">
        <v>69.22717</v>
      </c>
      <c r="Z1028" s="97" t="n">
        <v>123.0897</v>
      </c>
      <c r="AA1028" s="97" t="n">
        <v>109.3402</v>
      </c>
      <c r="AB1028" s="97" t="n">
        <v>61.07491</v>
      </c>
      <c r="AC1028" s="97" t="n">
        <v>112.2906</v>
      </c>
      <c r="AD1028" s="97" t="n">
        <v>80.8</v>
      </c>
      <c r="AE1028" s="97" t="n">
        <v>94.05959</v>
      </c>
      <c r="AF1028" s="97" t="n">
        <v>100.4241</v>
      </c>
      <c r="AG1028" s="97" t="n">
        <v>115.4383</v>
      </c>
      <c r="AH1028" s="97" t="n">
        <v>91.07914</v>
      </c>
      <c r="AI1028" s="97" t="n">
        <v>58.5</v>
      </c>
      <c r="AJ1028" s="97" t="n">
        <v>129.5952</v>
      </c>
      <c r="AK1028" s="97" t="n">
        <v>52.8088</v>
      </c>
      <c r="AL1028" s="97" t="n">
        <v>86.81149000000001</v>
      </c>
      <c r="AM1028" s="97" t="n">
        <v>105.1</v>
      </c>
      <c r="AN1028" s="97" t="n"/>
      <c r="AO1028" s="97" t="n">
        <v>92.53404999999999</v>
      </c>
      <c r="AP1028" s="97" t="n">
        <v>98.68356</v>
      </c>
      <c r="AQ1028" s="97" t="n"/>
      <c r="AR1028" s="97" t="n"/>
      <c r="AS1028" s="97" t="n"/>
      <c r="AT1028" s="97" t="n">
        <v>55.46298</v>
      </c>
      <c r="AU1028" s="97" t="n"/>
      <c r="AV1028" s="97" t="n">
        <v>72.61002000000001</v>
      </c>
      <c r="AW1028" s="97" t="n"/>
      <c r="AX1028" s="97" t="n">
        <v>53.89551</v>
      </c>
      <c r="AY1028" s="97" t="n">
        <v>95.45829999999999</v>
      </c>
    </row>
    <row r="1029" s="135">
      <c r="A1029" t="inlineStr">
        <is>
          <t>2004-08</t>
        </is>
      </c>
      <c r="B1029" s="2" t="n">
        <v>38200</v>
      </c>
      <c r="C1029" s="96" t="n">
        <v>1029</v>
      </c>
      <c r="E1029" s="2">
        <f>B1029</f>
        <v/>
      </c>
      <c r="F1029" s="3">
        <f>B1029</f>
        <v/>
      </c>
      <c r="G1029" s="96" t="n">
        <v>1027</v>
      </c>
      <c r="H1029" s="97" t="n"/>
      <c r="I1029" s="97" t="n"/>
      <c r="J1029" s="97" t="n">
        <v>80.49329</v>
      </c>
      <c r="K1029" s="97" t="n">
        <v>98.15672000000001</v>
      </c>
      <c r="L1029" s="97" t="n"/>
      <c r="M1029" s="97" t="n">
        <v>77.78703</v>
      </c>
      <c r="N1029" s="97" t="n">
        <v>82.89309</v>
      </c>
      <c r="O1029" s="97" t="n">
        <v>111.5</v>
      </c>
      <c r="P1029" s="97" t="n">
        <v>124.8621</v>
      </c>
      <c r="Q1029" s="97" t="n"/>
      <c r="R1029" s="97" t="n">
        <v>108.1</v>
      </c>
      <c r="S1029" s="97" t="n">
        <v>107.1109</v>
      </c>
      <c r="T1029" s="97" t="n">
        <v>106.6274</v>
      </c>
      <c r="U1029" s="97" t="n">
        <v>135.6418</v>
      </c>
      <c r="V1029" s="97" t="n">
        <v>70.80589999999999</v>
      </c>
      <c r="W1029" s="97" t="n">
        <v>50.96775</v>
      </c>
      <c r="X1029" s="97" t="n">
        <v>37.47639</v>
      </c>
      <c r="Y1029" s="97" t="n">
        <v>70.726</v>
      </c>
      <c r="Z1029" s="97" t="n">
        <v>120.59</v>
      </c>
      <c r="AA1029" s="97" t="n">
        <v>107.8186</v>
      </c>
      <c r="AB1029" s="97" t="n">
        <v>61.90784</v>
      </c>
      <c r="AC1029" s="97" t="n">
        <v>111.0907</v>
      </c>
      <c r="AD1029" s="97" t="n">
        <v>79.7</v>
      </c>
      <c r="AE1029" s="97" t="n">
        <v>93.92982000000001</v>
      </c>
      <c r="AF1029" s="97" t="n">
        <v>96.78487</v>
      </c>
      <c r="AG1029" s="97" t="n">
        <v>106.0124</v>
      </c>
      <c r="AH1029" s="97" t="n">
        <v>90.35314</v>
      </c>
      <c r="AI1029" s="97" t="n">
        <v>58.8</v>
      </c>
      <c r="AJ1029" s="97" t="n">
        <v>124.0199</v>
      </c>
      <c r="AK1029" s="97" t="n">
        <v>53.4089</v>
      </c>
      <c r="AL1029" s="97" t="n">
        <v>87.6516</v>
      </c>
      <c r="AM1029" s="97" t="n">
        <v>108.1</v>
      </c>
      <c r="AN1029" s="97" t="n"/>
      <c r="AO1029" s="97" t="n">
        <v>92.60223999999999</v>
      </c>
      <c r="AP1029" s="97" t="n">
        <v>96.68388</v>
      </c>
      <c r="AQ1029" s="97" t="n"/>
      <c r="AR1029" s="97" t="n"/>
      <c r="AS1029" s="97" t="n"/>
      <c r="AT1029" s="97" t="n">
        <v>55.80923</v>
      </c>
      <c r="AU1029" s="97" t="n"/>
      <c r="AV1029" s="97" t="n">
        <v>74.13594000000001</v>
      </c>
      <c r="AW1029" s="97" t="n"/>
      <c r="AX1029" s="97" t="n">
        <v>53.49554</v>
      </c>
      <c r="AY1029" s="97" t="n">
        <v>96.44922</v>
      </c>
    </row>
    <row r="1030" s="135">
      <c r="A1030" t="inlineStr">
        <is>
          <t>2004-09</t>
        </is>
      </c>
      <c r="B1030" s="2" t="n">
        <v>38231</v>
      </c>
      <c r="C1030" s="96" t="n">
        <v>1030</v>
      </c>
      <c r="E1030" s="2">
        <f>B1030</f>
        <v/>
      </c>
      <c r="F1030" s="3">
        <f>B1030</f>
        <v/>
      </c>
      <c r="G1030" s="96" t="n">
        <v>1028</v>
      </c>
      <c r="H1030" s="97" t="n"/>
      <c r="I1030" s="97" t="n"/>
      <c r="J1030" s="97" t="n">
        <v>82.29313999999999</v>
      </c>
      <c r="K1030" s="97" t="n">
        <v>98.65192</v>
      </c>
      <c r="L1030" s="97" t="n"/>
      <c r="M1030" s="97" t="n">
        <v>77.48708000000001</v>
      </c>
      <c r="N1030" s="97" t="n">
        <v>82.69311</v>
      </c>
      <c r="O1030" s="97" t="n">
        <v>112.1</v>
      </c>
      <c r="P1030" s="97" t="n">
        <v>127.0911</v>
      </c>
      <c r="Q1030" s="97" t="n"/>
      <c r="R1030" s="97" t="n">
        <v>107.7</v>
      </c>
      <c r="S1030" s="97" t="n">
        <v>110.8609</v>
      </c>
      <c r="T1030" s="97" t="n">
        <v>107.1466</v>
      </c>
      <c r="U1030" s="97" t="n">
        <v>144.7311</v>
      </c>
      <c r="V1030" s="97" t="n">
        <v>71.20593</v>
      </c>
      <c r="W1030" s="97" t="n">
        <v>57.08625</v>
      </c>
      <c r="X1030" s="97" t="n">
        <v>38.07981</v>
      </c>
      <c r="Y1030" s="97" t="n">
        <v>70.25761</v>
      </c>
      <c r="Z1030" s="97" t="n">
        <v>122.2898</v>
      </c>
      <c r="AA1030" s="97" t="n">
        <v>108.1446</v>
      </c>
      <c r="AB1030" s="97" t="n">
        <v>63.40972</v>
      </c>
      <c r="AC1030" s="97" t="n">
        <v>112.2906</v>
      </c>
      <c r="AD1030" s="97" t="n">
        <v>81.40000000000001</v>
      </c>
      <c r="AE1030" s="97" t="n">
        <v>94.47748</v>
      </c>
      <c r="AF1030" s="97" t="n">
        <v>99.04712000000001</v>
      </c>
      <c r="AG1030" s="97" t="n">
        <v>114.8565</v>
      </c>
      <c r="AH1030" s="97" t="n">
        <v>90.96996</v>
      </c>
      <c r="AI1030" s="97" t="n">
        <v>59</v>
      </c>
      <c r="AJ1030" s="97" t="n">
        <v>123.2765</v>
      </c>
      <c r="AK1030" s="97" t="n">
        <v>53.60894</v>
      </c>
      <c r="AL1030" s="97" t="n">
        <v>87.74494</v>
      </c>
      <c r="AM1030" s="97" t="n">
        <v>108.6</v>
      </c>
      <c r="AN1030" s="97" t="n"/>
      <c r="AO1030" s="97" t="n">
        <v>92.68024</v>
      </c>
      <c r="AP1030" s="97" t="n">
        <v>98.08365999999999</v>
      </c>
      <c r="AQ1030" s="97" t="n"/>
      <c r="AR1030" s="97" t="n"/>
      <c r="AS1030" s="97" t="n"/>
      <c r="AT1030" s="97" t="n">
        <v>56.72507</v>
      </c>
      <c r="AU1030" s="97" t="n"/>
      <c r="AV1030" s="97" t="n">
        <v>72.38254999999999</v>
      </c>
      <c r="AW1030" s="97" t="n"/>
      <c r="AX1030" s="97" t="n">
        <v>52.39563</v>
      </c>
      <c r="AY1030" s="97" t="n">
        <v>97.10983</v>
      </c>
    </row>
    <row r="1031" s="135">
      <c r="A1031" t="inlineStr">
        <is>
          <t>2004-10</t>
        </is>
      </c>
      <c r="B1031" s="2" t="n">
        <v>38261</v>
      </c>
      <c r="C1031" s="96" t="n">
        <v>1031</v>
      </c>
      <c r="E1031" s="2">
        <f>B1031</f>
        <v/>
      </c>
      <c r="F1031" s="3">
        <f>B1031</f>
        <v/>
      </c>
      <c r="G1031" s="96" t="n">
        <v>1029</v>
      </c>
      <c r="H1031" s="97" t="n"/>
      <c r="I1031" s="97" t="n"/>
      <c r="J1031" s="97" t="n">
        <v>84.39297000000001</v>
      </c>
      <c r="K1031" s="97" t="n">
        <v>98.55774</v>
      </c>
      <c r="L1031" s="97" t="n"/>
      <c r="M1031" s="97" t="n">
        <v>78.28695</v>
      </c>
      <c r="N1031" s="97" t="n">
        <v>83.69302</v>
      </c>
      <c r="O1031" s="97" t="n">
        <v>110.3</v>
      </c>
      <c r="P1031" s="97" t="n">
        <v>125.9111</v>
      </c>
      <c r="Q1031" s="97" t="n"/>
      <c r="R1031" s="97" t="n">
        <v>108</v>
      </c>
      <c r="S1031" s="97" t="n">
        <v>111.6809</v>
      </c>
      <c r="T1031" s="97" t="n">
        <v>107.5619</v>
      </c>
      <c r="U1031" s="97" t="n">
        <v>138.5384</v>
      </c>
      <c r="V1031" s="97" t="n">
        <v>72.80607000000001</v>
      </c>
      <c r="W1031" s="97" t="n">
        <v>57.56148</v>
      </c>
      <c r="X1031" s="97" t="n">
        <v>38.9861</v>
      </c>
      <c r="Y1031" s="97" t="n">
        <v>73.81733</v>
      </c>
      <c r="Z1031" s="97" t="n">
        <v>123.1897</v>
      </c>
      <c r="AA1031" s="97" t="n">
        <v>106.0796</v>
      </c>
      <c r="AB1031" s="97" t="n">
        <v>62.74477</v>
      </c>
      <c r="AC1031" s="97" t="n">
        <v>110.7908</v>
      </c>
      <c r="AD1031" s="97" t="n">
        <v>80.8</v>
      </c>
      <c r="AE1031" s="97" t="n">
        <v>95.15325</v>
      </c>
      <c r="AF1031" s="97" t="n">
        <v>98.26025</v>
      </c>
      <c r="AG1031" s="97" t="n">
        <v>119.8604</v>
      </c>
      <c r="AH1031" s="97" t="n">
        <v>91.17867</v>
      </c>
      <c r="AI1031" s="97" t="n">
        <v>59.7</v>
      </c>
      <c r="AJ1031" s="97" t="n">
        <v>125.7544</v>
      </c>
      <c r="AK1031" s="97" t="n">
        <v>54.30905</v>
      </c>
      <c r="AL1031" s="97" t="n">
        <v>87.37156</v>
      </c>
      <c r="AM1031" s="97" t="n">
        <v>108.3</v>
      </c>
      <c r="AN1031" s="97" t="n"/>
      <c r="AO1031" s="97" t="n">
        <v>93.56265999999999</v>
      </c>
      <c r="AP1031" s="97" t="n">
        <v>98.58356999999999</v>
      </c>
      <c r="AQ1031" s="97" t="n"/>
      <c r="AR1031" s="97" t="n"/>
      <c r="AS1031" s="97" t="n"/>
      <c r="AT1031" s="97" t="n">
        <v>56.8927</v>
      </c>
      <c r="AU1031" s="97" t="n"/>
      <c r="AV1031" s="97" t="n">
        <v>72.74412</v>
      </c>
      <c r="AW1031" s="97" t="n"/>
      <c r="AX1031" s="97" t="n">
        <v>50.59578</v>
      </c>
      <c r="AY1031" s="97" t="n">
        <v>96.44922</v>
      </c>
    </row>
    <row r="1032" s="135">
      <c r="A1032" t="inlineStr">
        <is>
          <t>2004-11</t>
        </is>
      </c>
      <c r="B1032" s="2" t="n">
        <v>38292</v>
      </c>
      <c r="C1032" s="96" t="n">
        <v>1032</v>
      </c>
      <c r="E1032" s="2">
        <f>B1032</f>
        <v/>
      </c>
      <c r="F1032" s="3">
        <f>B1032</f>
        <v/>
      </c>
      <c r="G1032" s="96" t="n">
        <v>1030</v>
      </c>
      <c r="H1032" s="97" t="n"/>
      <c r="I1032" s="97" t="n"/>
      <c r="J1032" s="97" t="n">
        <v>83.59303</v>
      </c>
      <c r="K1032" s="97" t="n">
        <v>98.56844</v>
      </c>
      <c r="L1032" s="97" t="n"/>
      <c r="M1032" s="97" t="n">
        <v>78.38693000000001</v>
      </c>
      <c r="N1032" s="97" t="n">
        <v>82.29313999999999</v>
      </c>
      <c r="O1032" s="97" t="n">
        <v>112.8</v>
      </c>
      <c r="P1032" s="97" t="n">
        <v>126.9421</v>
      </c>
      <c r="Q1032" s="97" t="n"/>
      <c r="R1032" s="97" t="n">
        <v>106.6</v>
      </c>
      <c r="S1032" s="97" t="n">
        <v>109.8209</v>
      </c>
      <c r="T1032" s="97" t="n">
        <v>108.081</v>
      </c>
      <c r="U1032" s="97" t="n">
        <v>143.6324</v>
      </c>
      <c r="V1032" s="97" t="n">
        <v>73.20610000000001</v>
      </c>
      <c r="W1032" s="97" t="n">
        <v>56.90805</v>
      </c>
      <c r="X1032" s="97" t="n">
        <v>39.35255</v>
      </c>
      <c r="Y1032" s="97" t="n">
        <v>71.1007</v>
      </c>
      <c r="Z1032" s="97" t="n">
        <v>121.2899</v>
      </c>
      <c r="AA1032" s="97" t="n">
        <v>107.3838</v>
      </c>
      <c r="AB1032" s="97" t="n">
        <v>63.6277</v>
      </c>
      <c r="AC1032" s="97" t="n">
        <v>111.9907</v>
      </c>
      <c r="AD1032" s="97" t="n">
        <v>81.3</v>
      </c>
      <c r="AE1032" s="97" t="n">
        <v>95.2719</v>
      </c>
      <c r="AF1032" s="97" t="n">
        <v>97.86681</v>
      </c>
      <c r="AG1032" s="97" t="n">
        <v>116.7184</v>
      </c>
      <c r="AH1032" s="97" t="n">
        <v>91.24921999999999</v>
      </c>
      <c r="AI1032" s="97" t="n">
        <v>60.2</v>
      </c>
      <c r="AJ1032" s="97" t="n">
        <v>127.8607</v>
      </c>
      <c r="AK1032" s="97" t="n">
        <v>52.2087</v>
      </c>
      <c r="AL1032" s="97" t="n">
        <v>87.09152</v>
      </c>
      <c r="AM1032" s="97" t="n">
        <v>108.9</v>
      </c>
      <c r="AN1032" s="97" t="n"/>
      <c r="AO1032" s="97" t="n">
        <v>93.75888999999999</v>
      </c>
      <c r="AP1032" s="97" t="n">
        <v>97.48375</v>
      </c>
      <c r="AQ1032" s="97" t="n"/>
      <c r="AR1032" s="97" t="n"/>
      <c r="AS1032" s="97" t="n"/>
      <c r="AT1032" s="97" t="n">
        <v>56.81532</v>
      </c>
      <c r="AU1032" s="97" t="n"/>
      <c r="AV1032" s="97" t="n">
        <v>74.04949999999999</v>
      </c>
      <c r="AW1032" s="97" t="n"/>
      <c r="AX1032" s="97" t="n">
        <v>50.89576</v>
      </c>
      <c r="AY1032" s="97" t="n">
        <v>96.22901</v>
      </c>
    </row>
    <row r="1033" s="135">
      <c r="A1033" t="inlineStr">
        <is>
          <t>2004-12</t>
        </is>
      </c>
      <c r="B1033" s="2" t="n">
        <v>38322</v>
      </c>
      <c r="C1033" s="96" t="n">
        <v>1033</v>
      </c>
      <c r="E1033" s="2">
        <f>B1033</f>
        <v/>
      </c>
      <c r="F1033" s="3">
        <f>B1033</f>
        <v/>
      </c>
      <c r="G1033" s="96" t="n">
        <v>1031</v>
      </c>
      <c r="H1033" s="97" t="n"/>
      <c r="I1033" s="97" t="n"/>
      <c r="J1033" s="97" t="n">
        <v>83.79301</v>
      </c>
      <c r="K1033" s="97" t="n">
        <v>98.62275</v>
      </c>
      <c r="L1033" s="97" t="n"/>
      <c r="M1033" s="97" t="n">
        <v>77.58707</v>
      </c>
      <c r="N1033" s="97" t="n">
        <v>81.89317</v>
      </c>
      <c r="O1033" s="97" t="n">
        <v>111.3</v>
      </c>
      <c r="P1033" s="97" t="n">
        <v>124.3641</v>
      </c>
      <c r="Q1033" s="97" t="n"/>
      <c r="R1033" s="97" t="n">
        <v>111.6</v>
      </c>
      <c r="S1033" s="97" t="n">
        <v>110.0509</v>
      </c>
      <c r="T1033" s="97" t="n">
        <v>108.081</v>
      </c>
      <c r="U1033" s="97" t="n">
        <v>141.9344</v>
      </c>
      <c r="V1033" s="97" t="n">
        <v>71.10593</v>
      </c>
      <c r="W1033" s="97" t="n">
        <v>58.92775</v>
      </c>
      <c r="X1033" s="97" t="n">
        <v>40.11208</v>
      </c>
      <c r="Y1033" s="97" t="n">
        <v>69.60187999999999</v>
      </c>
      <c r="Z1033" s="97" t="n">
        <v>120.39</v>
      </c>
      <c r="AA1033" s="97" t="n">
        <v>105.9709</v>
      </c>
      <c r="AB1033" s="97" t="n">
        <v>63.02175</v>
      </c>
      <c r="AC1033" s="97" t="n">
        <v>110.0908</v>
      </c>
      <c r="AD1033" s="97" t="n">
        <v>81.5</v>
      </c>
      <c r="AE1033" s="97" t="n">
        <v>94.80398</v>
      </c>
      <c r="AF1033" s="97" t="n">
        <v>97.76846</v>
      </c>
      <c r="AG1033" s="97" t="n">
        <v>113.1109</v>
      </c>
      <c r="AH1033" s="97" t="n">
        <v>91.01969</v>
      </c>
      <c r="AI1033" s="97" t="n">
        <v>57.8</v>
      </c>
      <c r="AJ1033" s="97" t="n">
        <v>126.3739</v>
      </c>
      <c r="AK1033" s="97" t="n">
        <v>59.60994</v>
      </c>
      <c r="AL1033" s="97" t="n">
        <v>86.34475999999999</v>
      </c>
      <c r="AM1033" s="97" t="n">
        <v>105.2</v>
      </c>
      <c r="AN1033" s="97" t="n"/>
      <c r="AO1033" s="97" t="n">
        <v>94.44862999999999</v>
      </c>
      <c r="AP1033" s="97" t="n">
        <v>97.48375</v>
      </c>
      <c r="AQ1033" s="97" t="n"/>
      <c r="AR1033" s="97" t="n"/>
      <c r="AS1033" s="97" t="n"/>
      <c r="AT1033" s="97" t="n">
        <v>57.2272</v>
      </c>
      <c r="AU1033" s="97" t="n"/>
      <c r="AV1033" s="97" t="n">
        <v>74.53082000000001</v>
      </c>
      <c r="AW1033" s="97" t="n"/>
      <c r="AX1033" s="97" t="n">
        <v>51.79568</v>
      </c>
      <c r="AY1033" s="97" t="n">
        <v>97.21992</v>
      </c>
    </row>
    <row r="1034" s="135">
      <c r="A1034" t="inlineStr">
        <is>
          <t>2005-01</t>
        </is>
      </c>
      <c r="B1034" s="2" t="n">
        <v>38353</v>
      </c>
      <c r="C1034" s="96" t="n">
        <v>1034</v>
      </c>
      <c r="E1034" s="2">
        <f>B1034</f>
        <v/>
      </c>
      <c r="F1034" s="3">
        <f>B1034</f>
        <v/>
      </c>
      <c r="G1034" s="96" t="n">
        <v>1032</v>
      </c>
      <c r="H1034" s="97" t="n"/>
      <c r="I1034" s="97" t="n"/>
      <c r="J1034" s="97" t="n">
        <v>85.39288000000001</v>
      </c>
      <c r="K1034" s="97" t="n">
        <v>99.89058</v>
      </c>
      <c r="L1034" s="97" t="n"/>
      <c r="M1034" s="97" t="n">
        <v>77.28712</v>
      </c>
      <c r="N1034" s="97" t="n">
        <v>84.39297000000001</v>
      </c>
      <c r="O1034" s="97" t="n">
        <v>113.7</v>
      </c>
      <c r="P1034" s="97" t="n">
        <v>124.8571</v>
      </c>
      <c r="Q1034" s="97" t="n"/>
      <c r="R1034" s="97" t="n">
        <v>105.9</v>
      </c>
      <c r="S1034" s="97" t="n">
        <v>111.8709</v>
      </c>
      <c r="T1034" s="97" t="n">
        <v>107.458</v>
      </c>
      <c r="U1034" s="97" t="n">
        <v>143.133</v>
      </c>
      <c r="V1034" s="97" t="n">
        <v>72.70605999999999</v>
      </c>
      <c r="W1034" s="97" t="n">
        <v>57.50208</v>
      </c>
      <c r="X1034" s="97" t="n">
        <v>39.81207</v>
      </c>
      <c r="Y1034" s="97" t="n">
        <v>73.25527</v>
      </c>
      <c r="Z1034" s="97" t="n">
        <v>120.39</v>
      </c>
      <c r="AA1034" s="97" t="n">
        <v>108.4707</v>
      </c>
      <c r="AB1034" s="97" t="n">
        <v>64.58960999999999</v>
      </c>
      <c r="AC1034" s="97" t="n">
        <v>112.5906</v>
      </c>
      <c r="AD1034" s="97" t="n">
        <v>81.90000000000001</v>
      </c>
      <c r="AE1034" s="97" t="n">
        <v>95.98582</v>
      </c>
      <c r="AF1034" s="97" t="n">
        <v>96.39197</v>
      </c>
      <c r="AG1034" s="97" t="n">
        <v>112.7618</v>
      </c>
      <c r="AH1034" s="97" t="n">
        <v>92.23435000000001</v>
      </c>
      <c r="AI1034" s="97" t="n">
        <v>60.4</v>
      </c>
      <c r="AJ1034" s="97" t="n">
        <v>125.6905</v>
      </c>
      <c r="AK1034" s="97" t="n">
        <v>52.30872</v>
      </c>
      <c r="AL1034" s="97" t="n">
        <v>88.00733</v>
      </c>
      <c r="AM1034" s="97" t="n">
        <v>105.3</v>
      </c>
      <c r="AN1034" s="97" t="n"/>
      <c r="AO1034" s="97" t="n">
        <v>94.88345</v>
      </c>
      <c r="AP1034" s="97" t="n">
        <v>98.28362</v>
      </c>
      <c r="AQ1034" s="97" t="n"/>
      <c r="AR1034" s="97" t="n"/>
      <c r="AS1034" s="97" t="n"/>
      <c r="AT1034" s="97" t="n">
        <v>57.19193</v>
      </c>
      <c r="AU1034" s="97" t="n"/>
      <c r="AV1034" s="97" t="n">
        <v>73.56052</v>
      </c>
      <c r="AW1034" s="97" t="n"/>
      <c r="AX1034" s="97" t="n">
        <v>60.19498</v>
      </c>
      <c r="AY1034" s="97" t="n">
        <v>97.66034000000001</v>
      </c>
    </row>
    <row r="1035" s="135">
      <c r="A1035" t="inlineStr">
        <is>
          <t>2005-02</t>
        </is>
      </c>
      <c r="B1035" s="2" t="n">
        <v>38384</v>
      </c>
      <c r="C1035" s="96" t="n">
        <v>1035</v>
      </c>
      <c r="E1035" s="2">
        <f>B1035</f>
        <v/>
      </c>
      <c r="F1035" s="3">
        <f>B1035</f>
        <v/>
      </c>
      <c r="G1035" s="96" t="n">
        <v>1033</v>
      </c>
      <c r="H1035" s="97" t="n"/>
      <c r="I1035" s="97" t="n"/>
      <c r="J1035" s="97" t="n">
        <v>82.99308000000001</v>
      </c>
      <c r="K1035" s="97" t="n">
        <v>98.88226</v>
      </c>
      <c r="L1035" s="97" t="n"/>
      <c r="M1035" s="97" t="n">
        <v>77.28712</v>
      </c>
      <c r="N1035" s="97" t="n">
        <v>83.09308</v>
      </c>
      <c r="O1035" s="97" t="n">
        <v>113</v>
      </c>
      <c r="P1035" s="97" t="n">
        <v>125.5811</v>
      </c>
      <c r="Q1035" s="97" t="n"/>
      <c r="R1035" s="97" t="n">
        <v>104.9</v>
      </c>
      <c r="S1035" s="97" t="n">
        <v>110.5709</v>
      </c>
      <c r="T1035" s="97" t="n">
        <v>107.6657</v>
      </c>
      <c r="U1035" s="97" t="n">
        <v>142.7335</v>
      </c>
      <c r="V1035" s="97" t="n">
        <v>72.006</v>
      </c>
      <c r="W1035" s="97" t="n">
        <v>59.28416</v>
      </c>
      <c r="X1035" s="97" t="n">
        <v>39.06887</v>
      </c>
      <c r="Y1035" s="97" t="n">
        <v>73.06792</v>
      </c>
      <c r="Z1035" s="97" t="n">
        <v>120.9899</v>
      </c>
      <c r="AA1035" s="97" t="n">
        <v>108.4707</v>
      </c>
      <c r="AB1035" s="97" t="n">
        <v>63.33372</v>
      </c>
      <c r="AC1035" s="97" t="n">
        <v>106.5911</v>
      </c>
      <c r="AD1035" s="97" t="n">
        <v>82.8</v>
      </c>
      <c r="AE1035" s="97" t="n">
        <v>95.72135</v>
      </c>
      <c r="AF1035" s="97" t="n">
        <v>98.09183</v>
      </c>
      <c r="AG1035" s="97" t="n">
        <v>115.5547</v>
      </c>
      <c r="AH1035" s="97" t="n">
        <v>92.14554</v>
      </c>
      <c r="AI1035" s="97" t="n">
        <v>60.2</v>
      </c>
      <c r="AJ1035" s="97" t="n">
        <v>128.4623</v>
      </c>
      <c r="AK1035" s="97" t="n">
        <v>51.80864</v>
      </c>
      <c r="AL1035" s="97" t="n">
        <v>86.30719000000001</v>
      </c>
      <c r="AM1035" s="97" t="n">
        <v>110.2</v>
      </c>
      <c r="AN1035" s="97" t="n"/>
      <c r="AO1035" s="97" t="n">
        <v>95.53603</v>
      </c>
      <c r="AP1035" s="97" t="n">
        <v>98.08365999999999</v>
      </c>
      <c r="AQ1035" s="97" t="n"/>
      <c r="AR1035" s="97" t="n"/>
      <c r="AS1035" s="97" t="n"/>
      <c r="AT1035" s="97" t="n">
        <v>57.88836</v>
      </c>
      <c r="AU1035" s="97" t="n"/>
      <c r="AV1035" s="97" t="n">
        <v>77.66682</v>
      </c>
      <c r="AW1035" s="97" t="n"/>
      <c r="AX1035" s="97" t="n">
        <v>57.69519</v>
      </c>
      <c r="AY1035" s="97" t="n">
        <v>96.22901</v>
      </c>
    </row>
    <row r="1036" s="135">
      <c r="A1036" t="inlineStr">
        <is>
          <t>2005-03</t>
        </is>
      </c>
      <c r="B1036" s="2" t="n">
        <v>38412</v>
      </c>
      <c r="C1036" s="96" t="n">
        <v>1036</v>
      </c>
      <c r="E1036" s="2">
        <f>B1036</f>
        <v/>
      </c>
      <c r="F1036" s="3">
        <f>B1036</f>
        <v/>
      </c>
      <c r="G1036" s="96" t="n">
        <v>1034</v>
      </c>
      <c r="H1036" s="97" t="n"/>
      <c r="I1036" s="97" t="n"/>
      <c r="J1036" s="97" t="n">
        <v>83.29306</v>
      </c>
      <c r="K1036" s="97" t="n">
        <v>97.85333</v>
      </c>
      <c r="L1036" s="97" t="n"/>
      <c r="M1036" s="97" t="n">
        <v>77.3871</v>
      </c>
      <c r="N1036" s="97" t="n">
        <v>84.19298999999999</v>
      </c>
      <c r="O1036" s="97" t="n">
        <v>117</v>
      </c>
      <c r="P1036" s="97" t="n">
        <v>126.2231</v>
      </c>
      <c r="Q1036" s="97" t="n"/>
      <c r="R1036" s="97" t="n">
        <v>105.9</v>
      </c>
      <c r="S1036" s="97" t="n">
        <v>108.1909</v>
      </c>
      <c r="T1036" s="97" t="n">
        <v>105.7969</v>
      </c>
      <c r="U1036" s="97" t="n">
        <v>138.4385</v>
      </c>
      <c r="V1036" s="97" t="n">
        <v>73.70614</v>
      </c>
      <c r="W1036" s="97" t="n">
        <v>56.96745</v>
      </c>
      <c r="X1036" s="97" t="n">
        <v>39.53672</v>
      </c>
      <c r="Y1036" s="97" t="n">
        <v>72.22481999999999</v>
      </c>
      <c r="Z1036" s="97" t="n">
        <v>121.0899</v>
      </c>
      <c r="AA1036" s="97" t="n">
        <v>108.7968</v>
      </c>
      <c r="AB1036" s="97" t="n">
        <v>65.16557</v>
      </c>
      <c r="AC1036" s="97" t="n">
        <v>108.7909</v>
      </c>
      <c r="AD1036" s="97" t="n">
        <v>83.40000000000001</v>
      </c>
      <c r="AE1036" s="97" t="n">
        <v>95.84303</v>
      </c>
      <c r="AF1036" s="97" t="n">
        <v>97.59187</v>
      </c>
      <c r="AG1036" s="97" t="n">
        <v>114.0419</v>
      </c>
      <c r="AH1036" s="97" t="n">
        <v>92.08792</v>
      </c>
      <c r="AI1036" s="97" t="n">
        <v>58.7</v>
      </c>
      <c r="AJ1036" s="97" t="n">
        <v>125.0338</v>
      </c>
      <c r="AK1036" s="97" t="n">
        <v>51.30855</v>
      </c>
      <c r="AL1036" s="97" t="n">
        <v>88.20735000000001</v>
      </c>
      <c r="AM1036" s="97" t="n">
        <v>109.9</v>
      </c>
      <c r="AN1036" s="97" t="n"/>
      <c r="AO1036" s="97" t="n">
        <v>95.38445</v>
      </c>
      <c r="AP1036" s="97" t="n">
        <v>97.98367</v>
      </c>
      <c r="AQ1036" s="97" t="n"/>
      <c r="AR1036" s="97" t="n"/>
      <c r="AS1036" s="97" t="n"/>
      <c r="AT1036" s="97" t="n">
        <v>58.82203</v>
      </c>
      <c r="AU1036" s="97" t="n"/>
      <c r="AV1036" s="97" t="n">
        <v>74.91828</v>
      </c>
      <c r="AW1036" s="97" t="n"/>
      <c r="AX1036" s="97" t="n">
        <v>57.09524</v>
      </c>
      <c r="AY1036" s="97" t="n">
        <v>97.10983</v>
      </c>
    </row>
    <row r="1037" s="135">
      <c r="A1037" t="inlineStr">
        <is>
          <t>2005-04</t>
        </is>
      </c>
      <c r="B1037" s="2" t="n">
        <v>38443</v>
      </c>
      <c r="C1037" s="96" t="n">
        <v>1037</v>
      </c>
      <c r="E1037" s="2">
        <f>B1037</f>
        <v/>
      </c>
      <c r="F1037" s="3">
        <f>B1037</f>
        <v/>
      </c>
      <c r="G1037" s="96" t="n">
        <v>1035</v>
      </c>
      <c r="H1037" s="97" t="n"/>
      <c r="I1037" s="97" t="n"/>
      <c r="J1037" s="97" t="n">
        <v>83.89301</v>
      </c>
      <c r="K1037" s="97" t="n">
        <v>99.09227</v>
      </c>
      <c r="L1037" s="97" t="n"/>
      <c r="M1037" s="97" t="n">
        <v>78.98684</v>
      </c>
      <c r="N1037" s="97" t="n">
        <v>84.79293</v>
      </c>
      <c r="O1037" s="97" t="n">
        <v>119.8</v>
      </c>
      <c r="P1037" s="97" t="n">
        <v>127.5711</v>
      </c>
      <c r="Q1037" s="97" t="n"/>
      <c r="R1037" s="97" t="n">
        <v>107.4</v>
      </c>
      <c r="S1037" s="97" t="n">
        <v>110.9609</v>
      </c>
      <c r="T1037" s="97" t="n">
        <v>107.6657</v>
      </c>
      <c r="U1037" s="97" t="n">
        <v>138.5384</v>
      </c>
      <c r="V1037" s="97" t="n">
        <v>76.40636000000001</v>
      </c>
      <c r="W1037" s="97" t="n">
        <v>59.52178</v>
      </c>
      <c r="X1037" s="97" t="n">
        <v>39.73177</v>
      </c>
      <c r="Y1037" s="97" t="n">
        <v>74.00467999999999</v>
      </c>
      <c r="Z1037" s="97" t="n">
        <v>123.4897</v>
      </c>
      <c r="AA1037" s="97" t="n">
        <v>109.2315</v>
      </c>
      <c r="AB1037" s="97" t="n">
        <v>64.47562000000001</v>
      </c>
      <c r="AC1037" s="97" t="n">
        <v>110.3908</v>
      </c>
      <c r="AD1037" s="97" t="n">
        <v>85.5</v>
      </c>
      <c r="AE1037" s="97" t="n">
        <v>96.13975000000001</v>
      </c>
      <c r="AF1037" s="97" t="n">
        <v>99.89167999999999</v>
      </c>
      <c r="AG1037" s="97" t="n">
        <v>122.5368</v>
      </c>
      <c r="AH1037" s="97" t="n">
        <v>92.96785</v>
      </c>
      <c r="AI1037" s="97" t="n">
        <v>60.7</v>
      </c>
      <c r="AJ1037" s="97" t="n">
        <v>127.6602</v>
      </c>
      <c r="AK1037" s="97" t="n">
        <v>53.10885</v>
      </c>
      <c r="AL1037" s="97" t="n">
        <v>88.70739</v>
      </c>
      <c r="AM1037" s="97" t="n">
        <v>107</v>
      </c>
      <c r="AN1037" s="97" t="n"/>
      <c r="AO1037" s="97" t="n">
        <v>95.54515000000001</v>
      </c>
      <c r="AP1037" s="97" t="n">
        <v>99.38343999999999</v>
      </c>
      <c r="AQ1037" s="97" t="n"/>
      <c r="AR1037" s="97" t="n"/>
      <c r="AS1037" s="97" t="n"/>
      <c r="AT1037" s="97" t="n">
        <v>56.3466</v>
      </c>
      <c r="AU1037" s="97" t="n"/>
      <c r="AV1037" s="97" t="n">
        <v>75.87586</v>
      </c>
      <c r="AW1037" s="97" t="n"/>
      <c r="AX1037" s="97" t="n">
        <v>57.69519</v>
      </c>
      <c r="AY1037" s="97" t="n">
        <v>97.21992</v>
      </c>
    </row>
    <row r="1038" s="135">
      <c r="A1038" t="inlineStr">
        <is>
          <t>2005-05</t>
        </is>
      </c>
      <c r="B1038" s="2" t="n">
        <v>38473</v>
      </c>
      <c r="C1038" s="96" t="n">
        <v>1038</v>
      </c>
      <c r="E1038" s="2">
        <f>B1038</f>
        <v/>
      </c>
      <c r="F1038" s="3">
        <f>B1038</f>
        <v/>
      </c>
      <c r="G1038" s="96" t="n">
        <v>1036</v>
      </c>
      <c r="H1038" s="97" t="n"/>
      <c r="I1038" s="97" t="n"/>
      <c r="J1038" s="97" t="n">
        <v>81.39322</v>
      </c>
      <c r="K1038" s="97" t="n">
        <v>99.93151</v>
      </c>
      <c r="L1038" s="97" t="n"/>
      <c r="M1038" s="97" t="n">
        <v>77.98699999999999</v>
      </c>
      <c r="N1038" s="97" t="n">
        <v>83.69302</v>
      </c>
      <c r="O1038" s="97" t="n">
        <v>117.6</v>
      </c>
      <c r="P1038" s="97" t="n">
        <v>126.3151</v>
      </c>
      <c r="Q1038" s="97" t="n"/>
      <c r="R1038" s="97" t="n">
        <v>100.3</v>
      </c>
      <c r="S1038" s="97" t="n">
        <v>109.7309</v>
      </c>
      <c r="T1038" s="97" t="n">
        <v>107.9772</v>
      </c>
      <c r="U1038" s="97" t="n">
        <v>141.5349</v>
      </c>
      <c r="V1038" s="97" t="n">
        <v>77.30643999999999</v>
      </c>
      <c r="W1038" s="97" t="n">
        <v>59.34357</v>
      </c>
      <c r="X1038" s="97" t="n">
        <v>40.6778</v>
      </c>
      <c r="Y1038" s="97" t="n">
        <v>73.5363</v>
      </c>
      <c r="Z1038" s="97" t="n">
        <v>120.7899</v>
      </c>
      <c r="AA1038" s="97" t="n">
        <v>108.362</v>
      </c>
      <c r="AB1038" s="97" t="n">
        <v>64.47462</v>
      </c>
      <c r="AC1038" s="97" t="n">
        <v>111.5907</v>
      </c>
      <c r="AD1038" s="97" t="n">
        <v>86.3</v>
      </c>
      <c r="AE1038" s="97" t="n">
        <v>97.79536</v>
      </c>
      <c r="AF1038" s="97" t="n">
        <v>98.49178999999999</v>
      </c>
      <c r="AG1038" s="97" t="n">
        <v>119.6276</v>
      </c>
      <c r="AH1038" s="97" t="n">
        <v>92.50716</v>
      </c>
      <c r="AI1038" s="97" t="n">
        <v>59.8</v>
      </c>
      <c r="AJ1038" s="97" t="n">
        <v>121.3617</v>
      </c>
      <c r="AK1038" s="97" t="n">
        <v>52.70879</v>
      </c>
      <c r="AL1038" s="97" t="n">
        <v>90.40752999999999</v>
      </c>
      <c r="AM1038" s="97" t="n">
        <v>107.5</v>
      </c>
      <c r="AN1038" s="97" t="n"/>
      <c r="AO1038" s="97" t="n">
        <v>95.66992</v>
      </c>
      <c r="AP1038" s="97" t="n">
        <v>98.08365999999999</v>
      </c>
      <c r="AQ1038" s="97" t="n"/>
      <c r="AR1038" s="97" t="n"/>
      <c r="AS1038" s="97" t="n"/>
      <c r="AT1038" s="97" t="n">
        <v>56.70428</v>
      </c>
      <c r="AU1038" s="97" t="n"/>
      <c r="AV1038" s="97" t="n">
        <v>74.17554</v>
      </c>
      <c r="AW1038" s="97" t="n"/>
      <c r="AX1038" s="97" t="n">
        <v>58.19515</v>
      </c>
      <c r="AY1038" s="97" t="n">
        <v>100.523</v>
      </c>
    </row>
    <row r="1039" s="135">
      <c r="A1039" t="inlineStr">
        <is>
          <t>2005-06</t>
        </is>
      </c>
      <c r="B1039" s="2" t="n">
        <v>38504</v>
      </c>
      <c r="C1039" s="96" t="n">
        <v>1039</v>
      </c>
      <c r="E1039" s="2">
        <f>B1039</f>
        <v/>
      </c>
      <c r="F1039" s="3">
        <f>B1039</f>
        <v/>
      </c>
      <c r="G1039" s="96" t="n">
        <v>1037</v>
      </c>
      <c r="H1039" s="97" t="n"/>
      <c r="I1039" s="97" t="n"/>
      <c r="J1039" s="97" t="n">
        <v>83.09308</v>
      </c>
      <c r="K1039" s="97" t="n">
        <v>99.27124999999999</v>
      </c>
      <c r="L1039" s="97" t="n"/>
      <c r="M1039" s="97" t="n">
        <v>79.28679</v>
      </c>
      <c r="N1039" s="97" t="n">
        <v>85.49287</v>
      </c>
      <c r="O1039" s="97" t="n">
        <v>116.8</v>
      </c>
      <c r="P1039" s="97" t="n">
        <v>126.8871</v>
      </c>
      <c r="Q1039" s="97" t="n"/>
      <c r="R1039" s="97" t="n">
        <v>97.7</v>
      </c>
      <c r="S1039" s="97" t="n">
        <v>109.6709</v>
      </c>
      <c r="T1039" s="97" t="n">
        <v>108.081</v>
      </c>
      <c r="U1039" s="97" t="n">
        <v>137.9391</v>
      </c>
      <c r="V1039" s="97" t="n">
        <v>75.6063</v>
      </c>
      <c r="W1039" s="97" t="n">
        <v>59.9376</v>
      </c>
      <c r="X1039" s="97" t="n">
        <v>41.48428</v>
      </c>
      <c r="Y1039" s="97" t="n">
        <v>73.06792</v>
      </c>
      <c r="Z1039" s="97" t="n">
        <v>120.7899</v>
      </c>
      <c r="AA1039" s="97" t="n">
        <v>108.7968</v>
      </c>
      <c r="AB1039" s="97" t="n">
        <v>65.31656</v>
      </c>
      <c r="AC1039" s="97" t="n">
        <v>113.3905</v>
      </c>
      <c r="AD1039" s="97" t="n">
        <v>87.59999999999999</v>
      </c>
      <c r="AE1039" s="97" t="n">
        <v>95.97571000000001</v>
      </c>
      <c r="AF1039" s="97" t="n">
        <v>100.6916</v>
      </c>
      <c r="AG1039" s="97" t="n">
        <v>113.9255</v>
      </c>
      <c r="AH1039" s="97" t="n">
        <v>92.91024</v>
      </c>
      <c r="AI1039" s="97" t="n">
        <v>61.1</v>
      </c>
      <c r="AJ1039" s="97" t="n">
        <v>126.2502</v>
      </c>
      <c r="AK1039" s="97" t="n">
        <v>52.8088</v>
      </c>
      <c r="AL1039" s="97" t="n">
        <v>91.40761999999999</v>
      </c>
      <c r="AM1039" s="97" t="n">
        <v>111.2</v>
      </c>
      <c r="AN1039" s="97" t="n"/>
      <c r="AO1039" s="97" t="n">
        <v>96.03682999999999</v>
      </c>
      <c r="AP1039" s="97" t="n">
        <v>98.98351</v>
      </c>
      <c r="AQ1039" s="97" t="n"/>
      <c r="AR1039" s="97" t="n"/>
      <c r="AS1039" s="97" t="n"/>
      <c r="AT1039" s="97" t="n">
        <v>57.67903</v>
      </c>
      <c r="AU1039" s="97" t="n"/>
      <c r="AV1039" s="97" t="n">
        <v>76.73408999999999</v>
      </c>
      <c r="AW1039" s="97" t="n"/>
      <c r="AX1039" s="97" t="n">
        <v>57.99517</v>
      </c>
      <c r="AY1039" s="97" t="n">
        <v>98.54115</v>
      </c>
    </row>
    <row r="1040" s="135">
      <c r="A1040" t="inlineStr">
        <is>
          <t>2005-07</t>
        </is>
      </c>
      <c r="B1040" s="2" t="n">
        <v>38534</v>
      </c>
      <c r="C1040" s="96" t="n">
        <v>1040</v>
      </c>
      <c r="E1040" s="2">
        <f>B1040</f>
        <v/>
      </c>
      <c r="F1040" s="3">
        <f>B1040</f>
        <v/>
      </c>
      <c r="G1040" s="96" t="n">
        <v>1038</v>
      </c>
      <c r="H1040" s="97" t="n"/>
      <c r="I1040" s="97" t="n"/>
      <c r="J1040" s="97" t="n">
        <v>82.19315</v>
      </c>
      <c r="K1040" s="97" t="n">
        <v>99.55857</v>
      </c>
      <c r="L1040" s="97" t="n"/>
      <c r="M1040" s="97" t="n">
        <v>79.38677</v>
      </c>
      <c r="N1040" s="97" t="n">
        <v>86.79277</v>
      </c>
      <c r="O1040" s="97" t="n">
        <v>110.5</v>
      </c>
      <c r="P1040" s="97" t="n">
        <v>127.1131</v>
      </c>
      <c r="Q1040" s="97" t="n"/>
      <c r="R1040" s="97" t="n">
        <v>105.4</v>
      </c>
      <c r="S1040" s="97" t="n">
        <v>109.3209</v>
      </c>
      <c r="T1040" s="97" t="n">
        <v>107.5619</v>
      </c>
      <c r="U1040" s="97" t="n">
        <v>138.5384</v>
      </c>
      <c r="V1040" s="97" t="n">
        <v>76.30636</v>
      </c>
      <c r="W1040" s="97" t="n">
        <v>57.79909</v>
      </c>
      <c r="X1040" s="97" t="n">
        <v>41.97353</v>
      </c>
      <c r="Y1040" s="97" t="n">
        <v>73.16159</v>
      </c>
      <c r="Z1040" s="97" t="n">
        <v>122.4898</v>
      </c>
      <c r="AA1040" s="97" t="n">
        <v>108.1446</v>
      </c>
      <c r="AB1040" s="97" t="n">
        <v>65.77152</v>
      </c>
      <c r="AC1040" s="97" t="n">
        <v>123.0897</v>
      </c>
      <c r="AD1040" s="97" t="n">
        <v>88.3</v>
      </c>
      <c r="AE1040" s="97" t="n">
        <v>94.36192</v>
      </c>
      <c r="AF1040" s="97" t="n">
        <v>98.99175</v>
      </c>
      <c r="AG1040" s="97" t="n">
        <v>113.9255</v>
      </c>
      <c r="AH1040" s="97" t="n">
        <v>92.87725</v>
      </c>
      <c r="AI1040" s="97" t="n">
        <v>61.5</v>
      </c>
      <c r="AJ1040" s="97" t="n">
        <v>123.1249</v>
      </c>
      <c r="AK1040" s="97" t="n">
        <v>54.10902</v>
      </c>
      <c r="AL1040" s="97" t="n">
        <v>94.30786000000001</v>
      </c>
      <c r="AM1040" s="97" t="n">
        <v>111.9</v>
      </c>
      <c r="AN1040" s="97" t="n"/>
      <c r="AO1040" s="97" t="n">
        <v>95.73322</v>
      </c>
      <c r="AP1040" s="97" t="n">
        <v>99.48342</v>
      </c>
      <c r="AQ1040" s="97" t="n"/>
      <c r="AR1040" s="97" t="n"/>
      <c r="AS1040" s="97" t="n"/>
      <c r="AT1040" s="97" t="n">
        <v>56.62709</v>
      </c>
      <c r="AU1040" s="97" t="n"/>
      <c r="AV1040" s="97" t="n">
        <v>76.53149000000001</v>
      </c>
      <c r="AW1040" s="97" t="n"/>
      <c r="AX1040" s="97" t="n">
        <v>59.29506</v>
      </c>
      <c r="AY1040" s="97" t="n">
        <v>97.88054</v>
      </c>
    </row>
    <row r="1041" s="135">
      <c r="A1041" t="inlineStr">
        <is>
          <t>2005-08</t>
        </is>
      </c>
      <c r="B1041" s="2" t="n">
        <v>38565</v>
      </c>
      <c r="C1041" s="96" t="n">
        <v>1041</v>
      </c>
      <c r="E1041" s="2">
        <f>B1041</f>
        <v/>
      </c>
      <c r="F1041" s="3">
        <f>B1041</f>
        <v/>
      </c>
      <c r="G1041" s="96" t="n">
        <v>1039</v>
      </c>
      <c r="H1041" s="97" t="n"/>
      <c r="I1041" s="97" t="n"/>
      <c r="J1041" s="97" t="n">
        <v>81.69319</v>
      </c>
      <c r="K1041" s="97" t="n">
        <v>100.4174</v>
      </c>
      <c r="L1041" s="97" t="n"/>
      <c r="M1041" s="97" t="n">
        <v>80.18664</v>
      </c>
      <c r="N1041" s="97" t="n">
        <v>84.29298</v>
      </c>
      <c r="O1041" s="97" t="n">
        <v>116.6</v>
      </c>
      <c r="P1041" s="97" t="n">
        <v>128.3921</v>
      </c>
      <c r="Q1041" s="97" t="n"/>
      <c r="R1041" s="97" t="n">
        <v>106.3</v>
      </c>
      <c r="S1041" s="97" t="n">
        <v>108.7109</v>
      </c>
      <c r="T1041" s="97" t="n">
        <v>106.7313</v>
      </c>
      <c r="U1041" s="97" t="n">
        <v>140.536</v>
      </c>
      <c r="V1041" s="97" t="n">
        <v>75.70631</v>
      </c>
      <c r="W1041" s="97" t="n">
        <v>59.81879</v>
      </c>
      <c r="X1041" s="97" t="n">
        <v>43.06573</v>
      </c>
      <c r="Y1041" s="97" t="n">
        <v>73.44262000000001</v>
      </c>
      <c r="Z1041" s="97" t="n">
        <v>121.5899</v>
      </c>
      <c r="AA1041" s="97" t="n">
        <v>108.1446</v>
      </c>
      <c r="AB1041" s="97" t="n">
        <v>65.83551</v>
      </c>
      <c r="AC1041" s="97" t="n">
        <v>117.1902</v>
      </c>
      <c r="AD1041" s="97" t="n">
        <v>87.09999999999999</v>
      </c>
      <c r="AE1041" s="97" t="n">
        <v>97.0522</v>
      </c>
      <c r="AF1041" s="97" t="n">
        <v>97.39188</v>
      </c>
      <c r="AG1041" s="97" t="n">
        <v>117.7657</v>
      </c>
      <c r="AH1041" s="97" t="n">
        <v>92.93285</v>
      </c>
      <c r="AI1041" s="97" t="n">
        <v>62</v>
      </c>
      <c r="AJ1041" s="97" t="n">
        <v>116.4388</v>
      </c>
      <c r="AK1041" s="97" t="n">
        <v>52.8088</v>
      </c>
      <c r="AL1041" s="97" t="n">
        <v>88.00733</v>
      </c>
      <c r="AM1041" s="97" t="n">
        <v>107.2</v>
      </c>
      <c r="AN1041" s="97" t="n"/>
      <c r="AO1041" s="97" t="n">
        <v>95.99668</v>
      </c>
      <c r="AP1041" s="97" t="n">
        <v>98.38361</v>
      </c>
      <c r="AQ1041" s="97" t="n"/>
      <c r="AR1041" s="97" t="n"/>
      <c r="AS1041" s="97" t="n"/>
      <c r="AT1041" s="97" t="n">
        <v>58.05697</v>
      </c>
      <c r="AU1041" s="97" t="n"/>
      <c r="AV1041" s="97" t="n">
        <v>76.54465</v>
      </c>
      <c r="AW1041" s="97" t="n"/>
      <c r="AX1041" s="97" t="n">
        <v>60.29498</v>
      </c>
      <c r="AY1041" s="97" t="n">
        <v>98.10075000000001</v>
      </c>
    </row>
    <row r="1042" s="135">
      <c r="A1042" t="inlineStr">
        <is>
          <t>2005-09</t>
        </is>
      </c>
      <c r="B1042" s="2" t="n">
        <v>38596</v>
      </c>
      <c r="C1042" s="96" t="n">
        <v>1042</v>
      </c>
      <c r="E1042" s="2">
        <f>B1042</f>
        <v/>
      </c>
      <c r="F1042" s="3">
        <f>B1042</f>
        <v/>
      </c>
      <c r="G1042" s="96" t="n">
        <v>1040</v>
      </c>
      <c r="H1042" s="97" t="n"/>
      <c r="I1042" s="97" t="n"/>
      <c r="J1042" s="97" t="n">
        <v>83.89301</v>
      </c>
      <c r="K1042" s="97" t="n">
        <v>100.5942</v>
      </c>
      <c r="L1042" s="97" t="n"/>
      <c r="M1042" s="97" t="n">
        <v>80.3866</v>
      </c>
      <c r="N1042" s="97" t="n">
        <v>86.69277</v>
      </c>
      <c r="O1042" s="97" t="n">
        <v>119.5</v>
      </c>
      <c r="P1042" s="97" t="n">
        <v>127.6831</v>
      </c>
      <c r="Q1042" s="97" t="n"/>
      <c r="R1042" s="97" t="n">
        <v>107</v>
      </c>
      <c r="S1042" s="97" t="n">
        <v>111.4909</v>
      </c>
      <c r="T1042" s="97" t="n">
        <v>106.2122</v>
      </c>
      <c r="U1042" s="97" t="n">
        <v>143.133</v>
      </c>
      <c r="V1042" s="97" t="n">
        <v>77.50646</v>
      </c>
      <c r="W1042" s="97" t="n">
        <v>59.04655</v>
      </c>
      <c r="X1042" s="97" t="n">
        <v>44.07486</v>
      </c>
      <c r="Y1042" s="97" t="n">
        <v>73.91101</v>
      </c>
      <c r="Z1042" s="97" t="n">
        <v>122.0898</v>
      </c>
      <c r="AA1042" s="97" t="n">
        <v>109.0141</v>
      </c>
      <c r="AB1042" s="97" t="n">
        <v>66.74144</v>
      </c>
      <c r="AC1042" s="97" t="n">
        <v>118.9901</v>
      </c>
      <c r="AD1042" s="97" t="n">
        <v>88.5</v>
      </c>
      <c r="AE1042" s="97" t="n">
        <v>97.03554</v>
      </c>
      <c r="AF1042" s="97" t="n">
        <v>97.39188</v>
      </c>
      <c r="AG1042" s="97" t="n">
        <v>120.2095</v>
      </c>
      <c r="AH1042" s="97" t="n">
        <v>93.0294</v>
      </c>
      <c r="AI1042" s="97" t="n">
        <v>62.6</v>
      </c>
      <c r="AJ1042" s="97" t="n">
        <v>122.7792</v>
      </c>
      <c r="AK1042" s="97" t="n">
        <v>53.00883</v>
      </c>
      <c r="AL1042" s="97" t="n">
        <v>91.30761</v>
      </c>
      <c r="AM1042" s="97" t="n">
        <v>111</v>
      </c>
      <c r="AN1042" s="97" t="n"/>
      <c r="AO1042" s="97" t="n">
        <v>94.20475999999999</v>
      </c>
      <c r="AP1042" s="97" t="n">
        <v>99.68339</v>
      </c>
      <c r="AQ1042" s="97" t="n"/>
      <c r="AR1042" s="97" t="n"/>
      <c r="AS1042" s="97" t="n"/>
      <c r="AT1042" s="97" t="n">
        <v>57.78986</v>
      </c>
      <c r="AU1042" s="97" t="n"/>
      <c r="AV1042" s="97" t="n">
        <v>77.26273999999999</v>
      </c>
      <c r="AW1042" s="97" t="n"/>
      <c r="AX1042" s="97" t="n">
        <v>60.99492</v>
      </c>
      <c r="AY1042" s="97" t="n">
        <v>97.10983</v>
      </c>
    </row>
    <row r="1043" s="135">
      <c r="A1043" t="inlineStr">
        <is>
          <t>2005-10</t>
        </is>
      </c>
      <c r="B1043" s="2" t="n">
        <v>38626</v>
      </c>
      <c r="C1043" s="96" t="n">
        <v>1043</v>
      </c>
      <c r="E1043" s="2">
        <f>B1043</f>
        <v/>
      </c>
      <c r="F1043" s="3">
        <f>B1043</f>
        <v/>
      </c>
      <c r="G1043" s="96" t="n">
        <v>1041</v>
      </c>
      <c r="H1043" s="97" t="n"/>
      <c r="I1043" s="97" t="n"/>
      <c r="J1043" s="97" t="n">
        <v>82.7931</v>
      </c>
      <c r="K1043" s="97" t="n">
        <v>100.6774</v>
      </c>
      <c r="L1043" s="97" t="n"/>
      <c r="M1043" s="97" t="n">
        <v>81.18647</v>
      </c>
      <c r="N1043" s="97" t="n">
        <v>88.39263</v>
      </c>
      <c r="O1043" s="97" t="n">
        <v>113.8</v>
      </c>
      <c r="P1043" s="97" t="n">
        <v>126.6821</v>
      </c>
      <c r="Q1043" s="97" t="n"/>
      <c r="R1043" s="97" t="n">
        <v>110.7</v>
      </c>
      <c r="S1043" s="97" t="n">
        <v>108.2109</v>
      </c>
      <c r="T1043" s="97" t="n">
        <v>106.1083</v>
      </c>
      <c r="U1043" s="97" t="n">
        <v>141.435</v>
      </c>
      <c r="V1043" s="97" t="n">
        <v>78.90658000000001</v>
      </c>
      <c r="W1043" s="97" t="n">
        <v>60.0564</v>
      </c>
      <c r="X1043" s="97" t="n">
        <v>45.34583</v>
      </c>
      <c r="Y1043" s="97" t="n">
        <v>74.00467999999999</v>
      </c>
      <c r="Z1043" s="97" t="n">
        <v>122.2898</v>
      </c>
      <c r="AA1043" s="97" t="n">
        <v>108.0359</v>
      </c>
      <c r="AB1043" s="97" t="n">
        <v>67.38239</v>
      </c>
      <c r="AC1043" s="97" t="n">
        <v>116.7903</v>
      </c>
      <c r="AD1043" s="97" t="n">
        <v>89.5</v>
      </c>
      <c r="AE1043" s="97" t="n">
        <v>96.90156</v>
      </c>
      <c r="AF1043" s="97" t="n">
        <v>95.49204</v>
      </c>
      <c r="AG1043" s="97" t="n">
        <v>116.1365</v>
      </c>
      <c r="AH1043" s="97" t="n">
        <v>93.43810999999999</v>
      </c>
      <c r="AI1043" s="97" t="n">
        <v>64.3</v>
      </c>
      <c r="AJ1043" s="97" t="n">
        <v>121.4611</v>
      </c>
      <c r="AK1043" s="97" t="n">
        <v>54.20903</v>
      </c>
      <c r="AL1043" s="97" t="n">
        <v>93.00775</v>
      </c>
      <c r="AM1043" s="97" t="n">
        <v>111.8</v>
      </c>
      <c r="AN1043" s="97" t="n"/>
      <c r="AO1043" s="97" t="n">
        <v>95.39291</v>
      </c>
      <c r="AP1043" s="97" t="n">
        <v>99.88334999999999</v>
      </c>
      <c r="AQ1043" s="97" t="n"/>
      <c r="AR1043" s="97" t="n"/>
      <c r="AS1043" s="97" t="n"/>
      <c r="AT1043" s="97" t="n">
        <v>59.03214</v>
      </c>
      <c r="AU1043" s="97" t="n"/>
      <c r="AV1043" s="97" t="n">
        <v>77.11536</v>
      </c>
      <c r="AW1043" s="97" t="n"/>
      <c r="AX1043" s="97" t="n">
        <v>61.99483</v>
      </c>
      <c r="AY1043" s="97" t="n">
        <v>96.55932</v>
      </c>
    </row>
    <row r="1044" s="135">
      <c r="A1044" t="inlineStr">
        <is>
          <t>2005-11</t>
        </is>
      </c>
      <c r="B1044" s="2" t="n">
        <v>38657</v>
      </c>
      <c r="C1044" s="96" t="n">
        <v>1044</v>
      </c>
      <c r="E1044" s="2">
        <f>B1044</f>
        <v/>
      </c>
      <c r="F1044" s="3">
        <f>B1044</f>
        <v/>
      </c>
      <c r="G1044" s="96" t="n">
        <v>1042</v>
      </c>
      <c r="H1044" s="97" t="n"/>
      <c r="I1044" s="97" t="n"/>
      <c r="J1044" s="97" t="n">
        <v>87.79268999999999</v>
      </c>
      <c r="K1044" s="97" t="n">
        <v>101.4479</v>
      </c>
      <c r="L1044" s="97" t="n"/>
      <c r="M1044" s="97" t="n">
        <v>82.38627</v>
      </c>
      <c r="N1044" s="97" t="n">
        <v>87.39272</v>
      </c>
      <c r="O1044" s="97" t="n">
        <v>112.9</v>
      </c>
      <c r="P1044" s="97" t="n">
        <v>128.5691</v>
      </c>
      <c r="Q1044" s="97" t="n"/>
      <c r="R1044" s="97" t="n">
        <v>108.2</v>
      </c>
      <c r="S1044" s="97" t="n">
        <v>112.5509</v>
      </c>
      <c r="T1044" s="97" t="n">
        <v>107.3542</v>
      </c>
      <c r="U1044" s="97" t="n">
        <v>141.7346</v>
      </c>
      <c r="V1044" s="97" t="n">
        <v>78.60655</v>
      </c>
      <c r="W1044" s="97" t="n">
        <v>68.25400999999999</v>
      </c>
      <c r="X1044" s="97" t="n">
        <v>48.71699</v>
      </c>
      <c r="Y1044" s="97" t="n">
        <v>75.69086</v>
      </c>
      <c r="Z1044" s="97" t="n">
        <v>123.5897</v>
      </c>
      <c r="AA1044" s="97" t="n">
        <v>110.2097</v>
      </c>
      <c r="AB1044" s="97" t="n">
        <v>70.30114</v>
      </c>
      <c r="AC1044" s="97" t="n">
        <v>115.4904</v>
      </c>
      <c r="AD1044" s="97" t="n">
        <v>90.09999999999999</v>
      </c>
      <c r="AE1044" s="97" t="n">
        <v>98.74594</v>
      </c>
      <c r="AF1044" s="97" t="n">
        <v>99.89167999999999</v>
      </c>
      <c r="AG1044" s="97" t="n">
        <v>117.4166</v>
      </c>
      <c r="AH1044" s="97" t="n">
        <v>94.7205</v>
      </c>
      <c r="AI1044" s="97" t="n">
        <v>65.7</v>
      </c>
      <c r="AJ1044" s="97" t="n">
        <v>125.3209</v>
      </c>
      <c r="AK1044" s="97" t="n">
        <v>54.90915</v>
      </c>
      <c r="AL1044" s="97" t="n">
        <v>93.6078</v>
      </c>
      <c r="AM1044" s="97" t="n">
        <v>109.7</v>
      </c>
      <c r="AN1044" s="97" t="n"/>
      <c r="AO1044" s="97" t="n">
        <v>96.35986</v>
      </c>
      <c r="AP1044" s="97" t="n">
        <v>101.5831</v>
      </c>
      <c r="AQ1044" s="97" t="n"/>
      <c r="AR1044" s="97" t="n"/>
      <c r="AS1044" s="97" t="n"/>
      <c r="AT1044" s="97" t="n">
        <v>58.13843</v>
      </c>
      <c r="AU1044" s="97" t="n"/>
      <c r="AV1044" s="97" t="n">
        <v>78.26729</v>
      </c>
      <c r="AW1044" s="97" t="n"/>
      <c r="AX1044" s="97" t="n">
        <v>62.19482</v>
      </c>
      <c r="AY1044" s="97" t="n">
        <v>97.55023</v>
      </c>
    </row>
    <row r="1045" s="135">
      <c r="A1045" t="inlineStr">
        <is>
          <t>2005-12</t>
        </is>
      </c>
      <c r="B1045" s="2" t="n">
        <v>38687</v>
      </c>
      <c r="C1045" s="96" t="n">
        <v>1045</v>
      </c>
      <c r="E1045" s="2">
        <f>B1045</f>
        <v/>
      </c>
      <c r="F1045" s="3">
        <f>B1045</f>
        <v/>
      </c>
      <c r="G1045" s="96" t="n">
        <v>1043</v>
      </c>
      <c r="H1045" s="97" t="n"/>
      <c r="I1045" s="97" t="n"/>
      <c r="J1045" s="97" t="n">
        <v>90.39246</v>
      </c>
      <c r="K1045" s="97" t="n">
        <v>102.1277</v>
      </c>
      <c r="L1045" s="97" t="n"/>
      <c r="M1045" s="97" t="n">
        <v>82.28628999999999</v>
      </c>
      <c r="N1045" s="97" t="n">
        <v>87.19273</v>
      </c>
      <c r="O1045" s="97" t="n">
        <v>117</v>
      </c>
      <c r="P1045" s="97" t="n">
        <v>129.9161</v>
      </c>
      <c r="Q1045" s="97" t="n"/>
      <c r="R1045" s="97" t="n">
        <v>111</v>
      </c>
      <c r="S1045" s="97" t="n">
        <v>111.2309</v>
      </c>
      <c r="T1045" s="97" t="n">
        <v>108.2886</v>
      </c>
      <c r="U1045" s="97" t="n">
        <v>139.0378</v>
      </c>
      <c r="V1045" s="97" t="n">
        <v>78.70656</v>
      </c>
      <c r="W1045" s="97" t="n">
        <v>56.0764</v>
      </c>
      <c r="X1045" s="97" t="n">
        <v>52.2677</v>
      </c>
      <c r="Y1045" s="97" t="n">
        <v>75.40984</v>
      </c>
      <c r="Z1045" s="97" t="n">
        <v>121.7898</v>
      </c>
      <c r="AA1045" s="97" t="n">
        <v>110.6444</v>
      </c>
      <c r="AB1045" s="97" t="n">
        <v>68.77727</v>
      </c>
      <c r="AC1045" s="97" t="n">
        <v>115.7904</v>
      </c>
      <c r="AD1045" s="97" t="n">
        <v>90.2</v>
      </c>
      <c r="AE1045" s="97" t="n">
        <v>99.84226</v>
      </c>
      <c r="AF1045" s="97" t="n">
        <v>100.0917</v>
      </c>
      <c r="AG1045" s="97" t="n">
        <v>116.602</v>
      </c>
      <c r="AH1045" s="97" t="n">
        <v>94.83553000000001</v>
      </c>
      <c r="AI1045" s="97" t="n">
        <v>66.90000000000001</v>
      </c>
      <c r="AJ1045" s="97" t="n">
        <v>122.9208</v>
      </c>
      <c r="AK1045" s="97" t="n">
        <v>58.2097</v>
      </c>
      <c r="AL1045" s="97" t="n">
        <v>95.40795</v>
      </c>
      <c r="AM1045" s="97" t="n">
        <v>109.4</v>
      </c>
      <c r="AN1045" s="97" t="n"/>
      <c r="AO1045" s="97" t="n">
        <v>96.95738</v>
      </c>
      <c r="AP1045" s="97" t="n">
        <v>100.4833</v>
      </c>
      <c r="AQ1045" s="97" t="n"/>
      <c r="AR1045" s="97" t="n"/>
      <c r="AS1045" s="97" t="n"/>
      <c r="AT1045" s="97" t="n">
        <v>60.2672</v>
      </c>
      <c r="AU1045" s="97" t="n"/>
      <c r="AV1045" s="97" t="n">
        <v>78.77666000000001</v>
      </c>
      <c r="AW1045" s="97" t="n"/>
      <c r="AX1045" s="97" t="n">
        <v>61.59487</v>
      </c>
      <c r="AY1045" s="97" t="n">
        <v>99.53207</v>
      </c>
    </row>
    <row r="1046" s="135">
      <c r="A1046" t="inlineStr">
        <is>
          <t>2006-01</t>
        </is>
      </c>
      <c r="B1046" s="2" t="n">
        <v>38718</v>
      </c>
      <c r="C1046" s="96" t="n">
        <v>1046</v>
      </c>
      <c r="E1046" s="2">
        <f>B1046</f>
        <v/>
      </c>
      <c r="F1046" s="3">
        <f>B1046</f>
        <v/>
      </c>
      <c r="G1046" s="96" t="n">
        <v>1044</v>
      </c>
      <c r="H1046" s="97" t="n"/>
      <c r="I1046" s="97" t="n"/>
      <c r="J1046" s="97" t="n">
        <v>86.19282</v>
      </c>
      <c r="K1046" s="97" t="n">
        <v>101.6975</v>
      </c>
      <c r="L1046" s="97" t="n"/>
      <c r="M1046" s="97" t="n">
        <v>83.88602</v>
      </c>
      <c r="N1046" s="97" t="n">
        <v>87.6927</v>
      </c>
      <c r="O1046" s="97" t="n">
        <v>118.8</v>
      </c>
      <c r="P1046" s="97" t="n">
        <v>130.4601</v>
      </c>
      <c r="Q1046" s="97" t="n"/>
      <c r="R1046" s="97" t="n">
        <v>119.7</v>
      </c>
      <c r="S1046" s="97" t="n">
        <v>110.5209</v>
      </c>
      <c r="T1046" s="97" t="n">
        <v>108.7039</v>
      </c>
      <c r="U1046" s="97" t="n">
        <v>137.6394</v>
      </c>
      <c r="V1046" s="97" t="n">
        <v>79.20659999999999</v>
      </c>
      <c r="W1046" s="97" t="n">
        <v>62.96715</v>
      </c>
      <c r="X1046" s="97" t="n">
        <v>48.14148</v>
      </c>
      <c r="Y1046" s="97" t="n">
        <v>75.22248</v>
      </c>
      <c r="Z1046" s="97" t="n">
        <v>122.2898</v>
      </c>
      <c r="AA1046" s="97" t="n">
        <v>110.9705</v>
      </c>
      <c r="AB1046" s="97" t="n">
        <v>71.16507</v>
      </c>
      <c r="AC1046" s="97" t="n">
        <v>116.7903</v>
      </c>
      <c r="AD1046" s="97" t="n">
        <v>90.3</v>
      </c>
      <c r="AE1046" s="97" t="n">
        <v>99.99448</v>
      </c>
      <c r="AF1046" s="97" t="n">
        <v>99.6917</v>
      </c>
      <c r="AG1046" s="97" t="n">
        <v>115.9038</v>
      </c>
      <c r="AH1046" s="97" t="n">
        <v>95.15197999999999</v>
      </c>
      <c r="AI1046" s="97" t="n">
        <v>65.09999999999999</v>
      </c>
      <c r="AJ1046" s="97" t="n">
        <v>119.6206</v>
      </c>
      <c r="AK1046" s="97" t="n">
        <v>57.70962</v>
      </c>
      <c r="AL1046" s="97" t="n">
        <v>93.90783</v>
      </c>
      <c r="AM1046" s="97" t="n">
        <v>112.7</v>
      </c>
      <c r="AN1046" s="97" t="n"/>
      <c r="AO1046" s="97" t="n">
        <v>97.07169</v>
      </c>
      <c r="AP1046" s="97" t="n">
        <v>101.2831</v>
      </c>
      <c r="AQ1046" s="97" t="n"/>
      <c r="AR1046" s="97" t="n"/>
      <c r="AS1046" s="97" t="n"/>
      <c r="AT1046" s="97" t="n">
        <v>61.25964</v>
      </c>
      <c r="AU1046" s="97" t="n"/>
      <c r="AV1046" s="97" t="n">
        <v>78.2</v>
      </c>
      <c r="AW1046" s="97" t="n"/>
      <c r="AX1046" s="97" t="n">
        <v>62.09483</v>
      </c>
      <c r="AY1046" s="97" t="n">
        <v>99.97247</v>
      </c>
    </row>
    <row r="1047" s="135">
      <c r="A1047" t="inlineStr">
        <is>
          <t>2006-02</t>
        </is>
      </c>
      <c r="B1047" s="2" t="n">
        <v>38749</v>
      </c>
      <c r="C1047" s="96" t="n">
        <v>1047</v>
      </c>
      <c r="E1047" s="2">
        <f>B1047</f>
        <v/>
      </c>
      <c r="F1047" s="3">
        <f>B1047</f>
        <v/>
      </c>
      <c r="G1047" s="96" t="n">
        <v>1045</v>
      </c>
      <c r="H1047" s="97" t="n"/>
      <c r="I1047" s="97" t="n"/>
      <c r="J1047" s="97" t="n">
        <v>88.09266</v>
      </c>
      <c r="K1047" s="97" t="n">
        <v>101.4588</v>
      </c>
      <c r="L1047" s="97" t="n"/>
      <c r="M1047" s="97" t="n">
        <v>82.48625</v>
      </c>
      <c r="N1047" s="97" t="n">
        <v>88.19265</v>
      </c>
      <c r="O1047" s="97" t="n">
        <v>120.7</v>
      </c>
      <c r="P1047" s="97" t="n">
        <v>130.4701</v>
      </c>
      <c r="Q1047" s="97" t="n"/>
      <c r="R1047" s="97" t="n">
        <v>117.4</v>
      </c>
      <c r="S1047" s="97" t="n">
        <v>109.7609</v>
      </c>
      <c r="T1047" s="97" t="n">
        <v>108.081</v>
      </c>
      <c r="U1047" s="97" t="n">
        <v>141.6348</v>
      </c>
      <c r="V1047" s="97" t="n">
        <v>79.90666</v>
      </c>
      <c r="W1047" s="97" t="n">
        <v>53.9379</v>
      </c>
      <c r="X1047" s="97" t="n">
        <v>41.92538</v>
      </c>
      <c r="Y1047" s="97" t="n">
        <v>76.62763</v>
      </c>
      <c r="Z1047" s="97" t="n">
        <v>124.5896</v>
      </c>
      <c r="AA1047" s="97" t="n">
        <v>110.7531</v>
      </c>
      <c r="AB1047" s="97" t="n">
        <v>70.09916</v>
      </c>
      <c r="AC1047" s="97" t="n">
        <v>113.9905</v>
      </c>
      <c r="AD1047" s="97" t="n">
        <v>91.7</v>
      </c>
      <c r="AE1047" s="97" t="n">
        <v>99.09557</v>
      </c>
      <c r="AF1047" s="97" t="n">
        <v>101.0916</v>
      </c>
      <c r="AG1047" s="97" t="n">
        <v>115.4383</v>
      </c>
      <c r="AH1047" s="97" t="n">
        <v>95.07288</v>
      </c>
      <c r="AI1047" s="97" t="n">
        <v>66.2</v>
      </c>
      <c r="AJ1047" s="97" t="n">
        <v>118.8112</v>
      </c>
      <c r="AK1047" s="97" t="n">
        <v>56.30938</v>
      </c>
      <c r="AL1047" s="97" t="n">
        <v>92.90774999999999</v>
      </c>
      <c r="AM1047" s="97" t="n">
        <v>110.6</v>
      </c>
      <c r="AN1047" s="97" t="n"/>
      <c r="AO1047" s="97" t="n">
        <v>97.07572</v>
      </c>
      <c r="AP1047" s="97" t="n">
        <v>101.2831</v>
      </c>
      <c r="AQ1047" s="97" t="n"/>
      <c r="AR1047" s="97" t="n"/>
      <c r="AS1047" s="97" t="n"/>
      <c r="AT1047" s="97" t="n">
        <v>61.55954</v>
      </c>
      <c r="AU1047" s="97" t="n"/>
      <c r="AV1047" s="97" t="n">
        <v>78.90000000000001</v>
      </c>
      <c r="AW1047" s="97" t="n"/>
      <c r="AX1047" s="97" t="n">
        <v>62.49479</v>
      </c>
      <c r="AY1047" s="97" t="n">
        <v>100.6331</v>
      </c>
    </row>
    <row r="1048" s="135">
      <c r="A1048" t="inlineStr">
        <is>
          <t>2006-03</t>
        </is>
      </c>
      <c r="B1048" s="2" t="n">
        <v>38777</v>
      </c>
      <c r="C1048" s="96" t="n">
        <v>1048</v>
      </c>
      <c r="E1048" s="2">
        <f>B1048</f>
        <v/>
      </c>
      <c r="F1048" s="3">
        <f>B1048</f>
        <v/>
      </c>
      <c r="G1048" s="96" t="n">
        <v>1046</v>
      </c>
      <c r="H1048" s="97" t="n"/>
      <c r="I1048" s="97" t="n"/>
      <c r="J1048" s="97" t="n">
        <v>87.59269999999999</v>
      </c>
      <c r="K1048" s="97" t="n">
        <v>101.6113</v>
      </c>
      <c r="L1048" s="97" t="n"/>
      <c r="M1048" s="97" t="n">
        <v>83.986</v>
      </c>
      <c r="N1048" s="97" t="n">
        <v>87.39272</v>
      </c>
      <c r="O1048" s="97" t="n">
        <v>118.6</v>
      </c>
      <c r="P1048" s="97" t="n">
        <v>131.1501</v>
      </c>
      <c r="Q1048" s="97" t="n"/>
      <c r="R1048" s="97" t="n">
        <v>115.4</v>
      </c>
      <c r="S1048" s="97" t="n">
        <v>111.7909</v>
      </c>
      <c r="T1048" s="97" t="n">
        <v>108.4963</v>
      </c>
      <c r="U1048" s="97" t="n">
        <v>145.1307</v>
      </c>
      <c r="V1048" s="97" t="n">
        <v>82.8069</v>
      </c>
      <c r="W1048" s="97" t="n">
        <v>59.81879</v>
      </c>
      <c r="X1048" s="97" t="n">
        <v>45.91892</v>
      </c>
      <c r="Y1048" s="97" t="n">
        <v>76.06556999999999</v>
      </c>
      <c r="Z1048" s="97" t="n">
        <v>125.1896</v>
      </c>
      <c r="AA1048" s="97" t="n">
        <v>111.514</v>
      </c>
      <c r="AB1048" s="97" t="n">
        <v>70.92309</v>
      </c>
      <c r="AC1048" s="97" t="n">
        <v>114.1905</v>
      </c>
      <c r="AD1048" s="97" t="n">
        <v>91.59999999999999</v>
      </c>
      <c r="AE1048" s="97" t="n">
        <v>100.5759</v>
      </c>
      <c r="AF1048" s="97" t="n">
        <v>104.0913</v>
      </c>
      <c r="AG1048" s="97" t="n">
        <v>115.5547</v>
      </c>
      <c r="AH1048" s="97" t="n">
        <v>95.63202</v>
      </c>
      <c r="AI1048" s="97" t="n">
        <v>66.7</v>
      </c>
      <c r="AJ1048" s="97" t="n">
        <v>123.9926</v>
      </c>
      <c r="AK1048" s="97" t="n">
        <v>59.4099</v>
      </c>
      <c r="AL1048" s="97" t="n">
        <v>91.40761999999999</v>
      </c>
      <c r="AM1048" s="97" t="n">
        <v>111.3</v>
      </c>
      <c r="AN1048" s="97" t="n"/>
      <c r="AO1048" s="97" t="n">
        <v>97.2757</v>
      </c>
      <c r="AP1048" s="97" t="n">
        <v>101.983</v>
      </c>
      <c r="AQ1048" s="97" t="n"/>
      <c r="AR1048" s="97" t="n"/>
      <c r="AS1048" s="97" t="n"/>
      <c r="AT1048" s="97" t="n">
        <v>62.68866</v>
      </c>
      <c r="AU1048" s="97" t="n"/>
      <c r="AV1048" s="97" t="n">
        <v>80.09999999999999</v>
      </c>
      <c r="AW1048" s="97" t="n"/>
      <c r="AX1048" s="97" t="n">
        <v>64.09466</v>
      </c>
      <c r="AY1048" s="97" t="n">
        <v>99.86237</v>
      </c>
    </row>
    <row r="1049" s="135">
      <c r="A1049" t="inlineStr">
        <is>
          <t>2006-04</t>
        </is>
      </c>
      <c r="B1049" s="2" t="n">
        <v>38808</v>
      </c>
      <c r="C1049" s="96" t="n">
        <v>1049</v>
      </c>
      <c r="E1049" s="2">
        <f>B1049</f>
        <v/>
      </c>
      <c r="F1049" s="3">
        <f>B1049</f>
        <v/>
      </c>
      <c r="G1049" s="96" t="n">
        <v>1047</v>
      </c>
      <c r="H1049" s="97" t="n"/>
      <c r="I1049" s="97" t="n"/>
      <c r="J1049" s="97" t="n">
        <v>88.39263</v>
      </c>
      <c r="K1049" s="97" t="n">
        <v>100.9594</v>
      </c>
      <c r="L1049" s="97" t="n"/>
      <c r="M1049" s="97" t="n">
        <v>82.88618</v>
      </c>
      <c r="N1049" s="97" t="n">
        <v>89.39255</v>
      </c>
      <c r="O1049" s="97" t="n">
        <v>118</v>
      </c>
      <c r="P1049" s="97" t="n">
        <v>129.9611</v>
      </c>
      <c r="Q1049" s="97" t="n"/>
      <c r="R1049" s="97" t="n">
        <v>116.9</v>
      </c>
      <c r="S1049" s="97" t="n">
        <v>111.2209</v>
      </c>
      <c r="T1049" s="97" t="n">
        <v>107.9772</v>
      </c>
      <c r="U1049" s="97" t="n">
        <v>142.4338</v>
      </c>
      <c r="V1049" s="97" t="n">
        <v>82.70689</v>
      </c>
      <c r="W1049" s="97" t="n">
        <v>62.0761</v>
      </c>
      <c r="X1049" s="97" t="n">
        <v>48.68441</v>
      </c>
      <c r="Y1049" s="97" t="n">
        <v>75.97189</v>
      </c>
      <c r="Z1049" s="97" t="n">
        <v>124.0897</v>
      </c>
      <c r="AA1049" s="97" t="n">
        <v>113.579</v>
      </c>
      <c r="AB1049" s="97" t="n">
        <v>70.69211</v>
      </c>
      <c r="AC1049" s="97" t="n">
        <v>112.7906</v>
      </c>
      <c r="AD1049" s="97" t="n">
        <v>91.7</v>
      </c>
      <c r="AE1049" s="97" t="n">
        <v>100.7448</v>
      </c>
      <c r="AF1049" s="97" t="n">
        <v>102.7914</v>
      </c>
      <c r="AG1049" s="97" t="n">
        <v>113.8092</v>
      </c>
      <c r="AH1049" s="97" t="n">
        <v>96.05414</v>
      </c>
      <c r="AI1049" s="97" t="n">
        <v>67.7</v>
      </c>
      <c r="AJ1049" s="97" t="n">
        <v>116.8616</v>
      </c>
      <c r="AK1049" s="97" t="n">
        <v>58.90982</v>
      </c>
      <c r="AL1049" s="97" t="n">
        <v>93.40778</v>
      </c>
      <c r="AM1049" s="97" t="n">
        <v>112</v>
      </c>
      <c r="AN1049" s="97" t="n"/>
      <c r="AO1049" s="97" t="n">
        <v>97.66586</v>
      </c>
      <c r="AP1049" s="97" t="n">
        <v>102.283</v>
      </c>
      <c r="AQ1049" s="97" t="n"/>
      <c r="AR1049" s="97" t="n"/>
      <c r="AS1049" s="97" t="n"/>
      <c r="AT1049" s="97" t="n">
        <v>62.04946</v>
      </c>
      <c r="AU1049" s="97" t="n"/>
      <c r="AV1049" s="97" t="n">
        <v>80.3</v>
      </c>
      <c r="AW1049" s="97" t="n"/>
      <c r="AX1049" s="97" t="n">
        <v>63.5947</v>
      </c>
      <c r="AY1049" s="97" t="n">
        <v>100.6331</v>
      </c>
    </row>
    <row r="1050" s="135">
      <c r="A1050" t="inlineStr">
        <is>
          <t>2006-05</t>
        </is>
      </c>
      <c r="B1050" s="2" t="n">
        <v>38838</v>
      </c>
      <c r="C1050" s="96" t="n">
        <v>1050</v>
      </c>
      <c r="E1050" s="2">
        <f>B1050</f>
        <v/>
      </c>
      <c r="F1050" s="3">
        <f>B1050</f>
        <v/>
      </c>
      <c r="G1050" s="96" t="n">
        <v>1048</v>
      </c>
      <c r="H1050" s="97" t="n"/>
      <c r="I1050" s="97" t="n"/>
      <c r="J1050" s="97" t="n">
        <v>89.59254</v>
      </c>
      <c r="K1050" s="97" t="n">
        <v>100.6126</v>
      </c>
      <c r="L1050" s="97" t="n"/>
      <c r="M1050" s="97" t="n">
        <v>86.3856</v>
      </c>
      <c r="N1050" s="97" t="n">
        <v>90.69244</v>
      </c>
      <c r="O1050" s="97" t="n">
        <v>122</v>
      </c>
      <c r="P1050" s="97" t="n">
        <v>131.8201</v>
      </c>
      <c r="Q1050" s="97" t="n"/>
      <c r="R1050" s="97" t="n">
        <v>114.5</v>
      </c>
      <c r="S1050" s="97" t="n">
        <v>113.0109</v>
      </c>
      <c r="T1050" s="97" t="n">
        <v>107.9772</v>
      </c>
      <c r="U1050" s="97" t="n">
        <v>144.5314</v>
      </c>
      <c r="V1050" s="97" t="n">
        <v>83.20693</v>
      </c>
      <c r="W1050" s="97" t="n">
        <v>65.93729</v>
      </c>
      <c r="X1050" s="97" t="n">
        <v>50.93728</v>
      </c>
      <c r="Y1050" s="97" t="n">
        <v>77.75175</v>
      </c>
      <c r="Z1050" s="97" t="n">
        <v>126.9894</v>
      </c>
      <c r="AA1050" s="97" t="n">
        <v>111.84</v>
      </c>
      <c r="AB1050" s="97" t="n">
        <v>71.85201000000001</v>
      </c>
      <c r="AC1050" s="97" t="n">
        <v>118.0902</v>
      </c>
      <c r="AD1050" s="97" t="n">
        <v>91.09999999999999</v>
      </c>
      <c r="AE1050" s="97" t="n">
        <v>101.7845</v>
      </c>
      <c r="AF1050" s="97" t="n">
        <v>99.6917</v>
      </c>
      <c r="AG1050" s="97" t="n">
        <v>115.4383</v>
      </c>
      <c r="AH1050" s="97" t="n">
        <v>96.48187</v>
      </c>
      <c r="AI1050" s="97" t="n">
        <v>69.59999999999999</v>
      </c>
      <c r="AJ1050" s="97" t="n">
        <v>124.3406</v>
      </c>
      <c r="AK1050" s="97" t="n">
        <v>60.21003</v>
      </c>
      <c r="AL1050" s="97" t="n">
        <v>97.40812</v>
      </c>
      <c r="AM1050" s="97" t="n">
        <v>114.2</v>
      </c>
      <c r="AN1050" s="97" t="n"/>
      <c r="AO1050" s="97" t="n">
        <v>97.5676</v>
      </c>
      <c r="AP1050" s="97" t="n">
        <v>103.7827</v>
      </c>
      <c r="AQ1050" s="97" t="n"/>
      <c r="AR1050" s="97" t="n"/>
      <c r="AS1050" s="97" t="n"/>
      <c r="AT1050" s="97" t="n">
        <v>62.77037</v>
      </c>
      <c r="AU1050" s="97" t="n"/>
      <c r="AV1050" s="97" t="n">
        <v>80.8</v>
      </c>
      <c r="AW1050" s="97" t="n"/>
      <c r="AX1050" s="97" t="n">
        <v>64.09466</v>
      </c>
      <c r="AY1050" s="97" t="n">
        <v>101.5139</v>
      </c>
    </row>
    <row r="1051" s="135">
      <c r="A1051" t="inlineStr">
        <is>
          <t>2006-06</t>
        </is>
      </c>
      <c r="B1051" s="2" t="n">
        <v>38869</v>
      </c>
      <c r="C1051" s="96" t="n">
        <v>1051</v>
      </c>
      <c r="E1051" s="2">
        <f>B1051</f>
        <v/>
      </c>
      <c r="F1051" s="3">
        <f>B1051</f>
        <v/>
      </c>
      <c r="G1051" s="96" t="n">
        <v>1049</v>
      </c>
      <c r="H1051" s="97" t="n"/>
      <c r="I1051" s="97" t="n"/>
      <c r="J1051" s="97" t="n">
        <v>89.69253</v>
      </c>
      <c r="K1051" s="97" t="n">
        <v>100.0768</v>
      </c>
      <c r="L1051" s="97" t="n"/>
      <c r="M1051" s="97" t="n">
        <v>86.08566</v>
      </c>
      <c r="N1051" s="97" t="n">
        <v>90.19248</v>
      </c>
      <c r="O1051" s="97" t="n">
        <v>121.3</v>
      </c>
      <c r="P1051" s="97" t="n">
        <v>132.4921</v>
      </c>
      <c r="Q1051" s="97" t="n"/>
      <c r="R1051" s="97" t="n">
        <v>120.4</v>
      </c>
      <c r="S1051" s="97" t="n">
        <v>112.8209</v>
      </c>
      <c r="T1051" s="97" t="n">
        <v>108.8078</v>
      </c>
      <c r="U1051" s="97" t="n">
        <v>142.9332</v>
      </c>
      <c r="V1051" s="97" t="n">
        <v>85.00709000000001</v>
      </c>
      <c r="W1051" s="97" t="n">
        <v>62.49192</v>
      </c>
      <c r="X1051" s="97" t="n">
        <v>53.1697</v>
      </c>
      <c r="Y1051" s="97" t="n">
        <v>79.62529000000001</v>
      </c>
      <c r="Z1051" s="97" t="n">
        <v>127.3894</v>
      </c>
      <c r="AA1051" s="97" t="n">
        <v>113.3616</v>
      </c>
      <c r="AB1051" s="97" t="n">
        <v>71.19907000000001</v>
      </c>
      <c r="AC1051" s="97" t="n">
        <v>115.4904</v>
      </c>
      <c r="AD1051" s="97" t="n">
        <v>92.5</v>
      </c>
      <c r="AE1051" s="97" t="n">
        <v>101.6048</v>
      </c>
      <c r="AF1051" s="97" t="n">
        <v>102.0915</v>
      </c>
      <c r="AG1051" s="97" t="n">
        <v>116.2529</v>
      </c>
      <c r="AH1051" s="97" t="n">
        <v>96.76528</v>
      </c>
      <c r="AI1051" s="97" t="n">
        <v>70.09999999999999</v>
      </c>
      <c r="AJ1051" s="97" t="n">
        <v>123.9045</v>
      </c>
      <c r="AK1051" s="97" t="n">
        <v>61.8103</v>
      </c>
      <c r="AL1051" s="97" t="n">
        <v>93.6078</v>
      </c>
      <c r="AM1051" s="97" t="n">
        <v>112</v>
      </c>
      <c r="AN1051" s="97" t="n"/>
      <c r="AO1051" s="97" t="n">
        <v>97.94248</v>
      </c>
      <c r="AP1051" s="97" t="n">
        <v>103.6827</v>
      </c>
      <c r="AQ1051" s="97" t="n"/>
      <c r="AR1051" s="97" t="n"/>
      <c r="AS1051" s="97" t="n"/>
      <c r="AT1051" s="97" t="n">
        <v>62.88755</v>
      </c>
      <c r="AU1051" s="97" t="n"/>
      <c r="AV1051" s="97" t="n">
        <v>80.90000000000001</v>
      </c>
      <c r="AW1051" s="97" t="n"/>
      <c r="AX1051" s="97" t="n">
        <v>64.49463</v>
      </c>
      <c r="AY1051" s="97" t="n">
        <v>99.75227</v>
      </c>
    </row>
    <row r="1052" s="135">
      <c r="A1052" t="inlineStr">
        <is>
          <t>2006-07</t>
        </is>
      </c>
      <c r="B1052" s="2" t="n">
        <v>38899</v>
      </c>
      <c r="C1052" s="96" t="n">
        <v>1052</v>
      </c>
      <c r="E1052" s="2">
        <f>B1052</f>
        <v/>
      </c>
      <c r="F1052" s="3">
        <f>B1052</f>
        <v/>
      </c>
      <c r="G1052" s="96" t="n">
        <v>1050</v>
      </c>
      <c r="H1052" s="97" t="n"/>
      <c r="I1052" s="97" t="n"/>
      <c r="J1052" s="97" t="n">
        <v>88.09266</v>
      </c>
      <c r="K1052" s="97" t="n">
        <v>100.1166</v>
      </c>
      <c r="L1052" s="97" t="n"/>
      <c r="M1052" s="97" t="n">
        <v>85.98567</v>
      </c>
      <c r="N1052" s="97" t="n">
        <v>91.79235</v>
      </c>
      <c r="O1052" s="97" t="n">
        <v>118.6</v>
      </c>
      <c r="P1052" s="97" t="n">
        <v>131.6881</v>
      </c>
      <c r="Q1052" s="97" t="n"/>
      <c r="R1052" s="97" t="n">
        <v>119</v>
      </c>
      <c r="S1052" s="97" t="n">
        <v>111.2609</v>
      </c>
      <c r="T1052" s="97" t="n">
        <v>107.8733</v>
      </c>
      <c r="U1052" s="97" t="n">
        <v>138.838</v>
      </c>
      <c r="V1052" s="97" t="n">
        <v>85.50713</v>
      </c>
      <c r="W1052" s="97" t="n">
        <v>61.83849</v>
      </c>
      <c r="X1052" s="97" t="n">
        <v>55.20665</v>
      </c>
      <c r="Y1052" s="97" t="n">
        <v>78.31382000000001</v>
      </c>
      <c r="Z1052" s="97" t="n">
        <v>125.5895</v>
      </c>
      <c r="AA1052" s="97" t="n">
        <v>113.7964</v>
      </c>
      <c r="AB1052" s="97" t="n">
        <v>67.57537000000001</v>
      </c>
      <c r="AC1052" s="97" t="n">
        <v>118.4901</v>
      </c>
      <c r="AD1052" s="97" t="n">
        <v>92.09999999999999</v>
      </c>
      <c r="AE1052" s="97" t="n">
        <v>101.2221</v>
      </c>
      <c r="AF1052" s="97" t="n">
        <v>99.49171</v>
      </c>
      <c r="AG1052" s="97" t="n">
        <v>114.2746</v>
      </c>
      <c r="AH1052" s="97" t="n">
        <v>96.60590999999999</v>
      </c>
      <c r="AI1052" s="97" t="n">
        <v>70.7</v>
      </c>
      <c r="AJ1052" s="97" t="n">
        <v>125.2501</v>
      </c>
      <c r="AK1052" s="97" t="n">
        <v>63.11052</v>
      </c>
      <c r="AL1052" s="97" t="n">
        <v>98.90824000000001</v>
      </c>
      <c r="AM1052" s="97" t="n">
        <v>109.5</v>
      </c>
      <c r="AN1052" s="97" t="n"/>
      <c r="AO1052" s="97" t="n">
        <v>97.90656</v>
      </c>
      <c r="AP1052" s="97" t="n">
        <v>103.4827</v>
      </c>
      <c r="AQ1052" s="97" t="n"/>
      <c r="AR1052" s="97" t="n"/>
      <c r="AS1052" s="97" t="n"/>
      <c r="AT1052" s="97" t="n">
        <v>65.03919</v>
      </c>
      <c r="AU1052" s="97" t="n"/>
      <c r="AV1052" s="97" t="n">
        <v>81.40000000000001</v>
      </c>
      <c r="AW1052" s="97" t="n"/>
      <c r="AX1052" s="97" t="n">
        <v>64.39463000000001</v>
      </c>
      <c r="AY1052" s="97" t="n">
        <v>100.8533</v>
      </c>
    </row>
    <row r="1053" s="135">
      <c r="A1053" t="inlineStr">
        <is>
          <t>2006-08</t>
        </is>
      </c>
      <c r="B1053" s="2" t="n">
        <v>38930</v>
      </c>
      <c r="C1053" s="96" t="n">
        <v>1053</v>
      </c>
      <c r="E1053" s="2">
        <f>B1053</f>
        <v/>
      </c>
      <c r="F1053" s="3">
        <f>B1053</f>
        <v/>
      </c>
      <c r="G1053" s="96" t="n">
        <v>1051</v>
      </c>
      <c r="H1053" s="97" t="n"/>
      <c r="I1053" s="97" t="n"/>
      <c r="J1053" s="97" t="n">
        <v>87.49271</v>
      </c>
      <c r="K1053" s="97" t="n">
        <v>99.40501</v>
      </c>
      <c r="L1053" s="97" t="n"/>
      <c r="M1053" s="97" t="n">
        <v>85.68572</v>
      </c>
      <c r="N1053" s="97" t="n">
        <v>92.39230000000001</v>
      </c>
      <c r="O1053" s="97" t="n">
        <v>119.6</v>
      </c>
      <c r="P1053" s="97" t="n">
        <v>131.6611</v>
      </c>
      <c r="Q1053" s="97" t="n"/>
      <c r="R1053" s="97" t="n">
        <v>116</v>
      </c>
      <c r="S1053" s="97" t="n">
        <v>110.5109</v>
      </c>
      <c r="T1053" s="97" t="n">
        <v>108.7039</v>
      </c>
      <c r="U1053" s="97" t="n">
        <v>142.5337</v>
      </c>
      <c r="V1053" s="97" t="n">
        <v>82.00684</v>
      </c>
      <c r="W1053" s="97" t="n">
        <v>61.66028</v>
      </c>
      <c r="X1053" s="97" t="n">
        <v>58.29879</v>
      </c>
      <c r="Y1053" s="97" t="n">
        <v>80.56206</v>
      </c>
      <c r="Z1053" s="97" t="n">
        <v>127.1894</v>
      </c>
      <c r="AA1053" s="97" t="n">
        <v>114.1225</v>
      </c>
      <c r="AB1053" s="97" t="n">
        <v>72.41495999999999</v>
      </c>
      <c r="AC1053" s="97" t="n">
        <v>116.6903</v>
      </c>
      <c r="AD1053" s="97" t="n">
        <v>93.7</v>
      </c>
      <c r="AE1053" s="97" t="n">
        <v>102.0511</v>
      </c>
      <c r="AF1053" s="97" t="n">
        <v>99.09174</v>
      </c>
      <c r="AG1053" s="97" t="n">
        <v>113.8092</v>
      </c>
      <c r="AH1053" s="97" t="n">
        <v>97.19014</v>
      </c>
      <c r="AI1053" s="97" t="n">
        <v>70.3</v>
      </c>
      <c r="AJ1053" s="97" t="n">
        <v>125.2076</v>
      </c>
      <c r="AK1053" s="97" t="n">
        <v>64.61077</v>
      </c>
      <c r="AL1053" s="97" t="n">
        <v>96.20802</v>
      </c>
      <c r="AM1053" s="97" t="n">
        <v>111.7</v>
      </c>
      <c r="AN1053" s="97" t="n"/>
      <c r="AO1053" s="97" t="n">
        <v>98.29152999999999</v>
      </c>
      <c r="AP1053" s="97" t="n">
        <v>103.7827</v>
      </c>
      <c r="AQ1053" s="97" t="n"/>
      <c r="AR1053" s="97" t="n"/>
      <c r="AS1053" s="97" t="n"/>
      <c r="AT1053" s="97" t="n">
        <v>63.901</v>
      </c>
      <c r="AU1053" s="97" t="n"/>
      <c r="AV1053" s="97" t="n">
        <v>82.8</v>
      </c>
      <c r="AW1053" s="97" t="n"/>
      <c r="AX1053" s="97" t="n">
        <v>64.19465</v>
      </c>
      <c r="AY1053" s="97" t="n">
        <v>100.6331</v>
      </c>
    </row>
    <row r="1054" s="135">
      <c r="A1054" t="inlineStr">
        <is>
          <t>2006-09</t>
        </is>
      </c>
      <c r="B1054" s="2" t="n">
        <v>38961</v>
      </c>
      <c r="C1054" s="96" t="n">
        <v>1054</v>
      </c>
      <c r="E1054" s="2">
        <f>B1054</f>
        <v/>
      </c>
      <c r="F1054" s="3">
        <f>B1054</f>
        <v/>
      </c>
      <c r="G1054" s="96" t="n">
        <v>1052</v>
      </c>
      <c r="H1054" s="97" t="n"/>
      <c r="I1054" s="97" t="n"/>
      <c r="J1054" s="97" t="n">
        <v>89.69253</v>
      </c>
      <c r="K1054" s="97" t="n">
        <v>97.77441</v>
      </c>
      <c r="L1054" s="97" t="n"/>
      <c r="M1054" s="97" t="n">
        <v>87.58540000000001</v>
      </c>
      <c r="N1054" s="97" t="n">
        <v>92.29231</v>
      </c>
      <c r="O1054" s="97" t="n">
        <v>115</v>
      </c>
      <c r="P1054" s="97" t="n">
        <v>132.8301</v>
      </c>
      <c r="Q1054" s="97" t="n"/>
      <c r="R1054" s="97" t="n">
        <v>116.1</v>
      </c>
      <c r="S1054" s="97" t="n">
        <v>112.2109</v>
      </c>
      <c r="T1054" s="97" t="n">
        <v>108.9116</v>
      </c>
      <c r="U1054" s="97" t="n">
        <v>139.5372</v>
      </c>
      <c r="V1054" s="97" t="n">
        <v>85.30710999999999</v>
      </c>
      <c r="W1054" s="97" t="n">
        <v>62.0167</v>
      </c>
      <c r="X1054" s="97" t="n">
        <v>53.31069</v>
      </c>
      <c r="Y1054" s="97" t="n">
        <v>80.93677</v>
      </c>
      <c r="Z1054" s="97" t="n">
        <v>126.9894</v>
      </c>
      <c r="AA1054" s="97" t="n">
        <v>114.0138</v>
      </c>
      <c r="AB1054" s="97" t="n">
        <v>73.88184</v>
      </c>
      <c r="AC1054" s="97" t="n">
        <v>120.8899</v>
      </c>
      <c r="AD1054" s="97" t="n">
        <v>93.90000000000001</v>
      </c>
      <c r="AE1054" s="97" t="n">
        <v>101.8977</v>
      </c>
      <c r="AF1054" s="97" t="n">
        <v>97.09191</v>
      </c>
      <c r="AG1054" s="97" t="n">
        <v>112.9946</v>
      </c>
      <c r="AH1054" s="97" t="n">
        <v>97.29507</v>
      </c>
      <c r="AI1054" s="97" t="n">
        <v>71.40000000000001</v>
      </c>
      <c r="AJ1054" s="97" t="n">
        <v>124.35</v>
      </c>
      <c r="AK1054" s="97" t="n">
        <v>64.11069000000001</v>
      </c>
      <c r="AL1054" s="97" t="n">
        <v>97.50812999999999</v>
      </c>
      <c r="AM1054" s="97" t="n">
        <v>113.9</v>
      </c>
      <c r="AN1054" s="97" t="n"/>
      <c r="AO1054" s="97" t="n">
        <v>98.09223</v>
      </c>
      <c r="AP1054" s="97" t="n">
        <v>103.8827</v>
      </c>
      <c r="AQ1054" s="97" t="n"/>
      <c r="AR1054" s="97" t="n"/>
      <c r="AS1054" s="97" t="n"/>
      <c r="AT1054" s="97" t="n">
        <v>65.57821</v>
      </c>
      <c r="AU1054" s="97" t="n"/>
      <c r="AV1054" s="97" t="n">
        <v>83.09999999999999</v>
      </c>
      <c r="AW1054" s="97" t="n"/>
      <c r="AX1054" s="97" t="n">
        <v>64.19465</v>
      </c>
      <c r="AY1054" s="97" t="n">
        <v>99.42197</v>
      </c>
    </row>
    <row r="1055" s="135">
      <c r="A1055" t="inlineStr">
        <is>
          <t>2006-10</t>
        </is>
      </c>
      <c r="B1055" s="2" t="n">
        <v>38991</v>
      </c>
      <c r="C1055" s="96" t="n">
        <v>1055</v>
      </c>
      <c r="E1055" s="2">
        <f>B1055</f>
        <v/>
      </c>
      <c r="F1055" s="3">
        <f>B1055</f>
        <v/>
      </c>
      <c r="G1055" s="96" t="n">
        <v>1053</v>
      </c>
      <c r="H1055" s="97" t="n"/>
      <c r="I1055" s="97" t="n"/>
      <c r="J1055" s="97" t="n">
        <v>91.59237</v>
      </c>
      <c r="K1055" s="97" t="n">
        <v>97.58125</v>
      </c>
      <c r="L1055" s="97" t="n"/>
      <c r="M1055" s="97" t="n">
        <v>87.18547</v>
      </c>
      <c r="N1055" s="97" t="n">
        <v>92.09232</v>
      </c>
      <c r="O1055" s="97" t="n">
        <v>121</v>
      </c>
      <c r="P1055" s="97" t="n">
        <v>131.8171</v>
      </c>
      <c r="Q1055" s="97" t="n"/>
      <c r="R1055" s="97" t="n">
        <v>115.3</v>
      </c>
      <c r="S1055" s="97" t="n">
        <v>111.3109</v>
      </c>
      <c r="T1055" s="97" t="n">
        <v>108.4963</v>
      </c>
      <c r="U1055" s="97" t="n">
        <v>142.2341</v>
      </c>
      <c r="V1055" s="97" t="n">
        <v>87.40729</v>
      </c>
      <c r="W1055" s="97" t="n">
        <v>59.87819</v>
      </c>
      <c r="X1055" s="97" t="n">
        <v>48.92491</v>
      </c>
      <c r="Y1055" s="97" t="n">
        <v>81.87354000000001</v>
      </c>
      <c r="Z1055" s="97" t="n">
        <v>127.1894</v>
      </c>
      <c r="AA1055" s="97" t="n">
        <v>114.4485</v>
      </c>
      <c r="AB1055" s="97" t="n">
        <v>76.31864</v>
      </c>
      <c r="AC1055" s="97" t="n">
        <v>117.6902</v>
      </c>
      <c r="AD1055" s="97" t="n">
        <v>93.2</v>
      </c>
      <c r="AE1055" s="97" t="n">
        <v>101.1599</v>
      </c>
      <c r="AF1055" s="97" t="n">
        <v>97.09191</v>
      </c>
      <c r="AG1055" s="97" t="n">
        <v>110.8999</v>
      </c>
      <c r="AH1055" s="97" t="n">
        <v>97.51836</v>
      </c>
      <c r="AI1055" s="97" t="n">
        <v>71.7</v>
      </c>
      <c r="AJ1055" s="97" t="n">
        <v>123.9894</v>
      </c>
      <c r="AK1055" s="97" t="n">
        <v>64.11069000000001</v>
      </c>
      <c r="AL1055" s="97" t="n">
        <v>98.80824</v>
      </c>
      <c r="AM1055" s="97" t="n">
        <v>114.9</v>
      </c>
      <c r="AN1055" s="97" t="n"/>
      <c r="AO1055" s="97" t="n">
        <v>98.03613</v>
      </c>
      <c r="AP1055" s="97" t="n">
        <v>103.5827</v>
      </c>
      <c r="AQ1055" s="97" t="n"/>
      <c r="AR1055" s="97" t="n"/>
      <c r="AS1055" s="97" t="n"/>
      <c r="AT1055" s="97" t="n">
        <v>64.42594</v>
      </c>
      <c r="AU1055" s="97" t="n"/>
      <c r="AV1055" s="97" t="n">
        <v>83.8</v>
      </c>
      <c r="AW1055" s="97" t="n"/>
      <c r="AX1055" s="97" t="n">
        <v>64.59462000000001</v>
      </c>
      <c r="AY1055" s="97" t="n">
        <v>99.97247</v>
      </c>
    </row>
    <row r="1056" s="135">
      <c r="A1056" t="inlineStr">
        <is>
          <t>2006-11</t>
        </is>
      </c>
      <c r="B1056" s="2" t="n">
        <v>39022</v>
      </c>
      <c r="C1056" s="96" t="n">
        <v>1056</v>
      </c>
      <c r="E1056" s="2">
        <f>B1056</f>
        <v/>
      </c>
      <c r="F1056" s="3">
        <f>B1056</f>
        <v/>
      </c>
      <c r="G1056" s="96" t="n">
        <v>1054</v>
      </c>
      <c r="H1056" s="97" t="n"/>
      <c r="I1056" s="97" t="n"/>
      <c r="J1056" s="97" t="n">
        <v>90.89243</v>
      </c>
      <c r="K1056" s="97" t="n">
        <v>97.50367</v>
      </c>
      <c r="L1056" s="97" t="n"/>
      <c r="M1056" s="97" t="n">
        <v>88.98517</v>
      </c>
      <c r="N1056" s="97" t="n">
        <v>93.69219</v>
      </c>
      <c r="O1056" s="97" t="n">
        <v>120</v>
      </c>
      <c r="P1056" s="97" t="n">
        <v>133.6241</v>
      </c>
      <c r="Q1056" s="97" t="n"/>
      <c r="R1056" s="97" t="n">
        <v>116.3</v>
      </c>
      <c r="S1056" s="97" t="n">
        <v>110.6809</v>
      </c>
      <c r="T1056" s="97" t="n">
        <v>108.9116</v>
      </c>
      <c r="U1056" s="97" t="n">
        <v>137.7393</v>
      </c>
      <c r="V1056" s="97" t="n">
        <v>87.70731000000001</v>
      </c>
      <c r="W1056" s="97" t="n">
        <v>59.81879</v>
      </c>
      <c r="X1056" s="97" t="n">
        <v>49.06241</v>
      </c>
      <c r="Y1056" s="97" t="n">
        <v>84.40281</v>
      </c>
      <c r="Z1056" s="97" t="n">
        <v>127.3894</v>
      </c>
      <c r="AA1056" s="97" t="n">
        <v>115.5354</v>
      </c>
      <c r="AB1056" s="97" t="n">
        <v>75.36672</v>
      </c>
      <c r="AC1056" s="97" t="n">
        <v>120.7899</v>
      </c>
      <c r="AD1056" s="97" t="n">
        <v>92.2</v>
      </c>
      <c r="AE1056" s="97" t="n">
        <v>101.1641</v>
      </c>
      <c r="AF1056" s="97" t="n">
        <v>100.8916</v>
      </c>
      <c r="AG1056" s="97" t="n">
        <v>110.6672</v>
      </c>
      <c r="AH1056" s="97" t="n">
        <v>97.83575999999999</v>
      </c>
      <c r="AI1056" s="97" t="n">
        <v>71.59999999999999</v>
      </c>
      <c r="AJ1056" s="97" t="n">
        <v>125.9869</v>
      </c>
      <c r="AK1056" s="97" t="n">
        <v>65.11086</v>
      </c>
      <c r="AL1056" s="97" t="n">
        <v>100.8084</v>
      </c>
      <c r="AM1056" s="97" t="n">
        <v>115.3</v>
      </c>
      <c r="AN1056" s="97" t="n"/>
      <c r="AO1056" s="97" t="n">
        <v>97.94199999999999</v>
      </c>
      <c r="AP1056" s="97" t="n">
        <v>104.5826</v>
      </c>
      <c r="AQ1056" s="97" t="n"/>
      <c r="AR1056" s="97" t="n"/>
      <c r="AS1056" s="97" t="n"/>
      <c r="AT1056" s="97" t="n">
        <v>70.02255</v>
      </c>
      <c r="AU1056" s="97" t="n"/>
      <c r="AV1056" s="97" t="n">
        <v>83.40000000000001</v>
      </c>
      <c r="AW1056" s="97" t="n"/>
      <c r="AX1056" s="97" t="n">
        <v>64.29464</v>
      </c>
      <c r="AY1056" s="97" t="n">
        <v>101.4038</v>
      </c>
    </row>
    <row r="1057" s="135">
      <c r="A1057" t="inlineStr">
        <is>
          <t>2006-12</t>
        </is>
      </c>
      <c r="B1057" s="2" t="n">
        <v>39052</v>
      </c>
      <c r="C1057" s="96" t="n">
        <v>1057</v>
      </c>
      <c r="E1057" s="2">
        <f>B1057</f>
        <v/>
      </c>
      <c r="F1057" s="3">
        <f>B1057</f>
        <v/>
      </c>
      <c r="G1057" s="96" t="n">
        <v>1055</v>
      </c>
      <c r="H1057" s="97" t="n"/>
      <c r="I1057" s="97" t="n"/>
      <c r="J1057" s="97" t="n">
        <v>94.89209</v>
      </c>
      <c r="K1057" s="97" t="n">
        <v>98.50476999999999</v>
      </c>
      <c r="L1057" s="97" t="n"/>
      <c r="M1057" s="97" t="n">
        <v>90.08498</v>
      </c>
      <c r="N1057" s="97" t="n">
        <v>94.59211999999999</v>
      </c>
      <c r="O1057" s="97" t="n">
        <v>122.1</v>
      </c>
      <c r="P1057" s="97" t="n">
        <v>136.3391</v>
      </c>
      <c r="Q1057" s="97" t="n"/>
      <c r="R1057" s="97" t="n">
        <v>113.9</v>
      </c>
      <c r="S1057" s="97" t="n">
        <v>112.5309</v>
      </c>
      <c r="T1057" s="97" t="n">
        <v>108.1848</v>
      </c>
      <c r="U1057" s="97" t="n">
        <v>142.3339</v>
      </c>
      <c r="V1057" s="97" t="n">
        <v>90.10751</v>
      </c>
      <c r="W1057" s="97" t="n">
        <v>63.67999</v>
      </c>
      <c r="X1057" s="97" t="n">
        <v>49.14557</v>
      </c>
      <c r="Y1057" s="97" t="n">
        <v>82.99766</v>
      </c>
      <c r="Z1057" s="97" t="n">
        <v>129.3892</v>
      </c>
      <c r="AA1057" s="97" t="n">
        <v>115.6441</v>
      </c>
      <c r="AB1057" s="97" t="n">
        <v>72.63395</v>
      </c>
      <c r="AC1057" s="97" t="n">
        <v>118.1901</v>
      </c>
      <c r="AD1057" s="97" t="n">
        <v>95.59999999999999</v>
      </c>
      <c r="AE1057" s="97" t="n">
        <v>100.7298</v>
      </c>
      <c r="AF1057" s="97" t="n">
        <v>101.5915</v>
      </c>
      <c r="AG1057" s="97" t="n">
        <v>114.6237</v>
      </c>
      <c r="AH1057" s="97" t="n">
        <v>98.58614</v>
      </c>
      <c r="AI1057" s="97" t="n">
        <v>75</v>
      </c>
      <c r="AJ1057" s="97" t="n">
        <v>130.0419</v>
      </c>
      <c r="AK1057" s="97" t="n">
        <v>65.91099</v>
      </c>
      <c r="AL1057" s="97" t="n">
        <v>103.7086</v>
      </c>
      <c r="AM1057" s="97" t="n">
        <v>119.4</v>
      </c>
      <c r="AN1057" s="97" t="n"/>
      <c r="AO1057" s="97" t="n">
        <v>98.96053000000001</v>
      </c>
      <c r="AP1057" s="97" t="n">
        <v>106.0823</v>
      </c>
      <c r="AQ1057" s="97" t="n"/>
      <c r="AR1057" s="97" t="n"/>
      <c r="AS1057" s="97" t="n"/>
      <c r="AT1057" s="97" t="n">
        <v>68.87399000000001</v>
      </c>
      <c r="AU1057" s="97" t="n"/>
      <c r="AV1057" s="97" t="n">
        <v>84</v>
      </c>
      <c r="AW1057" s="97" t="n"/>
      <c r="AX1057" s="97" t="n">
        <v>66.69444</v>
      </c>
      <c r="AY1057" s="97" t="n">
        <v>102.725</v>
      </c>
    </row>
    <row r="1058" s="135">
      <c r="A1058" t="inlineStr">
        <is>
          <t>2007-01</t>
        </is>
      </c>
      <c r="B1058" s="2" t="n">
        <v>39083</v>
      </c>
      <c r="C1058" s="96" t="n">
        <v>1058</v>
      </c>
      <c r="E1058" s="2">
        <f>B1058</f>
        <v/>
      </c>
      <c r="F1058" s="3">
        <f>B1058</f>
        <v/>
      </c>
      <c r="G1058" s="96" t="n">
        <v>1056</v>
      </c>
      <c r="H1058" s="97" t="n"/>
      <c r="I1058" s="97" t="n"/>
      <c r="J1058" s="97" t="n">
        <v>93.99216</v>
      </c>
      <c r="K1058" s="97" t="n">
        <v>98.07752000000001</v>
      </c>
      <c r="L1058" s="97" t="n"/>
      <c r="M1058" s="97" t="n">
        <v>93.98434</v>
      </c>
      <c r="N1058" s="97" t="n">
        <v>95.09208</v>
      </c>
      <c r="O1058" s="97" t="n">
        <v>116.5</v>
      </c>
      <c r="P1058" s="97" t="n">
        <v>134.5641</v>
      </c>
      <c r="Q1058" s="97" t="n"/>
      <c r="R1058" s="97" t="n">
        <v>119.7</v>
      </c>
      <c r="S1058" s="97" t="n">
        <v>111.3009</v>
      </c>
      <c r="T1058" s="97" t="n">
        <v>109.7422</v>
      </c>
      <c r="U1058" s="97" t="n">
        <v>149.6254</v>
      </c>
      <c r="V1058" s="97" t="n">
        <v>88.00733</v>
      </c>
      <c r="W1058" s="97" t="n">
        <v>63.50178</v>
      </c>
      <c r="X1058" s="97" t="n">
        <v>52.02827</v>
      </c>
      <c r="Y1058" s="97" t="n">
        <v>82.43559999999999</v>
      </c>
      <c r="Z1058" s="97" t="n">
        <v>128.1893</v>
      </c>
      <c r="AA1058" s="97" t="n">
        <v>114.4485</v>
      </c>
      <c r="AB1058" s="97" t="n">
        <v>73.12991</v>
      </c>
      <c r="AC1058" s="97" t="n">
        <v>120.9899</v>
      </c>
      <c r="AD1058" s="97" t="n">
        <v>94.3</v>
      </c>
      <c r="AE1058" s="97" t="n">
        <v>101.0669</v>
      </c>
      <c r="AF1058" s="97" t="n">
        <v>101.2916</v>
      </c>
      <c r="AG1058" s="97" t="n">
        <v>112.8782</v>
      </c>
      <c r="AH1058" s="97" t="n">
        <v>98.3502</v>
      </c>
      <c r="AI1058" s="97" t="n">
        <v>74.40000000000001</v>
      </c>
      <c r="AJ1058" s="97" t="n">
        <v>126.0536</v>
      </c>
      <c r="AK1058" s="97" t="n">
        <v>68.91148</v>
      </c>
      <c r="AL1058" s="97" t="n">
        <v>102.4085</v>
      </c>
      <c r="AM1058" s="97" t="n">
        <v>116.5</v>
      </c>
      <c r="AN1058" s="97" t="n"/>
      <c r="AO1058" s="97" t="n">
        <v>98.44579</v>
      </c>
      <c r="AP1058" s="97" t="n">
        <v>105.6824</v>
      </c>
      <c r="AQ1058" s="97" t="n"/>
      <c r="AR1058" s="97" t="n"/>
      <c r="AS1058" s="97" t="n"/>
      <c r="AT1058" s="97" t="n">
        <v>69.78814</v>
      </c>
      <c r="AU1058" s="97" t="n"/>
      <c r="AV1058" s="97" t="n">
        <v>85.59999999999999</v>
      </c>
      <c r="AW1058" s="97" t="n"/>
      <c r="AX1058" s="97" t="n">
        <v>69.39422</v>
      </c>
      <c r="AY1058" s="97" t="n">
        <v>102.0644</v>
      </c>
    </row>
    <row r="1059" s="135">
      <c r="A1059" t="inlineStr">
        <is>
          <t>2007-02</t>
        </is>
      </c>
      <c r="B1059" s="2" t="n">
        <v>39114</v>
      </c>
      <c r="C1059" s="96" t="n">
        <v>1059</v>
      </c>
      <c r="E1059" s="2">
        <f>B1059</f>
        <v/>
      </c>
      <c r="F1059" s="3">
        <f>B1059</f>
        <v/>
      </c>
      <c r="G1059" s="96" t="n">
        <v>1057</v>
      </c>
      <c r="H1059" s="97" t="n"/>
      <c r="I1059" s="97" t="n"/>
      <c r="J1059" s="97" t="n">
        <v>93.79218</v>
      </c>
      <c r="K1059" s="97" t="n">
        <v>99.13132</v>
      </c>
      <c r="L1059" s="97" t="n"/>
      <c r="M1059" s="97" t="n">
        <v>93.5844</v>
      </c>
      <c r="N1059" s="97" t="n">
        <v>95.49204</v>
      </c>
      <c r="O1059" s="97" t="n">
        <v>118.6</v>
      </c>
      <c r="P1059" s="97" t="n">
        <v>134.2981</v>
      </c>
      <c r="Q1059" s="97" t="n"/>
      <c r="R1059" s="97" t="n">
        <v>121.1</v>
      </c>
      <c r="S1059" s="97" t="n">
        <v>112.3109</v>
      </c>
      <c r="T1059" s="97" t="n">
        <v>108.9116</v>
      </c>
      <c r="U1059" s="97" t="n">
        <v>148.2271</v>
      </c>
      <c r="V1059" s="97" t="n">
        <v>88.50738</v>
      </c>
      <c r="W1059" s="97" t="n">
        <v>64.86803999999999</v>
      </c>
      <c r="X1059" s="97" t="n">
        <v>53.79016</v>
      </c>
      <c r="Y1059" s="97" t="n">
        <v>82.90398</v>
      </c>
      <c r="Z1059" s="97" t="n">
        <v>128.9893</v>
      </c>
      <c r="AA1059" s="97" t="n">
        <v>115.1007</v>
      </c>
      <c r="AB1059" s="97" t="n">
        <v>74.31180999999999</v>
      </c>
      <c r="AC1059" s="97" t="n">
        <v>120.29</v>
      </c>
      <c r="AD1059" s="97" t="n">
        <v>94.40000000000001</v>
      </c>
      <c r="AE1059" s="97" t="n">
        <v>101.6069</v>
      </c>
      <c r="AF1059" s="97" t="n">
        <v>102.5915</v>
      </c>
      <c r="AG1059" s="97" t="n">
        <v>112.2964</v>
      </c>
      <c r="AH1059" s="97" t="n">
        <v>98.92008</v>
      </c>
      <c r="AI1059" s="97" t="n">
        <v>74.2</v>
      </c>
      <c r="AJ1059" s="97" t="n">
        <v>122.1445</v>
      </c>
      <c r="AK1059" s="97" t="n">
        <v>67.71129000000001</v>
      </c>
      <c r="AL1059" s="97" t="n">
        <v>101.2084</v>
      </c>
      <c r="AM1059" s="97" t="n">
        <v>117.7</v>
      </c>
      <c r="AN1059" s="97" t="n"/>
      <c r="AO1059" s="97" t="n">
        <v>99.43810000000001</v>
      </c>
      <c r="AP1059" s="97" t="n">
        <v>106.2823</v>
      </c>
      <c r="AQ1059" s="97" t="n"/>
      <c r="AR1059" s="97" t="n"/>
      <c r="AS1059" s="97" t="n"/>
      <c r="AT1059" s="97" t="n">
        <v>70.20905</v>
      </c>
      <c r="AU1059" s="97" t="n"/>
      <c r="AV1059" s="97" t="n">
        <v>85</v>
      </c>
      <c r="AW1059" s="97" t="n"/>
      <c r="AX1059" s="97" t="n">
        <v>67.79434999999999</v>
      </c>
      <c r="AY1059" s="97" t="n">
        <v>103.3856</v>
      </c>
    </row>
    <row r="1060" s="135">
      <c r="A1060" t="inlineStr">
        <is>
          <t>2007-03</t>
        </is>
      </c>
      <c r="B1060" s="2" t="n">
        <v>39142</v>
      </c>
      <c r="C1060" s="96" t="n">
        <v>1060</v>
      </c>
      <c r="E1060" s="2">
        <f>B1060</f>
        <v/>
      </c>
      <c r="F1060" s="3">
        <f>B1060</f>
        <v/>
      </c>
      <c r="G1060" s="96" t="n">
        <v>1058</v>
      </c>
      <c r="H1060" s="97" t="n"/>
      <c r="I1060" s="97" t="n"/>
      <c r="J1060" s="97" t="n">
        <v>94.19215</v>
      </c>
      <c r="K1060" s="97" t="n">
        <v>99.31486</v>
      </c>
      <c r="L1060" s="97" t="n"/>
      <c r="M1060" s="97" t="n">
        <v>94.58423999999999</v>
      </c>
      <c r="N1060" s="97" t="n">
        <v>95.992</v>
      </c>
      <c r="O1060" s="97" t="n">
        <v>114.6</v>
      </c>
      <c r="P1060" s="97" t="n">
        <v>136.3381</v>
      </c>
      <c r="Q1060" s="97" t="n"/>
      <c r="R1060" s="97" t="n">
        <v>122.3</v>
      </c>
      <c r="S1060" s="97" t="n">
        <v>113.1509</v>
      </c>
      <c r="T1060" s="97" t="n">
        <v>108.9116</v>
      </c>
      <c r="U1060" s="97" t="n">
        <v>141.7346</v>
      </c>
      <c r="V1060" s="97" t="n">
        <v>88.20735000000001</v>
      </c>
      <c r="W1060" s="97" t="n">
        <v>64.68983</v>
      </c>
      <c r="X1060" s="97" t="n">
        <v>53.36667</v>
      </c>
      <c r="Y1060" s="97" t="n">
        <v>84.68384</v>
      </c>
      <c r="Z1060" s="97" t="n">
        <v>129.7892</v>
      </c>
      <c r="AA1060" s="97" t="n">
        <v>115.1007</v>
      </c>
      <c r="AB1060" s="97" t="n">
        <v>73.50188</v>
      </c>
      <c r="AC1060" s="97" t="n">
        <v>119.0901</v>
      </c>
      <c r="AD1060" s="97" t="n">
        <v>97.09999999999999</v>
      </c>
      <c r="AE1060" s="97" t="n">
        <v>103.0061</v>
      </c>
      <c r="AF1060" s="97" t="n">
        <v>102.6914</v>
      </c>
      <c r="AG1060" s="97" t="n">
        <v>111.1327</v>
      </c>
      <c r="AH1060" s="97" t="n">
        <v>99.26678</v>
      </c>
      <c r="AI1060" s="97" t="n">
        <v>75.59999999999999</v>
      </c>
      <c r="AJ1060" s="97" t="n">
        <v>124.0149</v>
      </c>
      <c r="AK1060" s="97" t="n">
        <v>70.41173999999999</v>
      </c>
      <c r="AL1060" s="97" t="n">
        <v>100.7084</v>
      </c>
      <c r="AM1060" s="97" t="n">
        <v>119.1</v>
      </c>
      <c r="AN1060" s="97" t="n"/>
      <c r="AO1060" s="97" t="n">
        <v>99.65488000000001</v>
      </c>
      <c r="AP1060" s="97" t="n">
        <v>106.7822</v>
      </c>
      <c r="AQ1060" s="97" t="n"/>
      <c r="AR1060" s="97" t="n"/>
      <c r="AS1060" s="97" t="n"/>
      <c r="AT1060" s="97" t="n">
        <v>71.69779</v>
      </c>
      <c r="AU1060" s="97" t="n"/>
      <c r="AV1060" s="97" t="n">
        <v>86.2</v>
      </c>
      <c r="AW1060" s="97" t="n"/>
      <c r="AX1060" s="97" t="n">
        <v>68.89426</v>
      </c>
      <c r="AY1060" s="97" t="n">
        <v>104.4866</v>
      </c>
    </row>
    <row r="1061" s="135">
      <c r="A1061" t="inlineStr">
        <is>
          <t>2007-04</t>
        </is>
      </c>
      <c r="B1061" s="2" t="n">
        <v>39173</v>
      </c>
      <c r="C1061" s="96" t="n">
        <v>1061</v>
      </c>
      <c r="E1061" s="2">
        <f>B1061</f>
        <v/>
      </c>
      <c r="F1061" s="3">
        <f>B1061</f>
        <v/>
      </c>
      <c r="G1061" s="96" t="n">
        <v>1059</v>
      </c>
      <c r="H1061" s="97" t="n"/>
      <c r="I1061" s="97" t="n"/>
      <c r="J1061" s="97" t="n">
        <v>93.79218</v>
      </c>
      <c r="K1061" s="97" t="n">
        <v>98.87475999999999</v>
      </c>
      <c r="L1061" s="97" t="n"/>
      <c r="M1061" s="97" t="n">
        <v>93.28445000000001</v>
      </c>
      <c r="N1061" s="97" t="n">
        <v>95.09208</v>
      </c>
      <c r="O1061" s="97" t="n">
        <v>113.9</v>
      </c>
      <c r="P1061" s="97" t="n">
        <v>132.6131</v>
      </c>
      <c r="Q1061" s="97" t="n"/>
      <c r="R1061" s="97" t="n">
        <v>119.1</v>
      </c>
      <c r="S1061" s="97" t="n">
        <v>111.2709</v>
      </c>
      <c r="T1061" s="97" t="n">
        <v>108.6001</v>
      </c>
      <c r="U1061" s="97" t="n">
        <v>142.5337</v>
      </c>
      <c r="V1061" s="97" t="n">
        <v>89.50745999999999</v>
      </c>
      <c r="W1061" s="97" t="n">
        <v>64.0958</v>
      </c>
      <c r="X1061" s="97" t="n">
        <v>52.14326</v>
      </c>
      <c r="Y1061" s="97" t="n">
        <v>83.27869</v>
      </c>
      <c r="Z1061" s="97" t="n">
        <v>127.4894</v>
      </c>
      <c r="AA1061" s="97" t="n">
        <v>114.7746</v>
      </c>
      <c r="AB1061" s="97" t="n">
        <v>75.17773</v>
      </c>
      <c r="AC1061" s="97" t="n">
        <v>115.7904</v>
      </c>
      <c r="AD1061" s="97" t="n">
        <v>91.7</v>
      </c>
      <c r="AE1061" s="97" t="n">
        <v>102.5505</v>
      </c>
      <c r="AF1061" s="97" t="n">
        <v>101.0916</v>
      </c>
      <c r="AG1061" s="97" t="n">
        <v>117.9985</v>
      </c>
      <c r="AH1061" s="97" t="n">
        <v>99.16495999999999</v>
      </c>
      <c r="AI1061" s="97" t="n">
        <v>74.5</v>
      </c>
      <c r="AJ1061" s="97" t="n">
        <v>119.7231</v>
      </c>
      <c r="AK1061" s="97" t="n">
        <v>68.81147</v>
      </c>
      <c r="AL1061" s="97" t="n">
        <v>102.8086</v>
      </c>
      <c r="AM1061" s="97" t="n">
        <v>117.6</v>
      </c>
      <c r="AN1061" s="97" t="n"/>
      <c r="AO1061" s="97" t="n">
        <v>100.3554</v>
      </c>
      <c r="AP1061" s="97" t="n">
        <v>105.4824</v>
      </c>
      <c r="AQ1061" s="97" t="n"/>
      <c r="AR1061" s="97" t="n"/>
      <c r="AS1061" s="97" t="n"/>
      <c r="AT1061" s="97" t="n">
        <v>72.57726</v>
      </c>
      <c r="AU1061" s="97" t="n"/>
      <c r="AV1061" s="97" t="n">
        <v>85.8</v>
      </c>
      <c r="AW1061" s="97" t="n"/>
      <c r="AX1061" s="97" t="n">
        <v>69.29423</v>
      </c>
      <c r="AY1061" s="97" t="n">
        <v>105.6978</v>
      </c>
    </row>
    <row r="1062" s="135">
      <c r="A1062" t="inlineStr">
        <is>
          <t>2007-05</t>
        </is>
      </c>
      <c r="B1062" s="2" t="n">
        <v>39203</v>
      </c>
      <c r="C1062" s="96" t="n">
        <v>1062</v>
      </c>
      <c r="E1062" s="2">
        <f>B1062</f>
        <v/>
      </c>
      <c r="F1062" s="3">
        <f>B1062</f>
        <v/>
      </c>
      <c r="G1062" s="96" t="n">
        <v>1060</v>
      </c>
      <c r="H1062" s="97" t="n"/>
      <c r="I1062" s="97" t="n"/>
      <c r="J1062" s="97" t="n">
        <v>96.19199</v>
      </c>
      <c r="K1062" s="97" t="n">
        <v>99.09520999999999</v>
      </c>
      <c r="L1062" s="97" t="n"/>
      <c r="M1062" s="97" t="n">
        <v>93.78437</v>
      </c>
      <c r="N1062" s="97" t="n">
        <v>96.79192999999999</v>
      </c>
      <c r="O1062" s="97" t="n">
        <v>112.7</v>
      </c>
      <c r="P1062" s="97" t="n">
        <v>136.4601</v>
      </c>
      <c r="Q1062" s="97" t="n"/>
      <c r="R1062" s="97" t="n">
        <v>119.1</v>
      </c>
      <c r="S1062" s="97" t="n">
        <v>113.9409</v>
      </c>
      <c r="T1062" s="97" t="n">
        <v>110.3651</v>
      </c>
      <c r="U1062" s="97" t="n">
        <v>146.5291</v>
      </c>
      <c r="V1062" s="97" t="n">
        <v>88.30736</v>
      </c>
      <c r="W1062" s="97" t="n">
        <v>61.06625</v>
      </c>
      <c r="X1062" s="97" t="n">
        <v>51.36079</v>
      </c>
      <c r="Y1062" s="97" t="n">
        <v>85.24590000000001</v>
      </c>
      <c r="Z1062" s="97" t="n">
        <v>130.1891</v>
      </c>
      <c r="AA1062" s="97" t="n">
        <v>116.0788</v>
      </c>
      <c r="AB1062" s="97" t="n">
        <v>75.90568</v>
      </c>
      <c r="AC1062" s="97" t="n">
        <v>115.6904</v>
      </c>
      <c r="AD1062" s="97" t="n">
        <v>94.59999999999999</v>
      </c>
      <c r="AE1062" s="97" t="n">
        <v>102.3682</v>
      </c>
      <c r="AF1062" s="97" t="n">
        <v>101.6915</v>
      </c>
      <c r="AG1062" s="97" t="n">
        <v>111.5981</v>
      </c>
      <c r="AH1062" s="97" t="n">
        <v>99.92912</v>
      </c>
      <c r="AI1062" s="97" t="n">
        <v>75.3</v>
      </c>
      <c r="AJ1062" s="97" t="n">
        <v>123.2256</v>
      </c>
      <c r="AK1062" s="97" t="n">
        <v>72.71212</v>
      </c>
      <c r="AL1062" s="97" t="n">
        <v>101.4084</v>
      </c>
      <c r="AM1062" s="97" t="n">
        <v>117.9</v>
      </c>
      <c r="AN1062" s="97" t="n"/>
      <c r="AO1062" s="97" t="n">
        <v>100.4042</v>
      </c>
      <c r="AP1062" s="97" t="n">
        <v>107.3821</v>
      </c>
      <c r="AQ1062" s="97" t="n"/>
      <c r="AR1062" s="97" t="n"/>
      <c r="AS1062" s="97" t="n"/>
      <c r="AT1062" s="97" t="n">
        <v>74.67453</v>
      </c>
      <c r="AU1062" s="97" t="n"/>
      <c r="AV1062" s="97" t="n">
        <v>86.3</v>
      </c>
      <c r="AW1062" s="97" t="n"/>
      <c r="AX1062" s="97" t="n">
        <v>70.39413</v>
      </c>
      <c r="AY1062" s="97" t="n">
        <v>106.0281</v>
      </c>
    </row>
    <row r="1063" s="135">
      <c r="A1063" t="inlineStr">
        <is>
          <t>2007-06</t>
        </is>
      </c>
      <c r="B1063" s="2" t="n">
        <v>39234</v>
      </c>
      <c r="C1063" s="96" t="n">
        <v>1063</v>
      </c>
      <c r="E1063" s="2">
        <f>B1063</f>
        <v/>
      </c>
      <c r="F1063" s="3">
        <f>B1063</f>
        <v/>
      </c>
      <c r="G1063" s="96" t="n">
        <v>1061</v>
      </c>
      <c r="H1063" s="97" t="n"/>
      <c r="I1063" s="97" t="n"/>
      <c r="J1063" s="97" t="n">
        <v>96.39197</v>
      </c>
      <c r="K1063" s="97" t="n">
        <v>99.3689</v>
      </c>
      <c r="L1063" s="97" t="n"/>
      <c r="M1063" s="97" t="n">
        <v>93.78437</v>
      </c>
      <c r="N1063" s="97" t="n">
        <v>96.69194</v>
      </c>
      <c r="O1063" s="97" t="n">
        <v>115.4</v>
      </c>
      <c r="P1063" s="97" t="n">
        <v>136.7471</v>
      </c>
      <c r="Q1063" s="97" t="n"/>
      <c r="R1063" s="97" t="n">
        <v>124</v>
      </c>
      <c r="S1063" s="97" t="n">
        <v>113.5109</v>
      </c>
      <c r="T1063" s="97" t="n">
        <v>109.223</v>
      </c>
      <c r="U1063" s="97" t="n">
        <v>145.0308</v>
      </c>
      <c r="V1063" s="97" t="n">
        <v>90.50754999999999</v>
      </c>
      <c r="W1063" s="97" t="n">
        <v>60.94745</v>
      </c>
      <c r="X1063" s="97" t="n">
        <v>50.63762</v>
      </c>
      <c r="Y1063" s="97" t="n">
        <v>82.90398</v>
      </c>
      <c r="Z1063" s="97" t="n">
        <v>129.3892</v>
      </c>
      <c r="AA1063" s="97" t="n">
        <v>116.0788</v>
      </c>
      <c r="AB1063" s="97" t="n">
        <v>75.71268999999999</v>
      </c>
      <c r="AC1063" s="97" t="n">
        <v>119.49</v>
      </c>
      <c r="AD1063" s="97" t="n">
        <v>92.7</v>
      </c>
      <c r="AE1063" s="97" t="n">
        <v>102.5936</v>
      </c>
      <c r="AF1063" s="97" t="n">
        <v>103.8913</v>
      </c>
      <c r="AG1063" s="97" t="n">
        <v>107.2925</v>
      </c>
      <c r="AH1063" s="97" t="n">
        <v>99.87038</v>
      </c>
      <c r="AI1063" s="97" t="n">
        <v>75.7</v>
      </c>
      <c r="AJ1063" s="97" t="n">
        <v>122.2186</v>
      </c>
      <c r="AK1063" s="97" t="n">
        <v>71.31188</v>
      </c>
      <c r="AL1063" s="97" t="n">
        <v>104.5087</v>
      </c>
      <c r="AM1063" s="97" t="n">
        <v>117.7</v>
      </c>
      <c r="AN1063" s="97" t="n"/>
      <c r="AO1063" s="97" t="n">
        <v>100.4325</v>
      </c>
      <c r="AP1063" s="97" t="n">
        <v>107.3821</v>
      </c>
      <c r="AQ1063" s="97" t="n"/>
      <c r="AR1063" s="97" t="n"/>
      <c r="AS1063" s="97" t="n"/>
      <c r="AT1063" s="97" t="n">
        <v>75.17097</v>
      </c>
      <c r="AU1063" s="97" t="n"/>
      <c r="AV1063" s="97" t="n">
        <v>87.3</v>
      </c>
      <c r="AW1063" s="97" t="n"/>
      <c r="AX1063" s="97" t="n">
        <v>68.89426</v>
      </c>
      <c r="AY1063" s="97" t="n">
        <v>106.7988</v>
      </c>
    </row>
    <row r="1064" s="135">
      <c r="A1064" t="inlineStr">
        <is>
          <t>2007-07</t>
        </is>
      </c>
      <c r="B1064" s="2" t="n">
        <v>39264</v>
      </c>
      <c r="C1064" s="96" t="n">
        <v>1064</v>
      </c>
      <c r="E1064" s="2">
        <f>B1064</f>
        <v/>
      </c>
      <c r="F1064" s="3">
        <f>B1064</f>
        <v/>
      </c>
      <c r="G1064" s="96" t="n">
        <v>1062</v>
      </c>
      <c r="H1064" s="97" t="n"/>
      <c r="I1064" s="97" t="n"/>
      <c r="J1064" s="97" t="n">
        <v>95.09208</v>
      </c>
      <c r="K1064" s="97" t="n">
        <v>98.32365</v>
      </c>
      <c r="L1064" s="97" t="n"/>
      <c r="M1064" s="97" t="n">
        <v>95.08414999999999</v>
      </c>
      <c r="N1064" s="97" t="n">
        <v>97.39188</v>
      </c>
      <c r="O1064" s="97" t="n">
        <v>114</v>
      </c>
      <c r="P1064" s="97" t="n">
        <v>133.2051</v>
      </c>
      <c r="Q1064" s="97" t="n"/>
      <c r="R1064" s="97" t="n">
        <v>122.4</v>
      </c>
      <c r="S1064" s="97" t="n">
        <v>113.6609</v>
      </c>
      <c r="T1064" s="97" t="n">
        <v>108.9116</v>
      </c>
      <c r="U1064" s="97" t="n">
        <v>145.4303</v>
      </c>
      <c r="V1064" s="97" t="n">
        <v>93.00775</v>
      </c>
      <c r="W1064" s="97" t="n">
        <v>67.54118</v>
      </c>
      <c r="X1064" s="97" t="n">
        <v>49.7829</v>
      </c>
      <c r="Y1064" s="97" t="n">
        <v>85.15222</v>
      </c>
      <c r="Z1064" s="97" t="n">
        <v>128.5893</v>
      </c>
      <c r="AA1064" s="97" t="n">
        <v>116.1875</v>
      </c>
      <c r="AB1064" s="97" t="n">
        <v>76.39163000000001</v>
      </c>
      <c r="AC1064" s="97" t="n">
        <v>115.9903</v>
      </c>
      <c r="AD1064" s="97" t="n">
        <v>92.40000000000001</v>
      </c>
      <c r="AE1064" s="97" t="n">
        <v>103.1376</v>
      </c>
      <c r="AF1064" s="97" t="n">
        <v>104.1913</v>
      </c>
      <c r="AG1064" s="97" t="n">
        <v>114.1583</v>
      </c>
      <c r="AH1064" s="97" t="n">
        <v>100.0521</v>
      </c>
      <c r="AI1064" s="97" t="n">
        <v>76.40000000000001</v>
      </c>
      <c r="AJ1064" s="97" t="n">
        <v>118.1826</v>
      </c>
      <c r="AK1064" s="97" t="n">
        <v>72.21204</v>
      </c>
      <c r="AL1064" s="97" t="n">
        <v>106.1088</v>
      </c>
      <c r="AM1064" s="97" t="n">
        <v>115.9</v>
      </c>
      <c r="AN1064" s="97" t="n"/>
      <c r="AO1064" s="97" t="n">
        <v>100.3951</v>
      </c>
      <c r="AP1064" s="97" t="n">
        <v>107.5821</v>
      </c>
      <c r="AQ1064" s="97" t="n"/>
      <c r="AR1064" s="97" t="n"/>
      <c r="AS1064" s="97" t="n"/>
      <c r="AT1064" s="97" t="n">
        <v>75.28671</v>
      </c>
      <c r="AU1064" s="97" t="n"/>
      <c r="AV1064" s="97" t="n">
        <v>88.40000000000001</v>
      </c>
      <c r="AW1064" s="97" t="n"/>
      <c r="AX1064" s="97" t="n">
        <v>68.59428</v>
      </c>
      <c r="AY1064" s="97" t="n">
        <v>106.2483</v>
      </c>
    </row>
    <row r="1065" s="135">
      <c r="A1065" t="inlineStr">
        <is>
          <t>2007-08</t>
        </is>
      </c>
      <c r="B1065" s="2" t="n">
        <v>39295</v>
      </c>
      <c r="C1065" s="96" t="n">
        <v>1065</v>
      </c>
      <c r="E1065" s="2">
        <f>B1065</f>
        <v/>
      </c>
      <c r="F1065" s="3">
        <f>B1065</f>
        <v/>
      </c>
      <c r="G1065" s="96" t="n">
        <v>1063</v>
      </c>
      <c r="H1065" s="97" t="n"/>
      <c r="I1065" s="97" t="n"/>
      <c r="J1065" s="97" t="n">
        <v>96.39197</v>
      </c>
      <c r="K1065" s="97" t="n">
        <v>98.93817</v>
      </c>
      <c r="L1065" s="97" t="n"/>
      <c r="M1065" s="97" t="n">
        <v>93.5844</v>
      </c>
      <c r="N1065" s="97" t="n">
        <v>97.69186000000001</v>
      </c>
      <c r="O1065" s="97" t="n">
        <v>115.7</v>
      </c>
      <c r="P1065" s="97" t="n">
        <v>133.7551</v>
      </c>
      <c r="Q1065" s="97" t="n"/>
      <c r="R1065" s="97" t="n">
        <v>120.7</v>
      </c>
      <c r="S1065" s="97" t="n">
        <v>114.351</v>
      </c>
      <c r="T1065" s="97" t="n">
        <v>109.7422</v>
      </c>
      <c r="U1065" s="97" t="n">
        <v>143.0331</v>
      </c>
      <c r="V1065" s="97" t="n">
        <v>92.70773</v>
      </c>
      <c r="W1065" s="97" t="n">
        <v>63.26416</v>
      </c>
      <c r="X1065" s="97" t="n">
        <v>49.74282</v>
      </c>
      <c r="Y1065" s="97" t="n">
        <v>84.40281</v>
      </c>
      <c r="Z1065" s="97" t="n">
        <v>133.2889</v>
      </c>
      <c r="AA1065" s="97" t="n">
        <v>119.1221</v>
      </c>
      <c r="AB1065" s="97" t="n">
        <v>78.88442999999999</v>
      </c>
      <c r="AC1065" s="97" t="n">
        <v>113.2906</v>
      </c>
      <c r="AD1065" s="97" t="n">
        <v>94</v>
      </c>
      <c r="AE1065" s="97" t="n">
        <v>101.9953</v>
      </c>
      <c r="AF1065" s="97" t="n">
        <v>104.3913</v>
      </c>
      <c r="AG1065" s="97" t="n">
        <v>113.5764</v>
      </c>
      <c r="AH1065" s="97" t="n">
        <v>100.8543</v>
      </c>
      <c r="AI1065" s="97" t="n">
        <v>76.59999999999999</v>
      </c>
      <c r="AJ1065" s="97" t="n">
        <v>116.7393</v>
      </c>
      <c r="AK1065" s="97" t="n">
        <v>70.71178</v>
      </c>
      <c r="AL1065" s="97" t="n">
        <v>105.8088</v>
      </c>
      <c r="AM1065" s="97" t="n">
        <v>117.4</v>
      </c>
      <c r="AN1065" s="97" t="n"/>
      <c r="AO1065" s="97" t="n">
        <v>100.6188</v>
      </c>
      <c r="AP1065" s="97" t="n">
        <v>108.282</v>
      </c>
      <c r="AQ1065" s="97" t="n"/>
      <c r="AR1065" s="97" t="n"/>
      <c r="AS1065" s="97" t="n"/>
      <c r="AT1065" s="97" t="n">
        <v>75.47492</v>
      </c>
      <c r="AU1065" s="97" t="n"/>
      <c r="AV1065" s="97" t="n">
        <v>88.09999999999999</v>
      </c>
      <c r="AW1065" s="97" t="n"/>
      <c r="AX1065" s="97" t="n">
        <v>69.69419000000001</v>
      </c>
      <c r="AY1065" s="97" t="n">
        <v>107.7897</v>
      </c>
    </row>
    <row r="1066" s="135">
      <c r="A1066" t="inlineStr">
        <is>
          <t>2007-09</t>
        </is>
      </c>
      <c r="B1066" s="2" t="n">
        <v>39326</v>
      </c>
      <c r="C1066" s="96" t="n">
        <v>1066</v>
      </c>
      <c r="E1066" s="2">
        <f>B1066</f>
        <v/>
      </c>
      <c r="F1066" s="3">
        <f>B1066</f>
        <v/>
      </c>
      <c r="G1066" s="96" t="n">
        <v>1064</v>
      </c>
      <c r="H1066" s="97" t="n"/>
      <c r="I1066" s="97" t="n"/>
      <c r="J1066" s="97" t="n">
        <v>96.99191999999999</v>
      </c>
      <c r="K1066" s="97" t="n">
        <v>98.40819999999999</v>
      </c>
      <c r="L1066" s="97" t="n"/>
      <c r="M1066" s="97" t="n">
        <v>93.88435</v>
      </c>
      <c r="N1066" s="97" t="n">
        <v>98.69177000000001</v>
      </c>
      <c r="O1066" s="97" t="n">
        <v>113.1</v>
      </c>
      <c r="P1066" s="97" t="n">
        <v>134.3931</v>
      </c>
      <c r="Q1066" s="97" t="n"/>
      <c r="R1066" s="97" t="n">
        <v>121.9</v>
      </c>
      <c r="S1066" s="97" t="n">
        <v>111.7209</v>
      </c>
      <c r="T1066" s="97" t="n">
        <v>108.6001</v>
      </c>
      <c r="U1066" s="97" t="n">
        <v>143.3328</v>
      </c>
      <c r="V1066" s="97" t="n">
        <v>92.90774999999999</v>
      </c>
      <c r="W1066" s="97" t="n">
        <v>62.61073</v>
      </c>
      <c r="X1066" s="97" t="n">
        <v>49.30881</v>
      </c>
      <c r="Y1066" s="97" t="n">
        <v>86.65105</v>
      </c>
      <c r="Z1066" s="97" t="n">
        <v>129.7892</v>
      </c>
      <c r="AA1066" s="97" t="n">
        <v>117.3831</v>
      </c>
      <c r="AB1066" s="97" t="n">
        <v>78.42747</v>
      </c>
      <c r="AC1066" s="97" t="n">
        <v>112.2906</v>
      </c>
      <c r="AD1066" s="97" t="n">
        <v>92.2</v>
      </c>
      <c r="AE1066" s="97" t="n">
        <v>103.0958</v>
      </c>
      <c r="AF1066" s="97" t="n">
        <v>106.1912</v>
      </c>
      <c r="AG1066" s="97" t="n">
        <v>115.0892</v>
      </c>
      <c r="AH1066" s="97" t="n">
        <v>100.6902</v>
      </c>
      <c r="AI1066" s="97" t="n">
        <v>77</v>
      </c>
      <c r="AJ1066" s="97" t="n">
        <v>117.8954</v>
      </c>
      <c r="AK1066" s="97" t="n">
        <v>73.81229999999999</v>
      </c>
      <c r="AL1066" s="97" t="n">
        <v>103.8086</v>
      </c>
      <c r="AM1066" s="97" t="n">
        <v>115.2</v>
      </c>
      <c r="AN1066" s="97" t="n"/>
      <c r="AO1066" s="97" t="n">
        <v>101.0082</v>
      </c>
      <c r="AP1066" s="97" t="n">
        <v>107.782</v>
      </c>
      <c r="AQ1066" s="97" t="n"/>
      <c r="AR1066" s="97" t="n"/>
      <c r="AS1066" s="97" t="n"/>
      <c r="AT1066" s="97" t="n">
        <v>74.49741</v>
      </c>
      <c r="AU1066" s="97" t="n"/>
      <c r="AV1066" s="97" t="n">
        <v>87.59999999999999</v>
      </c>
      <c r="AW1066" s="97" t="n"/>
      <c r="AX1066" s="97" t="n">
        <v>70.19414999999999</v>
      </c>
      <c r="AY1066" s="97" t="n">
        <v>106.9089</v>
      </c>
    </row>
    <row r="1067" s="135">
      <c r="A1067" t="inlineStr">
        <is>
          <t>2007-10</t>
        </is>
      </c>
      <c r="B1067" s="2" t="n">
        <v>39356</v>
      </c>
      <c r="C1067" s="96" t="n">
        <v>1067</v>
      </c>
      <c r="E1067" s="2">
        <f>B1067</f>
        <v/>
      </c>
      <c r="F1067" s="3">
        <f>B1067</f>
        <v/>
      </c>
      <c r="G1067" s="96" t="n">
        <v>1065</v>
      </c>
      <c r="H1067" s="97" t="n"/>
      <c r="I1067" s="97" t="n"/>
      <c r="J1067" s="97" t="n">
        <v>100.5916</v>
      </c>
      <c r="K1067" s="97" t="n">
        <v>97.71608999999999</v>
      </c>
      <c r="L1067" s="97" t="n"/>
      <c r="M1067" s="97" t="n">
        <v>95.08414999999999</v>
      </c>
      <c r="N1067" s="97" t="n">
        <v>98.79177</v>
      </c>
      <c r="O1067" s="97" t="n">
        <v>118.8</v>
      </c>
      <c r="P1067" s="97" t="n">
        <v>134.0901</v>
      </c>
      <c r="Q1067" s="97" t="n"/>
      <c r="R1067" s="97" t="n">
        <v>120.8</v>
      </c>
      <c r="S1067" s="97" t="n">
        <v>114.251</v>
      </c>
      <c r="T1067" s="97" t="n">
        <v>109.0154</v>
      </c>
      <c r="U1067" s="97" t="n">
        <v>142.5337</v>
      </c>
      <c r="V1067" s="97" t="n">
        <v>92.50771</v>
      </c>
      <c r="W1067" s="97" t="n">
        <v>67.95699999999999</v>
      </c>
      <c r="X1067" s="97" t="n">
        <v>49.22979</v>
      </c>
      <c r="Y1067" s="97" t="n">
        <v>86.18267</v>
      </c>
      <c r="Z1067" s="97" t="n">
        <v>128.4893</v>
      </c>
      <c r="AA1067" s="97" t="n">
        <v>118.9047</v>
      </c>
      <c r="AB1067" s="97" t="n">
        <v>81.23023000000001</v>
      </c>
      <c r="AC1067" s="97" t="n">
        <v>114.7904</v>
      </c>
      <c r="AD1067" s="97" t="n">
        <v>91.8</v>
      </c>
      <c r="AE1067" s="97" t="n">
        <v>102.6829</v>
      </c>
      <c r="AF1067" s="97" t="n">
        <v>106.7911</v>
      </c>
      <c r="AG1067" s="97" t="n">
        <v>114.391</v>
      </c>
      <c r="AH1067" s="97" t="n">
        <v>101.0983</v>
      </c>
      <c r="AI1067" s="97" t="n">
        <v>77.8</v>
      </c>
      <c r="AJ1067" s="97" t="n">
        <v>124.4817</v>
      </c>
      <c r="AK1067" s="97" t="n">
        <v>73.71229</v>
      </c>
      <c r="AL1067" s="97" t="n">
        <v>106.3089</v>
      </c>
      <c r="AM1067" s="97" t="n">
        <v>116.7</v>
      </c>
      <c r="AN1067" s="97" t="n"/>
      <c r="AO1067" s="97" t="n">
        <v>100.5818</v>
      </c>
      <c r="AP1067" s="97" t="n">
        <v>108.6819</v>
      </c>
      <c r="AQ1067" s="97" t="n"/>
      <c r="AR1067" s="97" t="n"/>
      <c r="AS1067" s="97" t="n"/>
      <c r="AT1067" s="97" t="n">
        <v>76.67905</v>
      </c>
      <c r="AU1067" s="97" t="n"/>
      <c r="AV1067" s="97" t="n">
        <v>88.2</v>
      </c>
      <c r="AW1067" s="97" t="n"/>
      <c r="AX1067" s="97" t="n">
        <v>69.69419000000001</v>
      </c>
      <c r="AY1067" s="97" t="n">
        <v>109.6614</v>
      </c>
    </row>
    <row r="1068" s="135">
      <c r="A1068" t="inlineStr">
        <is>
          <t>2007-11</t>
        </is>
      </c>
      <c r="B1068" s="2" t="n">
        <v>39387</v>
      </c>
      <c r="C1068" s="96" t="n">
        <v>1068</v>
      </c>
      <c r="E1068" s="2">
        <f>B1068</f>
        <v/>
      </c>
      <c r="F1068" s="3">
        <f>B1068</f>
        <v/>
      </c>
      <c r="G1068" s="96" t="n">
        <v>1066</v>
      </c>
      <c r="H1068" s="97" t="n"/>
      <c r="I1068" s="97" t="n"/>
      <c r="J1068" s="97" t="n">
        <v>97.49187000000001</v>
      </c>
      <c r="K1068" s="97" t="n">
        <v>97.38141</v>
      </c>
      <c r="L1068" s="97" t="n"/>
      <c r="M1068" s="97" t="n">
        <v>95.68405</v>
      </c>
      <c r="N1068" s="97" t="n">
        <v>98.59178</v>
      </c>
      <c r="O1068" s="97" t="n">
        <v>117.4</v>
      </c>
      <c r="P1068" s="97" t="n">
        <v>132.7321</v>
      </c>
      <c r="Q1068" s="97" t="n"/>
      <c r="R1068" s="97" t="n">
        <v>128.3</v>
      </c>
      <c r="S1068" s="97" t="n">
        <v>112.2709</v>
      </c>
      <c r="T1068" s="97" t="n">
        <v>109.5345</v>
      </c>
      <c r="U1068" s="97" t="n">
        <v>143.8322</v>
      </c>
      <c r="V1068" s="97" t="n">
        <v>92.50771</v>
      </c>
      <c r="W1068" s="97" t="n">
        <v>67.24415999999999</v>
      </c>
      <c r="X1068" s="97" t="n">
        <v>49.12283</v>
      </c>
      <c r="Y1068" s="97" t="n">
        <v>87.40047</v>
      </c>
      <c r="Z1068" s="97" t="n">
        <v>127.1894</v>
      </c>
      <c r="AA1068" s="97" t="n">
        <v>117.7092</v>
      </c>
      <c r="AB1068" s="97" t="n">
        <v>81.32022000000001</v>
      </c>
      <c r="AC1068" s="97" t="n">
        <v>116.5903</v>
      </c>
      <c r="AD1068" s="97" t="n">
        <v>94.7</v>
      </c>
      <c r="AE1068" s="97" t="n">
        <v>101.5239</v>
      </c>
      <c r="AF1068" s="97" t="n">
        <v>109.3909</v>
      </c>
      <c r="AG1068" s="97" t="n">
        <v>112.18</v>
      </c>
      <c r="AH1068" s="97" t="n">
        <v>100.9756</v>
      </c>
      <c r="AI1068" s="97" t="n">
        <v>77.8</v>
      </c>
      <c r="AJ1068" s="97" t="n">
        <v>120.5788</v>
      </c>
      <c r="AK1068" s="97" t="n">
        <v>78.71312</v>
      </c>
      <c r="AL1068" s="97" t="n">
        <v>104.4087</v>
      </c>
      <c r="AM1068" s="97" t="n">
        <v>119.9</v>
      </c>
      <c r="AN1068" s="97" t="n"/>
      <c r="AO1068" s="97" t="n">
        <v>101.1741</v>
      </c>
      <c r="AP1068" s="97" t="n">
        <v>107.982</v>
      </c>
      <c r="AQ1068" s="97" t="n"/>
      <c r="AR1068" s="97" t="n"/>
      <c r="AS1068" s="97" t="n"/>
      <c r="AT1068" s="97" t="n">
        <v>77.25966</v>
      </c>
      <c r="AU1068" s="97" t="n"/>
      <c r="AV1068" s="97" t="n">
        <v>88.40000000000001</v>
      </c>
      <c r="AW1068" s="97" t="n"/>
      <c r="AX1068" s="97" t="n">
        <v>69.89417</v>
      </c>
      <c r="AY1068" s="97" t="n">
        <v>108.4503</v>
      </c>
    </row>
    <row r="1069" s="135">
      <c r="A1069" t="inlineStr">
        <is>
          <t>2007-12</t>
        </is>
      </c>
      <c r="B1069" s="2" t="n">
        <v>39417</v>
      </c>
      <c r="C1069" s="96" t="n">
        <v>1069</v>
      </c>
      <c r="E1069" s="2">
        <f>B1069</f>
        <v/>
      </c>
      <c r="F1069" s="3">
        <f>B1069</f>
        <v/>
      </c>
      <c r="G1069" s="96" t="n">
        <v>1067</v>
      </c>
      <c r="H1069" s="97" t="n"/>
      <c r="I1069" s="97" t="n"/>
      <c r="J1069" s="97" t="n">
        <v>99.99167</v>
      </c>
      <c r="K1069" s="97" t="n">
        <v>95.61785</v>
      </c>
      <c r="L1069" s="97" t="n"/>
      <c r="M1069" s="97" t="n">
        <v>97.18380000000001</v>
      </c>
      <c r="N1069" s="97" t="n">
        <v>99.5917</v>
      </c>
      <c r="O1069" s="97" t="n">
        <v>114.5</v>
      </c>
      <c r="P1069" s="97" t="n">
        <v>133.6621</v>
      </c>
      <c r="Q1069" s="97" t="n"/>
      <c r="R1069" s="97" t="n">
        <v>121.8</v>
      </c>
      <c r="S1069" s="97" t="n">
        <v>112.4509</v>
      </c>
      <c r="T1069" s="97" t="n">
        <v>109.3269</v>
      </c>
      <c r="U1069" s="97" t="n">
        <v>143.4327</v>
      </c>
      <c r="V1069" s="97" t="n">
        <v>97.00809</v>
      </c>
      <c r="W1069" s="97" t="n">
        <v>67.48177</v>
      </c>
      <c r="X1069" s="97" t="n">
        <v>48.63313</v>
      </c>
      <c r="Y1069" s="97" t="n">
        <v>87.58781999999999</v>
      </c>
      <c r="Z1069" s="97" t="n">
        <v>128.0893</v>
      </c>
      <c r="AA1069" s="97" t="n">
        <v>118.3613</v>
      </c>
      <c r="AB1069" s="97" t="n">
        <v>80.82426</v>
      </c>
      <c r="AC1069" s="97" t="n">
        <v>115.2904</v>
      </c>
      <c r="AD1069" s="97" t="n">
        <v>94.09999999999999</v>
      </c>
      <c r="AE1069" s="97" t="n">
        <v>103.2743</v>
      </c>
      <c r="AF1069" s="97" t="n">
        <v>108.8909</v>
      </c>
      <c r="AG1069" s="97" t="n">
        <v>110.3181</v>
      </c>
      <c r="AH1069" s="97" t="n">
        <v>101.314</v>
      </c>
      <c r="AI1069" s="97" t="n">
        <v>79.90000000000001</v>
      </c>
      <c r="AJ1069" s="97" t="n">
        <v>119.2072</v>
      </c>
      <c r="AK1069" s="97" t="n">
        <v>75.0125</v>
      </c>
      <c r="AL1069" s="97" t="n">
        <v>104.1087</v>
      </c>
      <c r="AM1069" s="97" t="n">
        <v>120.4</v>
      </c>
      <c r="AN1069" s="97" t="n"/>
      <c r="AO1069" s="97" t="n">
        <v>101.1855</v>
      </c>
      <c r="AP1069" s="97" t="n">
        <v>108.5819</v>
      </c>
      <c r="AQ1069" s="97" t="n"/>
      <c r="AR1069" s="97" t="n"/>
      <c r="AS1069" s="97" t="n"/>
      <c r="AT1069" s="97" t="n">
        <v>78.43143000000001</v>
      </c>
      <c r="AU1069" s="97" t="n"/>
      <c r="AV1069" s="97" t="n">
        <v>88.40000000000001</v>
      </c>
      <c r="AW1069" s="97" t="n"/>
      <c r="AX1069" s="97" t="n">
        <v>71.79401</v>
      </c>
      <c r="AY1069" s="97" t="n">
        <v>108.8907</v>
      </c>
    </row>
    <row r="1070" s="135">
      <c r="A1070" t="inlineStr">
        <is>
          <t>2008-01</t>
        </is>
      </c>
      <c r="B1070" s="2" t="n">
        <v>39448</v>
      </c>
      <c r="C1070" s="96" t="n">
        <v>1070</v>
      </c>
      <c r="E1070" s="2">
        <f>B1070</f>
        <v/>
      </c>
      <c r="F1070" s="3">
        <f>B1070</f>
        <v/>
      </c>
      <c r="G1070" s="96" t="n">
        <v>1068</v>
      </c>
      <c r="H1070" s="97" t="n"/>
      <c r="I1070" s="97" t="n"/>
      <c r="J1070" s="97" t="n">
        <v>102.5915</v>
      </c>
      <c r="K1070" s="97" t="n">
        <v>95.38001</v>
      </c>
      <c r="L1070" s="97" t="n"/>
      <c r="M1070" s="97" t="n">
        <v>97.18380000000001</v>
      </c>
      <c r="N1070" s="97" t="n">
        <v>101.0916</v>
      </c>
      <c r="O1070" s="97" t="n">
        <v>117.4</v>
      </c>
      <c r="P1070" s="97" t="n">
        <v>134.7051</v>
      </c>
      <c r="Q1070" s="97" t="n"/>
      <c r="R1070" s="97" t="n">
        <v>128.1</v>
      </c>
      <c r="S1070" s="97" t="n">
        <v>113.4209</v>
      </c>
      <c r="T1070" s="97" t="n">
        <v>109.7422</v>
      </c>
      <c r="U1070" s="97" t="n">
        <v>147.6278</v>
      </c>
      <c r="V1070" s="97" t="n">
        <v>94.30786000000001</v>
      </c>
      <c r="W1070" s="97" t="n">
        <v>63.38297</v>
      </c>
      <c r="X1070" s="97" t="n">
        <v>54.08878</v>
      </c>
      <c r="Y1070" s="97" t="n">
        <v>89.83607000000001</v>
      </c>
      <c r="Z1070" s="97" t="n">
        <v>130.6891</v>
      </c>
      <c r="AA1070" s="97" t="n">
        <v>119.1653</v>
      </c>
      <c r="AB1070" s="97" t="n">
        <v>82.23914000000001</v>
      </c>
      <c r="AC1070" s="97" t="n">
        <v>115.1904</v>
      </c>
      <c r="AD1070" s="97" t="n">
        <v>97.40000000000001</v>
      </c>
      <c r="AE1070" s="97" t="n">
        <v>103.202</v>
      </c>
      <c r="AF1070" s="97" t="n">
        <v>104.7913</v>
      </c>
      <c r="AG1070" s="97" t="n">
        <v>112.4127</v>
      </c>
      <c r="AH1070" s="97" t="n">
        <v>101.7942</v>
      </c>
      <c r="AI1070" s="97" t="n">
        <v>82.3</v>
      </c>
      <c r="AJ1070" s="97" t="n">
        <v>123.1759</v>
      </c>
      <c r="AK1070" s="97" t="n">
        <v>91.11519</v>
      </c>
      <c r="AL1070" s="97" t="n">
        <v>107.609</v>
      </c>
      <c r="AM1070" s="97" t="n">
        <v>120.3</v>
      </c>
      <c r="AN1070" s="97" t="n"/>
      <c r="AO1070" s="97" t="n">
        <v>100.913</v>
      </c>
      <c r="AP1070" s="97" t="n">
        <v>109.4818</v>
      </c>
      <c r="AQ1070" s="97" t="n"/>
      <c r="AR1070" s="97" t="n"/>
      <c r="AS1070" s="97" t="n"/>
      <c r="AT1070" s="97" t="n">
        <v>79.2517</v>
      </c>
      <c r="AU1070" s="97" t="n"/>
      <c r="AV1070" s="97" t="n">
        <v>91.40000000000001</v>
      </c>
      <c r="AW1070" s="97" t="n"/>
      <c r="AX1070" s="97" t="n">
        <v>70.7941</v>
      </c>
      <c r="AY1070" s="97" t="n">
        <v>110.7625</v>
      </c>
    </row>
    <row r="1071" s="135">
      <c r="A1071" t="inlineStr">
        <is>
          <t>2008-02</t>
        </is>
      </c>
      <c r="B1071" s="2" t="n">
        <v>39479</v>
      </c>
      <c r="C1071" s="96" t="n">
        <v>1071</v>
      </c>
      <c r="E1071" s="2">
        <f>B1071</f>
        <v/>
      </c>
      <c r="F1071" s="3">
        <f>B1071</f>
        <v/>
      </c>
      <c r="G1071" s="96" t="n">
        <v>1069</v>
      </c>
      <c r="H1071" s="97" t="n"/>
      <c r="I1071" s="97" t="n"/>
      <c r="J1071" s="97" t="n">
        <v>101.4915</v>
      </c>
      <c r="K1071" s="97" t="n">
        <v>95.53224</v>
      </c>
      <c r="L1071" s="97" t="n"/>
      <c r="M1071" s="97" t="n">
        <v>98.38361</v>
      </c>
      <c r="N1071" s="97" t="n">
        <v>100.7916</v>
      </c>
      <c r="O1071" s="97" t="n">
        <v>114.2</v>
      </c>
      <c r="P1071" s="97" t="n">
        <v>133.7561</v>
      </c>
      <c r="Q1071" s="97" t="n"/>
      <c r="R1071" s="97" t="n">
        <v>124.9</v>
      </c>
      <c r="S1071" s="97" t="n">
        <v>114.451</v>
      </c>
      <c r="T1071" s="97" t="n">
        <v>109.4307</v>
      </c>
      <c r="U1071" s="97" t="n">
        <v>139.0378</v>
      </c>
      <c r="V1071" s="97" t="n">
        <v>96.80807</v>
      </c>
      <c r="W1071" s="97" t="n">
        <v>63.62058</v>
      </c>
      <c r="X1071" s="97" t="n">
        <v>58.7315</v>
      </c>
      <c r="Y1071" s="97" t="n">
        <v>89.74239</v>
      </c>
      <c r="Z1071" s="97" t="n">
        <v>129.6892</v>
      </c>
      <c r="AA1071" s="97" t="n">
        <v>119.4732</v>
      </c>
      <c r="AB1071" s="97" t="n">
        <v>82.35614</v>
      </c>
      <c r="AC1071" s="97" t="n">
        <v>117.0902</v>
      </c>
      <c r="AD1071" s="97" t="n">
        <v>99.7</v>
      </c>
      <c r="AE1071" s="97" t="n">
        <v>103.7359</v>
      </c>
      <c r="AF1071" s="97" t="n">
        <v>106.5911</v>
      </c>
      <c r="AG1071" s="97" t="n">
        <v>110.5508</v>
      </c>
      <c r="AH1071" s="97" t="n">
        <v>101.7645</v>
      </c>
      <c r="AI1071" s="97" t="n">
        <v>82.09999999999999</v>
      </c>
      <c r="AJ1071" s="97" t="n">
        <v>123.0871</v>
      </c>
      <c r="AK1071" s="97" t="n">
        <v>91.61527</v>
      </c>
      <c r="AL1071" s="97" t="n">
        <v>109.1091</v>
      </c>
      <c r="AM1071" s="97" t="n">
        <v>119.7</v>
      </c>
      <c r="AN1071" s="97" t="n"/>
      <c r="AO1071" s="97" t="n">
        <v>100.5744</v>
      </c>
      <c r="AP1071" s="97" t="n">
        <v>109.2818</v>
      </c>
      <c r="AQ1071" s="97" t="n"/>
      <c r="AR1071" s="97" t="n"/>
      <c r="AS1071" s="97" t="n"/>
      <c r="AT1071" s="97" t="n">
        <v>79.26012</v>
      </c>
      <c r="AU1071" s="97" t="n"/>
      <c r="AV1071" s="97" t="n">
        <v>89.59999999999999</v>
      </c>
      <c r="AW1071" s="97" t="n"/>
      <c r="AX1071" s="97" t="n">
        <v>72.19398</v>
      </c>
      <c r="AY1071" s="97" t="n">
        <v>110.322</v>
      </c>
    </row>
    <row r="1072" s="135">
      <c r="A1072" t="inlineStr">
        <is>
          <t>2008-03</t>
        </is>
      </c>
      <c r="B1072" s="2" t="n">
        <v>39508</v>
      </c>
      <c r="C1072" s="96" t="n">
        <v>1072</v>
      </c>
      <c r="E1072" s="2">
        <f>B1072</f>
        <v/>
      </c>
      <c r="F1072" s="3">
        <f>B1072</f>
        <v/>
      </c>
      <c r="G1072" s="96" t="n">
        <v>1070</v>
      </c>
      <c r="H1072" s="97" t="n"/>
      <c r="I1072" s="97" t="n"/>
      <c r="J1072" s="97" t="n">
        <v>101.3915</v>
      </c>
      <c r="K1072" s="97" t="n">
        <v>94.66758</v>
      </c>
      <c r="L1072" s="97" t="n"/>
      <c r="M1072" s="97" t="n">
        <v>94.68422</v>
      </c>
      <c r="N1072" s="97" t="n">
        <v>100.0917</v>
      </c>
      <c r="O1072" s="97" t="n">
        <v>116.2</v>
      </c>
      <c r="P1072" s="97" t="n">
        <v>130.8671</v>
      </c>
      <c r="Q1072" s="97" t="n"/>
      <c r="R1072" s="97" t="n">
        <v>123.5</v>
      </c>
      <c r="S1072" s="97" t="n">
        <v>113.1209</v>
      </c>
      <c r="T1072" s="97" t="n">
        <v>107.9772</v>
      </c>
      <c r="U1072" s="97" t="n">
        <v>136.7405</v>
      </c>
      <c r="V1072" s="97" t="n">
        <v>94.30786000000001</v>
      </c>
      <c r="W1072" s="97" t="n">
        <v>63.20476</v>
      </c>
      <c r="X1072" s="97" t="n">
        <v>63.4321</v>
      </c>
      <c r="Y1072" s="97" t="n">
        <v>93.20843000000001</v>
      </c>
      <c r="Z1072" s="97" t="n">
        <v>130.4891</v>
      </c>
      <c r="AA1072" s="97" t="n">
        <v>118.2415</v>
      </c>
      <c r="AB1072" s="97" t="n">
        <v>82.72411</v>
      </c>
      <c r="AC1072" s="97" t="n">
        <v>117.1902</v>
      </c>
      <c r="AD1072" s="97" t="n">
        <v>96.8</v>
      </c>
      <c r="AE1072" s="97" t="n">
        <v>103.0056</v>
      </c>
      <c r="AF1072" s="97" t="n">
        <v>107.3911</v>
      </c>
      <c r="AG1072" s="97" t="n">
        <v>112.6455</v>
      </c>
      <c r="AH1072" s="97" t="n">
        <v>101.0923</v>
      </c>
      <c r="AI1072" s="97" t="n">
        <v>79.59999999999999</v>
      </c>
      <c r="AJ1072" s="97" t="n">
        <v>114.6483</v>
      </c>
      <c r="AK1072" s="97" t="n">
        <v>88.01467</v>
      </c>
      <c r="AL1072" s="97" t="n">
        <v>108.009</v>
      </c>
      <c r="AM1072" s="97" t="n">
        <v>118.9</v>
      </c>
      <c r="AN1072" s="97" t="n"/>
      <c r="AO1072" s="97" t="n">
        <v>100.3364</v>
      </c>
      <c r="AP1072" s="97" t="n">
        <v>108.7819</v>
      </c>
      <c r="AQ1072" s="97" t="n"/>
      <c r="AR1072" s="97" t="n"/>
      <c r="AS1072" s="97" t="n"/>
      <c r="AT1072" s="97" t="n">
        <v>80.18333</v>
      </c>
      <c r="AU1072" s="97" t="n"/>
      <c r="AV1072" s="97" t="n">
        <v>89.5</v>
      </c>
      <c r="AW1072" s="97" t="n"/>
      <c r="AX1072" s="97" t="n">
        <v>72.19398</v>
      </c>
      <c r="AY1072" s="97" t="n">
        <v>110.6524</v>
      </c>
    </row>
    <row r="1073" s="135">
      <c r="A1073" t="inlineStr">
        <is>
          <t>2008-04</t>
        </is>
      </c>
      <c r="B1073" s="2" t="n">
        <v>39539</v>
      </c>
      <c r="C1073" s="96" t="n">
        <v>1073</v>
      </c>
      <c r="E1073" s="2">
        <f>B1073</f>
        <v/>
      </c>
      <c r="F1073" s="3">
        <f>B1073</f>
        <v/>
      </c>
      <c r="G1073" s="96" t="n">
        <v>1071</v>
      </c>
      <c r="H1073" s="97" t="n"/>
      <c r="I1073" s="97" t="n"/>
      <c r="J1073" s="97" t="n">
        <v>102.5915</v>
      </c>
      <c r="K1073" s="97" t="n">
        <v>95.67216000000001</v>
      </c>
      <c r="L1073" s="97" t="n"/>
      <c r="M1073" s="97" t="n">
        <v>96.68388</v>
      </c>
      <c r="N1073" s="97" t="n">
        <v>100.2916</v>
      </c>
      <c r="O1073" s="97" t="n">
        <v>115</v>
      </c>
      <c r="P1073" s="97" t="n">
        <v>132.9521</v>
      </c>
      <c r="Q1073" s="97" t="n"/>
      <c r="R1073" s="97" t="n">
        <v>127.5</v>
      </c>
      <c r="S1073" s="97" t="n">
        <v>115.571</v>
      </c>
      <c r="T1073" s="97" t="n">
        <v>109.223</v>
      </c>
      <c r="U1073" s="97" t="n">
        <v>144.2317</v>
      </c>
      <c r="V1073" s="97" t="n">
        <v>95.10793</v>
      </c>
      <c r="W1073" s="97" t="n">
        <v>60.82864</v>
      </c>
      <c r="X1073" s="97" t="n">
        <v>66.3009</v>
      </c>
      <c r="Y1073" s="97" t="n">
        <v>92.74003999999999</v>
      </c>
      <c r="Z1073" s="97" t="n">
        <v>131.789</v>
      </c>
      <c r="AA1073" s="97" t="n">
        <v>117.7283</v>
      </c>
      <c r="AB1073" s="97" t="n">
        <v>83.54604</v>
      </c>
      <c r="AC1073" s="97" t="n">
        <v>120.09</v>
      </c>
      <c r="AD1073" s="97" t="n">
        <v>95</v>
      </c>
      <c r="AE1073" s="97" t="n">
        <v>102.3618</v>
      </c>
      <c r="AF1073" s="97" t="n">
        <v>113.1906</v>
      </c>
      <c r="AG1073" s="97" t="n">
        <v>114.2746</v>
      </c>
      <c r="AH1073" s="97" t="n">
        <v>101.4179</v>
      </c>
      <c r="AI1073" s="97" t="n">
        <v>81.3</v>
      </c>
      <c r="AJ1073" s="97" t="n">
        <v>121.3822</v>
      </c>
      <c r="AK1073" s="97" t="n">
        <v>87.91464999999999</v>
      </c>
      <c r="AL1073" s="97" t="n">
        <v>108.509</v>
      </c>
      <c r="AM1073" s="97" t="n">
        <v>118.7</v>
      </c>
      <c r="AN1073" s="97" t="n"/>
      <c r="AO1073" s="97" t="n">
        <v>99.57641</v>
      </c>
      <c r="AP1073" s="97" t="n">
        <v>110.0816</v>
      </c>
      <c r="AQ1073" s="97" t="n"/>
      <c r="AR1073" s="97" t="n"/>
      <c r="AS1073" s="97" t="n"/>
      <c r="AT1073" s="97" t="n">
        <v>79.92646000000001</v>
      </c>
      <c r="AU1073" s="97" t="n"/>
      <c r="AV1073" s="97" t="n">
        <v>90.3</v>
      </c>
      <c r="AW1073" s="97" t="n"/>
      <c r="AX1073" s="97" t="n">
        <v>71.29406</v>
      </c>
      <c r="AY1073" s="97" t="n">
        <v>110.5423</v>
      </c>
    </row>
    <row r="1074" s="135">
      <c r="A1074" t="inlineStr">
        <is>
          <t>2008-05</t>
        </is>
      </c>
      <c r="B1074" s="2" t="n">
        <v>39569</v>
      </c>
      <c r="C1074" s="96" t="n">
        <v>1074</v>
      </c>
      <c r="E1074" s="2">
        <f>B1074</f>
        <v/>
      </c>
      <c r="F1074" s="3">
        <f>B1074</f>
        <v/>
      </c>
      <c r="G1074" s="96" t="n">
        <v>1072</v>
      </c>
      <c r="H1074" s="97" t="n"/>
      <c r="I1074" s="97" t="n"/>
      <c r="J1074" s="97" t="n">
        <v>100.1917</v>
      </c>
      <c r="K1074" s="97" t="n">
        <v>95.39579999999999</v>
      </c>
      <c r="L1074" s="97" t="n"/>
      <c r="M1074" s="97" t="n">
        <v>95.48408999999999</v>
      </c>
      <c r="N1074" s="97" t="n">
        <v>98.29181</v>
      </c>
      <c r="O1074" s="97" t="n">
        <v>114.6</v>
      </c>
      <c r="P1074" s="97" t="n">
        <v>128.7111</v>
      </c>
      <c r="Q1074" s="97" t="n"/>
      <c r="R1074" s="97" t="n">
        <v>126.8</v>
      </c>
      <c r="S1074" s="97" t="n">
        <v>110.1209</v>
      </c>
      <c r="T1074" s="97" t="n">
        <v>108.081</v>
      </c>
      <c r="U1074" s="97" t="n">
        <v>136.5407</v>
      </c>
      <c r="V1074" s="97" t="n">
        <v>93.50779</v>
      </c>
      <c r="W1074" s="97" t="n">
        <v>64.45222</v>
      </c>
      <c r="X1074" s="97" t="n">
        <v>66.36686</v>
      </c>
      <c r="Y1074" s="97" t="n">
        <v>88.99297</v>
      </c>
      <c r="Z1074" s="97" t="n">
        <v>127.1894</v>
      </c>
      <c r="AA1074" s="97" t="n">
        <v>118.3442</v>
      </c>
      <c r="AB1074" s="97" t="n">
        <v>82.84209</v>
      </c>
      <c r="AC1074" s="97" t="n">
        <v>114.1905</v>
      </c>
      <c r="AD1074" s="97" t="n">
        <v>93.59999999999999</v>
      </c>
      <c r="AE1074" s="97" t="n">
        <v>102.6342</v>
      </c>
      <c r="AF1074" s="97" t="n">
        <v>103.7914</v>
      </c>
      <c r="AG1074" s="97" t="n">
        <v>114.9728</v>
      </c>
      <c r="AH1074" s="97" t="n">
        <v>100.1962</v>
      </c>
      <c r="AI1074" s="97" t="n">
        <v>77.90000000000001</v>
      </c>
      <c r="AJ1074" s="97" t="n">
        <v>114.632</v>
      </c>
      <c r="AK1074" s="97" t="n">
        <v>88.21469999999999</v>
      </c>
      <c r="AL1074" s="97" t="n">
        <v>107.409</v>
      </c>
      <c r="AM1074" s="97" t="n">
        <v>117.6</v>
      </c>
      <c r="AN1074" s="97" t="n"/>
      <c r="AO1074" s="97" t="n">
        <v>99.01537</v>
      </c>
      <c r="AP1074" s="97" t="n">
        <v>106.8822</v>
      </c>
      <c r="AQ1074" s="97" t="n"/>
      <c r="AR1074" s="97" t="n"/>
      <c r="AS1074" s="97" t="n"/>
      <c r="AT1074" s="97" t="n">
        <v>80.18626</v>
      </c>
      <c r="AU1074" s="97" t="n"/>
      <c r="AV1074" s="97" t="n">
        <v>90.90000000000001</v>
      </c>
      <c r="AW1074" s="97" t="n"/>
      <c r="AX1074" s="97" t="n">
        <v>71.09408000000001</v>
      </c>
      <c r="AY1074" s="97" t="n">
        <v>111.313</v>
      </c>
    </row>
    <row r="1075" s="135">
      <c r="A1075" t="inlineStr">
        <is>
          <t>2008-06</t>
        </is>
      </c>
      <c r="B1075" s="2" t="n">
        <v>39600</v>
      </c>
      <c r="C1075" s="96" t="n">
        <v>1075</v>
      </c>
      <c r="E1075" s="2">
        <f>B1075</f>
        <v/>
      </c>
      <c r="F1075" s="3">
        <f>B1075</f>
        <v/>
      </c>
      <c r="G1075" s="96" t="n">
        <v>1073</v>
      </c>
      <c r="H1075" s="97" t="n"/>
      <c r="I1075" s="97" t="n"/>
      <c r="J1075" s="97" t="n">
        <v>100.2916</v>
      </c>
      <c r="K1075" s="97" t="n">
        <v>96.07987</v>
      </c>
      <c r="L1075" s="97" t="n"/>
      <c r="M1075" s="97" t="n">
        <v>94.48425</v>
      </c>
      <c r="N1075" s="97" t="n">
        <v>99.39172000000001</v>
      </c>
      <c r="O1075" s="97" t="n">
        <v>113.1</v>
      </c>
      <c r="P1075" s="97" t="n">
        <v>123.9411</v>
      </c>
      <c r="Q1075" s="97" t="n"/>
      <c r="R1075" s="97" t="n">
        <v>123.4</v>
      </c>
      <c r="S1075" s="97" t="n">
        <v>109.8009</v>
      </c>
      <c r="T1075" s="97" t="n">
        <v>107.1466</v>
      </c>
      <c r="U1075" s="97" t="n">
        <v>143.7323</v>
      </c>
      <c r="V1075" s="97" t="n">
        <v>91.80765</v>
      </c>
      <c r="W1075" s="97" t="n">
        <v>62.0761</v>
      </c>
      <c r="X1075" s="97" t="n">
        <v>66.75436000000001</v>
      </c>
      <c r="Y1075" s="97" t="n">
        <v>92.64637</v>
      </c>
      <c r="Z1075" s="97" t="n">
        <v>128.5893</v>
      </c>
      <c r="AA1075" s="97" t="n">
        <v>115.1623</v>
      </c>
      <c r="AB1075" s="97" t="n">
        <v>82.21415</v>
      </c>
      <c r="AC1075" s="97" t="n">
        <v>111.6907</v>
      </c>
      <c r="AD1075" s="97" t="n">
        <v>91.59999999999999</v>
      </c>
      <c r="AE1075" s="97" t="n">
        <v>103.0176</v>
      </c>
      <c r="AF1075" s="97" t="n">
        <v>105.2912</v>
      </c>
      <c r="AG1075" s="97" t="n">
        <v>114.5074</v>
      </c>
      <c r="AH1075" s="97" t="n">
        <v>99.76954000000001</v>
      </c>
      <c r="AI1075" s="97" t="n">
        <v>78.40000000000001</v>
      </c>
      <c r="AJ1075" s="97" t="n">
        <v>115.2668</v>
      </c>
      <c r="AK1075" s="97" t="n">
        <v>86.01434</v>
      </c>
      <c r="AL1075" s="97" t="n">
        <v>111.7093</v>
      </c>
      <c r="AM1075" s="97" t="n">
        <v>116.3</v>
      </c>
      <c r="AN1075" s="97" t="n"/>
      <c r="AO1075" s="97" t="n">
        <v>98.78312</v>
      </c>
      <c r="AP1075" s="97" t="n">
        <v>107.0822</v>
      </c>
      <c r="AQ1075" s="97" t="n"/>
      <c r="AR1075" s="97" t="n"/>
      <c r="AS1075" s="97" t="n"/>
      <c r="AT1075" s="97" t="n">
        <v>81.28489999999999</v>
      </c>
      <c r="AU1075" s="97" t="n"/>
      <c r="AV1075" s="97" t="n">
        <v>89.7</v>
      </c>
      <c r="AW1075" s="97" t="n"/>
      <c r="AX1075" s="97" t="n">
        <v>71.39404999999999</v>
      </c>
      <c r="AY1075" s="97" t="n">
        <v>113.2948</v>
      </c>
    </row>
    <row r="1076" s="135">
      <c r="A1076" t="inlineStr">
        <is>
          <t>2008-07</t>
        </is>
      </c>
      <c r="B1076" s="2" t="n">
        <v>39630</v>
      </c>
      <c r="C1076" s="96" t="n">
        <v>1076</v>
      </c>
      <c r="E1076" s="2">
        <f>B1076</f>
        <v/>
      </c>
      <c r="F1076" s="3">
        <f>B1076</f>
        <v/>
      </c>
      <c r="G1076" s="96" t="n">
        <v>1074</v>
      </c>
      <c r="H1076" s="97" t="n"/>
      <c r="I1076" s="97" t="n"/>
      <c r="J1076" s="97" t="n">
        <v>103.1914</v>
      </c>
      <c r="K1076" s="97" t="n">
        <v>97.60185</v>
      </c>
      <c r="L1076" s="97" t="n"/>
      <c r="M1076" s="97" t="n">
        <v>91.78471</v>
      </c>
      <c r="N1076" s="97" t="n">
        <v>97.69186000000001</v>
      </c>
      <c r="O1076" s="97" t="n">
        <v>112.8</v>
      </c>
      <c r="P1076" s="97" t="n">
        <v>127.2151</v>
      </c>
      <c r="Q1076" s="97" t="n"/>
      <c r="R1076" s="97" t="n">
        <v>126.4</v>
      </c>
      <c r="S1076" s="97" t="n">
        <v>110.6609</v>
      </c>
      <c r="T1076" s="97" t="n">
        <v>106.8351</v>
      </c>
      <c r="U1076" s="97" t="n">
        <v>140.2364</v>
      </c>
      <c r="V1076" s="97" t="n">
        <v>91.50763000000001</v>
      </c>
      <c r="W1076" s="97" t="n">
        <v>61.36327</v>
      </c>
      <c r="X1076" s="97" t="n">
        <v>68.65705</v>
      </c>
      <c r="Y1076" s="97" t="n">
        <v>92.08431</v>
      </c>
      <c r="Z1076" s="97" t="n">
        <v>124.5896</v>
      </c>
      <c r="AA1076" s="97" t="n">
        <v>115.1623</v>
      </c>
      <c r="AB1076" s="97" t="n">
        <v>81.72319</v>
      </c>
      <c r="AC1076" s="97" t="n">
        <v>116.9902</v>
      </c>
      <c r="AD1076" s="97" t="n">
        <v>90.09999999999999</v>
      </c>
      <c r="AE1076" s="97" t="n">
        <v>102.3946</v>
      </c>
      <c r="AF1076" s="97" t="n">
        <v>105.2912</v>
      </c>
      <c r="AG1076" s="97" t="n">
        <v>115.5547</v>
      </c>
      <c r="AH1076" s="97" t="n">
        <v>99.36879</v>
      </c>
      <c r="AI1076" s="97" t="n">
        <v>78</v>
      </c>
      <c r="AJ1076" s="97" t="n">
        <v>114.7549</v>
      </c>
      <c r="AK1076" s="97" t="n">
        <v>85.41424000000001</v>
      </c>
      <c r="AL1076" s="97" t="n">
        <v>105.2088</v>
      </c>
      <c r="AM1076" s="97" t="n">
        <v>116.1</v>
      </c>
      <c r="AN1076" s="97" t="n"/>
      <c r="AO1076" s="97" t="n">
        <v>98.26031</v>
      </c>
      <c r="AP1076" s="97" t="n">
        <v>105.9823</v>
      </c>
      <c r="AQ1076" s="97" t="n"/>
      <c r="AR1076" s="97" t="n"/>
      <c r="AS1076" s="97" t="n"/>
      <c r="AT1076" s="97" t="n">
        <v>79.19014</v>
      </c>
      <c r="AU1076" s="97" t="n"/>
      <c r="AV1076" s="97" t="n">
        <v>89.5</v>
      </c>
      <c r="AW1076" s="97" t="n"/>
      <c r="AX1076" s="97" t="n">
        <v>69.89417</v>
      </c>
      <c r="AY1076" s="97" t="n">
        <v>113.6251</v>
      </c>
    </row>
    <row r="1077" s="135">
      <c r="A1077" t="inlineStr">
        <is>
          <t>2008-08</t>
        </is>
      </c>
      <c r="B1077" s="2" t="n">
        <v>39661</v>
      </c>
      <c r="C1077" s="96" t="n">
        <v>1077</v>
      </c>
      <c r="E1077" s="2">
        <f>B1077</f>
        <v/>
      </c>
      <c r="F1077" s="3">
        <f>B1077</f>
        <v/>
      </c>
      <c r="G1077" s="96" t="n">
        <v>1075</v>
      </c>
      <c r="H1077" s="97" t="n"/>
      <c r="I1077" s="97" t="n"/>
      <c r="J1077" s="97" t="n">
        <v>100.4916</v>
      </c>
      <c r="K1077" s="97" t="n">
        <v>96.46137</v>
      </c>
      <c r="L1077" s="97" t="n"/>
      <c r="M1077" s="97" t="n">
        <v>89.78503000000001</v>
      </c>
      <c r="N1077" s="97" t="n">
        <v>99.6917</v>
      </c>
      <c r="O1077" s="97" t="n">
        <v>112.5</v>
      </c>
      <c r="P1077" s="97" t="n">
        <v>122.6981</v>
      </c>
      <c r="Q1077" s="97" t="n"/>
      <c r="R1077" s="97" t="n">
        <v>122.1</v>
      </c>
      <c r="S1077" s="97" t="n">
        <v>109.1009</v>
      </c>
      <c r="T1077" s="97" t="n">
        <v>107.6657</v>
      </c>
      <c r="U1077" s="97" t="n">
        <v>136.5407</v>
      </c>
      <c r="V1077" s="97" t="n">
        <v>92.30768999999999</v>
      </c>
      <c r="W1077" s="97" t="n">
        <v>65.40267</v>
      </c>
      <c r="X1077" s="97" t="n">
        <v>71.78942000000001</v>
      </c>
      <c r="Y1077" s="97" t="n">
        <v>92.92740000000001</v>
      </c>
      <c r="Z1077" s="97" t="n">
        <v>121.1899</v>
      </c>
      <c r="AA1077" s="97" t="n">
        <v>110.9541</v>
      </c>
      <c r="AB1077" s="97" t="n">
        <v>81.85017999999999</v>
      </c>
      <c r="AC1077" s="97" t="n">
        <v>115.5904</v>
      </c>
      <c r="AD1077" s="97" t="n">
        <v>86.8</v>
      </c>
      <c r="AE1077" s="97" t="n">
        <v>102.1986</v>
      </c>
      <c r="AF1077" s="97" t="n">
        <v>103.7914</v>
      </c>
      <c r="AG1077" s="97" t="n">
        <v>107.7579</v>
      </c>
      <c r="AH1077" s="97" t="n">
        <v>98.06922</v>
      </c>
      <c r="AI1077" s="97" t="n">
        <v>76.7</v>
      </c>
      <c r="AJ1077" s="97" t="n">
        <v>111.9679</v>
      </c>
      <c r="AK1077" s="97" t="n">
        <v>82.31372</v>
      </c>
      <c r="AL1077" s="97" t="n">
        <v>108.409</v>
      </c>
      <c r="AM1077" s="97" t="n">
        <v>116.2</v>
      </c>
      <c r="AN1077" s="97" t="n"/>
      <c r="AO1077" s="97" t="n">
        <v>96.75722</v>
      </c>
      <c r="AP1077" s="97" t="n">
        <v>105.5824</v>
      </c>
      <c r="AQ1077" s="97" t="n"/>
      <c r="AR1077" s="97" t="n"/>
      <c r="AS1077" s="97" t="n"/>
      <c r="AT1077" s="97" t="n">
        <v>80.17265</v>
      </c>
      <c r="AU1077" s="97" t="n"/>
      <c r="AV1077" s="97" t="n">
        <v>90</v>
      </c>
      <c r="AW1077" s="97" t="n"/>
      <c r="AX1077" s="97" t="n">
        <v>68.99424999999999</v>
      </c>
      <c r="AY1077" s="97" t="n">
        <v>112.1938</v>
      </c>
    </row>
    <row r="1078" s="135">
      <c r="A1078" t="inlineStr">
        <is>
          <t>2008-09</t>
        </is>
      </c>
      <c r="B1078" s="2" t="n">
        <v>39692</v>
      </c>
      <c r="C1078" s="96" t="n">
        <v>1078</v>
      </c>
      <c r="E1078" s="2">
        <f>B1078</f>
        <v/>
      </c>
      <c r="F1078" s="3">
        <f>B1078</f>
        <v/>
      </c>
      <c r="G1078" s="96" t="n">
        <v>1076</v>
      </c>
      <c r="H1078" s="97" t="n"/>
      <c r="I1078" s="97" t="n"/>
      <c r="J1078" s="97" t="n">
        <v>100.8916</v>
      </c>
      <c r="K1078" s="97" t="n">
        <v>95.50575000000001</v>
      </c>
      <c r="L1078" s="97" t="n"/>
      <c r="M1078" s="97" t="n">
        <v>90.48492</v>
      </c>
      <c r="N1078" s="97" t="n">
        <v>97.39188</v>
      </c>
      <c r="O1078" s="97" t="n">
        <v>111.1</v>
      </c>
      <c r="P1078" s="97" t="n">
        <v>121.8311</v>
      </c>
      <c r="Q1078" s="97" t="n"/>
      <c r="R1078" s="97" t="n">
        <v>125.3</v>
      </c>
      <c r="S1078" s="97" t="n">
        <v>108.6309</v>
      </c>
      <c r="T1078" s="97" t="n">
        <v>106.1083</v>
      </c>
      <c r="U1078" s="97" t="n">
        <v>136.4408</v>
      </c>
      <c r="V1078" s="97" t="n">
        <v>89.30744</v>
      </c>
      <c r="W1078" s="97" t="n">
        <v>63.50178</v>
      </c>
      <c r="X1078" s="97" t="n">
        <v>74.64579999999999</v>
      </c>
      <c r="Y1078" s="97" t="n">
        <v>87.11944</v>
      </c>
      <c r="Z1078" s="97" t="n">
        <v>120.39</v>
      </c>
      <c r="AA1078" s="97" t="n">
        <v>112.391</v>
      </c>
      <c r="AB1078" s="97" t="n">
        <v>81.20823</v>
      </c>
      <c r="AC1078" s="97" t="n">
        <v>115.6904</v>
      </c>
      <c r="AD1078" s="97" t="n">
        <v>87.90000000000001</v>
      </c>
      <c r="AE1078" s="97" t="n">
        <v>100.7514</v>
      </c>
      <c r="AF1078" s="97" t="n">
        <v>106.6911</v>
      </c>
      <c r="AG1078" s="97" t="n">
        <v>111.249</v>
      </c>
      <c r="AH1078" s="97" t="n">
        <v>96.53707</v>
      </c>
      <c r="AI1078" s="97" t="n">
        <v>77.2</v>
      </c>
      <c r="AJ1078" s="97" t="n">
        <v>111.8455</v>
      </c>
      <c r="AK1078" s="97" t="n">
        <v>81.41357000000001</v>
      </c>
      <c r="AL1078" s="97" t="n">
        <v>107.509</v>
      </c>
      <c r="AM1078" s="97" t="n">
        <v>113</v>
      </c>
      <c r="AN1078" s="97" t="n"/>
      <c r="AO1078" s="97" t="n">
        <v>92.56104000000001</v>
      </c>
      <c r="AP1078" s="97" t="n">
        <v>104.7825</v>
      </c>
      <c r="AQ1078" s="97" t="n"/>
      <c r="AR1078" s="97" t="n"/>
      <c r="AS1078" s="97" t="n"/>
      <c r="AT1078" s="97" t="n">
        <v>82.17245</v>
      </c>
      <c r="AU1078" s="97" t="n"/>
      <c r="AV1078" s="97" t="n">
        <v>89.09999999999999</v>
      </c>
      <c r="AW1078" s="97" t="n"/>
      <c r="AX1078" s="97" t="n">
        <v>68.79427</v>
      </c>
      <c r="AY1078" s="97" t="n">
        <v>113.7352</v>
      </c>
    </row>
    <row r="1079" s="135">
      <c r="A1079" t="inlineStr">
        <is>
          <t>2008-10</t>
        </is>
      </c>
      <c r="B1079" s="2" t="n">
        <v>39722</v>
      </c>
      <c r="C1079" s="96" t="n">
        <v>1079</v>
      </c>
      <c r="E1079" s="2">
        <f>B1079</f>
        <v/>
      </c>
      <c r="F1079" s="3">
        <f>B1079</f>
        <v/>
      </c>
      <c r="G1079" s="96" t="n">
        <v>1077</v>
      </c>
      <c r="H1079" s="97" t="n"/>
      <c r="I1079" s="97" t="n"/>
      <c r="J1079" s="97" t="n">
        <v>98.79177</v>
      </c>
      <c r="K1079" s="97" t="n">
        <v>95.12773</v>
      </c>
      <c r="L1079" s="97" t="n"/>
      <c r="M1079" s="97" t="n">
        <v>88.08532</v>
      </c>
      <c r="N1079" s="97" t="n">
        <v>95.29206000000001</v>
      </c>
      <c r="O1079" s="97" t="n">
        <v>110.3</v>
      </c>
      <c r="P1079" s="97" t="n">
        <v>114.6391</v>
      </c>
      <c r="Q1079" s="97" t="n"/>
      <c r="R1079" s="97" t="n">
        <v>124</v>
      </c>
      <c r="S1079" s="97" t="n">
        <v>106.6009</v>
      </c>
      <c r="T1079" s="97" t="n">
        <v>105.1739</v>
      </c>
      <c r="U1079" s="97" t="n">
        <v>135.0424</v>
      </c>
      <c r="V1079" s="97" t="n">
        <v>87.50729</v>
      </c>
      <c r="W1079" s="97" t="n">
        <v>61.24446</v>
      </c>
      <c r="X1079" s="97" t="n">
        <v>77.90244</v>
      </c>
      <c r="Y1079" s="97" t="n">
        <v>89.74239</v>
      </c>
      <c r="Z1079" s="97" t="n">
        <v>117.8902</v>
      </c>
      <c r="AA1079" s="97" t="n">
        <v>109.9277</v>
      </c>
      <c r="AB1079" s="97" t="n">
        <v>80.05533</v>
      </c>
      <c r="AC1079" s="97" t="n">
        <v>102.6914</v>
      </c>
      <c r="AD1079" s="97" t="n">
        <v>86</v>
      </c>
      <c r="AE1079" s="97" t="n">
        <v>100.7695</v>
      </c>
      <c r="AF1079" s="97" t="n">
        <v>106.8911</v>
      </c>
      <c r="AG1079" s="97" t="n">
        <v>114.0419</v>
      </c>
      <c r="AH1079" s="97" t="n">
        <v>95.46149</v>
      </c>
      <c r="AI1079" s="97" t="n">
        <v>76</v>
      </c>
      <c r="AJ1079" s="97" t="n">
        <v>111.4002</v>
      </c>
      <c r="AK1079" s="97" t="n">
        <v>79.11318</v>
      </c>
      <c r="AL1079" s="97" t="n">
        <v>107.3089</v>
      </c>
      <c r="AM1079" s="97" t="n">
        <v>110.1</v>
      </c>
      <c r="AN1079" s="97" t="n"/>
      <c r="AO1079" s="97" t="n">
        <v>93.44144</v>
      </c>
      <c r="AP1079" s="97" t="n">
        <v>102.083</v>
      </c>
      <c r="AQ1079" s="97" t="n"/>
      <c r="AR1079" s="97" t="n"/>
      <c r="AS1079" s="97" t="n"/>
      <c r="AT1079" s="97" t="n">
        <v>79.66721</v>
      </c>
      <c r="AU1079" s="97" t="n"/>
      <c r="AV1079" s="97" t="n">
        <v>86.7</v>
      </c>
      <c r="AW1079" s="97" t="n"/>
      <c r="AX1079" s="97" t="n">
        <v>65.39455</v>
      </c>
      <c r="AY1079" s="97" t="n">
        <v>110.4322</v>
      </c>
    </row>
    <row r="1080" s="135">
      <c r="A1080" t="inlineStr">
        <is>
          <t>2008-11</t>
        </is>
      </c>
      <c r="B1080" s="2" t="n">
        <v>39753</v>
      </c>
      <c r="C1080" s="96" t="n">
        <v>1080</v>
      </c>
      <c r="E1080" s="2">
        <f>B1080</f>
        <v/>
      </c>
      <c r="F1080" s="3">
        <f>B1080</f>
        <v/>
      </c>
      <c r="G1080" s="96" t="n">
        <v>1078</v>
      </c>
      <c r="H1080" s="97" t="n"/>
      <c r="I1080" s="97" t="n"/>
      <c r="J1080" s="97" t="n">
        <v>93.79218</v>
      </c>
      <c r="K1080" s="97" t="n">
        <v>93.35267</v>
      </c>
      <c r="L1080" s="97" t="n"/>
      <c r="M1080" s="97" t="n">
        <v>84.98583000000001</v>
      </c>
      <c r="N1080" s="97" t="n">
        <v>91.09241</v>
      </c>
      <c r="O1080" s="97" t="n">
        <v>108</v>
      </c>
      <c r="P1080" s="97" t="n">
        <v>110.9341</v>
      </c>
      <c r="Q1080" s="97" t="n"/>
      <c r="R1080" s="97" t="n">
        <v>119.5</v>
      </c>
      <c r="S1080" s="97" t="n">
        <v>101.2508</v>
      </c>
      <c r="T1080" s="97" t="n">
        <v>101.8515</v>
      </c>
      <c r="U1080" s="97" t="n">
        <v>130.248</v>
      </c>
      <c r="V1080" s="97" t="n">
        <v>84.90707</v>
      </c>
      <c r="W1080" s="97" t="n">
        <v>67.54118</v>
      </c>
      <c r="X1080" s="97" t="n">
        <v>77.23141</v>
      </c>
      <c r="Y1080" s="97" t="n">
        <v>88.61826000000001</v>
      </c>
      <c r="Z1080" s="97" t="n">
        <v>113.8905</v>
      </c>
      <c r="AA1080" s="97" t="n">
        <v>102.8455</v>
      </c>
      <c r="AB1080" s="97" t="n">
        <v>71.61103</v>
      </c>
      <c r="AC1080" s="97" t="n">
        <v>95.39205</v>
      </c>
      <c r="AD1080" s="97" t="n">
        <v>82</v>
      </c>
      <c r="AE1080" s="97" t="n">
        <v>99.33257</v>
      </c>
      <c r="AF1080" s="97" t="n">
        <v>101.5915</v>
      </c>
      <c r="AG1080" s="97" t="n">
        <v>113.2273</v>
      </c>
      <c r="AH1080" s="97" t="n">
        <v>92.29826</v>
      </c>
      <c r="AI1080" s="97" t="n">
        <v>72.8</v>
      </c>
      <c r="AJ1080" s="97" t="n">
        <v>108.4112</v>
      </c>
      <c r="AK1080" s="97" t="n">
        <v>76.81281</v>
      </c>
      <c r="AL1080" s="97" t="n">
        <v>94.40787</v>
      </c>
      <c r="AM1080" s="97" t="n">
        <v>105.8</v>
      </c>
      <c r="AN1080" s="97" t="n"/>
      <c r="AO1080" s="97" t="n">
        <v>92.26703000000001</v>
      </c>
      <c r="AP1080" s="97" t="n">
        <v>98.38361</v>
      </c>
      <c r="AQ1080" s="97" t="n"/>
      <c r="AR1080" s="97" t="n"/>
      <c r="AS1080" s="97" t="n"/>
      <c r="AT1080" s="97" t="n">
        <v>78.98032000000001</v>
      </c>
      <c r="AU1080" s="97" t="n"/>
      <c r="AV1080" s="97" t="n">
        <v>78.3</v>
      </c>
      <c r="AW1080" s="97" t="n"/>
      <c r="AX1080" s="97" t="n">
        <v>62.89476</v>
      </c>
      <c r="AY1080" s="97" t="n">
        <v>103.9361</v>
      </c>
    </row>
    <row r="1081" s="135">
      <c r="A1081" t="inlineStr">
        <is>
          <t>2008-12</t>
        </is>
      </c>
      <c r="B1081" s="2" t="n">
        <v>39783</v>
      </c>
      <c r="C1081" s="96" t="n">
        <v>1081</v>
      </c>
      <c r="E1081" s="2">
        <f>B1081</f>
        <v/>
      </c>
      <c r="F1081" s="3">
        <f>B1081</f>
        <v/>
      </c>
      <c r="G1081" s="96" t="n">
        <v>1079</v>
      </c>
      <c r="H1081" s="97" t="n"/>
      <c r="I1081" s="97" t="n"/>
      <c r="J1081" s="97" t="n">
        <v>93.19223</v>
      </c>
      <c r="K1081" s="97" t="n">
        <v>90.39084</v>
      </c>
      <c r="L1081" s="97" t="n"/>
      <c r="M1081" s="97" t="n">
        <v>82.68622000000001</v>
      </c>
      <c r="N1081" s="97" t="n">
        <v>87.6927</v>
      </c>
      <c r="O1081" s="97" t="n">
        <v>108</v>
      </c>
      <c r="P1081" s="97" t="n">
        <v>107.1911</v>
      </c>
      <c r="Q1081" s="97" t="n"/>
      <c r="R1081" s="97" t="n">
        <v>104</v>
      </c>
      <c r="S1081" s="97" t="n">
        <v>99.85083</v>
      </c>
      <c r="T1081" s="97" t="n">
        <v>100.5018</v>
      </c>
      <c r="U1081" s="97" t="n">
        <v>129.3491</v>
      </c>
      <c r="V1081" s="97" t="n">
        <v>74.60621999999999</v>
      </c>
      <c r="W1081" s="97" t="n">
        <v>60.35342</v>
      </c>
      <c r="X1081" s="97" t="n">
        <v>75.75259</v>
      </c>
      <c r="Y1081" s="97" t="n">
        <v>89.36767999999999</v>
      </c>
      <c r="Z1081" s="97" t="n">
        <v>109.2909</v>
      </c>
      <c r="AA1081" s="97" t="n">
        <v>94.53165</v>
      </c>
      <c r="AB1081" s="97" t="n">
        <v>64.09966</v>
      </c>
      <c r="AC1081" s="97" t="n">
        <v>86.19282</v>
      </c>
      <c r="AD1081" s="97" t="n">
        <v>81</v>
      </c>
      <c r="AE1081" s="97" t="n">
        <v>98.20206</v>
      </c>
      <c r="AF1081" s="97" t="n">
        <v>97.59187</v>
      </c>
      <c r="AG1081" s="97" t="n">
        <v>113.6928</v>
      </c>
      <c r="AH1081" s="97" t="n">
        <v>88.8287</v>
      </c>
      <c r="AI1081" s="97" t="n">
        <v>72.40000000000001</v>
      </c>
      <c r="AJ1081" s="97" t="n">
        <v>104.7744</v>
      </c>
      <c r="AK1081" s="97" t="n">
        <v>74.21237000000001</v>
      </c>
      <c r="AL1081" s="97" t="n">
        <v>85.30710999999999</v>
      </c>
      <c r="AM1081" s="97" t="n">
        <v>99.3</v>
      </c>
      <c r="AN1081" s="97" t="n"/>
      <c r="AO1081" s="97" t="n">
        <v>89.56953</v>
      </c>
      <c r="AP1081" s="97" t="n">
        <v>94.98417000000001</v>
      </c>
      <c r="AQ1081" s="97" t="n"/>
      <c r="AR1081" s="97" t="n"/>
      <c r="AS1081" s="97" t="n"/>
      <c r="AT1081" s="97" t="n">
        <v>76.86218</v>
      </c>
      <c r="AU1081" s="97" t="n"/>
      <c r="AV1081" s="97" t="n">
        <v>76</v>
      </c>
      <c r="AW1081" s="97" t="n"/>
      <c r="AX1081" s="97" t="n">
        <v>61.09491</v>
      </c>
      <c r="AY1081" s="97" t="n">
        <v>92.26533999999999</v>
      </c>
    </row>
    <row r="1082" s="135">
      <c r="A1082" t="inlineStr">
        <is>
          <t>2009-01</t>
        </is>
      </c>
      <c r="B1082" s="2" t="n">
        <v>39814</v>
      </c>
      <c r="C1082" s="96" t="n">
        <v>1082</v>
      </c>
      <c r="E1082" s="2">
        <f>B1082</f>
        <v/>
      </c>
      <c r="F1082" s="3">
        <f>B1082</f>
        <v/>
      </c>
      <c r="G1082" s="96" t="n">
        <v>1080</v>
      </c>
      <c r="H1082" s="97" t="n"/>
      <c r="I1082" s="97" t="n"/>
      <c r="J1082" s="97" t="n">
        <v>88.09266</v>
      </c>
      <c r="K1082" s="97" t="n">
        <v>88.64574</v>
      </c>
      <c r="L1082" s="97" t="n"/>
      <c r="M1082" s="97" t="n">
        <v>78.28695</v>
      </c>
      <c r="N1082" s="97" t="n">
        <v>80.69328</v>
      </c>
      <c r="O1082" s="97" t="n">
        <v>104.7</v>
      </c>
      <c r="P1082" s="97" t="n">
        <v>106.6271</v>
      </c>
      <c r="Q1082" s="97" t="n"/>
      <c r="R1082" s="97" t="n">
        <v>99.8</v>
      </c>
      <c r="S1082" s="97" t="n">
        <v>96.1808</v>
      </c>
      <c r="T1082" s="97" t="n">
        <v>98.01003</v>
      </c>
      <c r="U1082" s="97" t="n">
        <v>123.6557</v>
      </c>
      <c r="V1082" s="97" t="n">
        <v>74.20618</v>
      </c>
      <c r="W1082" s="97" t="n">
        <v>62.78894</v>
      </c>
      <c r="X1082" s="97" t="n">
        <v>70.5742</v>
      </c>
      <c r="Y1082" s="97" t="n">
        <v>86.08899</v>
      </c>
      <c r="Z1082" s="97" t="n">
        <v>104.9912</v>
      </c>
      <c r="AA1082" s="97" t="n">
        <v>86.93626999999999</v>
      </c>
      <c r="AB1082" s="97" t="n">
        <v>65.43255000000001</v>
      </c>
      <c r="AC1082" s="97" t="n">
        <v>90.09249</v>
      </c>
      <c r="AD1082" s="97" t="n">
        <v>75.90000000000001</v>
      </c>
      <c r="AE1082" s="97" t="n">
        <v>95.41579</v>
      </c>
      <c r="AF1082" s="97" t="n">
        <v>100.4916</v>
      </c>
      <c r="AG1082" s="97" t="n">
        <v>111.4818</v>
      </c>
      <c r="AH1082" s="97" t="n">
        <v>85.71626999999999</v>
      </c>
      <c r="AI1082" s="97" t="n">
        <v>71.40000000000001</v>
      </c>
      <c r="AJ1082" s="97" t="n">
        <v>100.7772</v>
      </c>
      <c r="AK1082" s="97" t="n">
        <v>69.91164999999999</v>
      </c>
      <c r="AL1082" s="97" t="n">
        <v>91.10759</v>
      </c>
      <c r="AM1082" s="97" t="n">
        <v>95.8</v>
      </c>
      <c r="AN1082" s="97" t="n"/>
      <c r="AO1082" s="97" t="n">
        <v>87.44219</v>
      </c>
      <c r="AP1082" s="97" t="n">
        <v>91.08481999999999</v>
      </c>
      <c r="AQ1082" s="97" t="n"/>
      <c r="AR1082" s="97" t="n"/>
      <c r="AS1082" s="97" t="n"/>
      <c r="AT1082" s="97" t="n">
        <v>75.37025</v>
      </c>
      <c r="AU1082" s="97" t="n"/>
      <c r="AV1082" s="97" t="n">
        <v>75.40000000000001</v>
      </c>
      <c r="AW1082" s="97" t="n"/>
      <c r="AX1082" s="97" t="n">
        <v>56.99525</v>
      </c>
      <c r="AY1082" s="97" t="n">
        <v>94.24718</v>
      </c>
    </row>
    <row r="1083" s="135">
      <c r="A1083" t="inlineStr">
        <is>
          <t>2009-02</t>
        </is>
      </c>
      <c r="B1083" s="2" t="n">
        <v>39845</v>
      </c>
      <c r="C1083" s="96" t="n">
        <v>1083</v>
      </c>
      <c r="E1083" s="2">
        <f>B1083</f>
        <v/>
      </c>
      <c r="F1083" s="3">
        <f>B1083</f>
        <v/>
      </c>
      <c r="G1083" s="96" t="n">
        <v>1081</v>
      </c>
      <c r="H1083" s="97" t="n"/>
      <c r="I1083" s="97" t="n"/>
      <c r="J1083" s="97" t="n">
        <v>87.59269999999999</v>
      </c>
      <c r="K1083" s="97" t="n">
        <v>87.56704999999999</v>
      </c>
      <c r="L1083" s="97" t="n"/>
      <c r="M1083" s="97" t="n">
        <v>78.5869</v>
      </c>
      <c r="N1083" s="97" t="n">
        <v>78.19347999999999</v>
      </c>
      <c r="O1083" s="97" t="n">
        <v>101.8</v>
      </c>
      <c r="P1083" s="97" t="n">
        <v>105.9551</v>
      </c>
      <c r="Q1083" s="97" t="n"/>
      <c r="R1083" s="97" t="n">
        <v>104.1</v>
      </c>
      <c r="S1083" s="97" t="n">
        <v>94.84079</v>
      </c>
      <c r="T1083" s="97" t="n">
        <v>98.01003</v>
      </c>
      <c r="U1083" s="97" t="n">
        <v>129.1493</v>
      </c>
      <c r="V1083" s="97" t="n">
        <v>71.70598</v>
      </c>
      <c r="W1083" s="97" t="n">
        <v>61.9573</v>
      </c>
      <c r="X1083" s="97" t="n">
        <v>61.89636</v>
      </c>
      <c r="Y1083" s="97" t="n">
        <v>85.80795999999999</v>
      </c>
      <c r="Z1083" s="97" t="n">
        <v>101.2916</v>
      </c>
      <c r="AA1083" s="97" t="n">
        <v>79.64881</v>
      </c>
      <c r="AB1083" s="97" t="n">
        <v>70.18615</v>
      </c>
      <c r="AC1083" s="97" t="n">
        <v>87.09274000000001</v>
      </c>
      <c r="AD1083" s="97" t="n">
        <v>75.90000000000001</v>
      </c>
      <c r="AE1083" s="97" t="n">
        <v>95.86924</v>
      </c>
      <c r="AF1083" s="97" t="n">
        <v>96.69194</v>
      </c>
      <c r="AG1083" s="97" t="n">
        <v>114.5074</v>
      </c>
      <c r="AH1083" s="97" t="n">
        <v>84.50382</v>
      </c>
      <c r="AI1083" s="97" t="n">
        <v>72.59999999999999</v>
      </c>
      <c r="AJ1083" s="97" t="n">
        <v>100.7105</v>
      </c>
      <c r="AK1083" s="97" t="n">
        <v>72.41207</v>
      </c>
      <c r="AL1083" s="97" t="n">
        <v>87.00725</v>
      </c>
      <c r="AM1083" s="97" t="n">
        <v>96.3</v>
      </c>
      <c r="AN1083" s="97" t="n"/>
      <c r="AO1083" s="97" t="n">
        <v>86.87828</v>
      </c>
      <c r="AP1083" s="97" t="n">
        <v>88.98517</v>
      </c>
      <c r="AQ1083" s="97" t="n"/>
      <c r="AR1083" s="97" t="n"/>
      <c r="AS1083" s="97" t="n"/>
      <c r="AT1083" s="97" t="n">
        <v>76.24026000000001</v>
      </c>
      <c r="AU1083" s="97" t="n"/>
      <c r="AV1083" s="97" t="n">
        <v>76.5</v>
      </c>
      <c r="AW1083" s="97" t="n"/>
      <c r="AX1083" s="97" t="n">
        <v>58.19515</v>
      </c>
      <c r="AY1083" s="97" t="n">
        <v>96.44922</v>
      </c>
    </row>
    <row r="1084" s="135">
      <c r="A1084" t="inlineStr">
        <is>
          <t>2009-03</t>
        </is>
      </c>
      <c r="B1084" s="2" t="n">
        <v>39873</v>
      </c>
      <c r="C1084" s="96" t="n">
        <v>1084</v>
      </c>
      <c r="E1084" s="2">
        <f>B1084</f>
        <v/>
      </c>
      <c r="F1084" s="3">
        <f>B1084</f>
        <v/>
      </c>
      <c r="G1084" s="96" t="n">
        <v>1082</v>
      </c>
      <c r="H1084" s="97" t="n"/>
      <c r="I1084" s="97" t="n"/>
      <c r="J1084" s="97" t="n">
        <v>85.79285</v>
      </c>
      <c r="K1084" s="97" t="n">
        <v>85.79172</v>
      </c>
      <c r="L1084" s="97" t="n"/>
      <c r="M1084" s="97" t="n">
        <v>79.98667</v>
      </c>
      <c r="N1084" s="97" t="n">
        <v>78.49346</v>
      </c>
      <c r="O1084" s="97" t="n">
        <v>98.3</v>
      </c>
      <c r="P1084" s="97" t="n">
        <v>102.8391</v>
      </c>
      <c r="Q1084" s="97" t="n"/>
      <c r="R1084" s="97" t="n">
        <v>102.2</v>
      </c>
      <c r="S1084" s="97" t="n">
        <v>93.10078</v>
      </c>
      <c r="T1084" s="97" t="n">
        <v>97.69856</v>
      </c>
      <c r="U1084" s="97" t="n">
        <v>125.0541</v>
      </c>
      <c r="V1084" s="97" t="n">
        <v>75.10626000000001</v>
      </c>
      <c r="W1084" s="97" t="n">
        <v>63.50178</v>
      </c>
      <c r="X1084" s="97" t="n">
        <v>63.97116</v>
      </c>
      <c r="Y1084" s="97" t="n">
        <v>81.40515000000001</v>
      </c>
      <c r="Z1084" s="97" t="n">
        <v>97.29189</v>
      </c>
      <c r="AA1084" s="97" t="n">
        <v>80.36729</v>
      </c>
      <c r="AB1084" s="97" t="n">
        <v>73.2539</v>
      </c>
      <c r="AC1084" s="97" t="n">
        <v>82.39314</v>
      </c>
      <c r="AD1084" s="97" t="n">
        <v>73.09999999999999</v>
      </c>
      <c r="AE1084" s="97" t="n">
        <v>94.95346000000001</v>
      </c>
      <c r="AF1084" s="97" t="n">
        <v>94.7921</v>
      </c>
      <c r="AG1084" s="97" t="n">
        <v>110.8999</v>
      </c>
      <c r="AH1084" s="97" t="n">
        <v>83.90147</v>
      </c>
      <c r="AI1084" s="97" t="n">
        <v>74.40000000000001</v>
      </c>
      <c r="AJ1084" s="97" t="n">
        <v>101.3188</v>
      </c>
      <c r="AK1084" s="97" t="n">
        <v>71.71195</v>
      </c>
      <c r="AL1084" s="97" t="n">
        <v>86.00716</v>
      </c>
      <c r="AM1084" s="97" t="n">
        <v>93.7</v>
      </c>
      <c r="AN1084" s="97" t="n"/>
      <c r="AO1084" s="97" t="n">
        <v>85.50072</v>
      </c>
      <c r="AP1084" s="97" t="n">
        <v>87.88535</v>
      </c>
      <c r="AQ1084" s="97" t="n"/>
      <c r="AR1084" s="97" t="n"/>
      <c r="AS1084" s="97" t="n"/>
      <c r="AT1084" s="97" t="n">
        <v>75.68189</v>
      </c>
      <c r="AU1084" s="97" t="n"/>
      <c r="AV1084" s="97" t="n">
        <v>76.40000000000001</v>
      </c>
      <c r="AW1084" s="97" t="n"/>
      <c r="AX1084" s="97" t="n">
        <v>57.5952</v>
      </c>
      <c r="AY1084" s="97" t="n">
        <v>96.88963</v>
      </c>
    </row>
    <row r="1085" s="135">
      <c r="A1085" t="inlineStr">
        <is>
          <t>2009-04</t>
        </is>
      </c>
      <c r="B1085" s="2" t="n">
        <v>39904</v>
      </c>
      <c r="C1085" s="96" t="n">
        <v>1085</v>
      </c>
      <c r="E1085" s="2">
        <f>B1085</f>
        <v/>
      </c>
      <c r="F1085" s="3">
        <f>B1085</f>
        <v/>
      </c>
      <c r="G1085" s="96" t="n">
        <v>1083</v>
      </c>
      <c r="H1085" s="97" t="n"/>
      <c r="I1085" s="97" t="n"/>
      <c r="J1085" s="97" t="n">
        <v>85.79285</v>
      </c>
      <c r="K1085" s="97" t="n">
        <v>84.17717</v>
      </c>
      <c r="L1085" s="97" t="n"/>
      <c r="M1085" s="97" t="n">
        <v>78.38693000000001</v>
      </c>
      <c r="N1085" s="97" t="n">
        <v>76.19365000000001</v>
      </c>
      <c r="O1085" s="97" t="n">
        <v>96.5</v>
      </c>
      <c r="P1085" s="97" t="n">
        <v>103.9871</v>
      </c>
      <c r="Q1085" s="97" t="n"/>
      <c r="R1085" s="97" t="n">
        <v>99.2</v>
      </c>
      <c r="S1085" s="97" t="n">
        <v>93.06077999999999</v>
      </c>
      <c r="T1085" s="97" t="n">
        <v>99.25593000000001</v>
      </c>
      <c r="U1085" s="97" t="n">
        <v>123.456</v>
      </c>
      <c r="V1085" s="97" t="n">
        <v>71.70598</v>
      </c>
      <c r="W1085" s="97" t="n">
        <v>62.90775</v>
      </c>
      <c r="X1085" s="97" t="n">
        <v>65.09604</v>
      </c>
      <c r="Y1085" s="97" t="n">
        <v>82.34192</v>
      </c>
      <c r="Z1085" s="97" t="n">
        <v>97.79185</v>
      </c>
      <c r="AA1085" s="97" t="n">
        <v>83.85706</v>
      </c>
      <c r="AB1085" s="97" t="n">
        <v>76.18965</v>
      </c>
      <c r="AC1085" s="97" t="n">
        <v>88.49262</v>
      </c>
      <c r="AD1085" s="97" t="n">
        <v>75</v>
      </c>
      <c r="AE1085" s="97" t="n">
        <v>95.01282999999999</v>
      </c>
      <c r="AF1085" s="97" t="n">
        <v>91.39239000000001</v>
      </c>
      <c r="AG1085" s="97" t="n">
        <v>109.7362</v>
      </c>
      <c r="AH1085" s="97" t="n">
        <v>83.99791</v>
      </c>
      <c r="AI1085" s="97" t="n">
        <v>73.09999999999999</v>
      </c>
      <c r="AJ1085" s="97" t="n">
        <v>102.5824</v>
      </c>
      <c r="AK1085" s="97" t="n">
        <v>69.91164999999999</v>
      </c>
      <c r="AL1085" s="97" t="n">
        <v>81.20676</v>
      </c>
      <c r="AM1085" s="97" t="n">
        <v>93.3</v>
      </c>
      <c r="AN1085" s="97" t="n"/>
      <c r="AO1085" s="97" t="n">
        <v>84.81837</v>
      </c>
      <c r="AP1085" s="97" t="n">
        <v>86.68555000000001</v>
      </c>
      <c r="AQ1085" s="97" t="n"/>
      <c r="AR1085" s="97" t="n"/>
      <c r="AS1085" s="97" t="n"/>
      <c r="AT1085" s="97" t="n">
        <v>78.04049000000001</v>
      </c>
      <c r="AU1085" s="97" t="n"/>
      <c r="AV1085" s="97" t="n">
        <v>76.90000000000001</v>
      </c>
      <c r="AW1085" s="97" t="n"/>
      <c r="AX1085" s="97" t="n">
        <v>58.49512</v>
      </c>
      <c r="AY1085" s="97" t="n">
        <v>98.10075000000001</v>
      </c>
    </row>
    <row r="1086" s="135">
      <c r="A1086" t="inlineStr">
        <is>
          <t>2009-05</t>
        </is>
      </c>
      <c r="B1086" s="2" t="n">
        <v>39934</v>
      </c>
      <c r="C1086" s="96" t="n">
        <v>1086</v>
      </c>
      <c r="E1086" s="2">
        <f>B1086</f>
        <v/>
      </c>
      <c r="F1086" s="3">
        <f>B1086</f>
        <v/>
      </c>
      <c r="G1086" s="96" t="n">
        <v>1084</v>
      </c>
      <c r="H1086" s="97" t="n"/>
      <c r="I1086" s="97" t="n"/>
      <c r="J1086" s="97" t="n">
        <v>95.79201999999999</v>
      </c>
      <c r="K1086" s="97" t="n">
        <v>83.43076000000001</v>
      </c>
      <c r="L1086" s="97" t="n"/>
      <c r="M1086" s="97" t="n">
        <v>78.28695</v>
      </c>
      <c r="N1086" s="97" t="n">
        <v>79.69336</v>
      </c>
      <c r="O1086" s="97" t="n">
        <v>94.5</v>
      </c>
      <c r="P1086" s="97" t="n">
        <v>103.0791</v>
      </c>
      <c r="Q1086" s="97" t="n"/>
      <c r="R1086" s="97" t="n">
        <v>97.40000000000001</v>
      </c>
      <c r="S1086" s="97" t="n">
        <v>94.16078</v>
      </c>
      <c r="T1086" s="97" t="n">
        <v>97.69856</v>
      </c>
      <c r="U1086" s="97" t="n">
        <v>124.255</v>
      </c>
      <c r="V1086" s="97" t="n">
        <v>72.50604</v>
      </c>
      <c r="W1086" s="97" t="n">
        <v>60.53163</v>
      </c>
      <c r="X1086" s="97" t="n">
        <v>66.51826</v>
      </c>
      <c r="Y1086" s="97" t="n">
        <v>81.96722</v>
      </c>
      <c r="Z1086" s="97" t="n">
        <v>99.49171</v>
      </c>
      <c r="AA1086" s="97" t="n">
        <v>86.93626999999999</v>
      </c>
      <c r="AB1086" s="97" t="n">
        <v>77.14157</v>
      </c>
      <c r="AC1086" s="97" t="n">
        <v>89.59254</v>
      </c>
      <c r="AD1086" s="97" t="n">
        <v>73.40000000000001</v>
      </c>
      <c r="AE1086" s="97" t="n">
        <v>94.50194</v>
      </c>
      <c r="AF1086" s="97" t="n">
        <v>96.092</v>
      </c>
      <c r="AG1086" s="97" t="n">
        <v>105.3142</v>
      </c>
      <c r="AH1086" s="97" t="n">
        <v>84.63678</v>
      </c>
      <c r="AI1086" s="97" t="n">
        <v>73.7</v>
      </c>
      <c r="AJ1086" s="97" t="n">
        <v>100.1518</v>
      </c>
      <c r="AK1086" s="97" t="n">
        <v>69.81164</v>
      </c>
      <c r="AL1086" s="97" t="n">
        <v>84.30701999999999</v>
      </c>
      <c r="AM1086" s="97" t="n">
        <v>90.5</v>
      </c>
      <c r="AN1086" s="97" t="n"/>
      <c r="AO1086" s="97" t="n">
        <v>83.96342</v>
      </c>
      <c r="AP1086" s="97" t="n">
        <v>88.68522</v>
      </c>
      <c r="AQ1086" s="97" t="n"/>
      <c r="AR1086" s="97" t="n"/>
      <c r="AS1086" s="97" t="n"/>
      <c r="AT1086" s="97" t="n">
        <v>79.00766</v>
      </c>
      <c r="AU1086" s="97" t="n"/>
      <c r="AV1086" s="97" t="n">
        <v>76.8</v>
      </c>
      <c r="AW1086" s="97" t="n"/>
      <c r="AX1086" s="97" t="n">
        <v>60.39497</v>
      </c>
      <c r="AY1086" s="97" t="n">
        <v>99.42197</v>
      </c>
    </row>
    <row r="1087" s="135">
      <c r="A1087" t="inlineStr">
        <is>
          <t>2009-06</t>
        </is>
      </c>
      <c r="B1087" s="2" t="n">
        <v>39965</v>
      </c>
      <c r="C1087" s="96" t="n">
        <v>1087</v>
      </c>
      <c r="E1087" s="2">
        <f>B1087</f>
        <v/>
      </c>
      <c r="F1087" s="3">
        <f>B1087</f>
        <v/>
      </c>
      <c r="G1087" s="96" t="n">
        <v>1085</v>
      </c>
      <c r="H1087" s="97" t="n"/>
      <c r="I1087" s="97" t="n"/>
      <c r="J1087" s="97" t="n">
        <v>86.99275</v>
      </c>
      <c r="K1087" s="97" t="n">
        <v>83.06879000000001</v>
      </c>
      <c r="L1087" s="97" t="n"/>
      <c r="M1087" s="97" t="n">
        <v>80.68655</v>
      </c>
      <c r="N1087" s="97" t="n">
        <v>80.29331000000001</v>
      </c>
      <c r="O1087" s="97" t="n">
        <v>97.3</v>
      </c>
      <c r="P1087" s="97" t="n">
        <v>103.8681</v>
      </c>
      <c r="Q1087" s="97" t="n"/>
      <c r="R1087" s="97" t="n">
        <v>100</v>
      </c>
      <c r="S1087" s="97" t="n">
        <v>95.39079</v>
      </c>
      <c r="T1087" s="97" t="n">
        <v>98.21768</v>
      </c>
      <c r="U1087" s="97" t="n">
        <v>123.3561</v>
      </c>
      <c r="V1087" s="97" t="n">
        <v>74.30619</v>
      </c>
      <c r="W1087" s="97" t="n">
        <v>61.48207</v>
      </c>
      <c r="X1087" s="97" t="n">
        <v>68.64302000000001</v>
      </c>
      <c r="Y1087" s="97" t="n">
        <v>84.12178</v>
      </c>
      <c r="Z1087" s="97" t="n">
        <v>98.79177</v>
      </c>
      <c r="AA1087" s="97" t="n">
        <v>88.37324</v>
      </c>
      <c r="AB1087" s="97" t="n">
        <v>80.24930999999999</v>
      </c>
      <c r="AC1087" s="97" t="n">
        <v>91.39239000000001</v>
      </c>
      <c r="AD1087" s="97" t="n">
        <v>74.3</v>
      </c>
      <c r="AE1087" s="97" t="n">
        <v>94.60437</v>
      </c>
      <c r="AF1087" s="97" t="n">
        <v>97.09191</v>
      </c>
      <c r="AG1087" s="97" t="n">
        <v>106.7106</v>
      </c>
      <c r="AH1087" s="97" t="n">
        <v>85.17104</v>
      </c>
      <c r="AI1087" s="97" t="n">
        <v>74.7</v>
      </c>
      <c r="AJ1087" s="97" t="n">
        <v>100.3541</v>
      </c>
      <c r="AK1087" s="97" t="n">
        <v>70.81180999999999</v>
      </c>
      <c r="AL1087" s="97" t="n">
        <v>84.80707</v>
      </c>
      <c r="AM1087" s="97" t="n">
        <v>92.7</v>
      </c>
      <c r="AN1087" s="97" t="n"/>
      <c r="AO1087" s="97" t="n">
        <v>83.6356</v>
      </c>
      <c r="AP1087" s="97" t="n">
        <v>89.28512000000001</v>
      </c>
      <c r="AQ1087" s="97" t="n"/>
      <c r="AR1087" s="97" t="n"/>
      <c r="AS1087" s="97" t="n"/>
      <c r="AT1087" s="97" t="n">
        <v>79.56994</v>
      </c>
      <c r="AU1087" s="97" t="n"/>
      <c r="AV1087" s="97" t="n">
        <v>77.8</v>
      </c>
      <c r="AW1087" s="97" t="n"/>
      <c r="AX1087" s="97" t="n">
        <v>62.09483</v>
      </c>
      <c r="AY1087" s="97" t="n">
        <v>100.7432</v>
      </c>
    </row>
    <row r="1088" s="135">
      <c r="A1088" t="inlineStr">
        <is>
          <t>2009-07</t>
        </is>
      </c>
      <c r="B1088" s="2" t="n">
        <v>39995</v>
      </c>
      <c r="C1088" s="96" t="n">
        <v>1088</v>
      </c>
      <c r="E1088" s="2">
        <f>B1088</f>
        <v/>
      </c>
      <c r="F1088" s="3">
        <f>B1088</f>
        <v/>
      </c>
      <c r="G1088" s="96" t="n">
        <v>1086</v>
      </c>
      <c r="H1088" s="97" t="n"/>
      <c r="I1088" s="97" t="n"/>
      <c r="J1088" s="97" t="n">
        <v>86.49279</v>
      </c>
      <c r="K1088" s="97" t="n">
        <v>83.16055</v>
      </c>
      <c r="L1088" s="97" t="n"/>
      <c r="M1088" s="97" t="n">
        <v>78.78686999999999</v>
      </c>
      <c r="N1088" s="97" t="n">
        <v>79.49338</v>
      </c>
      <c r="O1088" s="97" t="n">
        <v>96.40000000000001</v>
      </c>
      <c r="P1088" s="97" t="n">
        <v>104.7851</v>
      </c>
      <c r="Q1088" s="97" t="n"/>
      <c r="R1088" s="97" t="n">
        <v>101.1</v>
      </c>
      <c r="S1088" s="97" t="n">
        <v>95.01079</v>
      </c>
      <c r="T1088" s="97" t="n">
        <v>99.46357999999999</v>
      </c>
      <c r="U1088" s="97" t="n">
        <v>124.4548</v>
      </c>
      <c r="V1088" s="97" t="n">
        <v>74.00615999999999</v>
      </c>
      <c r="W1088" s="97" t="n">
        <v>60.88805</v>
      </c>
      <c r="X1088" s="97" t="n">
        <v>72.10715999999999</v>
      </c>
      <c r="Y1088" s="97" t="n">
        <v>79.62529000000001</v>
      </c>
      <c r="Z1088" s="97" t="n">
        <v>100.8916</v>
      </c>
      <c r="AA1088" s="97" t="n">
        <v>89.39964000000001</v>
      </c>
      <c r="AB1088" s="97" t="n">
        <v>82.15215000000001</v>
      </c>
      <c r="AC1088" s="97" t="n">
        <v>92.49229</v>
      </c>
      <c r="AD1088" s="97" t="n">
        <v>72.40000000000001</v>
      </c>
      <c r="AE1088" s="97" t="n">
        <v>95.86393</v>
      </c>
      <c r="AF1088" s="97" t="n">
        <v>99.19173000000001</v>
      </c>
      <c r="AG1088" s="97" t="n">
        <v>107.4088</v>
      </c>
      <c r="AH1088" s="97" t="n">
        <v>85.95312</v>
      </c>
      <c r="AI1088" s="97" t="n">
        <v>74.59999999999999</v>
      </c>
      <c r="AJ1088" s="97" t="n">
        <v>104.3655</v>
      </c>
      <c r="AK1088" s="97" t="n">
        <v>72.21204</v>
      </c>
      <c r="AL1088" s="97" t="n">
        <v>84.00700000000001</v>
      </c>
      <c r="AM1088" s="97" t="n">
        <v>92.3</v>
      </c>
      <c r="AN1088" s="97" t="n"/>
      <c r="AO1088" s="97" t="n">
        <v>84.55586</v>
      </c>
      <c r="AP1088" s="97" t="n">
        <v>89.38509999999999</v>
      </c>
      <c r="AQ1088" s="97" t="n"/>
      <c r="AR1088" s="97" t="n"/>
      <c r="AS1088" s="97" t="n"/>
      <c r="AT1088" s="97" t="n">
        <v>80.43243</v>
      </c>
      <c r="AU1088" s="97" t="n"/>
      <c r="AV1088" s="97" t="n">
        <v>79</v>
      </c>
      <c r="AW1088" s="97" t="n"/>
      <c r="AX1088" s="97" t="n">
        <v>63.19473</v>
      </c>
      <c r="AY1088" s="97" t="n">
        <v>101.9543</v>
      </c>
    </row>
    <row r="1089" s="135">
      <c r="A1089" t="inlineStr">
        <is>
          <t>2009-08</t>
        </is>
      </c>
      <c r="B1089" s="2" t="n">
        <v>40026</v>
      </c>
      <c r="C1089" s="96" t="n">
        <v>1089</v>
      </c>
      <c r="E1089" s="2">
        <f>B1089</f>
        <v/>
      </c>
      <c r="F1089" s="3">
        <f>B1089</f>
        <v/>
      </c>
      <c r="G1089" s="96" t="n">
        <v>1087</v>
      </c>
      <c r="H1089" s="97" t="n"/>
      <c r="I1089" s="97" t="n"/>
      <c r="J1089" s="97" t="n">
        <v>90.69244</v>
      </c>
      <c r="K1089" s="97" t="n">
        <v>82.91202</v>
      </c>
      <c r="L1089" s="97" t="n"/>
      <c r="M1089" s="97" t="n">
        <v>81.38643999999999</v>
      </c>
      <c r="N1089" s="97" t="n">
        <v>80.49329</v>
      </c>
      <c r="O1089" s="97" t="n">
        <v>97</v>
      </c>
      <c r="P1089" s="97" t="n">
        <v>104.9461</v>
      </c>
      <c r="Q1089" s="97" t="n"/>
      <c r="R1089" s="97" t="n">
        <v>101.7</v>
      </c>
      <c r="S1089" s="97" t="n">
        <v>96.60081</v>
      </c>
      <c r="T1089" s="97" t="n">
        <v>96.97179</v>
      </c>
      <c r="U1089" s="97" t="n">
        <v>119.0611</v>
      </c>
      <c r="V1089" s="97" t="n">
        <v>73.70614</v>
      </c>
      <c r="W1089" s="97" t="n">
        <v>54.35372</v>
      </c>
      <c r="X1089" s="97" t="n">
        <v>76.86978999999999</v>
      </c>
      <c r="Y1089" s="97" t="n">
        <v>85.71429000000001</v>
      </c>
      <c r="Z1089" s="97" t="n">
        <v>98.59178</v>
      </c>
      <c r="AA1089" s="97" t="n">
        <v>90.73396</v>
      </c>
      <c r="AB1089" s="97" t="n">
        <v>83.02007999999999</v>
      </c>
      <c r="AC1089" s="97" t="n">
        <v>95.09208</v>
      </c>
      <c r="AD1089" s="97" t="n">
        <v>73.40000000000001</v>
      </c>
      <c r="AE1089" s="97" t="n">
        <v>94.91397000000001</v>
      </c>
      <c r="AF1089" s="97" t="n">
        <v>98.29181</v>
      </c>
      <c r="AG1089" s="97" t="n">
        <v>107.6416</v>
      </c>
      <c r="AH1089" s="97" t="n">
        <v>86.46669</v>
      </c>
      <c r="AI1089" s="97" t="n">
        <v>75.09999999999999</v>
      </c>
      <c r="AJ1089" s="97" t="n">
        <v>102.0861</v>
      </c>
      <c r="AK1089" s="97" t="n">
        <v>76.71278</v>
      </c>
      <c r="AL1089" s="97" t="n">
        <v>87.40729</v>
      </c>
      <c r="AM1089" s="97" t="n">
        <v>93.59999999999999</v>
      </c>
      <c r="AN1089" s="97" t="n"/>
      <c r="AO1089" s="97" t="n">
        <v>85.50360000000001</v>
      </c>
      <c r="AP1089" s="97" t="n">
        <v>89.38509999999999</v>
      </c>
      <c r="AQ1089" s="97" t="n"/>
      <c r="AR1089" s="97" t="n"/>
      <c r="AS1089" s="97" t="n"/>
      <c r="AT1089" s="97" t="n">
        <v>84.56417</v>
      </c>
      <c r="AU1089" s="97" t="n"/>
      <c r="AV1089" s="97" t="n">
        <v>78.5</v>
      </c>
      <c r="AW1089" s="97" t="n"/>
      <c r="AX1089" s="97" t="n">
        <v>62.3948</v>
      </c>
      <c r="AY1089" s="97" t="n">
        <v>103.4957</v>
      </c>
    </row>
    <row r="1090" s="135">
      <c r="A1090" t="inlineStr">
        <is>
          <t>2009-09</t>
        </is>
      </c>
      <c r="B1090" s="2" t="n">
        <v>40057</v>
      </c>
      <c r="C1090" s="96" t="n">
        <v>1090</v>
      </c>
      <c r="E1090" s="2">
        <f>B1090</f>
        <v/>
      </c>
      <c r="F1090" s="3">
        <f>B1090</f>
        <v/>
      </c>
      <c r="G1090" s="96" t="n">
        <v>1088</v>
      </c>
      <c r="H1090" s="97" t="n"/>
      <c r="I1090" s="97" t="n"/>
      <c r="J1090" s="97" t="n">
        <v>89.09258</v>
      </c>
      <c r="K1090" s="97" t="n">
        <v>84.33475</v>
      </c>
      <c r="L1090" s="97" t="n"/>
      <c r="M1090" s="97" t="n">
        <v>81.48642</v>
      </c>
      <c r="N1090" s="97" t="n">
        <v>84.09299</v>
      </c>
      <c r="O1090" s="97" t="n">
        <v>93.7</v>
      </c>
      <c r="P1090" s="97" t="n">
        <v>106.0161</v>
      </c>
      <c r="Q1090" s="97" t="n"/>
      <c r="R1090" s="97" t="n">
        <v>99.90000000000001</v>
      </c>
      <c r="S1090" s="97" t="n">
        <v>97.09081</v>
      </c>
      <c r="T1090" s="97" t="n">
        <v>98.11386</v>
      </c>
      <c r="U1090" s="97" t="n">
        <v>123.2562</v>
      </c>
      <c r="V1090" s="97" t="n">
        <v>75.70631</v>
      </c>
      <c r="W1090" s="97" t="n">
        <v>59.52178</v>
      </c>
      <c r="X1090" s="97" t="n">
        <v>76.00539000000001</v>
      </c>
      <c r="Y1090" s="97" t="n">
        <v>86.27634</v>
      </c>
      <c r="Z1090" s="97" t="n">
        <v>101.5915</v>
      </c>
      <c r="AA1090" s="97" t="n">
        <v>93.50525</v>
      </c>
      <c r="AB1090" s="97" t="n">
        <v>86.10683</v>
      </c>
      <c r="AC1090" s="97" t="n">
        <v>105.3912</v>
      </c>
      <c r="AD1090" s="97" t="n">
        <v>72.5</v>
      </c>
      <c r="AE1090" s="97" t="n">
        <v>95.21437</v>
      </c>
      <c r="AF1090" s="97" t="n">
        <v>97.69186000000001</v>
      </c>
      <c r="AG1090" s="97" t="n">
        <v>110.2017</v>
      </c>
      <c r="AH1090" s="97" t="n">
        <v>87.89306999999999</v>
      </c>
      <c r="AI1090" s="97" t="n">
        <v>76</v>
      </c>
      <c r="AJ1090" s="97" t="n">
        <v>105.5098</v>
      </c>
      <c r="AK1090" s="97" t="n">
        <v>75.91265</v>
      </c>
      <c r="AL1090" s="97" t="n">
        <v>89.60747000000001</v>
      </c>
      <c r="AM1090" s="97" t="n">
        <v>95</v>
      </c>
      <c r="AN1090" s="97" t="n"/>
      <c r="AO1090" s="97" t="n">
        <v>86.1506</v>
      </c>
      <c r="AP1090" s="97" t="n">
        <v>91.58474</v>
      </c>
      <c r="AQ1090" s="97" t="n"/>
      <c r="AR1090" s="97" t="n"/>
      <c r="AS1090" s="97" t="n"/>
      <c r="AT1090" s="97" t="n">
        <v>83.59209</v>
      </c>
      <c r="AU1090" s="97" t="n"/>
      <c r="AV1090" s="97" t="n">
        <v>79.59999999999999</v>
      </c>
      <c r="AW1090" s="97" t="n"/>
      <c r="AX1090" s="97" t="n">
        <v>63.09474</v>
      </c>
      <c r="AY1090" s="97" t="n">
        <v>105.2574</v>
      </c>
    </row>
    <row r="1091" s="135">
      <c r="A1091" t="inlineStr">
        <is>
          <t>2009-10</t>
        </is>
      </c>
      <c r="B1091" s="2" t="n">
        <v>40087</v>
      </c>
      <c r="C1091" s="96" t="n">
        <v>1091</v>
      </c>
      <c r="E1091" s="2">
        <f>B1091</f>
        <v/>
      </c>
      <c r="F1091" s="3">
        <f>B1091</f>
        <v/>
      </c>
      <c r="G1091" s="96" t="n">
        <v>1089</v>
      </c>
      <c r="H1091" s="97" t="n"/>
      <c r="I1091" s="97" t="n"/>
      <c r="J1091" s="97" t="n">
        <v>89.89251</v>
      </c>
      <c r="K1091" s="97" t="n">
        <v>84.33848999999999</v>
      </c>
      <c r="L1091" s="97" t="n"/>
      <c r="M1091" s="97" t="n">
        <v>82.38627</v>
      </c>
      <c r="N1091" s="97" t="n">
        <v>82.29313999999999</v>
      </c>
      <c r="O1091" s="97" t="n">
        <v>93.59999999999999</v>
      </c>
      <c r="P1091" s="97" t="n">
        <v>105.1631</v>
      </c>
      <c r="Q1091" s="97" t="n"/>
      <c r="R1091" s="97" t="n">
        <v>101.2</v>
      </c>
      <c r="S1091" s="97" t="n">
        <v>96.4408</v>
      </c>
      <c r="T1091" s="97" t="n">
        <v>98.52916</v>
      </c>
      <c r="U1091" s="97" t="n">
        <v>120.4595</v>
      </c>
      <c r="V1091" s="97" t="n">
        <v>77.80647999999999</v>
      </c>
      <c r="W1091" s="97" t="n">
        <v>59.64058</v>
      </c>
      <c r="X1091" s="97" t="n">
        <v>75.8806</v>
      </c>
      <c r="Y1091" s="97" t="n">
        <v>88.43092</v>
      </c>
      <c r="Z1091" s="97" t="n">
        <v>103.1914</v>
      </c>
      <c r="AA1091" s="97" t="n">
        <v>96.07125000000001</v>
      </c>
      <c r="AB1091" s="97" t="n">
        <v>84.60495</v>
      </c>
      <c r="AC1091" s="97" t="n">
        <v>97.79185</v>
      </c>
      <c r="AD1091" s="97" t="n">
        <v>73.7</v>
      </c>
      <c r="AE1091" s="97" t="n">
        <v>96.10172</v>
      </c>
      <c r="AF1091" s="97" t="n">
        <v>99.6917</v>
      </c>
      <c r="AG1091" s="97" t="n">
        <v>107.8743</v>
      </c>
      <c r="AH1091" s="97" t="n">
        <v>88.32644000000001</v>
      </c>
      <c r="AI1091" s="97" t="n">
        <v>76.8</v>
      </c>
      <c r="AJ1091" s="97" t="n">
        <v>105.8902</v>
      </c>
      <c r="AK1091" s="97" t="n">
        <v>74.51242000000001</v>
      </c>
      <c r="AL1091" s="97" t="n">
        <v>86.80723999999999</v>
      </c>
      <c r="AM1091" s="97" t="n">
        <v>94.59999999999999</v>
      </c>
      <c r="AN1091" s="97" t="n"/>
      <c r="AO1091" s="97" t="n">
        <v>86.42636</v>
      </c>
      <c r="AP1091" s="97" t="n">
        <v>91.1848</v>
      </c>
      <c r="AQ1091" s="97" t="n"/>
      <c r="AR1091" s="97" t="n"/>
      <c r="AS1091" s="97" t="n"/>
      <c r="AT1091" s="97" t="n">
        <v>81.67028999999999</v>
      </c>
      <c r="AU1091" s="97" t="n"/>
      <c r="AV1091" s="97" t="n">
        <v>80.3</v>
      </c>
      <c r="AW1091" s="97" t="n"/>
      <c r="AX1091" s="97" t="n">
        <v>64.29464</v>
      </c>
      <c r="AY1091" s="97" t="n">
        <v>107.2392</v>
      </c>
    </row>
    <row r="1092" s="135">
      <c r="A1092" t="inlineStr">
        <is>
          <t>2009-11</t>
        </is>
      </c>
      <c r="B1092" s="2" t="n">
        <v>40118</v>
      </c>
      <c r="C1092" s="96" t="n">
        <v>1092</v>
      </c>
      <c r="E1092" s="2">
        <f>B1092</f>
        <v/>
      </c>
      <c r="F1092" s="3">
        <f>B1092</f>
        <v/>
      </c>
      <c r="G1092" s="96" t="n">
        <v>1090</v>
      </c>
      <c r="H1092" s="97" t="n"/>
      <c r="I1092" s="97" t="n"/>
      <c r="J1092" s="97" t="n">
        <v>91.49238</v>
      </c>
      <c r="K1092" s="97" t="n">
        <v>85.64645</v>
      </c>
      <c r="L1092" s="97" t="n"/>
      <c r="M1092" s="97" t="n">
        <v>81.08649</v>
      </c>
      <c r="N1092" s="97" t="n">
        <v>83.29306</v>
      </c>
      <c r="O1092" s="97" t="n">
        <v>95.2</v>
      </c>
      <c r="P1092" s="97" t="n">
        <v>104.6491</v>
      </c>
      <c r="Q1092" s="97" t="n"/>
      <c r="R1092" s="97" t="n">
        <v>101</v>
      </c>
      <c r="S1092" s="97" t="n">
        <v>97.38081</v>
      </c>
      <c r="T1092" s="97" t="n">
        <v>99.25593000000001</v>
      </c>
      <c r="U1092" s="97" t="n">
        <v>122.7568</v>
      </c>
      <c r="V1092" s="97" t="n">
        <v>76.50637999999999</v>
      </c>
      <c r="W1092" s="97" t="n">
        <v>56.78924</v>
      </c>
      <c r="X1092" s="97" t="n">
        <v>77.70114</v>
      </c>
      <c r="Y1092" s="97" t="n">
        <v>87.96253</v>
      </c>
      <c r="Z1092" s="97" t="n">
        <v>103.4914</v>
      </c>
      <c r="AA1092" s="97" t="n">
        <v>98.02142000000001</v>
      </c>
      <c r="AB1092" s="97" t="n">
        <v>85.08591</v>
      </c>
      <c r="AC1092" s="97" t="n">
        <v>97.1919</v>
      </c>
      <c r="AD1092" s="97" t="n">
        <v>76.7</v>
      </c>
      <c r="AE1092" s="97" t="n">
        <v>97.70049</v>
      </c>
      <c r="AF1092" s="97" t="n">
        <v>99.29173</v>
      </c>
      <c r="AG1092" s="97" t="n">
        <v>107.8743</v>
      </c>
      <c r="AH1092" s="97" t="n">
        <v>89.07040000000001</v>
      </c>
      <c r="AI1092" s="97" t="n">
        <v>77.90000000000001</v>
      </c>
      <c r="AJ1092" s="97" t="n">
        <v>102.8568</v>
      </c>
      <c r="AK1092" s="97" t="n">
        <v>77.01282999999999</v>
      </c>
      <c r="AL1092" s="97" t="n">
        <v>89.90749</v>
      </c>
      <c r="AM1092" s="97" t="n">
        <v>93.59999999999999</v>
      </c>
      <c r="AN1092" s="97" t="n"/>
      <c r="AO1092" s="97" t="n">
        <v>86.77003000000001</v>
      </c>
      <c r="AP1092" s="97" t="n">
        <v>91.38477</v>
      </c>
      <c r="AQ1092" s="97" t="n"/>
      <c r="AR1092" s="97" t="n"/>
      <c r="AS1092" s="97" t="n"/>
      <c r="AT1092" s="97" t="n">
        <v>84.06004</v>
      </c>
      <c r="AU1092" s="97" t="n"/>
      <c r="AV1092" s="97" t="n">
        <v>80.3</v>
      </c>
      <c r="AW1092" s="97" t="n"/>
      <c r="AX1092" s="97" t="n">
        <v>66.99442000000001</v>
      </c>
      <c r="AY1092" s="97" t="n">
        <v>108.8907</v>
      </c>
    </row>
    <row r="1093" s="135">
      <c r="A1093" t="inlineStr">
        <is>
          <t>2009-12</t>
        </is>
      </c>
      <c r="B1093" s="2" t="n">
        <v>40148</v>
      </c>
      <c r="C1093" s="96" t="n">
        <v>1093</v>
      </c>
      <c r="E1093" s="2">
        <f>B1093</f>
        <v/>
      </c>
      <c r="F1093" s="3">
        <f>B1093</f>
        <v/>
      </c>
      <c r="G1093" s="96" t="n">
        <v>1091</v>
      </c>
      <c r="H1093" s="97" t="n"/>
      <c r="I1093" s="97" t="n"/>
      <c r="J1093" s="97" t="n">
        <v>90.39246</v>
      </c>
      <c r="K1093" s="97" t="n">
        <v>85.14615999999999</v>
      </c>
      <c r="L1093" s="97" t="n"/>
      <c r="M1093" s="97" t="n">
        <v>82.68622000000001</v>
      </c>
      <c r="N1093" s="97" t="n">
        <v>83.29306</v>
      </c>
      <c r="O1093" s="97" t="n">
        <v>89.8</v>
      </c>
      <c r="P1093" s="97" t="n">
        <v>105.6591</v>
      </c>
      <c r="Q1093" s="97" t="n"/>
      <c r="R1093" s="97" t="n">
        <v>102.8</v>
      </c>
      <c r="S1093" s="97" t="n">
        <v>97.08081</v>
      </c>
      <c r="T1093" s="97" t="n">
        <v>99.04828000000001</v>
      </c>
      <c r="U1093" s="97" t="n">
        <v>119.96</v>
      </c>
      <c r="V1093" s="97" t="n">
        <v>75.30627</v>
      </c>
      <c r="W1093" s="97" t="n">
        <v>57.85849</v>
      </c>
      <c r="X1093" s="97" t="n">
        <v>78.44248</v>
      </c>
      <c r="Y1093" s="97" t="n">
        <v>85.15222</v>
      </c>
      <c r="Z1093" s="97" t="n">
        <v>102.0915</v>
      </c>
      <c r="AA1093" s="97" t="n">
        <v>98.84254</v>
      </c>
      <c r="AB1093" s="97" t="n">
        <v>86.3768</v>
      </c>
      <c r="AC1093" s="97" t="n">
        <v>97.89185000000001</v>
      </c>
      <c r="AD1093" s="97" t="n">
        <v>75.8</v>
      </c>
      <c r="AE1093" s="97" t="n">
        <v>97.33547</v>
      </c>
      <c r="AF1093" s="97" t="n">
        <v>100.4916</v>
      </c>
      <c r="AG1093" s="97" t="n">
        <v>107.0597</v>
      </c>
      <c r="AH1093" s="97" t="n">
        <v>89.14632</v>
      </c>
      <c r="AI1093" s="97" t="n">
        <v>76.2</v>
      </c>
      <c r="AJ1093" s="97" t="n">
        <v>105.5476</v>
      </c>
      <c r="AK1093" s="97" t="n">
        <v>81.11351999999999</v>
      </c>
      <c r="AL1093" s="97" t="n">
        <v>87.70731000000001</v>
      </c>
      <c r="AM1093" s="97" t="n">
        <v>94.40000000000001</v>
      </c>
      <c r="AN1093" s="97" t="n"/>
      <c r="AO1093" s="97" t="n">
        <v>87.03484</v>
      </c>
      <c r="AP1093" s="97" t="n">
        <v>91.48475000000001</v>
      </c>
      <c r="AQ1093" s="97" t="n"/>
      <c r="AR1093" s="97" t="n"/>
      <c r="AS1093" s="97" t="n"/>
      <c r="AT1093" s="97" t="n">
        <v>84.24294999999999</v>
      </c>
      <c r="AU1093" s="97" t="n"/>
      <c r="AV1093" s="97" t="n">
        <v>81</v>
      </c>
      <c r="AW1093" s="97" t="n"/>
      <c r="AX1093" s="97" t="n">
        <v>64.19465</v>
      </c>
      <c r="AY1093" s="97" t="n">
        <v>109.1109</v>
      </c>
    </row>
    <row r="1094" s="135">
      <c r="A1094" t="inlineStr">
        <is>
          <t>2010-01</t>
        </is>
      </c>
      <c r="B1094" s="2" t="n">
        <v>40179</v>
      </c>
      <c r="C1094" s="96" t="n">
        <v>1094</v>
      </c>
      <c r="E1094" s="2">
        <f>B1094</f>
        <v/>
      </c>
      <c r="F1094" s="3">
        <f>B1094</f>
        <v/>
      </c>
      <c r="G1094" s="96" t="n">
        <v>1092</v>
      </c>
      <c r="H1094" s="97" t="n"/>
      <c r="I1094" s="97" t="n"/>
      <c r="J1094" s="97" t="n">
        <v>93.59220000000001</v>
      </c>
      <c r="K1094" s="97" t="n">
        <v>86.08466</v>
      </c>
      <c r="L1094" s="97" t="n"/>
      <c r="M1094" s="97" t="n">
        <v>81.98634</v>
      </c>
      <c r="N1094" s="97" t="n">
        <v>84.09299</v>
      </c>
      <c r="O1094" s="97" t="n">
        <v>95.3</v>
      </c>
      <c r="P1094" s="97" t="n">
        <v>104.3121</v>
      </c>
      <c r="Q1094" s="97" t="n"/>
      <c r="R1094" s="97" t="n">
        <v>102.4</v>
      </c>
      <c r="S1094" s="97" t="n">
        <v>98.12081999999999</v>
      </c>
      <c r="T1094" s="97" t="n">
        <v>99.46357999999999</v>
      </c>
      <c r="U1094" s="97" t="n">
        <v>115.9647</v>
      </c>
      <c r="V1094" s="97" t="n">
        <v>78.70656</v>
      </c>
      <c r="W1094" s="97" t="n">
        <v>63.26539</v>
      </c>
      <c r="X1094" s="97" t="n">
        <v>80.40537999999999</v>
      </c>
      <c r="Y1094" s="97" t="n">
        <v>90.39812000000001</v>
      </c>
      <c r="Z1094" s="97" t="n">
        <v>105.6912</v>
      </c>
      <c r="AA1094" s="97" t="n">
        <v>101.1006</v>
      </c>
      <c r="AB1094" s="97" t="n">
        <v>86.60378</v>
      </c>
      <c r="AC1094" s="97" t="n">
        <v>98.19182000000001</v>
      </c>
      <c r="AD1094" s="97" t="n">
        <v>80.40000000000001</v>
      </c>
      <c r="AE1094" s="97" t="n">
        <v>97.95094</v>
      </c>
      <c r="AF1094" s="97" t="n">
        <v>104.5913</v>
      </c>
      <c r="AG1094" s="97" t="n">
        <v>107.1761</v>
      </c>
      <c r="AH1094" s="97" t="n">
        <v>90.2111</v>
      </c>
      <c r="AI1094" s="97" t="n">
        <v>79.40000000000001</v>
      </c>
      <c r="AJ1094" s="97" t="n">
        <v>103.1693</v>
      </c>
      <c r="AK1094" s="97" t="n">
        <v>80.21337</v>
      </c>
      <c r="AL1094" s="97" t="n">
        <v>86.30719000000001</v>
      </c>
      <c r="AM1094" s="97" t="n">
        <v>96.7</v>
      </c>
      <c r="AN1094" s="97" t="n"/>
      <c r="AO1094" s="97" t="n">
        <v>88.04433</v>
      </c>
      <c r="AP1094" s="97" t="n">
        <v>93.08449</v>
      </c>
      <c r="AQ1094" s="97" t="n"/>
      <c r="AR1094" s="97" t="n"/>
      <c r="AS1094" s="97" t="n"/>
      <c r="AT1094" s="97" t="n">
        <v>85.82536</v>
      </c>
      <c r="AU1094" s="97" t="n"/>
      <c r="AV1094" s="97" t="n">
        <v>82</v>
      </c>
      <c r="AW1094" s="97" t="n"/>
      <c r="AX1094" s="97" t="n">
        <v>63.5947</v>
      </c>
      <c r="AY1094" s="97" t="n">
        <v>110.8726</v>
      </c>
    </row>
    <row r="1095" s="135">
      <c r="A1095" t="inlineStr">
        <is>
          <t>2010-02</t>
        </is>
      </c>
      <c r="B1095" s="2" t="n">
        <v>40210</v>
      </c>
      <c r="C1095" s="96" t="n">
        <v>1095</v>
      </c>
      <c r="E1095" s="2">
        <f>B1095</f>
        <v/>
      </c>
      <c r="F1095" s="3">
        <f>B1095</f>
        <v/>
      </c>
      <c r="G1095" s="96" t="n">
        <v>1093</v>
      </c>
      <c r="H1095" s="97" t="n"/>
      <c r="I1095" s="97" t="n"/>
      <c r="J1095" s="97" t="n">
        <v>94.99208</v>
      </c>
      <c r="K1095" s="97" t="n">
        <v>87.21765000000001</v>
      </c>
      <c r="L1095" s="97" t="n"/>
      <c r="M1095" s="97" t="n">
        <v>81.88634999999999</v>
      </c>
      <c r="N1095" s="97" t="n">
        <v>83.29306</v>
      </c>
      <c r="O1095" s="97" t="n">
        <v>96.40000000000001</v>
      </c>
      <c r="P1095" s="97" t="n">
        <v>104.1621</v>
      </c>
      <c r="Q1095" s="97" t="n"/>
      <c r="R1095" s="97" t="n">
        <v>102</v>
      </c>
      <c r="S1095" s="97" t="n">
        <v>97.50081</v>
      </c>
      <c r="T1095" s="97" t="n">
        <v>100.6056</v>
      </c>
      <c r="U1095" s="97" t="n">
        <v>115.8648</v>
      </c>
      <c r="V1095" s="97" t="n">
        <v>77.50646</v>
      </c>
      <c r="W1095" s="97" t="n">
        <v>63.58046</v>
      </c>
      <c r="X1095" s="97" t="n">
        <v>78.94364</v>
      </c>
      <c r="Y1095" s="97" t="n">
        <v>90.11709999999999</v>
      </c>
      <c r="Z1095" s="97" t="n">
        <v>104.6913</v>
      </c>
      <c r="AA1095" s="97" t="n">
        <v>101.4085</v>
      </c>
      <c r="AB1095" s="97" t="n">
        <v>88.85259000000001</v>
      </c>
      <c r="AC1095" s="97" t="n">
        <v>96.79192999999999</v>
      </c>
      <c r="AD1095" s="97" t="n">
        <v>79.3</v>
      </c>
      <c r="AE1095" s="97" t="n">
        <v>98.16974</v>
      </c>
      <c r="AF1095" s="97" t="n">
        <v>103.1914</v>
      </c>
      <c r="AG1095" s="97" t="n">
        <v>106.827</v>
      </c>
      <c r="AH1095" s="97" t="n">
        <v>90.48547000000001</v>
      </c>
      <c r="AI1095" s="97" t="n">
        <v>79.40000000000001</v>
      </c>
      <c r="AJ1095" s="97" t="n">
        <v>102.8657</v>
      </c>
      <c r="AK1095" s="97" t="n">
        <v>77.41289999999999</v>
      </c>
      <c r="AL1095" s="97" t="n">
        <v>89.10742</v>
      </c>
      <c r="AM1095" s="97" t="n">
        <v>95.40000000000001</v>
      </c>
      <c r="AN1095" s="97" t="n"/>
      <c r="AO1095" s="97" t="n">
        <v>88.36111</v>
      </c>
      <c r="AP1095" s="97" t="n">
        <v>92.58457</v>
      </c>
      <c r="AQ1095" s="97" t="n"/>
      <c r="AR1095" s="97" t="n"/>
      <c r="AS1095" s="97" t="n"/>
      <c r="AT1095" s="97" t="n">
        <v>86.7017</v>
      </c>
      <c r="AU1095" s="97" t="n"/>
      <c r="AV1095" s="97" t="n">
        <v>82.2</v>
      </c>
      <c r="AW1095" s="97" t="n"/>
      <c r="AX1095" s="97" t="n">
        <v>65.09457</v>
      </c>
      <c r="AY1095" s="97" t="n">
        <v>110.6524</v>
      </c>
    </row>
    <row r="1096" s="135">
      <c r="A1096" t="inlineStr">
        <is>
          <t>2010-03</t>
        </is>
      </c>
      <c r="B1096" s="2" t="n">
        <v>40238</v>
      </c>
      <c r="C1096" s="96" t="n">
        <v>1096</v>
      </c>
      <c r="E1096" s="2">
        <f>B1096</f>
        <v/>
      </c>
      <c r="F1096" s="3">
        <f>B1096</f>
        <v/>
      </c>
      <c r="G1096" s="96" t="n">
        <v>1094</v>
      </c>
      <c r="H1096" s="97" t="n"/>
      <c r="I1096" s="97" t="n"/>
      <c r="J1096" s="97" t="n">
        <v>94.89209</v>
      </c>
      <c r="K1096" s="97" t="n">
        <v>88.33540000000001</v>
      </c>
      <c r="L1096" s="97" t="n"/>
      <c r="M1096" s="97" t="n">
        <v>84.78587</v>
      </c>
      <c r="N1096" s="97" t="n">
        <v>86.09283000000001</v>
      </c>
      <c r="O1096" s="97" t="n">
        <v>98.2</v>
      </c>
      <c r="P1096" s="97" t="n">
        <v>106.8911</v>
      </c>
      <c r="Q1096" s="97" t="n"/>
      <c r="R1096" s="97" t="n">
        <v>103.2</v>
      </c>
      <c r="S1096" s="97" t="n">
        <v>99.42083</v>
      </c>
      <c r="T1096" s="97" t="n">
        <v>102.163</v>
      </c>
      <c r="U1096" s="97" t="n">
        <v>117.8625</v>
      </c>
      <c r="V1096" s="97" t="n">
        <v>77.90649000000001</v>
      </c>
      <c r="W1096" s="97" t="n">
        <v>65.53386999999999</v>
      </c>
      <c r="X1096" s="97" t="n">
        <v>81.31588000000001</v>
      </c>
      <c r="Y1096" s="97" t="n">
        <v>91.99063</v>
      </c>
      <c r="Z1096" s="97" t="n">
        <v>105.2912</v>
      </c>
      <c r="AA1096" s="97" t="n">
        <v>101.7165</v>
      </c>
      <c r="AB1096" s="97" t="n">
        <v>89.85352</v>
      </c>
      <c r="AC1096" s="97" t="n">
        <v>102.3915</v>
      </c>
      <c r="AD1096" s="97" t="n">
        <v>80</v>
      </c>
      <c r="AE1096" s="97" t="n">
        <v>98.98398</v>
      </c>
      <c r="AF1096" s="97" t="n">
        <v>104.8913</v>
      </c>
      <c r="AG1096" s="97" t="n">
        <v>105.6633</v>
      </c>
      <c r="AH1096" s="97" t="n">
        <v>91.48889</v>
      </c>
      <c r="AI1096" s="97" t="n">
        <v>81.8</v>
      </c>
      <c r="AJ1096" s="97" t="n">
        <v>105.1655</v>
      </c>
      <c r="AK1096" s="97" t="n">
        <v>81.51358999999999</v>
      </c>
      <c r="AL1096" s="97" t="n">
        <v>90.70756</v>
      </c>
      <c r="AM1096" s="97" t="n">
        <v>98.40000000000001</v>
      </c>
      <c r="AN1096" s="97" t="n"/>
      <c r="AO1096" s="97" t="n">
        <v>88.94251</v>
      </c>
      <c r="AP1096" s="97" t="n">
        <v>94.28429</v>
      </c>
      <c r="AQ1096" s="97" t="n"/>
      <c r="AR1096" s="97" t="n"/>
      <c r="AS1096" s="97" t="n"/>
      <c r="AT1096" s="97" t="n">
        <v>86.59909</v>
      </c>
      <c r="AU1096" s="97" t="n"/>
      <c r="AV1096" s="97" t="n">
        <v>83.3</v>
      </c>
      <c r="AW1096" s="97" t="n"/>
      <c r="AX1096" s="97" t="n">
        <v>66.29447</v>
      </c>
      <c r="AY1096" s="97" t="n">
        <v>113.4049</v>
      </c>
    </row>
    <row r="1097" s="135">
      <c r="A1097" t="inlineStr">
        <is>
          <t>2010-04</t>
        </is>
      </c>
      <c r="B1097" s="2" t="n">
        <v>40269</v>
      </c>
      <c r="C1097" s="96" t="n">
        <v>1097</v>
      </c>
      <c r="E1097" s="2">
        <f>B1097</f>
        <v/>
      </c>
      <c r="F1097" s="3">
        <f>B1097</f>
        <v/>
      </c>
      <c r="G1097" s="96" t="n">
        <v>1095</v>
      </c>
      <c r="H1097" s="97" t="n"/>
      <c r="I1097" s="97" t="n"/>
      <c r="J1097" s="97" t="n">
        <v>94.39214</v>
      </c>
      <c r="K1097" s="97" t="n">
        <v>88.16204</v>
      </c>
      <c r="L1097" s="97" t="n"/>
      <c r="M1097" s="97" t="n">
        <v>85.78570999999999</v>
      </c>
      <c r="N1097" s="97" t="n">
        <v>87.6927</v>
      </c>
      <c r="O1097" s="97" t="n">
        <v>100</v>
      </c>
      <c r="P1097" s="97" t="n">
        <v>106.8481</v>
      </c>
      <c r="Q1097" s="97" t="n"/>
      <c r="R1097" s="97" t="n">
        <v>102.3</v>
      </c>
      <c r="S1097" s="97" t="n">
        <v>99.04082</v>
      </c>
      <c r="T1097" s="97" t="n">
        <v>102.163</v>
      </c>
      <c r="U1097" s="97" t="n">
        <v>114.3666</v>
      </c>
      <c r="V1097" s="97" t="n">
        <v>79.30661000000001</v>
      </c>
      <c r="W1097" s="97" t="n">
        <v>61.05993</v>
      </c>
      <c r="X1097" s="97" t="n">
        <v>83.64945</v>
      </c>
      <c r="Y1097" s="97" t="n">
        <v>94.80092999999999</v>
      </c>
      <c r="Z1097" s="97" t="n">
        <v>106.0912</v>
      </c>
      <c r="AA1097" s="97" t="n">
        <v>102.9481</v>
      </c>
      <c r="AB1097" s="97" t="n">
        <v>91.52837</v>
      </c>
      <c r="AC1097" s="97" t="n">
        <v>101.8915</v>
      </c>
      <c r="AD1097" s="97" t="n">
        <v>82.40000000000001</v>
      </c>
      <c r="AE1097" s="97" t="n">
        <v>99.78957</v>
      </c>
      <c r="AF1097" s="97" t="n">
        <v>104.8913</v>
      </c>
      <c r="AG1097" s="97" t="n">
        <v>104.8487</v>
      </c>
      <c r="AH1097" s="97" t="n">
        <v>92.0243</v>
      </c>
      <c r="AI1097" s="97" t="n">
        <v>80.3</v>
      </c>
      <c r="AJ1097" s="97" t="n">
        <v>102.9721</v>
      </c>
      <c r="AK1097" s="97" t="n">
        <v>82.2137</v>
      </c>
      <c r="AL1097" s="97" t="n">
        <v>90.00749999999999</v>
      </c>
      <c r="AM1097" s="97" t="n">
        <v>99.90000000000001</v>
      </c>
      <c r="AN1097" s="97" t="n"/>
      <c r="AO1097" s="97" t="n">
        <v>89.27321999999999</v>
      </c>
      <c r="AP1097" s="97" t="n">
        <v>94.7842</v>
      </c>
      <c r="AQ1097" s="97" t="n"/>
      <c r="AR1097" s="97" t="n"/>
      <c r="AS1097" s="97" t="n"/>
      <c r="AT1097" s="97" t="n">
        <v>88.01034</v>
      </c>
      <c r="AU1097" s="97" t="n"/>
      <c r="AV1097" s="97" t="n">
        <v>82.59999999999999</v>
      </c>
      <c r="AW1097" s="97" t="n"/>
      <c r="AX1097" s="97" t="n">
        <v>66.99442000000001</v>
      </c>
      <c r="AY1097" s="97" t="n">
        <v>113.515</v>
      </c>
    </row>
    <row r="1098" s="135">
      <c r="A1098" t="inlineStr">
        <is>
          <t>2010-05</t>
        </is>
      </c>
      <c r="B1098" s="2" t="n">
        <v>40299</v>
      </c>
      <c r="C1098" s="96" t="n">
        <v>1098</v>
      </c>
      <c r="E1098" s="2">
        <f>B1098</f>
        <v/>
      </c>
      <c r="F1098" s="3">
        <f>B1098</f>
        <v/>
      </c>
      <c r="G1098" s="96" t="n">
        <v>1096</v>
      </c>
      <c r="H1098" s="97" t="n"/>
      <c r="I1098" s="97" t="n"/>
      <c r="J1098" s="97" t="n">
        <v>96.59195</v>
      </c>
      <c r="K1098" s="97" t="n">
        <v>90.34723</v>
      </c>
      <c r="L1098" s="97" t="n"/>
      <c r="M1098" s="97" t="n">
        <v>84.78587</v>
      </c>
      <c r="N1098" s="97" t="n">
        <v>90.39246</v>
      </c>
      <c r="O1098" s="97" t="n">
        <v>99.8</v>
      </c>
      <c r="P1098" s="97" t="n">
        <v>106.0281</v>
      </c>
      <c r="Q1098" s="97" t="n"/>
      <c r="R1098" s="97" t="n">
        <v>105.9</v>
      </c>
      <c r="S1098" s="97" t="n">
        <v>99.84084</v>
      </c>
      <c r="T1098" s="97" t="n">
        <v>102.0592</v>
      </c>
      <c r="U1098" s="97" t="n">
        <v>116.1645</v>
      </c>
      <c r="V1098" s="97" t="n">
        <v>83.50696000000001</v>
      </c>
      <c r="W1098" s="97" t="n">
        <v>62.06814</v>
      </c>
      <c r="X1098" s="97" t="n">
        <v>82.26067999999999</v>
      </c>
      <c r="Y1098" s="97" t="n">
        <v>95.64403</v>
      </c>
      <c r="Z1098" s="97" t="n">
        <v>106.5911</v>
      </c>
      <c r="AA1098" s="97" t="n">
        <v>102.5376</v>
      </c>
      <c r="AB1098" s="97" t="n">
        <v>92.63827999999999</v>
      </c>
      <c r="AC1098" s="97" t="n">
        <v>102.4915</v>
      </c>
      <c r="AD1098" s="97" t="n">
        <v>82.3</v>
      </c>
      <c r="AE1098" s="97" t="n">
        <v>99.70415</v>
      </c>
      <c r="AF1098" s="97" t="n">
        <v>109.7908</v>
      </c>
      <c r="AG1098" s="97" t="n">
        <v>104.8487</v>
      </c>
      <c r="AH1098" s="97" t="n">
        <v>93.08118</v>
      </c>
      <c r="AI1098" s="97" t="n">
        <v>83.5</v>
      </c>
      <c r="AJ1098" s="97" t="n">
        <v>103.6229</v>
      </c>
      <c r="AK1098" s="97" t="n">
        <v>81.91365</v>
      </c>
      <c r="AL1098" s="97" t="n">
        <v>93.10776</v>
      </c>
      <c r="AM1098" s="97" t="n">
        <v>102.4</v>
      </c>
      <c r="AN1098" s="97" t="n"/>
      <c r="AO1098" s="97" t="n">
        <v>90.57576</v>
      </c>
      <c r="AP1098" s="97" t="n">
        <v>96.48392</v>
      </c>
      <c r="AQ1098" s="97" t="n"/>
      <c r="AR1098" s="97" t="n"/>
      <c r="AS1098" s="97" t="n"/>
      <c r="AT1098" s="97" t="n">
        <v>85.62409</v>
      </c>
      <c r="AU1098" s="97" t="n"/>
      <c r="AV1098" s="97" t="n">
        <v>82.7</v>
      </c>
      <c r="AW1098" s="97" t="n"/>
      <c r="AX1098" s="97" t="n">
        <v>68.89426</v>
      </c>
      <c r="AY1098" s="97" t="n">
        <v>113.4049</v>
      </c>
    </row>
    <row r="1099" s="135">
      <c r="A1099" t="inlineStr">
        <is>
          <t>2010-06</t>
        </is>
      </c>
      <c r="B1099" s="2" t="n">
        <v>40330</v>
      </c>
      <c r="C1099" s="96" t="n">
        <v>1099</v>
      </c>
      <c r="E1099" s="2">
        <f>B1099</f>
        <v/>
      </c>
      <c r="F1099" s="3">
        <f>B1099</f>
        <v/>
      </c>
      <c r="G1099" s="96" t="n">
        <v>1097</v>
      </c>
      <c r="H1099" s="97" t="n"/>
      <c r="I1099" s="97" t="n"/>
      <c r="J1099" s="97" t="n">
        <v>97.59187</v>
      </c>
      <c r="K1099" s="97" t="n">
        <v>90.92831</v>
      </c>
      <c r="L1099" s="97" t="n"/>
      <c r="M1099" s="97" t="n">
        <v>86.68555000000001</v>
      </c>
      <c r="N1099" s="97" t="n">
        <v>90.09249</v>
      </c>
      <c r="O1099" s="97" t="n">
        <v>99.5</v>
      </c>
      <c r="P1099" s="97" t="n">
        <v>106.5191</v>
      </c>
      <c r="Q1099" s="97" t="n"/>
      <c r="R1099" s="97" t="n">
        <v>114.5</v>
      </c>
      <c r="S1099" s="97" t="n">
        <v>99.42083</v>
      </c>
      <c r="T1099" s="97" t="n">
        <v>101.0209</v>
      </c>
      <c r="U1099" s="97" t="n">
        <v>116.1645</v>
      </c>
      <c r="V1099" s="97" t="n">
        <v>83.40694999999999</v>
      </c>
      <c r="W1099" s="97" t="n">
        <v>64.08456</v>
      </c>
      <c r="X1099" s="97" t="n">
        <v>82.46643</v>
      </c>
      <c r="Y1099" s="97" t="n">
        <v>96.01873999999999</v>
      </c>
      <c r="Z1099" s="97" t="n">
        <v>109.0909</v>
      </c>
      <c r="AA1099" s="97" t="n">
        <v>101.9217</v>
      </c>
      <c r="AB1099" s="97" t="n">
        <v>92.99424999999999</v>
      </c>
      <c r="AC1099" s="97" t="n">
        <v>104.2913</v>
      </c>
      <c r="AD1099" s="97" t="n">
        <v>83.3</v>
      </c>
      <c r="AE1099" s="97" t="n">
        <v>99.73921</v>
      </c>
      <c r="AF1099" s="97" t="n">
        <v>103.3914</v>
      </c>
      <c r="AG1099" s="97" t="n">
        <v>102.0559</v>
      </c>
      <c r="AH1099" s="97" t="n">
        <v>93.24720000000001</v>
      </c>
      <c r="AI1099" s="97" t="n">
        <v>85.3</v>
      </c>
      <c r="AJ1099" s="97" t="n">
        <v>104.0528</v>
      </c>
      <c r="AK1099" s="97" t="n">
        <v>81.61360000000001</v>
      </c>
      <c r="AL1099" s="97" t="n">
        <v>93.00775</v>
      </c>
      <c r="AM1099" s="97" t="n">
        <v>104.6</v>
      </c>
      <c r="AN1099" s="97" t="n"/>
      <c r="AO1099" s="97" t="n">
        <v>90.71024</v>
      </c>
      <c r="AP1099" s="97" t="n">
        <v>96.5839</v>
      </c>
      <c r="AQ1099" s="97" t="n"/>
      <c r="AR1099" s="97" t="n"/>
      <c r="AS1099" s="97" t="n"/>
      <c r="AT1099" s="97" t="n">
        <v>85.45618</v>
      </c>
      <c r="AU1099" s="97" t="n"/>
      <c r="AV1099" s="97" t="n">
        <v>83.09999999999999</v>
      </c>
      <c r="AW1099" s="97" t="n"/>
      <c r="AX1099" s="97" t="n">
        <v>69.29423</v>
      </c>
      <c r="AY1099" s="97" t="n">
        <v>112.7443</v>
      </c>
    </row>
    <row r="1100" s="135">
      <c r="A1100" t="inlineStr">
        <is>
          <t>2010-07</t>
        </is>
      </c>
      <c r="B1100" s="2" t="n">
        <v>40360</v>
      </c>
      <c r="C1100" s="96" t="n">
        <v>1100</v>
      </c>
      <c r="E1100" s="2">
        <f>B1100</f>
        <v/>
      </c>
      <c r="F1100" s="3">
        <f>B1100</f>
        <v/>
      </c>
      <c r="G1100" s="96" t="n">
        <v>1098</v>
      </c>
      <c r="H1100" s="97" t="n"/>
      <c r="I1100" s="97" t="n"/>
      <c r="J1100" s="97" t="n">
        <v>97.99184</v>
      </c>
      <c r="K1100" s="97" t="n">
        <v>90.95827</v>
      </c>
      <c r="L1100" s="97" t="n"/>
      <c r="M1100" s="97" t="n">
        <v>87.08548999999999</v>
      </c>
      <c r="N1100" s="97" t="n">
        <v>89.49254999999999</v>
      </c>
      <c r="O1100" s="97" t="n">
        <v>99.59999999999999</v>
      </c>
      <c r="P1100" s="97" t="n">
        <v>105.1951</v>
      </c>
      <c r="Q1100" s="97" t="n"/>
      <c r="R1100" s="97" t="n">
        <v>103.9</v>
      </c>
      <c r="S1100" s="97" t="n">
        <v>100.1008</v>
      </c>
      <c r="T1100" s="97" t="n">
        <v>101.2286</v>
      </c>
      <c r="U1100" s="97" t="n">
        <v>109.1726</v>
      </c>
      <c r="V1100" s="97" t="n">
        <v>83.10693000000001</v>
      </c>
      <c r="W1100" s="97" t="n">
        <v>63.39142</v>
      </c>
      <c r="X1100" s="97" t="n">
        <v>79.29638</v>
      </c>
      <c r="Y1100" s="97" t="n">
        <v>96.95551</v>
      </c>
      <c r="Z1100" s="97" t="n">
        <v>108.7909</v>
      </c>
      <c r="AA1100" s="97" t="n">
        <v>103.1534</v>
      </c>
      <c r="AB1100" s="97" t="n">
        <v>93.5022</v>
      </c>
      <c r="AC1100" s="97" t="n">
        <v>97.79185</v>
      </c>
      <c r="AD1100" s="97" t="n">
        <v>86.59999999999999</v>
      </c>
      <c r="AE1100" s="97" t="n">
        <v>100.089</v>
      </c>
      <c r="AF1100" s="97" t="n">
        <v>101.8915</v>
      </c>
      <c r="AG1100" s="97" t="n">
        <v>100.5431</v>
      </c>
      <c r="AH1100" s="97" t="n">
        <v>93.41793</v>
      </c>
      <c r="AI1100" s="97" t="n">
        <v>84.40000000000001</v>
      </c>
      <c r="AJ1100" s="97" t="n">
        <v>102.7301</v>
      </c>
      <c r="AK1100" s="97" t="n">
        <v>82.71378</v>
      </c>
      <c r="AL1100" s="97" t="n">
        <v>92.10767</v>
      </c>
      <c r="AM1100" s="97" t="n">
        <v>104.7</v>
      </c>
      <c r="AN1100" s="97" t="n"/>
      <c r="AO1100" s="97" t="n">
        <v>91.10778999999999</v>
      </c>
      <c r="AP1100" s="97" t="n">
        <v>96.18397</v>
      </c>
      <c r="AQ1100" s="97" t="n"/>
      <c r="AR1100" s="97" t="n"/>
      <c r="AS1100" s="97" t="n"/>
      <c r="AT1100" s="97" t="n">
        <v>88.68832</v>
      </c>
      <c r="AU1100" s="97" t="n"/>
      <c r="AV1100" s="97" t="n">
        <v>83.2</v>
      </c>
      <c r="AW1100" s="97" t="n"/>
      <c r="AX1100" s="97" t="n">
        <v>69.79418</v>
      </c>
      <c r="AY1100" s="97" t="n">
        <v>112.0837</v>
      </c>
    </row>
    <row r="1101" s="135">
      <c r="A1101" t="inlineStr">
        <is>
          <t>2010-08</t>
        </is>
      </c>
      <c r="B1101" s="2" t="n">
        <v>40391</v>
      </c>
      <c r="C1101" s="96" t="n">
        <v>1101</v>
      </c>
      <c r="E1101" s="2">
        <f>B1101</f>
        <v/>
      </c>
      <c r="F1101" s="3">
        <f>B1101</f>
        <v/>
      </c>
      <c r="G1101" s="96" t="n">
        <v>1099</v>
      </c>
      <c r="H1101" s="97" t="n"/>
      <c r="I1101" s="97" t="n"/>
      <c r="J1101" s="97" t="n">
        <v>95.992</v>
      </c>
      <c r="K1101" s="97" t="n">
        <v>90.98235</v>
      </c>
      <c r="L1101" s="97" t="n"/>
      <c r="M1101" s="97" t="n">
        <v>89.08515</v>
      </c>
      <c r="N1101" s="97" t="n">
        <v>90.99242</v>
      </c>
      <c r="O1101" s="97" t="n">
        <v>93.5</v>
      </c>
      <c r="P1101" s="97" t="n">
        <v>104.2471</v>
      </c>
      <c r="Q1101" s="97" t="n"/>
      <c r="R1101" s="97" t="n">
        <v>107.3</v>
      </c>
      <c r="S1101" s="97" t="n">
        <v>99.08083000000001</v>
      </c>
      <c r="T1101" s="97" t="n">
        <v>101.9554</v>
      </c>
      <c r="U1101" s="97" t="n">
        <v>116.9635</v>
      </c>
      <c r="V1101" s="97" t="n">
        <v>85.40712000000001</v>
      </c>
      <c r="W1101" s="97" t="n">
        <v>58.85446</v>
      </c>
      <c r="X1101" s="97" t="n">
        <v>77.0154</v>
      </c>
      <c r="Y1101" s="97" t="n">
        <v>90.96019</v>
      </c>
      <c r="Z1101" s="97" t="n">
        <v>112.3906</v>
      </c>
      <c r="AA1101" s="97" t="n">
        <v>103.6666</v>
      </c>
      <c r="AB1101" s="97" t="n">
        <v>93.29523</v>
      </c>
      <c r="AC1101" s="97" t="n">
        <v>99.79169</v>
      </c>
      <c r="AD1101" s="97" t="n">
        <v>87.7</v>
      </c>
      <c r="AE1101" s="97" t="n">
        <v>101.445</v>
      </c>
      <c r="AF1101" s="97" t="n">
        <v>104.1913</v>
      </c>
      <c r="AG1101" s="97" t="n">
        <v>93.67726999999999</v>
      </c>
      <c r="AH1101" s="97" t="n">
        <v>93.86344</v>
      </c>
      <c r="AI1101" s="97" t="n">
        <v>83.40000000000001</v>
      </c>
      <c r="AJ1101" s="97" t="n">
        <v>103.2163</v>
      </c>
      <c r="AK1101" s="97" t="n">
        <v>83.11385</v>
      </c>
      <c r="AL1101" s="97" t="n">
        <v>95.00792</v>
      </c>
      <c r="AM1101" s="97" t="n">
        <v>103.2</v>
      </c>
      <c r="AN1101" s="97" t="n"/>
      <c r="AO1101" s="97" t="n">
        <v>91.38749</v>
      </c>
      <c r="AP1101" s="97" t="n">
        <v>96.98383</v>
      </c>
      <c r="AQ1101" s="97" t="n"/>
      <c r="AR1101" s="97" t="n"/>
      <c r="AS1101" s="97" t="n"/>
      <c r="AT1101" s="97" t="n">
        <v>88.04586999999999</v>
      </c>
      <c r="AU1101" s="97" t="n"/>
      <c r="AV1101" s="97" t="n">
        <v>83.7</v>
      </c>
      <c r="AW1101" s="97" t="n"/>
      <c r="AX1101" s="97" t="n">
        <v>71.49404</v>
      </c>
      <c r="AY1101" s="97" t="n">
        <v>111.6433</v>
      </c>
    </row>
    <row r="1102" s="135">
      <c r="A1102" t="inlineStr">
        <is>
          <t>2010-09</t>
        </is>
      </c>
      <c r="B1102" s="2" t="n">
        <v>40422</v>
      </c>
      <c r="C1102" s="96" t="n">
        <v>1102</v>
      </c>
      <c r="E1102" s="2">
        <f>B1102</f>
        <v/>
      </c>
      <c r="F1102" s="3">
        <f>B1102</f>
        <v/>
      </c>
      <c r="G1102" s="96" t="n">
        <v>1100</v>
      </c>
      <c r="H1102" s="97" t="n"/>
      <c r="I1102" s="97" t="n"/>
      <c r="J1102" s="97" t="n">
        <v>97.69186000000001</v>
      </c>
      <c r="K1102" s="97" t="n">
        <v>90.54653999999999</v>
      </c>
      <c r="L1102" s="97" t="n"/>
      <c r="M1102" s="97" t="n">
        <v>90.78487</v>
      </c>
      <c r="N1102" s="97" t="n">
        <v>92.39230000000001</v>
      </c>
      <c r="O1102" s="97" t="n">
        <v>102.4</v>
      </c>
      <c r="P1102" s="97" t="n">
        <v>104.6011</v>
      </c>
      <c r="Q1102" s="97" t="n"/>
      <c r="R1102" s="97" t="n">
        <v>108.3</v>
      </c>
      <c r="S1102" s="97" t="n">
        <v>100.2908</v>
      </c>
      <c r="T1102" s="97" t="n">
        <v>102.163</v>
      </c>
      <c r="U1102" s="97" t="n">
        <v>108.1738</v>
      </c>
      <c r="V1102" s="97" t="n">
        <v>84.30701999999999</v>
      </c>
      <c r="W1102" s="97" t="n">
        <v>64.46265</v>
      </c>
      <c r="X1102" s="97" t="n">
        <v>76.49811</v>
      </c>
      <c r="Y1102" s="97" t="n">
        <v>88.14988</v>
      </c>
      <c r="Z1102" s="97" t="n">
        <v>108.091</v>
      </c>
      <c r="AA1102" s="97" t="n">
        <v>105.001</v>
      </c>
      <c r="AB1102" s="97" t="n">
        <v>94.08216</v>
      </c>
      <c r="AC1102" s="97" t="n">
        <v>101.7915</v>
      </c>
      <c r="AD1102" s="97" t="n">
        <v>87.3</v>
      </c>
      <c r="AE1102" s="97" t="n">
        <v>101.0119</v>
      </c>
      <c r="AF1102" s="97" t="n">
        <v>102.9914</v>
      </c>
      <c r="AG1102" s="97" t="n">
        <v>97.51746</v>
      </c>
      <c r="AH1102" s="97" t="n">
        <v>94.21532999999999</v>
      </c>
      <c r="AI1102" s="97" t="n">
        <v>84.90000000000001</v>
      </c>
      <c r="AJ1102" s="97" t="n">
        <v>103.4301</v>
      </c>
      <c r="AK1102" s="97" t="n">
        <v>82.91382</v>
      </c>
      <c r="AL1102" s="97" t="n">
        <v>94.10784</v>
      </c>
      <c r="AM1102" s="97" t="n">
        <v>103.6</v>
      </c>
      <c r="AN1102" s="97" t="n"/>
      <c r="AO1102" s="97" t="n">
        <v>91.59774</v>
      </c>
      <c r="AP1102" s="97" t="n">
        <v>97.18380000000001</v>
      </c>
      <c r="AQ1102" s="97" t="n"/>
      <c r="AR1102" s="97" t="n"/>
      <c r="AS1102" s="97" t="n"/>
      <c r="AT1102" s="97" t="n">
        <v>88.79093</v>
      </c>
      <c r="AU1102" s="97" t="n"/>
      <c r="AV1102" s="97" t="n">
        <v>84.5</v>
      </c>
      <c r="AW1102" s="97" t="n"/>
      <c r="AX1102" s="97" t="n">
        <v>71.59403</v>
      </c>
      <c r="AY1102" s="97" t="n">
        <v>111.8635</v>
      </c>
    </row>
    <row r="1103" s="135">
      <c r="A1103" t="inlineStr">
        <is>
          <t>2010-10</t>
        </is>
      </c>
      <c r="B1103" s="2" t="n">
        <v>40452</v>
      </c>
      <c r="C1103" s="96" t="n">
        <v>1103</v>
      </c>
      <c r="E1103" s="2">
        <f>B1103</f>
        <v/>
      </c>
      <c r="F1103" s="3">
        <f>B1103</f>
        <v/>
      </c>
      <c r="G1103" s="96" t="n">
        <v>1101</v>
      </c>
      <c r="H1103" s="97" t="n"/>
      <c r="I1103" s="97" t="n"/>
      <c r="J1103" s="97" t="n">
        <v>100.3916</v>
      </c>
      <c r="K1103" s="97" t="n">
        <v>91.31007</v>
      </c>
      <c r="L1103" s="97" t="n"/>
      <c r="M1103" s="97" t="n">
        <v>90.78487</v>
      </c>
      <c r="N1103" s="97" t="n">
        <v>94.39214</v>
      </c>
      <c r="O1103" s="97" t="n">
        <v>100.7</v>
      </c>
      <c r="P1103" s="97" t="n">
        <v>105.1641</v>
      </c>
      <c r="Q1103" s="97" t="n"/>
      <c r="R1103" s="97" t="n">
        <v>108.9</v>
      </c>
      <c r="S1103" s="97" t="n">
        <v>100.1408</v>
      </c>
      <c r="T1103" s="97" t="n">
        <v>102.7859</v>
      </c>
      <c r="U1103" s="97" t="n">
        <v>115.4653</v>
      </c>
      <c r="V1103" s="97" t="n">
        <v>85.2071</v>
      </c>
      <c r="W1103" s="97" t="n">
        <v>59.73664</v>
      </c>
      <c r="X1103" s="97" t="n">
        <v>76.90987</v>
      </c>
      <c r="Y1103" s="97" t="n">
        <v>89.36767999999999</v>
      </c>
      <c r="Z1103" s="97" t="n">
        <v>108.491</v>
      </c>
      <c r="AA1103" s="97" t="n">
        <v>102.0244</v>
      </c>
      <c r="AB1103" s="97" t="n">
        <v>93.25923</v>
      </c>
      <c r="AC1103" s="97" t="n">
        <v>102.3915</v>
      </c>
      <c r="AD1103" s="97" t="n">
        <v>89.8</v>
      </c>
      <c r="AE1103" s="97" t="n">
        <v>100.7467</v>
      </c>
      <c r="AF1103" s="97" t="n">
        <v>105.6912</v>
      </c>
      <c r="AG1103" s="97" t="n">
        <v>104.9651</v>
      </c>
      <c r="AH1103" s="97" t="n">
        <v>94.18661</v>
      </c>
      <c r="AI1103" s="97" t="n">
        <v>85</v>
      </c>
      <c r="AJ1103" s="97" t="n">
        <v>101.9112</v>
      </c>
      <c r="AK1103" s="97" t="n">
        <v>84.11402</v>
      </c>
      <c r="AL1103" s="97" t="n">
        <v>94.30786000000001</v>
      </c>
      <c r="AM1103" s="97" t="n">
        <v>103.1</v>
      </c>
      <c r="AN1103" s="97" t="n"/>
      <c r="AO1103" s="97" t="n">
        <v>91.35493</v>
      </c>
      <c r="AP1103" s="97" t="n">
        <v>97.98367</v>
      </c>
      <c r="AQ1103" s="97" t="n"/>
      <c r="AR1103" s="97" t="n"/>
      <c r="AS1103" s="97" t="n"/>
      <c r="AT1103" s="97" t="n">
        <v>91.22092000000001</v>
      </c>
      <c r="AU1103" s="97" t="n"/>
      <c r="AV1103" s="97" t="n">
        <v>86.09999999999999</v>
      </c>
      <c r="AW1103" s="97" t="n"/>
      <c r="AX1103" s="97" t="n">
        <v>72.29398</v>
      </c>
      <c r="AY1103" s="97" t="n">
        <v>111.5332</v>
      </c>
    </row>
    <row r="1104" s="135">
      <c r="A1104" t="inlineStr">
        <is>
          <t>2010-11</t>
        </is>
      </c>
      <c r="B1104" s="2" t="n">
        <v>40483</v>
      </c>
      <c r="C1104" s="96" t="n">
        <v>1104</v>
      </c>
      <c r="E1104" s="2">
        <f>B1104</f>
        <v/>
      </c>
      <c r="F1104" s="3">
        <f>B1104</f>
        <v/>
      </c>
      <c r="G1104" s="96" t="n">
        <v>1102</v>
      </c>
      <c r="H1104" s="97" t="n"/>
      <c r="I1104" s="97" t="n"/>
      <c r="J1104" s="97" t="n">
        <v>101.3915</v>
      </c>
      <c r="K1104" s="97" t="n">
        <v>91.33816</v>
      </c>
      <c r="L1104" s="97" t="n"/>
      <c r="M1104" s="97" t="n">
        <v>90.28494999999999</v>
      </c>
      <c r="N1104" s="97" t="n">
        <v>93.89216999999999</v>
      </c>
      <c r="O1104" s="97" t="n">
        <v>99.40000000000001</v>
      </c>
      <c r="P1104" s="97" t="n">
        <v>108.1271</v>
      </c>
      <c r="Q1104" s="97" t="n"/>
      <c r="R1104" s="97" t="n">
        <v>108.9</v>
      </c>
      <c r="S1104" s="97" t="n">
        <v>101.4108</v>
      </c>
      <c r="T1104" s="97" t="n">
        <v>102.9936</v>
      </c>
      <c r="U1104" s="97" t="n">
        <v>113.967</v>
      </c>
      <c r="V1104" s="97" t="n">
        <v>87.40729</v>
      </c>
      <c r="W1104" s="97" t="n">
        <v>65.72292</v>
      </c>
      <c r="X1104" s="97" t="n">
        <v>81.41695</v>
      </c>
      <c r="Y1104" s="97" t="n">
        <v>88.99297</v>
      </c>
      <c r="Z1104" s="97" t="n">
        <v>109.0909</v>
      </c>
      <c r="AA1104" s="97" t="n">
        <v>103.7693</v>
      </c>
      <c r="AB1104" s="97" t="n">
        <v>94.17915000000001</v>
      </c>
      <c r="AC1104" s="97" t="n">
        <v>102.6914</v>
      </c>
      <c r="AD1104" s="97" t="n">
        <v>87.7</v>
      </c>
      <c r="AE1104" s="97" t="n">
        <v>100.7909</v>
      </c>
      <c r="AF1104" s="97" t="n">
        <v>106.8911</v>
      </c>
      <c r="AG1104" s="97" t="n">
        <v>102.5213</v>
      </c>
      <c r="AH1104" s="97" t="n">
        <v>94.75633999999999</v>
      </c>
      <c r="AI1104" s="97" t="n">
        <v>85.40000000000001</v>
      </c>
      <c r="AJ1104" s="97" t="n">
        <v>104.192</v>
      </c>
      <c r="AK1104" s="97" t="n">
        <v>84.91415000000001</v>
      </c>
      <c r="AL1104" s="97" t="n">
        <v>95.10793</v>
      </c>
      <c r="AM1104" s="97" t="n">
        <v>106.9</v>
      </c>
      <c r="AN1104" s="97" t="n"/>
      <c r="AO1104" s="97" t="n">
        <v>91.38124000000001</v>
      </c>
      <c r="AP1104" s="97" t="n">
        <v>98.88352</v>
      </c>
      <c r="AQ1104" s="97" t="n"/>
      <c r="AR1104" s="97" t="n"/>
      <c r="AS1104" s="97" t="n"/>
      <c r="AT1104" s="97" t="n">
        <v>89.50514</v>
      </c>
      <c r="AU1104" s="97" t="n"/>
      <c r="AV1104" s="97" t="n">
        <v>85.7</v>
      </c>
      <c r="AW1104" s="97" t="n"/>
      <c r="AX1104" s="97" t="n">
        <v>74.59378</v>
      </c>
      <c r="AY1104" s="97" t="n">
        <v>112.414</v>
      </c>
    </row>
    <row r="1105" s="135">
      <c r="A1105" t="inlineStr">
        <is>
          <t>2010-12</t>
        </is>
      </c>
      <c r="B1105" s="2" t="n">
        <v>40513</v>
      </c>
      <c r="C1105" s="96" t="n">
        <v>1105</v>
      </c>
      <c r="E1105" s="2">
        <f>B1105</f>
        <v/>
      </c>
      <c r="F1105" s="3">
        <f>B1105</f>
        <v/>
      </c>
      <c r="G1105" s="96" t="n">
        <v>1103</v>
      </c>
      <c r="H1105" s="97" t="n"/>
      <c r="I1105" s="97" t="n"/>
      <c r="J1105" s="97" t="n">
        <v>98.69177000000001</v>
      </c>
      <c r="K1105" s="97" t="n">
        <v>93.06641</v>
      </c>
      <c r="L1105" s="97" t="n"/>
      <c r="M1105" s="97" t="n">
        <v>89.08515</v>
      </c>
      <c r="N1105" s="97" t="n">
        <v>95.39205</v>
      </c>
      <c r="O1105" s="97" t="n">
        <v>99.09999999999999</v>
      </c>
      <c r="P1105" s="97" t="n">
        <v>105.1821</v>
      </c>
      <c r="Q1105" s="97" t="n"/>
      <c r="R1105" s="97" t="n">
        <v>110</v>
      </c>
      <c r="S1105" s="97" t="n">
        <v>102.7409</v>
      </c>
      <c r="T1105" s="97" t="n">
        <v>103.3051</v>
      </c>
      <c r="U1105" s="97" t="n">
        <v>114.1668</v>
      </c>
      <c r="V1105" s="97" t="n">
        <v>79.90666</v>
      </c>
      <c r="W1105" s="97" t="n">
        <v>65.15579</v>
      </c>
      <c r="X1105" s="97" t="n">
        <v>85.02856</v>
      </c>
      <c r="Y1105" s="97" t="n">
        <v>90.02342</v>
      </c>
      <c r="Z1105" s="97" t="n">
        <v>109.9908</v>
      </c>
      <c r="AA1105" s="97" t="n">
        <v>104.0772</v>
      </c>
      <c r="AB1105" s="97" t="n">
        <v>95.82601</v>
      </c>
      <c r="AC1105" s="97" t="n">
        <v>100.8916</v>
      </c>
      <c r="AD1105" s="97" t="n">
        <v>89.3</v>
      </c>
      <c r="AE1105" s="97" t="n">
        <v>101.5192</v>
      </c>
      <c r="AF1105" s="97" t="n">
        <v>107.2911</v>
      </c>
      <c r="AG1105" s="97" t="n">
        <v>103.5687</v>
      </c>
      <c r="AH1105" s="97" t="n">
        <v>95.28345</v>
      </c>
      <c r="AI1105" s="97" t="n">
        <v>83.09999999999999</v>
      </c>
      <c r="AJ1105" s="97" t="n">
        <v>106.4027</v>
      </c>
      <c r="AK1105" s="97" t="n">
        <v>83.71395</v>
      </c>
      <c r="AL1105" s="97" t="n">
        <v>97.30811</v>
      </c>
      <c r="AM1105" s="97" t="n">
        <v>105.6</v>
      </c>
      <c r="AN1105" s="97" t="n"/>
      <c r="AO1105" s="97" t="n">
        <v>92.26645000000001</v>
      </c>
      <c r="AP1105" s="97" t="n">
        <v>99.68339</v>
      </c>
      <c r="AQ1105" s="97" t="n"/>
      <c r="AR1105" s="97" t="n"/>
      <c r="AS1105" s="97" t="n"/>
      <c r="AT1105" s="97" t="n">
        <v>91.14054</v>
      </c>
      <c r="AU1105" s="97" t="n"/>
      <c r="AV1105" s="97" t="n">
        <v>86.09999999999999</v>
      </c>
      <c r="AW1105" s="97" t="n"/>
      <c r="AX1105" s="97" t="n">
        <v>75.79369</v>
      </c>
      <c r="AY1105" s="97" t="n">
        <v>113.0746</v>
      </c>
    </row>
    <row r="1106" s="135">
      <c r="A1106" t="inlineStr">
        <is>
          <t>2011-01</t>
        </is>
      </c>
      <c r="B1106" s="2" t="n">
        <v>40544</v>
      </c>
      <c r="C1106" s="96" t="n">
        <v>1106</v>
      </c>
      <c r="E1106" s="2">
        <f>B1106</f>
        <v/>
      </c>
      <c r="F1106" s="3">
        <f>B1106</f>
        <v/>
      </c>
      <c r="G1106" s="96" t="n">
        <v>1104</v>
      </c>
      <c r="H1106" s="97" t="n"/>
      <c r="I1106" s="97" t="n"/>
      <c r="J1106" s="97" t="n">
        <v>100.7916</v>
      </c>
      <c r="K1106" s="97" t="n">
        <v>92.85159</v>
      </c>
      <c r="L1106" s="97" t="n"/>
      <c r="M1106" s="97" t="n">
        <v>92.18464</v>
      </c>
      <c r="N1106" s="97" t="n">
        <v>95.19207</v>
      </c>
      <c r="O1106" s="97" t="n">
        <v>100.3</v>
      </c>
      <c r="P1106" s="97" t="n">
        <v>105.7541</v>
      </c>
      <c r="Q1106" s="97" t="n"/>
      <c r="R1106" s="97" t="n">
        <v>111.7</v>
      </c>
      <c r="S1106" s="97" t="n">
        <v>103.9709</v>
      </c>
      <c r="T1106" s="97" t="n">
        <v>103.6165</v>
      </c>
      <c r="U1106" s="97" t="n">
        <v>111.6697</v>
      </c>
      <c r="V1106" s="97" t="n">
        <v>87.6073</v>
      </c>
      <c r="W1106" s="97" t="n">
        <v>62.57225</v>
      </c>
      <c r="X1106" s="97" t="n">
        <v>85.85281999999999</v>
      </c>
      <c r="Y1106" s="97" t="n">
        <v>97.61124</v>
      </c>
      <c r="Z1106" s="97" t="n">
        <v>107.991</v>
      </c>
      <c r="AA1106" s="97" t="n">
        <v>104.7957</v>
      </c>
      <c r="AB1106" s="97" t="n">
        <v>97.84885</v>
      </c>
      <c r="AC1106" s="97" t="n">
        <v>103.6914</v>
      </c>
      <c r="AD1106" s="97" t="n">
        <v>87.7</v>
      </c>
      <c r="AE1106" s="97" t="n">
        <v>101.7577</v>
      </c>
      <c r="AF1106" s="97" t="n">
        <v>105.7912</v>
      </c>
      <c r="AG1106" s="97" t="n">
        <v>99.96120999999999</v>
      </c>
      <c r="AH1106" s="97" t="n">
        <v>95.72392000000001</v>
      </c>
      <c r="AI1106" s="97" t="n">
        <v>85.7</v>
      </c>
      <c r="AJ1106" s="97" t="n">
        <v>102.885</v>
      </c>
      <c r="AK1106" s="97" t="n">
        <v>87.91464999999999</v>
      </c>
      <c r="AL1106" s="97" t="n">
        <v>94.40787</v>
      </c>
      <c r="AM1106" s="97" t="n">
        <v>106.2</v>
      </c>
      <c r="AN1106" s="97" t="n"/>
      <c r="AO1106" s="97" t="n">
        <v>92.14783</v>
      </c>
      <c r="AP1106" s="97" t="n">
        <v>99.18347</v>
      </c>
      <c r="AQ1106" s="97" t="n"/>
      <c r="AR1106" s="97" t="n"/>
      <c r="AS1106" s="97" t="n"/>
      <c r="AT1106" s="97" t="n">
        <v>92.26312</v>
      </c>
      <c r="AU1106" s="97" t="n"/>
      <c r="AV1106" s="97" t="n">
        <v>86.8</v>
      </c>
      <c r="AW1106" s="97" t="n"/>
      <c r="AX1106" s="97" t="n">
        <v>78.99342</v>
      </c>
      <c r="AY1106" s="97" t="n">
        <v>113.1847</v>
      </c>
    </row>
    <row r="1107" s="135">
      <c r="A1107" t="inlineStr">
        <is>
          <t>2011-02</t>
        </is>
      </c>
      <c r="B1107" s="2" t="n">
        <v>40575</v>
      </c>
      <c r="C1107" s="96" t="n">
        <v>1107</v>
      </c>
      <c r="E1107" s="2">
        <f>B1107</f>
        <v/>
      </c>
      <c r="F1107" s="3">
        <f>B1107</f>
        <v/>
      </c>
      <c r="G1107" s="96" t="n">
        <v>1105</v>
      </c>
      <c r="H1107" s="97" t="n"/>
      <c r="I1107" s="97" t="n"/>
      <c r="J1107" s="97" t="n">
        <v>102.5915</v>
      </c>
      <c r="K1107" s="97" t="n">
        <v>92.4757</v>
      </c>
      <c r="L1107" s="97" t="n"/>
      <c r="M1107" s="97" t="n">
        <v>90.98483</v>
      </c>
      <c r="N1107" s="97" t="n">
        <v>96.29198</v>
      </c>
      <c r="O1107" s="97" t="n">
        <v>97.90000000000001</v>
      </c>
      <c r="P1107" s="97" t="n">
        <v>106.8121</v>
      </c>
      <c r="Q1107" s="97" t="n"/>
      <c r="R1107" s="97" t="n">
        <v>109.3</v>
      </c>
      <c r="S1107" s="97" t="n">
        <v>104.3009</v>
      </c>
      <c r="T1107" s="97" t="n">
        <v>102.2668</v>
      </c>
      <c r="U1107" s="97" t="n">
        <v>110.9705</v>
      </c>
      <c r="V1107" s="97" t="n">
        <v>88.90741</v>
      </c>
      <c r="W1107" s="97" t="n">
        <v>63.01334</v>
      </c>
      <c r="X1107" s="97" t="n">
        <v>85.62896000000001</v>
      </c>
      <c r="Y1107" s="97" t="n">
        <v>94.23887999999999</v>
      </c>
      <c r="Z1107" s="97" t="n">
        <v>110.6908</v>
      </c>
      <c r="AA1107" s="97" t="n">
        <v>105.2062</v>
      </c>
      <c r="AB1107" s="97" t="n">
        <v>95.27906</v>
      </c>
      <c r="AC1107" s="97" t="n">
        <v>106.9911</v>
      </c>
      <c r="AD1107" s="97" t="n">
        <v>89.09999999999999</v>
      </c>
      <c r="AE1107" s="97" t="n">
        <v>101.9216</v>
      </c>
      <c r="AF1107" s="97" t="n">
        <v>106.7911</v>
      </c>
      <c r="AG1107" s="97" t="n">
        <v>100.1939</v>
      </c>
      <c r="AH1107" s="97" t="n">
        <v>95.62833000000001</v>
      </c>
      <c r="AI1107" s="97" t="n">
        <v>87.8</v>
      </c>
      <c r="AJ1107" s="97" t="n">
        <v>104.1852</v>
      </c>
      <c r="AK1107" s="97" t="n">
        <v>87.11452</v>
      </c>
      <c r="AL1107" s="97" t="n">
        <v>93.50779</v>
      </c>
      <c r="AM1107" s="97" t="n">
        <v>107.5</v>
      </c>
      <c r="AN1107" s="97" t="n"/>
      <c r="AO1107" s="97" t="n">
        <v>91.74345</v>
      </c>
      <c r="AP1107" s="97" t="n">
        <v>100.0833</v>
      </c>
      <c r="AQ1107" s="97" t="n"/>
      <c r="AR1107" s="97" t="n"/>
      <c r="AS1107" s="97" t="n"/>
      <c r="AT1107" s="97" t="n">
        <v>92.42175</v>
      </c>
      <c r="AU1107" s="97" t="n"/>
      <c r="AV1107" s="97" t="n">
        <v>86.59999999999999</v>
      </c>
      <c r="AW1107" s="97" t="n"/>
      <c r="AX1107" s="97" t="n">
        <v>77.79352</v>
      </c>
      <c r="AY1107" s="97" t="n">
        <v>114.616</v>
      </c>
    </row>
    <row r="1108" s="135">
      <c r="A1108" t="inlineStr">
        <is>
          <t>2011-03</t>
        </is>
      </c>
      <c r="B1108" s="2" t="n">
        <v>40603</v>
      </c>
      <c r="C1108" s="96" t="n">
        <v>1108</v>
      </c>
      <c r="E1108" s="2">
        <f>B1108</f>
        <v/>
      </c>
      <c r="F1108" s="3">
        <f>B1108</f>
        <v/>
      </c>
      <c r="G1108" s="96" t="n">
        <v>1106</v>
      </c>
      <c r="H1108" s="97" t="n"/>
      <c r="I1108" s="97" t="n"/>
      <c r="J1108" s="97" t="n">
        <v>105.3912</v>
      </c>
      <c r="K1108" s="97" t="n">
        <v>93.52817</v>
      </c>
      <c r="L1108" s="97" t="n"/>
      <c r="M1108" s="97" t="n">
        <v>90.5849</v>
      </c>
      <c r="N1108" s="97" t="n">
        <v>96.89192</v>
      </c>
      <c r="O1108" s="97" t="n">
        <v>100.3</v>
      </c>
      <c r="P1108" s="97" t="n">
        <v>105.5041</v>
      </c>
      <c r="Q1108" s="97" t="n"/>
      <c r="R1108" s="97" t="n">
        <v>108.3</v>
      </c>
      <c r="S1108" s="97" t="n">
        <v>102.9909</v>
      </c>
      <c r="T1108" s="97" t="n">
        <v>102.2668</v>
      </c>
      <c r="U1108" s="97" t="n">
        <v>110.9705</v>
      </c>
      <c r="V1108" s="97" t="n">
        <v>85.80714999999999</v>
      </c>
      <c r="W1108" s="97" t="n">
        <v>62.44622</v>
      </c>
      <c r="X1108" s="97" t="n">
        <v>84.7834</v>
      </c>
      <c r="Y1108" s="97" t="n">
        <v>95.17564</v>
      </c>
      <c r="Z1108" s="97" t="n">
        <v>110.8908</v>
      </c>
      <c r="AA1108" s="97" t="n">
        <v>88.57850999999999</v>
      </c>
      <c r="AB1108" s="97" t="n">
        <v>97.62987</v>
      </c>
      <c r="AC1108" s="97" t="n">
        <v>106.1912</v>
      </c>
      <c r="AD1108" s="97" t="n">
        <v>90.40000000000001</v>
      </c>
      <c r="AE1108" s="97" t="n">
        <v>102.5674</v>
      </c>
      <c r="AF1108" s="97" t="n">
        <v>106.1912</v>
      </c>
      <c r="AG1108" s="97" t="n">
        <v>99.26299</v>
      </c>
      <c r="AH1108" s="97" t="n">
        <v>94.16931</v>
      </c>
      <c r="AI1108" s="97" t="n">
        <v>87</v>
      </c>
      <c r="AJ1108" s="97" t="n">
        <v>108.1154</v>
      </c>
      <c r="AK1108" s="97" t="n">
        <v>85.31422000000001</v>
      </c>
      <c r="AL1108" s="97" t="n">
        <v>95.30795000000001</v>
      </c>
      <c r="AM1108" s="97" t="n">
        <v>106.2</v>
      </c>
      <c r="AN1108" s="97" t="n"/>
      <c r="AO1108" s="97" t="n">
        <v>92.65488000000001</v>
      </c>
      <c r="AP1108" s="97" t="n">
        <v>100.1833</v>
      </c>
      <c r="AQ1108" s="97" t="n"/>
      <c r="AR1108" s="97" t="n"/>
      <c r="AS1108" s="97" t="n"/>
      <c r="AT1108" s="97" t="n">
        <v>94.64789</v>
      </c>
      <c r="AU1108" s="97" t="n"/>
      <c r="AV1108" s="97" t="n">
        <v>86.5</v>
      </c>
      <c r="AW1108" s="97" t="n"/>
      <c r="AX1108" s="97" t="n">
        <v>77.49355</v>
      </c>
      <c r="AY1108" s="97" t="n">
        <v>115.4968</v>
      </c>
    </row>
    <row r="1109" s="135">
      <c r="A1109" t="inlineStr">
        <is>
          <t>2011-04</t>
        </is>
      </c>
      <c r="B1109" s="2" t="n">
        <v>40634</v>
      </c>
      <c r="C1109" s="96" t="n">
        <v>1109</v>
      </c>
      <c r="E1109" s="2">
        <f>B1109</f>
        <v/>
      </c>
      <c r="F1109" s="3">
        <f>B1109</f>
        <v/>
      </c>
      <c r="G1109" s="96" t="n">
        <v>1107</v>
      </c>
      <c r="H1109" s="97" t="n"/>
      <c r="I1109" s="97" t="n"/>
      <c r="J1109" s="97" t="n">
        <v>102.7914</v>
      </c>
      <c r="K1109" s="97" t="n">
        <v>93.89147</v>
      </c>
      <c r="L1109" s="97" t="n"/>
      <c r="M1109" s="97" t="n">
        <v>90.98483</v>
      </c>
      <c r="N1109" s="97" t="n">
        <v>97.49187000000001</v>
      </c>
      <c r="O1109" s="97" t="n">
        <v>100.8</v>
      </c>
      <c r="P1109" s="97" t="n">
        <v>104.9621</v>
      </c>
      <c r="Q1109" s="97" t="n"/>
      <c r="R1109" s="97" t="n">
        <v>109.3</v>
      </c>
      <c r="S1109" s="97" t="n">
        <v>101.2508</v>
      </c>
      <c r="T1109" s="97" t="n">
        <v>101.1248</v>
      </c>
      <c r="U1109" s="97" t="n">
        <v>107.3747</v>
      </c>
      <c r="V1109" s="97" t="n">
        <v>86.30719000000001</v>
      </c>
      <c r="W1109" s="97" t="n">
        <v>63.39142</v>
      </c>
      <c r="X1109" s="97" t="n">
        <v>85.59549</v>
      </c>
      <c r="Y1109" s="97" t="n">
        <v>95.7377</v>
      </c>
      <c r="Z1109" s="97" t="n">
        <v>111.8907</v>
      </c>
      <c r="AA1109" s="97" t="n">
        <v>90.22076</v>
      </c>
      <c r="AB1109" s="97" t="n">
        <v>96.65495</v>
      </c>
      <c r="AC1109" s="97" t="n">
        <v>106.2911</v>
      </c>
      <c r="AD1109" s="97" t="n">
        <v>92.3</v>
      </c>
      <c r="AE1109" s="97" t="n">
        <v>102.5753</v>
      </c>
      <c r="AF1109" s="97" t="n">
        <v>102.7914</v>
      </c>
      <c r="AG1109" s="97" t="n">
        <v>96.12103</v>
      </c>
      <c r="AH1109" s="97" t="n">
        <v>94.11651999999999</v>
      </c>
      <c r="AI1109" s="97" t="n">
        <v>87.8</v>
      </c>
      <c r="AJ1109" s="97" t="n">
        <v>105.1914</v>
      </c>
      <c r="AK1109" s="97" t="n">
        <v>86.71445</v>
      </c>
      <c r="AL1109" s="97" t="n">
        <v>94.00784</v>
      </c>
      <c r="AM1109" s="97" t="n">
        <v>105.4</v>
      </c>
      <c r="AN1109" s="97" t="n"/>
      <c r="AO1109" s="97" t="n">
        <v>92.32293</v>
      </c>
      <c r="AP1109" s="97" t="n">
        <v>99.78337000000001</v>
      </c>
      <c r="AQ1109" s="97" t="n"/>
      <c r="AR1109" s="97" t="n"/>
      <c r="AS1109" s="97" t="n"/>
      <c r="AT1109" s="97" t="n">
        <v>92.85899999999999</v>
      </c>
      <c r="AU1109" s="97" t="n"/>
      <c r="AV1109" s="97" t="n">
        <v>87.5</v>
      </c>
      <c r="AW1109" s="97" t="n"/>
      <c r="AX1109" s="97" t="n">
        <v>77.39355</v>
      </c>
      <c r="AY1109" s="97" t="n">
        <v>112.414</v>
      </c>
    </row>
    <row r="1110" s="135">
      <c r="A1110" t="inlineStr">
        <is>
          <t>2011-05</t>
        </is>
      </c>
      <c r="B1110" s="2" t="n">
        <v>40664</v>
      </c>
      <c r="C1110" s="96" t="n">
        <v>1110</v>
      </c>
      <c r="E1110" s="2">
        <f>B1110</f>
        <v/>
      </c>
      <c r="F1110" s="3">
        <f>B1110</f>
        <v/>
      </c>
      <c r="G1110" s="96" t="n">
        <v>1108</v>
      </c>
      <c r="H1110" s="97" t="n"/>
      <c r="I1110" s="97" t="n"/>
      <c r="J1110" s="97" t="n">
        <v>102.3915</v>
      </c>
      <c r="K1110" s="97" t="n">
        <v>92.24723</v>
      </c>
      <c r="L1110" s="97" t="n"/>
      <c r="M1110" s="97" t="n">
        <v>92.88451999999999</v>
      </c>
      <c r="N1110" s="97" t="n">
        <v>98.69177000000001</v>
      </c>
      <c r="O1110" s="97" t="n">
        <v>105.7</v>
      </c>
      <c r="P1110" s="97" t="n">
        <v>104.1491</v>
      </c>
      <c r="Q1110" s="97" t="n"/>
      <c r="R1110" s="97" t="n">
        <v>110.2</v>
      </c>
      <c r="S1110" s="97" t="n">
        <v>104.5609</v>
      </c>
      <c r="T1110" s="97" t="n">
        <v>102.0592</v>
      </c>
      <c r="U1110" s="97" t="n">
        <v>108.4734</v>
      </c>
      <c r="V1110" s="97" t="n">
        <v>84.70706</v>
      </c>
      <c r="W1110" s="97" t="n">
        <v>63.39142</v>
      </c>
      <c r="X1110" s="97" t="n">
        <v>89.99001</v>
      </c>
      <c r="Y1110" s="97" t="n">
        <v>96.11241</v>
      </c>
      <c r="Z1110" s="97" t="n">
        <v>109.7908</v>
      </c>
      <c r="AA1110" s="97" t="n">
        <v>96.17389</v>
      </c>
      <c r="AB1110" s="97" t="n">
        <v>97.85684000000001</v>
      </c>
      <c r="AC1110" s="97" t="n">
        <v>105.4912</v>
      </c>
      <c r="AD1110" s="97" t="n">
        <v>92</v>
      </c>
      <c r="AE1110" s="97" t="n">
        <v>103.4123</v>
      </c>
      <c r="AF1110" s="97" t="n">
        <v>104.1913</v>
      </c>
      <c r="AG1110" s="97" t="n">
        <v>91.81536</v>
      </c>
      <c r="AH1110" s="97" t="n">
        <v>95.13937</v>
      </c>
      <c r="AI1110" s="97" t="n">
        <v>87.90000000000001</v>
      </c>
      <c r="AJ1110" s="97" t="n">
        <v>103.5183</v>
      </c>
      <c r="AK1110" s="97" t="n">
        <v>85.71429000000001</v>
      </c>
      <c r="AL1110" s="97" t="n">
        <v>96.30803</v>
      </c>
      <c r="AM1110" s="97" t="n">
        <v>106.1</v>
      </c>
      <c r="AN1110" s="97" t="n"/>
      <c r="AO1110" s="97" t="n">
        <v>92.53328</v>
      </c>
      <c r="AP1110" s="97" t="n">
        <v>100.3833</v>
      </c>
      <c r="AQ1110" s="97" t="n"/>
      <c r="AR1110" s="97" t="n"/>
      <c r="AS1110" s="97" t="n"/>
      <c r="AT1110" s="97" t="n">
        <v>90.51544</v>
      </c>
      <c r="AU1110" s="97" t="n"/>
      <c r="AV1110" s="97" t="n">
        <v>87.59999999999999</v>
      </c>
      <c r="AW1110" s="97" t="n"/>
      <c r="AX1110" s="97" t="n">
        <v>78.19347999999999</v>
      </c>
      <c r="AY1110" s="97" t="n">
        <v>115.717</v>
      </c>
    </row>
    <row r="1111" s="135">
      <c r="A1111" t="inlineStr">
        <is>
          <t>2011-06</t>
        </is>
      </c>
      <c r="B1111" s="2" t="n">
        <v>40695</v>
      </c>
      <c r="C1111" s="96" t="n">
        <v>1111</v>
      </c>
      <c r="E1111" s="2">
        <f>B1111</f>
        <v/>
      </c>
      <c r="F1111" s="3">
        <f>B1111</f>
        <v/>
      </c>
      <c r="G1111" s="96" t="n">
        <v>1109</v>
      </c>
      <c r="H1111" s="97" t="n"/>
      <c r="I1111" s="97" t="n"/>
      <c r="J1111" s="97" t="n">
        <v>100.3916</v>
      </c>
      <c r="K1111" s="97" t="n">
        <v>92.82107999999999</v>
      </c>
      <c r="L1111" s="97" t="n"/>
      <c r="M1111" s="97" t="n">
        <v>92.18464</v>
      </c>
      <c r="N1111" s="97" t="n">
        <v>97.09191</v>
      </c>
      <c r="O1111" s="97" t="n">
        <v>102.1</v>
      </c>
      <c r="P1111" s="97" t="n">
        <v>104.4151</v>
      </c>
      <c r="Q1111" s="97" t="n"/>
      <c r="R1111" s="97" t="n">
        <v>107.2</v>
      </c>
      <c r="S1111" s="97" t="n">
        <v>101.6908</v>
      </c>
      <c r="T1111" s="97" t="n">
        <v>102.0592</v>
      </c>
      <c r="U1111" s="97" t="n">
        <v>103.9787</v>
      </c>
      <c r="V1111" s="97" t="n">
        <v>85.00709000000001</v>
      </c>
      <c r="W1111" s="97" t="n">
        <v>62.13115</v>
      </c>
      <c r="X1111" s="97" t="n">
        <v>96.351</v>
      </c>
      <c r="Y1111" s="97" t="n">
        <v>93.86417</v>
      </c>
      <c r="Z1111" s="97" t="n">
        <v>108.8909</v>
      </c>
      <c r="AA1111" s="97" t="n">
        <v>100.0742</v>
      </c>
      <c r="AB1111" s="97" t="n">
        <v>98.51379</v>
      </c>
      <c r="AC1111" s="97" t="n">
        <v>100.9916</v>
      </c>
      <c r="AD1111" s="97" t="n">
        <v>93.5</v>
      </c>
      <c r="AE1111" s="97" t="n">
        <v>103.0284</v>
      </c>
      <c r="AF1111" s="97" t="n">
        <v>103.3914</v>
      </c>
      <c r="AG1111" s="97" t="n">
        <v>97.28471</v>
      </c>
      <c r="AH1111" s="97" t="n">
        <v>95.38420000000001</v>
      </c>
      <c r="AI1111" s="97" t="n">
        <v>87.40000000000001</v>
      </c>
      <c r="AJ1111" s="97" t="n">
        <v>100.8257</v>
      </c>
      <c r="AK1111" s="97" t="n">
        <v>88.31471999999999</v>
      </c>
      <c r="AL1111" s="97" t="n">
        <v>92.70773</v>
      </c>
      <c r="AM1111" s="97" t="n">
        <v>102.7</v>
      </c>
      <c r="AN1111" s="97" t="n"/>
      <c r="AO1111" s="97" t="n">
        <v>92.80001</v>
      </c>
      <c r="AP1111" s="97" t="n">
        <v>98.98351</v>
      </c>
      <c r="AQ1111" s="97" t="n"/>
      <c r="AR1111" s="97" t="n"/>
      <c r="AS1111" s="97" t="n"/>
      <c r="AT1111" s="97" t="n">
        <v>93.72784</v>
      </c>
      <c r="AU1111" s="97" t="n"/>
      <c r="AV1111" s="97" t="n">
        <v>88.40000000000001</v>
      </c>
      <c r="AW1111" s="97" t="n"/>
      <c r="AX1111" s="97" t="n">
        <v>79.69336</v>
      </c>
      <c r="AY1111" s="97" t="n">
        <v>113.1847</v>
      </c>
    </row>
    <row r="1112" s="135">
      <c r="A1112" t="inlineStr">
        <is>
          <t>2011-07</t>
        </is>
      </c>
      <c r="B1112" s="2" t="n">
        <v>40725</v>
      </c>
      <c r="C1112" s="96" t="n">
        <v>1112</v>
      </c>
      <c r="E1112" s="2">
        <f>B1112</f>
        <v/>
      </c>
      <c r="F1112" s="3">
        <f>B1112</f>
        <v/>
      </c>
      <c r="G1112" s="96" t="n">
        <v>1110</v>
      </c>
      <c r="H1112" s="97" t="n"/>
      <c r="I1112" s="97" t="n"/>
      <c r="J1112" s="97" t="n">
        <v>101.1916</v>
      </c>
      <c r="K1112" s="97" t="n">
        <v>94.46639999999999</v>
      </c>
      <c r="L1112" s="97" t="n"/>
      <c r="M1112" s="97" t="n">
        <v>90.78487</v>
      </c>
      <c r="N1112" s="97" t="n">
        <v>100.0917</v>
      </c>
      <c r="O1112" s="97" t="n">
        <v>97.09999999999999</v>
      </c>
      <c r="P1112" s="97" t="n">
        <v>104.5511</v>
      </c>
      <c r="Q1112" s="97" t="n"/>
      <c r="R1112" s="97" t="n">
        <v>104.7</v>
      </c>
      <c r="S1112" s="97" t="n">
        <v>102.8409</v>
      </c>
      <c r="T1112" s="97" t="n">
        <v>101.8515</v>
      </c>
      <c r="U1112" s="97" t="n">
        <v>110.8707</v>
      </c>
      <c r="V1112" s="97" t="n">
        <v>86.30719000000001</v>
      </c>
      <c r="W1112" s="97" t="n">
        <v>58.41336</v>
      </c>
      <c r="X1112" s="97" t="n">
        <v>94.36375</v>
      </c>
      <c r="Y1112" s="97" t="n">
        <v>94.80092999999999</v>
      </c>
      <c r="Z1112" s="97" t="n">
        <v>108.491</v>
      </c>
      <c r="AA1112" s="97" t="n">
        <v>100.998</v>
      </c>
      <c r="AB1112" s="97" t="n">
        <v>98.3308</v>
      </c>
      <c r="AC1112" s="97" t="n">
        <v>102.4915</v>
      </c>
      <c r="AD1112" s="97" t="n">
        <v>93.09999999999999</v>
      </c>
      <c r="AE1112" s="97" t="n">
        <v>103.3698</v>
      </c>
      <c r="AF1112" s="97" t="n">
        <v>105.9912</v>
      </c>
      <c r="AG1112" s="97" t="n">
        <v>96.81923999999999</v>
      </c>
      <c r="AH1112" s="97" t="n">
        <v>96.09144999999999</v>
      </c>
      <c r="AI1112" s="97" t="n">
        <v>87.90000000000001</v>
      </c>
      <c r="AJ1112" s="97" t="n">
        <v>100.8667</v>
      </c>
      <c r="AK1112" s="97" t="n">
        <v>87.21454</v>
      </c>
      <c r="AL1112" s="97" t="n">
        <v>93.70780999999999</v>
      </c>
      <c r="AM1112" s="97" t="n">
        <v>104.3</v>
      </c>
      <c r="AN1112" s="97" t="n"/>
      <c r="AO1112" s="97" t="n">
        <v>93.29353</v>
      </c>
      <c r="AP1112" s="97" t="n">
        <v>99.98334</v>
      </c>
      <c r="AQ1112" s="97" t="n"/>
      <c r="AR1112" s="97" t="n"/>
      <c r="AS1112" s="97" t="n"/>
      <c r="AT1112" s="97" t="n">
        <v>92.125</v>
      </c>
      <c r="AU1112" s="97" t="n"/>
      <c r="AV1112" s="97" t="n">
        <v>88.5</v>
      </c>
      <c r="AW1112" s="97" t="n"/>
      <c r="AX1112" s="97" t="n">
        <v>81.19324</v>
      </c>
      <c r="AY1112" s="97" t="n">
        <v>113.515</v>
      </c>
    </row>
    <row r="1113" s="135">
      <c r="A1113" t="inlineStr">
        <is>
          <t>2011-08</t>
        </is>
      </c>
      <c r="B1113" s="2" t="n">
        <v>40756</v>
      </c>
      <c r="C1113" s="96" t="n">
        <v>1113</v>
      </c>
      <c r="E1113" s="2">
        <f>B1113</f>
        <v/>
      </c>
      <c r="F1113" s="3">
        <f>B1113</f>
        <v/>
      </c>
      <c r="G1113" s="96" t="n">
        <v>1111</v>
      </c>
      <c r="H1113" s="97" t="n"/>
      <c r="I1113" s="97" t="n"/>
      <c r="J1113" s="97" t="n">
        <v>104.6913</v>
      </c>
      <c r="K1113" s="97" t="n">
        <v>95.46535</v>
      </c>
      <c r="L1113" s="97" t="n"/>
      <c r="M1113" s="97" t="n">
        <v>91.48475000000001</v>
      </c>
      <c r="N1113" s="97" t="n">
        <v>99.29173</v>
      </c>
      <c r="O1113" s="97" t="n">
        <v>99</v>
      </c>
      <c r="P1113" s="97" t="n">
        <v>104.5221</v>
      </c>
      <c r="Q1113" s="97" t="n"/>
      <c r="R1113" s="97" t="n">
        <v>107.1</v>
      </c>
      <c r="S1113" s="97" t="n">
        <v>101.9809</v>
      </c>
      <c r="T1113" s="97" t="n">
        <v>101.4362</v>
      </c>
      <c r="U1113" s="97" t="n">
        <v>105.7766</v>
      </c>
      <c r="V1113" s="97" t="n">
        <v>85.70715</v>
      </c>
      <c r="W1113" s="97" t="n">
        <v>63.95854</v>
      </c>
      <c r="X1113" s="97" t="n">
        <v>93.48566</v>
      </c>
      <c r="Y1113" s="97" t="n">
        <v>91.70959999999999</v>
      </c>
      <c r="Z1113" s="97" t="n">
        <v>107.891</v>
      </c>
      <c r="AA1113" s="97" t="n">
        <v>102.5376</v>
      </c>
      <c r="AB1113" s="97" t="n">
        <v>98.31681</v>
      </c>
      <c r="AC1113" s="97" t="n">
        <v>105.1912</v>
      </c>
      <c r="AD1113" s="97" t="n">
        <v>92.7</v>
      </c>
      <c r="AE1113" s="97" t="n">
        <v>103.534</v>
      </c>
      <c r="AF1113" s="97" t="n">
        <v>106.2911</v>
      </c>
      <c r="AG1113" s="97" t="n">
        <v>100.0776</v>
      </c>
      <c r="AH1113" s="97" t="n">
        <v>96.6863</v>
      </c>
      <c r="AI1113" s="97" t="n">
        <v>89.90000000000001</v>
      </c>
      <c r="AJ1113" s="97" t="n">
        <v>103.56</v>
      </c>
      <c r="AK1113" s="97" t="n">
        <v>86.01434</v>
      </c>
      <c r="AL1113" s="97" t="n">
        <v>92.60772</v>
      </c>
      <c r="AM1113" s="97" t="n">
        <v>102.7</v>
      </c>
      <c r="AN1113" s="97" t="n"/>
      <c r="AO1113" s="97" t="n">
        <v>93.81594</v>
      </c>
      <c r="AP1113" s="97" t="n">
        <v>100.0833</v>
      </c>
      <c r="AQ1113" s="97" t="n"/>
      <c r="AR1113" s="97" t="n"/>
      <c r="AS1113" s="97" t="n"/>
      <c r="AT1113" s="97" t="n">
        <v>90.62609999999999</v>
      </c>
      <c r="AU1113" s="97" t="n"/>
      <c r="AV1113" s="97" t="n">
        <v>88.40000000000001</v>
      </c>
      <c r="AW1113" s="97" t="n"/>
      <c r="AX1113" s="97" t="n">
        <v>83.59303</v>
      </c>
      <c r="AY1113" s="97" t="n">
        <v>112.414</v>
      </c>
    </row>
    <row r="1114" s="135">
      <c r="A1114" t="inlineStr">
        <is>
          <t>2011-09</t>
        </is>
      </c>
      <c r="B1114" s="2" t="n">
        <v>40787</v>
      </c>
      <c r="C1114" s="96" t="n">
        <v>1114</v>
      </c>
      <c r="E1114" s="2">
        <f>B1114</f>
        <v/>
      </c>
      <c r="F1114" s="3">
        <f>B1114</f>
        <v/>
      </c>
      <c r="G1114" s="96" t="n">
        <v>1112</v>
      </c>
      <c r="H1114" s="97" t="n"/>
      <c r="I1114" s="97" t="n"/>
      <c r="J1114" s="97" t="n">
        <v>102.0915</v>
      </c>
      <c r="K1114" s="97" t="n">
        <v>96.10769999999999</v>
      </c>
      <c r="L1114" s="97" t="n"/>
      <c r="M1114" s="97" t="n">
        <v>91.28478</v>
      </c>
      <c r="N1114" s="97" t="n">
        <v>97.79185</v>
      </c>
      <c r="O1114" s="97" t="n">
        <v>98.7</v>
      </c>
      <c r="P1114" s="97" t="n">
        <v>103.2771</v>
      </c>
      <c r="Q1114" s="97" t="n"/>
      <c r="R1114" s="97" t="n">
        <v>107.2</v>
      </c>
      <c r="S1114" s="97" t="n">
        <v>101.2108</v>
      </c>
      <c r="T1114" s="97" t="n">
        <v>101.1248</v>
      </c>
      <c r="U1114" s="97" t="n">
        <v>111.47</v>
      </c>
      <c r="V1114" s="97" t="n">
        <v>86.90724</v>
      </c>
      <c r="W1114" s="97" t="n">
        <v>65.65989999999999</v>
      </c>
      <c r="X1114" s="97" t="n">
        <v>91.75507</v>
      </c>
      <c r="Y1114" s="97" t="n">
        <v>93.86417</v>
      </c>
      <c r="Z1114" s="97" t="n">
        <v>107.3911</v>
      </c>
      <c r="AA1114" s="97" t="n">
        <v>101.9217</v>
      </c>
      <c r="AB1114" s="97" t="n">
        <v>99.30972</v>
      </c>
      <c r="AC1114" s="97" t="n">
        <v>99.99167</v>
      </c>
      <c r="AD1114" s="97" t="n">
        <v>95.09999999999999</v>
      </c>
      <c r="AE1114" s="97" t="n">
        <v>104.1581</v>
      </c>
      <c r="AF1114" s="97" t="n">
        <v>104.1913</v>
      </c>
      <c r="AG1114" s="97" t="n">
        <v>101.9395</v>
      </c>
      <c r="AH1114" s="97" t="n">
        <v>96.34999000000001</v>
      </c>
      <c r="AI1114" s="97" t="n">
        <v>90.8</v>
      </c>
      <c r="AJ1114" s="97" t="n">
        <v>101.277</v>
      </c>
      <c r="AK1114" s="97" t="n">
        <v>85.8143</v>
      </c>
      <c r="AL1114" s="97" t="n">
        <v>95.50796</v>
      </c>
      <c r="AM1114" s="97" t="n">
        <v>105.8</v>
      </c>
      <c r="AN1114" s="97" t="n"/>
      <c r="AO1114" s="97" t="n">
        <v>93.79318000000001</v>
      </c>
      <c r="AP1114" s="97" t="n">
        <v>99.08349</v>
      </c>
      <c r="AQ1114" s="97" t="n"/>
      <c r="AR1114" s="97" t="n"/>
      <c r="AS1114" s="97" t="n"/>
      <c r="AT1114" s="97" t="n">
        <v>91.01685000000001</v>
      </c>
      <c r="AU1114" s="97" t="n"/>
      <c r="AV1114" s="97" t="n">
        <v>88.59999999999999</v>
      </c>
      <c r="AW1114" s="97" t="n"/>
      <c r="AX1114" s="97" t="n">
        <v>79.1934</v>
      </c>
      <c r="AY1114" s="97" t="n">
        <v>110.2119</v>
      </c>
    </row>
    <row r="1115" s="135">
      <c r="A1115" t="inlineStr">
        <is>
          <t>2011-10</t>
        </is>
      </c>
      <c r="B1115" s="2" t="n">
        <v>40817</v>
      </c>
      <c r="C1115" s="96" t="n">
        <v>1115</v>
      </c>
      <c r="E1115" s="2">
        <f>B1115</f>
        <v/>
      </c>
      <c r="F1115" s="3">
        <f>B1115</f>
        <v/>
      </c>
      <c r="G1115" s="96" t="n">
        <v>1113</v>
      </c>
      <c r="H1115" s="97" t="n"/>
      <c r="I1115" s="97" t="n"/>
      <c r="J1115" s="97" t="n">
        <v>99.79169</v>
      </c>
      <c r="K1115" s="97" t="n">
        <v>95.47098</v>
      </c>
      <c r="L1115" s="97" t="n"/>
      <c r="M1115" s="97" t="n">
        <v>91.88469000000001</v>
      </c>
      <c r="N1115" s="97" t="n">
        <v>98.89176</v>
      </c>
      <c r="O1115" s="97" t="n">
        <v>98.7</v>
      </c>
      <c r="P1115" s="97" t="n">
        <v>101.2951</v>
      </c>
      <c r="Q1115" s="97" t="n"/>
      <c r="R1115" s="97" t="n">
        <v>106.9</v>
      </c>
      <c r="S1115" s="97" t="n">
        <v>101.4508</v>
      </c>
      <c r="T1115" s="97" t="n">
        <v>101.1248</v>
      </c>
      <c r="U1115" s="97" t="n">
        <v>101.981</v>
      </c>
      <c r="V1115" s="97" t="n">
        <v>87.6073</v>
      </c>
      <c r="W1115" s="97" t="n">
        <v>64.58866999999999</v>
      </c>
      <c r="X1115" s="97" t="n">
        <v>91.46886000000001</v>
      </c>
      <c r="Y1115" s="97" t="n">
        <v>93.11475</v>
      </c>
      <c r="Z1115" s="97" t="n">
        <v>106.0912</v>
      </c>
      <c r="AA1115" s="97" t="n">
        <v>103.564</v>
      </c>
      <c r="AB1115" s="97" t="n">
        <v>99.02175</v>
      </c>
      <c r="AC1115" s="97" t="n">
        <v>97.39188</v>
      </c>
      <c r="AD1115" s="97" t="n">
        <v>94.2</v>
      </c>
      <c r="AE1115" s="97" t="n">
        <v>104.7774</v>
      </c>
      <c r="AF1115" s="97" t="n">
        <v>102.2915</v>
      </c>
      <c r="AG1115" s="97" t="n">
        <v>98.44841</v>
      </c>
      <c r="AH1115" s="97" t="n">
        <v>96.83311</v>
      </c>
      <c r="AI1115" s="97" t="n">
        <v>90.40000000000001</v>
      </c>
      <c r="AJ1115" s="97" t="n">
        <v>99.06529</v>
      </c>
      <c r="AK1115" s="97" t="n">
        <v>88.31471999999999</v>
      </c>
      <c r="AL1115" s="97" t="n">
        <v>94.8079</v>
      </c>
      <c r="AM1115" s="97" t="n">
        <v>105.2</v>
      </c>
      <c r="AN1115" s="97" t="n"/>
      <c r="AO1115" s="97" t="n">
        <v>94.43941</v>
      </c>
      <c r="AP1115" s="97" t="n">
        <v>98.78354</v>
      </c>
      <c r="AQ1115" s="97" t="n"/>
      <c r="AR1115" s="97" t="n"/>
      <c r="AS1115" s="97" t="n"/>
      <c r="AT1115" s="97" t="n">
        <v>86.63441</v>
      </c>
      <c r="AU1115" s="97" t="n"/>
      <c r="AV1115" s="97" t="n">
        <v>89.09999999999999</v>
      </c>
      <c r="AW1115" s="97" t="n"/>
      <c r="AX1115" s="97" t="n">
        <v>83.69302</v>
      </c>
      <c r="AY1115" s="97" t="n">
        <v>109.3311</v>
      </c>
    </row>
    <row r="1116" s="135">
      <c r="A1116" t="inlineStr">
        <is>
          <t>2011-11</t>
        </is>
      </c>
      <c r="B1116" s="2" t="n">
        <v>40848</v>
      </c>
      <c r="C1116" s="96" t="n">
        <v>1116</v>
      </c>
      <c r="E1116" s="2">
        <f>B1116</f>
        <v/>
      </c>
      <c r="F1116" s="3">
        <f>B1116</f>
        <v/>
      </c>
      <c r="G1116" s="96" t="n">
        <v>1114</v>
      </c>
      <c r="H1116" s="97" t="n"/>
      <c r="I1116" s="97" t="n"/>
      <c r="J1116" s="97" t="n">
        <v>99.6917</v>
      </c>
      <c r="K1116" s="97" t="n">
        <v>95.22565</v>
      </c>
      <c r="L1116" s="97" t="n"/>
      <c r="M1116" s="97" t="n">
        <v>94.48425</v>
      </c>
      <c r="N1116" s="97" t="n">
        <v>98.19182000000001</v>
      </c>
      <c r="O1116" s="97" t="n">
        <v>98.90000000000001</v>
      </c>
      <c r="P1116" s="97" t="n">
        <v>100.8791</v>
      </c>
      <c r="Q1116" s="97" t="n"/>
      <c r="R1116" s="97" t="n">
        <v>109.6</v>
      </c>
      <c r="S1116" s="97" t="n">
        <v>103.6209</v>
      </c>
      <c r="T1116" s="97" t="n">
        <v>100.8133</v>
      </c>
      <c r="U1116" s="97" t="n">
        <v>105.3771</v>
      </c>
      <c r="V1116" s="97" t="n">
        <v>90.30753</v>
      </c>
      <c r="W1116" s="97" t="n">
        <v>62.00513</v>
      </c>
      <c r="X1116" s="97" t="n">
        <v>91.32899</v>
      </c>
      <c r="Y1116" s="97" t="n">
        <v>91.89696000000001</v>
      </c>
      <c r="Z1116" s="97" t="n">
        <v>106.8911</v>
      </c>
      <c r="AA1116" s="97" t="n">
        <v>101.5112</v>
      </c>
      <c r="AB1116" s="97" t="n">
        <v>97.65886</v>
      </c>
      <c r="AC1116" s="97" t="n">
        <v>101.9915</v>
      </c>
      <c r="AD1116" s="97" t="n">
        <v>95.09999999999999</v>
      </c>
      <c r="AE1116" s="97" t="n">
        <v>104.9192</v>
      </c>
      <c r="AF1116" s="97" t="n">
        <v>102.5915</v>
      </c>
      <c r="AG1116" s="97" t="n">
        <v>101.2413</v>
      </c>
      <c r="AH1116" s="97" t="n">
        <v>96.58938999999999</v>
      </c>
      <c r="AI1116" s="97" t="n">
        <v>92</v>
      </c>
      <c r="AJ1116" s="97" t="n">
        <v>99.15902</v>
      </c>
      <c r="AK1116" s="97" t="n">
        <v>87.71462</v>
      </c>
      <c r="AL1116" s="97" t="n">
        <v>95.80798</v>
      </c>
      <c r="AM1116" s="97" t="n">
        <v>102.1</v>
      </c>
      <c r="AN1116" s="97" t="n"/>
      <c r="AO1116" s="97" t="n">
        <v>94.36362</v>
      </c>
      <c r="AP1116" s="97" t="n">
        <v>99.08349</v>
      </c>
      <c r="AQ1116" s="97" t="n"/>
      <c r="AR1116" s="97" t="n"/>
      <c r="AS1116" s="97" t="n"/>
      <c r="AT1116" s="97" t="n">
        <v>95.10889</v>
      </c>
      <c r="AU1116" s="97" t="n"/>
      <c r="AV1116" s="97" t="n">
        <v>89.09999999999999</v>
      </c>
      <c r="AW1116" s="97" t="n"/>
      <c r="AX1116" s="97" t="n">
        <v>82.89309</v>
      </c>
      <c r="AY1116" s="97" t="n">
        <v>109.9917</v>
      </c>
    </row>
    <row r="1117" s="135">
      <c r="A1117" t="inlineStr">
        <is>
          <t>2011-12</t>
        </is>
      </c>
      <c r="B1117" s="2" t="n">
        <v>40878</v>
      </c>
      <c r="C1117" s="96" t="n">
        <v>1117</v>
      </c>
      <c r="E1117" s="2">
        <f>B1117</f>
        <v/>
      </c>
      <c r="F1117" s="3">
        <f>B1117</f>
        <v/>
      </c>
      <c r="G1117" s="96" t="n">
        <v>1115</v>
      </c>
      <c r="H1117" s="97" t="n"/>
      <c r="I1117" s="97" t="n"/>
      <c r="J1117" s="97" t="n">
        <v>99.39172000000001</v>
      </c>
      <c r="K1117" s="97" t="n">
        <v>96.13873</v>
      </c>
      <c r="L1117" s="97" t="n"/>
      <c r="M1117" s="97" t="n">
        <v>93.28445000000001</v>
      </c>
      <c r="N1117" s="97" t="n">
        <v>96.79192999999999</v>
      </c>
      <c r="O1117" s="97" t="n">
        <v>97.59999999999999</v>
      </c>
      <c r="P1117" s="97" t="n">
        <v>102.6071</v>
      </c>
      <c r="Q1117" s="97" t="n"/>
      <c r="R1117" s="97" t="n">
        <v>111.2</v>
      </c>
      <c r="S1117" s="97" t="n">
        <v>101.4408</v>
      </c>
      <c r="T1117" s="97" t="n">
        <v>100.7095</v>
      </c>
      <c r="U1117" s="97" t="n">
        <v>99.6837</v>
      </c>
      <c r="V1117" s="97" t="n">
        <v>85.90716</v>
      </c>
      <c r="W1117" s="97" t="n">
        <v>62.06814</v>
      </c>
      <c r="X1117" s="97" t="n">
        <v>90.47320000000001</v>
      </c>
      <c r="Y1117" s="97" t="n">
        <v>92.92740000000001</v>
      </c>
      <c r="Z1117" s="97" t="n">
        <v>107.691</v>
      </c>
      <c r="AA1117" s="97" t="n">
        <v>103.564</v>
      </c>
      <c r="AB1117" s="97" t="n">
        <v>96.17899</v>
      </c>
      <c r="AC1117" s="97" t="n">
        <v>95.49204</v>
      </c>
      <c r="AD1117" s="97" t="n">
        <v>92.40000000000001</v>
      </c>
      <c r="AE1117" s="97" t="n">
        <v>105.4416</v>
      </c>
      <c r="AF1117" s="97" t="n">
        <v>102.4915</v>
      </c>
      <c r="AG1117" s="97" t="n">
        <v>98.21567</v>
      </c>
      <c r="AH1117" s="97" t="n">
        <v>96.80045</v>
      </c>
      <c r="AI1117" s="97" t="n">
        <v>93.90000000000001</v>
      </c>
      <c r="AJ1117" s="97" t="n">
        <v>97.62127</v>
      </c>
      <c r="AK1117" s="97" t="n">
        <v>89.91499</v>
      </c>
      <c r="AL1117" s="97" t="n">
        <v>93.6078</v>
      </c>
      <c r="AM1117" s="97" t="n">
        <v>101.5</v>
      </c>
      <c r="AN1117" s="97" t="n"/>
      <c r="AO1117" s="97" t="n">
        <v>94.88643</v>
      </c>
      <c r="AP1117" s="97" t="n">
        <v>98.48359000000001</v>
      </c>
      <c r="AQ1117" s="97" t="n"/>
      <c r="AR1117" s="97" t="n"/>
      <c r="AS1117" s="97" t="n"/>
      <c r="AT1117" s="97" t="n">
        <v>93.92654</v>
      </c>
      <c r="AU1117" s="97" t="n"/>
      <c r="AV1117" s="97" t="n">
        <v>89.59999999999999</v>
      </c>
      <c r="AW1117" s="97" t="n"/>
      <c r="AX1117" s="97" t="n">
        <v>82.89309</v>
      </c>
      <c r="AY1117" s="97" t="n">
        <v>112.7443</v>
      </c>
    </row>
    <row r="1118" s="135">
      <c r="A1118" t="inlineStr">
        <is>
          <t>2012-01</t>
        </is>
      </c>
      <c r="B1118" s="2" t="n">
        <v>40909</v>
      </c>
      <c r="C1118" s="96" t="n">
        <v>1118</v>
      </c>
      <c r="E1118" s="2">
        <f>B1118</f>
        <v/>
      </c>
      <c r="F1118" s="3">
        <f>B1118</f>
        <v/>
      </c>
      <c r="G1118" s="96" t="n">
        <v>1116</v>
      </c>
      <c r="H1118" s="97" t="n"/>
      <c r="I1118" s="97" t="n"/>
      <c r="J1118" s="97" t="n">
        <v>100.5916</v>
      </c>
      <c r="K1118" s="97" t="n">
        <v>96.1497</v>
      </c>
      <c r="L1118" s="97" t="n"/>
      <c r="M1118" s="97" t="n">
        <v>92.18464</v>
      </c>
      <c r="N1118" s="97" t="n">
        <v>97.29189</v>
      </c>
      <c r="O1118" s="97" t="n">
        <v>98.09999999999999</v>
      </c>
      <c r="P1118" s="97" t="n">
        <v>100.6901</v>
      </c>
      <c r="Q1118" s="97" t="n"/>
      <c r="R1118" s="97" t="n">
        <v>106.4</v>
      </c>
      <c r="S1118" s="97" t="n">
        <v>100.8508</v>
      </c>
      <c r="T1118" s="97" t="n">
        <v>100.8133</v>
      </c>
      <c r="U1118" s="97" t="n">
        <v>103.7789</v>
      </c>
      <c r="V1118" s="97" t="n">
        <v>86.10718</v>
      </c>
      <c r="W1118" s="97" t="n">
        <v>62.38321</v>
      </c>
      <c r="X1118" s="97" t="n">
        <v>94.24214000000001</v>
      </c>
      <c r="Y1118" s="97" t="n">
        <v>94.89462</v>
      </c>
      <c r="Z1118" s="97" t="n">
        <v>103.6914</v>
      </c>
      <c r="AA1118" s="97" t="n">
        <v>103.8719</v>
      </c>
      <c r="AB1118" s="97" t="n">
        <v>98.50179</v>
      </c>
      <c r="AC1118" s="97" t="n">
        <v>98.3918</v>
      </c>
      <c r="AD1118" s="97" t="n">
        <v>96.59999999999999</v>
      </c>
      <c r="AE1118" s="97" t="n">
        <v>105.4678</v>
      </c>
      <c r="AF1118" s="97" t="n">
        <v>102.8914</v>
      </c>
      <c r="AG1118" s="97" t="n">
        <v>102.9868</v>
      </c>
      <c r="AH1118" s="97" t="n">
        <v>96.91379999999999</v>
      </c>
      <c r="AI1118" s="97" t="n">
        <v>90.8</v>
      </c>
      <c r="AJ1118" s="97" t="n">
        <v>97.04264000000001</v>
      </c>
      <c r="AK1118" s="97" t="n">
        <v>89.61494</v>
      </c>
      <c r="AL1118" s="97" t="n">
        <v>94.50787</v>
      </c>
      <c r="AM1118" s="97" t="n">
        <v>107.5</v>
      </c>
      <c r="AN1118" s="97" t="n"/>
      <c r="AO1118" s="97" t="n">
        <v>95.46745</v>
      </c>
      <c r="AP1118" s="97" t="n">
        <v>97.7837</v>
      </c>
      <c r="AQ1118" s="97" t="n"/>
      <c r="AR1118" s="97" t="n"/>
      <c r="AS1118" s="97" t="n"/>
      <c r="AT1118" s="97" t="n">
        <v>92.94326</v>
      </c>
      <c r="AU1118" s="97" t="n"/>
      <c r="AV1118" s="97" t="n">
        <v>89.8</v>
      </c>
      <c r="AW1118" s="97" t="n"/>
      <c r="AX1118" s="97" t="n">
        <v>81.99316</v>
      </c>
      <c r="AY1118" s="97" t="n">
        <v>107.8998</v>
      </c>
    </row>
    <row r="1119" s="135">
      <c r="A1119" t="inlineStr">
        <is>
          <t>2012-02</t>
        </is>
      </c>
      <c r="B1119" s="2" t="n">
        <v>40940</v>
      </c>
      <c r="C1119" s="96" t="n">
        <v>1119</v>
      </c>
      <c r="E1119" s="2">
        <f>B1119</f>
        <v/>
      </c>
      <c r="F1119" s="3">
        <f>B1119</f>
        <v/>
      </c>
      <c r="G1119" s="96" t="n">
        <v>1117</v>
      </c>
      <c r="H1119" s="97" t="n"/>
      <c r="I1119" s="97" t="n"/>
      <c r="J1119" s="97" t="n">
        <v>102.3915</v>
      </c>
      <c r="K1119" s="97" t="n">
        <v>94.06108999999999</v>
      </c>
      <c r="L1119" s="97" t="n"/>
      <c r="M1119" s="97" t="n">
        <v>93.28445000000001</v>
      </c>
      <c r="N1119" s="97" t="n">
        <v>97.1919</v>
      </c>
      <c r="O1119" s="97" t="n">
        <v>100.5</v>
      </c>
      <c r="P1119" s="97" t="n">
        <v>99.31807999999999</v>
      </c>
      <c r="Q1119" s="97" t="n"/>
      <c r="R1119" s="97" t="n">
        <v>106.4</v>
      </c>
      <c r="S1119" s="97" t="n">
        <v>101.8109</v>
      </c>
      <c r="T1119" s="97" t="n">
        <v>100.5018</v>
      </c>
      <c r="U1119" s="97" t="n">
        <v>102.2807</v>
      </c>
      <c r="V1119" s="97" t="n">
        <v>86.30719000000001</v>
      </c>
      <c r="W1119" s="97" t="n">
        <v>62.32019</v>
      </c>
      <c r="X1119" s="97" t="n">
        <v>98.19540000000001</v>
      </c>
      <c r="Y1119" s="97" t="n">
        <v>92.92740000000001</v>
      </c>
      <c r="Z1119" s="97" t="n">
        <v>103.8913</v>
      </c>
      <c r="AA1119" s="97" t="n">
        <v>103.6666</v>
      </c>
      <c r="AB1119" s="97" t="n">
        <v>100.6916</v>
      </c>
      <c r="AC1119" s="97" t="n">
        <v>95.79201999999999</v>
      </c>
      <c r="AD1119" s="97" t="n">
        <v>98.40000000000001</v>
      </c>
      <c r="AE1119" s="97" t="n">
        <v>105.7319</v>
      </c>
      <c r="AF1119" s="97" t="n">
        <v>106.8911</v>
      </c>
      <c r="AG1119" s="97" t="n">
        <v>103.4523</v>
      </c>
      <c r="AH1119" s="97" t="n">
        <v>96.95055000000001</v>
      </c>
      <c r="AI1119" s="97" t="n">
        <v>88.59999999999999</v>
      </c>
      <c r="AJ1119" s="97" t="n">
        <v>97.23788999999999</v>
      </c>
      <c r="AK1119" s="97" t="n">
        <v>90.015</v>
      </c>
      <c r="AL1119" s="97" t="n">
        <v>95.30795000000001</v>
      </c>
      <c r="AM1119" s="97" t="n">
        <v>101.4</v>
      </c>
      <c r="AN1119" s="97" t="n"/>
      <c r="AO1119" s="97" t="n">
        <v>95.68625</v>
      </c>
      <c r="AP1119" s="97" t="n">
        <v>98.38361</v>
      </c>
      <c r="AQ1119" s="97" t="n"/>
      <c r="AR1119" s="97" t="n"/>
      <c r="AS1119" s="97" t="n"/>
      <c r="AT1119" s="97" t="n">
        <v>93.0444</v>
      </c>
      <c r="AU1119" s="97" t="n"/>
      <c r="AV1119" s="97" t="n">
        <v>90.40000000000001</v>
      </c>
      <c r="AW1119" s="97" t="n"/>
      <c r="AX1119" s="97" t="n">
        <v>80.89326</v>
      </c>
      <c r="AY1119" s="97" t="n">
        <v>109.1109</v>
      </c>
    </row>
    <row r="1120" s="135">
      <c r="A1120" t="inlineStr">
        <is>
          <t>2012-03</t>
        </is>
      </c>
      <c r="B1120" s="2" t="n">
        <v>40969</v>
      </c>
      <c r="C1120" s="96" t="n">
        <v>1120</v>
      </c>
      <c r="E1120" s="2">
        <f>B1120</f>
        <v/>
      </c>
      <c r="F1120" s="3">
        <f>B1120</f>
        <v/>
      </c>
      <c r="G1120" s="96" t="n">
        <v>1118</v>
      </c>
      <c r="H1120" s="97" t="n"/>
      <c r="I1120" s="97" t="n"/>
      <c r="J1120" s="97" t="n">
        <v>103.0914</v>
      </c>
      <c r="K1120" s="97" t="n">
        <v>94.22588</v>
      </c>
      <c r="L1120" s="97" t="n"/>
      <c r="M1120" s="97" t="n">
        <v>92.38461</v>
      </c>
      <c r="N1120" s="97" t="n">
        <v>98.3918</v>
      </c>
      <c r="O1120" s="97" t="n">
        <v>98.40000000000001</v>
      </c>
      <c r="P1120" s="97" t="n">
        <v>98.03008</v>
      </c>
      <c r="Q1120" s="97" t="n"/>
      <c r="R1120" s="97" t="n">
        <v>107</v>
      </c>
      <c r="S1120" s="97" t="n">
        <v>101.0008</v>
      </c>
      <c r="T1120" s="97" t="n">
        <v>99.56740000000001</v>
      </c>
      <c r="U1120" s="97" t="n">
        <v>101.8811</v>
      </c>
      <c r="V1120" s="97" t="n">
        <v>86.20717999999999</v>
      </c>
      <c r="W1120" s="97" t="n">
        <v>63.07635</v>
      </c>
      <c r="X1120" s="97" t="n">
        <v>99.93847</v>
      </c>
      <c r="Y1120" s="97" t="n">
        <v>96.86181999999999</v>
      </c>
      <c r="Z1120" s="97" t="n">
        <v>104.3913</v>
      </c>
      <c r="AA1120" s="97" t="n">
        <v>103.4613</v>
      </c>
      <c r="AB1120" s="97" t="n">
        <v>98.50579</v>
      </c>
      <c r="AC1120" s="97" t="n">
        <v>98.69177000000001</v>
      </c>
      <c r="AD1120" s="97" t="n">
        <v>98.2</v>
      </c>
      <c r="AE1120" s="97" t="n">
        <v>105.8926</v>
      </c>
      <c r="AF1120" s="97" t="n">
        <v>103.7914</v>
      </c>
      <c r="AG1120" s="97" t="n">
        <v>102.0559</v>
      </c>
      <c r="AH1120" s="97" t="n">
        <v>96.81688</v>
      </c>
      <c r="AI1120" s="97" t="n">
        <v>89.90000000000001</v>
      </c>
      <c r="AJ1120" s="97" t="n">
        <v>97.51017</v>
      </c>
      <c r="AK1120" s="97" t="n">
        <v>90.81513</v>
      </c>
      <c r="AL1120" s="97" t="n">
        <v>94.60789</v>
      </c>
      <c r="AM1120" s="97" t="n">
        <v>101.8</v>
      </c>
      <c r="AN1120" s="97" t="n"/>
      <c r="AO1120" s="97" t="n">
        <v>95.23942</v>
      </c>
      <c r="AP1120" s="97" t="n">
        <v>98.28362</v>
      </c>
      <c r="AQ1120" s="97" t="n"/>
      <c r="AR1120" s="97" t="n"/>
      <c r="AS1120" s="97" t="n"/>
      <c r="AT1120" s="97" t="n">
        <v>92.24213</v>
      </c>
      <c r="AU1120" s="97" t="n"/>
      <c r="AV1120" s="97" t="n">
        <v>89.90000000000001</v>
      </c>
      <c r="AW1120" s="97" t="n"/>
      <c r="AX1120" s="97" t="n">
        <v>82.69311</v>
      </c>
      <c r="AY1120" s="97" t="n">
        <v>108.12</v>
      </c>
    </row>
    <row r="1121" s="135">
      <c r="A1121" t="inlineStr">
        <is>
          <t>2012-04</t>
        </is>
      </c>
      <c r="B1121" s="2" t="n">
        <v>41000</v>
      </c>
      <c r="C1121" s="96" t="n">
        <v>1121</v>
      </c>
      <c r="E1121" s="2">
        <f>B1121</f>
        <v/>
      </c>
      <c r="F1121" s="3">
        <f>B1121</f>
        <v/>
      </c>
      <c r="G1121" s="96" t="n">
        <v>1119</v>
      </c>
      <c r="H1121" s="97" t="n"/>
      <c r="I1121" s="97" t="n"/>
      <c r="J1121" s="97" t="n">
        <v>99.19173000000001</v>
      </c>
      <c r="K1121" s="97" t="n">
        <v>95.07208</v>
      </c>
      <c r="L1121" s="97" t="n"/>
      <c r="M1121" s="97" t="n">
        <v>92.28462</v>
      </c>
      <c r="N1121" s="97" t="n">
        <v>96.59195</v>
      </c>
      <c r="O1121" s="97" t="n">
        <v>97</v>
      </c>
      <c r="P1121" s="97" t="n">
        <v>97.11308</v>
      </c>
      <c r="Q1121" s="97" t="n"/>
      <c r="R1121" s="97" t="n">
        <v>107.9</v>
      </c>
      <c r="S1121" s="97" t="n">
        <v>101.2308</v>
      </c>
      <c r="T1121" s="97" t="n">
        <v>99.77504999999999</v>
      </c>
      <c r="U1121" s="97" t="n">
        <v>102.6802</v>
      </c>
      <c r="V1121" s="97" t="n">
        <v>84.00700000000001</v>
      </c>
      <c r="W1121" s="97" t="n">
        <v>61.05993</v>
      </c>
      <c r="X1121" s="97" t="n">
        <v>104.2717</v>
      </c>
      <c r="Y1121" s="97" t="n">
        <v>98.64169</v>
      </c>
      <c r="Z1121" s="97" t="n">
        <v>102.8914</v>
      </c>
      <c r="AA1121" s="97" t="n">
        <v>102.9481</v>
      </c>
      <c r="AB1121" s="97" t="n">
        <v>99.76768</v>
      </c>
      <c r="AC1121" s="97" t="n">
        <v>98.29181</v>
      </c>
      <c r="AD1121" s="97" t="n">
        <v>96.40000000000001</v>
      </c>
      <c r="AE1121" s="97" t="n">
        <v>106.4709</v>
      </c>
      <c r="AF1121" s="97" t="n">
        <v>106.7911</v>
      </c>
      <c r="AG1121" s="97" t="n">
        <v>103.1032</v>
      </c>
      <c r="AH1121" s="97" t="n">
        <v>96.78995999999999</v>
      </c>
      <c r="AI1121" s="97" t="n">
        <v>90.09999999999999</v>
      </c>
      <c r="AJ1121" s="97" t="n">
        <v>92.75963</v>
      </c>
      <c r="AK1121" s="97" t="n">
        <v>91.2152</v>
      </c>
      <c r="AL1121" s="97" t="n">
        <v>96.10800999999999</v>
      </c>
      <c r="AM1121" s="97" t="n">
        <v>102.1</v>
      </c>
      <c r="AN1121" s="97" t="n"/>
      <c r="AO1121" s="97" t="n">
        <v>95.95547000000001</v>
      </c>
      <c r="AP1121" s="97" t="n">
        <v>97.48375</v>
      </c>
      <c r="AQ1121" s="97" t="n"/>
      <c r="AR1121" s="97" t="n"/>
      <c r="AS1121" s="97" t="n"/>
      <c r="AT1121" s="97" t="n">
        <v>90.61752</v>
      </c>
      <c r="AU1121" s="97" t="n"/>
      <c r="AV1121" s="97" t="n">
        <v>89.90000000000001</v>
      </c>
      <c r="AW1121" s="97" t="n"/>
      <c r="AX1121" s="97" t="n">
        <v>83.69302</v>
      </c>
      <c r="AY1121" s="97" t="n">
        <v>108.4503</v>
      </c>
    </row>
    <row r="1122" s="135">
      <c r="A1122" t="inlineStr">
        <is>
          <t>2012-05</t>
        </is>
      </c>
      <c r="B1122" s="2" t="n">
        <v>41030</v>
      </c>
      <c r="C1122" s="96" t="n">
        <v>1122</v>
      </c>
      <c r="E1122" s="2">
        <f>B1122</f>
        <v/>
      </c>
      <c r="F1122" s="3">
        <f>B1122</f>
        <v/>
      </c>
      <c r="G1122" s="96" t="n">
        <v>1120</v>
      </c>
      <c r="H1122" s="97" t="n"/>
      <c r="I1122" s="97" t="n"/>
      <c r="J1122" s="97" t="n">
        <v>100.5916</v>
      </c>
      <c r="K1122" s="97" t="n">
        <v>95.01804</v>
      </c>
      <c r="L1122" s="97" t="n"/>
      <c r="M1122" s="97" t="n">
        <v>92.48459</v>
      </c>
      <c r="N1122" s="97" t="n">
        <v>98.49178999999999</v>
      </c>
      <c r="O1122" s="97" t="n">
        <v>100</v>
      </c>
      <c r="P1122" s="97" t="n">
        <v>98.01408000000001</v>
      </c>
      <c r="Q1122" s="97" t="n"/>
      <c r="R1122" s="97" t="n">
        <v>107</v>
      </c>
      <c r="S1122" s="97" t="n">
        <v>99.78082999999999</v>
      </c>
      <c r="T1122" s="97" t="n">
        <v>100.2942</v>
      </c>
      <c r="U1122" s="97" t="n">
        <v>105.3771</v>
      </c>
      <c r="V1122" s="97" t="n">
        <v>87.00725</v>
      </c>
      <c r="W1122" s="97" t="n">
        <v>63.70649</v>
      </c>
      <c r="X1122" s="97" t="n">
        <v>97.54897</v>
      </c>
      <c r="Y1122" s="97" t="n">
        <v>99.57845</v>
      </c>
      <c r="Z1122" s="97" t="n">
        <v>104.2913</v>
      </c>
      <c r="AA1122" s="97" t="n">
        <v>101.1006</v>
      </c>
      <c r="AB1122" s="97" t="n">
        <v>101.2986</v>
      </c>
      <c r="AC1122" s="97" t="n">
        <v>96.89192</v>
      </c>
      <c r="AD1122" s="97" t="n">
        <v>97.2</v>
      </c>
      <c r="AE1122" s="97" t="n">
        <v>106.5756</v>
      </c>
      <c r="AF1122" s="97" t="n">
        <v>105.3912</v>
      </c>
      <c r="AG1122" s="97" t="n">
        <v>103.9178</v>
      </c>
      <c r="AH1122" s="97" t="n">
        <v>97.1477</v>
      </c>
      <c r="AI1122" s="97" t="n">
        <v>91.59999999999999</v>
      </c>
      <c r="AJ1122" s="97" t="n">
        <v>96.50615999999999</v>
      </c>
      <c r="AK1122" s="97" t="n">
        <v>90.91515</v>
      </c>
      <c r="AL1122" s="97" t="n">
        <v>93.30777999999999</v>
      </c>
      <c r="AM1122" s="97" t="n">
        <v>106.8</v>
      </c>
      <c r="AN1122" s="97" t="n"/>
      <c r="AO1122" s="97" t="n">
        <v>96.1397</v>
      </c>
      <c r="AP1122" s="97" t="n">
        <v>98.18364</v>
      </c>
      <c r="AQ1122" s="97" t="n"/>
      <c r="AR1122" s="97" t="n"/>
      <c r="AS1122" s="97" t="n"/>
      <c r="AT1122" s="97" t="n">
        <v>92.72802</v>
      </c>
      <c r="AU1122" s="97" t="n"/>
      <c r="AV1122" s="97" t="n">
        <v>90.59999999999999</v>
      </c>
      <c r="AW1122" s="97" t="n"/>
      <c r="AX1122" s="97" t="n">
        <v>83.99299999999999</v>
      </c>
      <c r="AY1122" s="97" t="n">
        <v>108.7806</v>
      </c>
    </row>
    <row r="1123" s="135">
      <c r="A1123" t="inlineStr">
        <is>
          <t>2012-06</t>
        </is>
      </c>
      <c r="B1123" s="2" t="n">
        <v>41061</v>
      </c>
      <c r="C1123" s="96" t="n">
        <v>1123</v>
      </c>
      <c r="E1123" s="2">
        <f>B1123</f>
        <v/>
      </c>
      <c r="F1123" s="3">
        <f>B1123</f>
        <v/>
      </c>
      <c r="G1123" s="96" t="n">
        <v>1121</v>
      </c>
      <c r="H1123" s="97" t="n"/>
      <c r="I1123" s="97" t="n"/>
      <c r="J1123" s="97" t="n">
        <v>99.99167</v>
      </c>
      <c r="K1123" s="97" t="n">
        <v>94.47175</v>
      </c>
      <c r="L1123" s="97" t="n"/>
      <c r="M1123" s="97" t="n">
        <v>92.28462</v>
      </c>
      <c r="N1123" s="97" t="n">
        <v>97.29189</v>
      </c>
      <c r="O1123" s="97" t="n">
        <v>98.5</v>
      </c>
      <c r="P1123" s="97" t="n">
        <v>97.52708</v>
      </c>
      <c r="Q1123" s="97" t="n"/>
      <c r="R1123" s="97" t="n">
        <v>108.3</v>
      </c>
      <c r="S1123" s="97" t="n">
        <v>99.18082</v>
      </c>
      <c r="T1123" s="97" t="n">
        <v>98.21768</v>
      </c>
      <c r="U1123" s="97" t="n">
        <v>103.7789</v>
      </c>
      <c r="V1123" s="97" t="n">
        <v>84.60705</v>
      </c>
      <c r="W1123" s="97" t="n">
        <v>62.63526</v>
      </c>
      <c r="X1123" s="97" t="n">
        <v>93.30495000000001</v>
      </c>
      <c r="Y1123" s="97" t="n">
        <v>97.70492</v>
      </c>
      <c r="Z1123" s="97" t="n">
        <v>102.1915</v>
      </c>
      <c r="AA1123" s="97" t="n">
        <v>100.3821</v>
      </c>
      <c r="AB1123" s="97" t="n">
        <v>99.26173</v>
      </c>
      <c r="AC1123" s="97" t="n">
        <v>101.3915</v>
      </c>
      <c r="AD1123" s="97" t="n">
        <v>98.3</v>
      </c>
      <c r="AE1123" s="97" t="n">
        <v>107.1992</v>
      </c>
      <c r="AF1123" s="97" t="n">
        <v>105.3912</v>
      </c>
      <c r="AG1123" s="97" t="n">
        <v>103.4523</v>
      </c>
      <c r="AH1123" s="97" t="n">
        <v>96.61136999999999</v>
      </c>
      <c r="AI1123" s="97" t="n">
        <v>90.40000000000001</v>
      </c>
      <c r="AJ1123" s="97" t="n">
        <v>96.43713</v>
      </c>
      <c r="AK1123" s="97" t="n">
        <v>88.91482000000001</v>
      </c>
      <c r="AL1123" s="97" t="n">
        <v>95.20793</v>
      </c>
      <c r="AM1123" s="97" t="n">
        <v>104.7</v>
      </c>
      <c r="AN1123" s="97" t="n"/>
      <c r="AO1123" s="97" t="n">
        <v>96.12088</v>
      </c>
      <c r="AP1123" s="97" t="n">
        <v>97.38377</v>
      </c>
      <c r="AQ1123" s="97" t="n"/>
      <c r="AR1123" s="97" t="n"/>
      <c r="AS1123" s="97" t="n"/>
      <c r="AT1123" s="97" t="n">
        <v>91.56520999999999</v>
      </c>
      <c r="AU1123" s="97" t="n"/>
      <c r="AV1123" s="97" t="n">
        <v>90.8</v>
      </c>
      <c r="AW1123" s="97" t="n"/>
      <c r="AX1123" s="97" t="n">
        <v>83.39305</v>
      </c>
      <c r="AY1123" s="97" t="n">
        <v>109.0008</v>
      </c>
    </row>
    <row r="1124" s="135">
      <c r="A1124" t="inlineStr">
        <is>
          <t>2012-07</t>
        </is>
      </c>
      <c r="B1124" s="2" t="n">
        <v>41091</v>
      </c>
      <c r="C1124" s="96" t="n">
        <v>1124</v>
      </c>
      <c r="E1124" s="2">
        <f>B1124</f>
        <v/>
      </c>
      <c r="F1124" s="3">
        <f>B1124</f>
        <v/>
      </c>
      <c r="G1124" s="96" t="n">
        <v>1122</v>
      </c>
      <c r="H1124" s="97" t="n"/>
      <c r="I1124" s="97" t="n"/>
      <c r="J1124" s="97" t="n">
        <v>99.89167999999999</v>
      </c>
      <c r="K1124" s="97" t="n">
        <v>94.11485999999999</v>
      </c>
      <c r="L1124" s="97" t="n"/>
      <c r="M1124" s="97" t="n">
        <v>92.38461</v>
      </c>
      <c r="N1124" s="97" t="n">
        <v>98.3918</v>
      </c>
      <c r="O1124" s="97" t="n">
        <v>101.6</v>
      </c>
      <c r="P1124" s="97" t="n">
        <v>96.73108000000001</v>
      </c>
      <c r="Q1124" s="97" t="n"/>
      <c r="R1124" s="97" t="n">
        <v>107.4</v>
      </c>
      <c r="S1124" s="97" t="n">
        <v>99.75082999999999</v>
      </c>
      <c r="T1124" s="97" t="n">
        <v>101.0209</v>
      </c>
      <c r="U1124" s="97" t="n">
        <v>106.3759</v>
      </c>
      <c r="V1124" s="97" t="n">
        <v>85.00709000000001</v>
      </c>
      <c r="W1124" s="97" t="n">
        <v>61.75307</v>
      </c>
      <c r="X1124" s="97" t="n">
        <v>91.75529</v>
      </c>
      <c r="Y1124" s="97" t="n">
        <v>100.5152</v>
      </c>
      <c r="Z1124" s="97" t="n">
        <v>103.1914</v>
      </c>
      <c r="AA1124" s="97" t="n">
        <v>99.86893999999999</v>
      </c>
      <c r="AB1124" s="97" t="n">
        <v>98.3458</v>
      </c>
      <c r="AC1124" s="97" t="n">
        <v>100.7916</v>
      </c>
      <c r="AD1124" s="97" t="n">
        <v>97.3</v>
      </c>
      <c r="AE1124" s="97" t="n">
        <v>106.8239</v>
      </c>
      <c r="AF1124" s="97" t="n">
        <v>101.6915</v>
      </c>
      <c r="AG1124" s="97" t="n">
        <v>99.96120999999999</v>
      </c>
      <c r="AH1124" s="97" t="n">
        <v>96.82259999999999</v>
      </c>
      <c r="AI1124" s="97" t="n">
        <v>90.40000000000001</v>
      </c>
      <c r="AJ1124" s="97" t="n">
        <v>97.80061000000001</v>
      </c>
      <c r="AK1124" s="97" t="n">
        <v>92.21536999999999</v>
      </c>
      <c r="AL1124" s="97" t="n">
        <v>93.90783</v>
      </c>
      <c r="AM1124" s="97" t="n">
        <v>104.3</v>
      </c>
      <c r="AN1124" s="97" t="n"/>
      <c r="AO1124" s="97" t="n">
        <v>96.37311</v>
      </c>
      <c r="AP1124" s="97" t="n">
        <v>97.68371999999999</v>
      </c>
      <c r="AQ1124" s="97" t="n"/>
      <c r="AR1124" s="97" t="n"/>
      <c r="AS1124" s="97" t="n"/>
      <c r="AT1124" s="97" t="n">
        <v>90.96144</v>
      </c>
      <c r="AU1124" s="97" t="n"/>
      <c r="AV1124" s="97" t="n">
        <v>91.40000000000001</v>
      </c>
      <c r="AW1124" s="97" t="n"/>
      <c r="AX1124" s="97" t="n">
        <v>84.19298999999999</v>
      </c>
      <c r="AY1124" s="97" t="n">
        <v>110.6524</v>
      </c>
    </row>
    <row r="1125" s="135">
      <c r="A1125" t="inlineStr">
        <is>
          <t>2012-08</t>
        </is>
      </c>
      <c r="B1125" s="2" t="n">
        <v>41122</v>
      </c>
      <c r="C1125" s="96" t="n">
        <v>1125</v>
      </c>
      <c r="E1125" s="2">
        <f>B1125</f>
        <v/>
      </c>
      <c r="F1125" s="3">
        <f>B1125</f>
        <v/>
      </c>
      <c r="G1125" s="96" t="n">
        <v>1123</v>
      </c>
      <c r="H1125" s="97" t="n"/>
      <c r="I1125" s="97" t="n"/>
      <c r="J1125" s="97" t="n">
        <v>100.8916</v>
      </c>
      <c r="K1125" s="97" t="n">
        <v>93.16833</v>
      </c>
      <c r="L1125" s="97" t="n"/>
      <c r="M1125" s="97" t="n">
        <v>89.68505</v>
      </c>
      <c r="N1125" s="97" t="n">
        <v>98.3918</v>
      </c>
      <c r="O1125" s="97" t="n">
        <v>99.2</v>
      </c>
      <c r="P1125" s="97" t="n">
        <v>98.98408999999999</v>
      </c>
      <c r="Q1125" s="97" t="n"/>
      <c r="R1125" s="97" t="n">
        <v>105.3</v>
      </c>
      <c r="S1125" s="97" t="n">
        <v>101.7408</v>
      </c>
      <c r="T1125" s="97" t="n">
        <v>100.398</v>
      </c>
      <c r="U1125" s="97" t="n">
        <v>106.3759</v>
      </c>
      <c r="V1125" s="97" t="n">
        <v>87.80732</v>
      </c>
      <c r="W1125" s="97" t="n">
        <v>64.96675</v>
      </c>
      <c r="X1125" s="97" t="n">
        <v>91.20411</v>
      </c>
      <c r="Y1125" s="97" t="n">
        <v>102.6698</v>
      </c>
      <c r="Z1125" s="97" t="n">
        <v>102.6914</v>
      </c>
      <c r="AA1125" s="97" t="n">
        <v>98.63726</v>
      </c>
      <c r="AB1125" s="97" t="n">
        <v>97.08591</v>
      </c>
      <c r="AC1125" s="97" t="n">
        <v>97.79185</v>
      </c>
      <c r="AD1125" s="97" t="n">
        <v>100.4</v>
      </c>
      <c r="AE1125" s="97" t="n">
        <v>105.992</v>
      </c>
      <c r="AF1125" s="97" t="n">
        <v>103.2914</v>
      </c>
      <c r="AG1125" s="97" t="n">
        <v>101.2413</v>
      </c>
      <c r="AH1125" s="97" t="n">
        <v>96.56668000000001</v>
      </c>
      <c r="AI1125" s="97" t="n">
        <v>90.2</v>
      </c>
      <c r="AJ1125" s="97" t="n">
        <v>99.97373</v>
      </c>
      <c r="AK1125" s="97" t="n">
        <v>88.51476</v>
      </c>
      <c r="AL1125" s="97" t="n">
        <v>96.008</v>
      </c>
      <c r="AM1125" s="97" t="n">
        <v>106.5</v>
      </c>
      <c r="AN1125" s="97" t="n"/>
      <c r="AO1125" s="97" t="n">
        <v>95.91264</v>
      </c>
      <c r="AP1125" s="97" t="n">
        <v>98.38361</v>
      </c>
      <c r="AQ1125" s="97" t="n"/>
      <c r="AR1125" s="97" t="n"/>
      <c r="AS1125" s="97" t="n"/>
      <c r="AT1125" s="97" t="n">
        <v>91.17377</v>
      </c>
      <c r="AU1125" s="97" t="n"/>
      <c r="AV1125" s="97" t="n">
        <v>92.5</v>
      </c>
      <c r="AW1125" s="97" t="n"/>
      <c r="AX1125" s="97" t="n">
        <v>82.99308000000001</v>
      </c>
      <c r="AY1125" s="97" t="n">
        <v>112.9645</v>
      </c>
    </row>
    <row r="1126" s="135">
      <c r="A1126" t="inlineStr">
        <is>
          <t>2012-09</t>
        </is>
      </c>
      <c r="B1126" s="2" t="n">
        <v>41153</v>
      </c>
      <c r="C1126" s="96" t="n">
        <v>1126</v>
      </c>
      <c r="E1126" s="2">
        <f>B1126</f>
        <v/>
      </c>
      <c r="F1126" s="3">
        <f>B1126</f>
        <v/>
      </c>
      <c r="G1126" s="96" t="n">
        <v>1124</v>
      </c>
      <c r="H1126" s="97" t="n"/>
      <c r="I1126" s="97" t="n"/>
      <c r="J1126" s="97" t="n">
        <v>101.1916</v>
      </c>
      <c r="K1126" s="97" t="n">
        <v>92.85505999999999</v>
      </c>
      <c r="L1126" s="97" t="n"/>
      <c r="M1126" s="97" t="n">
        <v>90.18497000000001</v>
      </c>
      <c r="N1126" s="97" t="n">
        <v>97.09191</v>
      </c>
      <c r="O1126" s="97" t="n">
        <v>100.2</v>
      </c>
      <c r="P1126" s="97" t="n">
        <v>95.50408</v>
      </c>
      <c r="Q1126" s="97" t="n"/>
      <c r="R1126" s="97" t="n">
        <v>105.5</v>
      </c>
      <c r="S1126" s="97" t="n">
        <v>99.96083</v>
      </c>
      <c r="T1126" s="97" t="n">
        <v>97.17944</v>
      </c>
      <c r="U1126" s="97" t="n">
        <v>103.8788</v>
      </c>
      <c r="V1126" s="97" t="n">
        <v>87.20726999999999</v>
      </c>
      <c r="W1126" s="97" t="n">
        <v>56.52296</v>
      </c>
      <c r="X1126" s="97" t="n">
        <v>93.77197</v>
      </c>
      <c r="Y1126" s="97" t="n">
        <v>101.6393</v>
      </c>
      <c r="Z1126" s="97" t="n">
        <v>102.3915</v>
      </c>
      <c r="AA1126" s="97" t="n">
        <v>96.48181</v>
      </c>
      <c r="AB1126" s="97" t="n">
        <v>98.24181</v>
      </c>
      <c r="AC1126" s="97" t="n">
        <v>100.2916</v>
      </c>
      <c r="AD1126" s="97" t="n">
        <v>97.5</v>
      </c>
      <c r="AE1126" s="97" t="n">
        <v>107.2761</v>
      </c>
      <c r="AF1126" s="97" t="n">
        <v>102.4915</v>
      </c>
      <c r="AG1126" s="97" t="n">
        <v>95.53918</v>
      </c>
      <c r="AH1126" s="97" t="n">
        <v>95.95241</v>
      </c>
      <c r="AI1126" s="97" t="n">
        <v>90.7</v>
      </c>
      <c r="AJ1126" s="97" t="n">
        <v>96.13030000000001</v>
      </c>
      <c r="AK1126" s="97" t="n">
        <v>89.4149</v>
      </c>
      <c r="AL1126" s="97" t="n">
        <v>94.40787</v>
      </c>
      <c r="AM1126" s="97" t="n">
        <v>101.2</v>
      </c>
      <c r="AN1126" s="97" t="n"/>
      <c r="AO1126" s="97" t="n">
        <v>95.95961</v>
      </c>
      <c r="AP1126" s="97" t="n">
        <v>96.48392</v>
      </c>
      <c r="AQ1126" s="97" t="n"/>
      <c r="AR1126" s="97" t="n"/>
      <c r="AS1126" s="97" t="n"/>
      <c r="AT1126" s="97" t="n">
        <v>89.87418</v>
      </c>
      <c r="AU1126" s="97" t="n"/>
      <c r="AV1126" s="97" t="n">
        <v>91.59999999999999</v>
      </c>
      <c r="AW1126" s="97" t="n"/>
      <c r="AX1126" s="97" t="n">
        <v>84.89293000000001</v>
      </c>
      <c r="AY1126" s="97" t="n">
        <v>110.7625</v>
      </c>
    </row>
    <row r="1127" s="135">
      <c r="A1127" t="inlineStr">
        <is>
          <t>2012-10</t>
        </is>
      </c>
      <c r="B1127" s="2" t="n">
        <v>41183</v>
      </c>
      <c r="C1127" s="96" t="n">
        <v>1127</v>
      </c>
      <c r="E1127" s="2">
        <f>B1127</f>
        <v/>
      </c>
      <c r="F1127" s="3">
        <f>B1127</f>
        <v/>
      </c>
      <c r="G1127" s="96" t="n">
        <v>1125</v>
      </c>
      <c r="H1127" s="97" t="n"/>
      <c r="I1127" s="97" t="n"/>
      <c r="J1127" s="97" t="n">
        <v>96.89192</v>
      </c>
      <c r="K1127" s="97" t="n">
        <v>92.83179</v>
      </c>
      <c r="L1127" s="97" t="n"/>
      <c r="M1127" s="97" t="n">
        <v>88.7852</v>
      </c>
      <c r="N1127" s="97" t="n">
        <v>95.79201999999999</v>
      </c>
      <c r="O1127" s="97" t="n">
        <v>99.59999999999999</v>
      </c>
      <c r="P1127" s="97" t="n">
        <v>96.34308</v>
      </c>
      <c r="Q1127" s="97" t="n"/>
      <c r="R1127" s="97" t="n">
        <v>104.6</v>
      </c>
      <c r="S1127" s="97" t="n">
        <v>98.19082</v>
      </c>
      <c r="T1127" s="97" t="n">
        <v>97.07561</v>
      </c>
      <c r="U1127" s="97" t="n">
        <v>105.2772</v>
      </c>
      <c r="V1127" s="97" t="n">
        <v>84.50704</v>
      </c>
      <c r="W1127" s="97" t="n">
        <v>61.50102</v>
      </c>
      <c r="X1127" s="97" t="n">
        <v>97.52485</v>
      </c>
      <c r="Y1127" s="97" t="n">
        <v>100.7026</v>
      </c>
      <c r="Z1127" s="97" t="n">
        <v>100.5916</v>
      </c>
      <c r="AA1127" s="97" t="n">
        <v>96.78973000000001</v>
      </c>
      <c r="AB1127" s="97" t="n">
        <v>99.64870000000001</v>
      </c>
      <c r="AC1127" s="97" t="n">
        <v>98.49178999999999</v>
      </c>
      <c r="AD1127" s="97" t="n">
        <v>97.2</v>
      </c>
      <c r="AE1127" s="97" t="n">
        <v>105.5472</v>
      </c>
      <c r="AF1127" s="97" t="n">
        <v>102.3915</v>
      </c>
      <c r="AG1127" s="97" t="n">
        <v>100.5431</v>
      </c>
      <c r="AH1127" s="97" t="n">
        <v>95.85386</v>
      </c>
      <c r="AI1127" s="97" t="n">
        <v>90.3</v>
      </c>
      <c r="AJ1127" s="97" t="n">
        <v>94.77343999999999</v>
      </c>
      <c r="AK1127" s="97" t="n">
        <v>89.11485</v>
      </c>
      <c r="AL1127" s="97" t="n">
        <v>93.70780999999999</v>
      </c>
      <c r="AM1127" s="97" t="n">
        <v>102.5</v>
      </c>
      <c r="AN1127" s="97" t="n"/>
      <c r="AO1127" s="97" t="n">
        <v>96.16305</v>
      </c>
      <c r="AP1127" s="97" t="n">
        <v>95.78403</v>
      </c>
      <c r="AQ1127" s="97" t="n"/>
      <c r="AR1127" s="97" t="n"/>
      <c r="AS1127" s="97" t="n"/>
      <c r="AT1127" s="97" t="n">
        <v>92.22176</v>
      </c>
      <c r="AU1127" s="97" t="n"/>
      <c r="AV1127" s="97" t="n">
        <v>91.3</v>
      </c>
      <c r="AW1127" s="97" t="n"/>
      <c r="AX1127" s="97" t="n">
        <v>84.99292</v>
      </c>
      <c r="AY1127" s="97" t="n">
        <v>112.414</v>
      </c>
    </row>
    <row r="1128" s="135">
      <c r="A1128" t="inlineStr">
        <is>
          <t>2012-11</t>
        </is>
      </c>
      <c r="B1128" s="2" t="n">
        <v>41214</v>
      </c>
      <c r="C1128" s="96" t="n">
        <v>1128</v>
      </c>
      <c r="E1128" s="2">
        <f>B1128</f>
        <v/>
      </c>
      <c r="F1128" s="3">
        <f>B1128</f>
        <v/>
      </c>
      <c r="G1128" s="96" t="n">
        <v>1126</v>
      </c>
      <c r="H1128" s="97" t="n"/>
      <c r="I1128" s="97" t="n"/>
      <c r="J1128" s="97" t="n">
        <v>96.19199</v>
      </c>
      <c r="K1128" s="97" t="n">
        <v>93.78018</v>
      </c>
      <c r="L1128" s="97" t="n"/>
      <c r="M1128" s="97" t="n">
        <v>88.08532</v>
      </c>
      <c r="N1128" s="97" t="n">
        <v>95.09208</v>
      </c>
      <c r="O1128" s="97" t="n">
        <v>101.8</v>
      </c>
      <c r="P1128" s="97" t="n">
        <v>93.98208</v>
      </c>
      <c r="Q1128" s="97" t="n"/>
      <c r="R1128" s="97" t="n">
        <v>103.7</v>
      </c>
      <c r="S1128" s="97" t="n">
        <v>98.18082</v>
      </c>
      <c r="T1128" s="97" t="n">
        <v>97.69856</v>
      </c>
      <c r="U1128" s="97" t="n">
        <v>102.0809</v>
      </c>
      <c r="V1128" s="97" t="n">
        <v>84.20702</v>
      </c>
      <c r="W1128" s="97" t="n">
        <v>60.11472</v>
      </c>
      <c r="X1128" s="97" t="n">
        <v>89.14941</v>
      </c>
      <c r="Y1128" s="97" t="n">
        <v>98.1733</v>
      </c>
      <c r="Z1128" s="97" t="n">
        <v>99.19173000000001</v>
      </c>
      <c r="AA1128" s="97" t="n">
        <v>96.07125000000001</v>
      </c>
      <c r="AB1128" s="97" t="n">
        <v>100.5166</v>
      </c>
      <c r="AC1128" s="97" t="n">
        <v>89.99250000000001</v>
      </c>
      <c r="AD1128" s="97" t="n">
        <v>98.2</v>
      </c>
      <c r="AE1128" s="97" t="n">
        <v>107.168</v>
      </c>
      <c r="AF1128" s="97" t="n">
        <v>103.6914</v>
      </c>
      <c r="AG1128" s="97" t="n">
        <v>98.0993</v>
      </c>
      <c r="AH1128" s="97" t="n">
        <v>95.69907000000001</v>
      </c>
      <c r="AI1128" s="97" t="n">
        <v>89.2</v>
      </c>
      <c r="AJ1128" s="97" t="n">
        <v>94.7961</v>
      </c>
      <c r="AK1128" s="97" t="n">
        <v>86.51442</v>
      </c>
      <c r="AL1128" s="97" t="n">
        <v>91.60764</v>
      </c>
      <c r="AM1128" s="97" t="n">
        <v>100.4</v>
      </c>
      <c r="AN1128" s="97" t="n"/>
      <c r="AO1128" s="97" t="n">
        <v>96.6264</v>
      </c>
      <c r="AP1128" s="97" t="n">
        <v>95.08414999999999</v>
      </c>
      <c r="AQ1128" s="97" t="n"/>
      <c r="AR1128" s="97" t="n"/>
      <c r="AS1128" s="97" t="n"/>
      <c r="AT1128" s="97" t="n">
        <v>91.10496000000001</v>
      </c>
      <c r="AU1128" s="97" t="n"/>
      <c r="AV1128" s="97" t="n">
        <v>91.5</v>
      </c>
      <c r="AW1128" s="97" t="n"/>
      <c r="AX1128" s="97" t="n">
        <v>83.79301</v>
      </c>
      <c r="AY1128" s="97" t="n">
        <v>110.6524</v>
      </c>
    </row>
    <row r="1129" s="135">
      <c r="A1129" t="inlineStr">
        <is>
          <t>2012-12</t>
        </is>
      </c>
      <c r="B1129" s="2" t="n">
        <v>41244</v>
      </c>
      <c r="C1129" s="96" t="n">
        <v>1129</v>
      </c>
      <c r="E1129" s="2">
        <f>B1129</f>
        <v/>
      </c>
      <c r="F1129" s="3">
        <f>B1129</f>
        <v/>
      </c>
      <c r="G1129" s="96" t="n">
        <v>1127</v>
      </c>
      <c r="H1129" s="97" t="n"/>
      <c r="I1129" s="97" t="n"/>
      <c r="J1129" s="97" t="n">
        <v>97.79185</v>
      </c>
      <c r="K1129" s="97" t="n">
        <v>93.37273</v>
      </c>
      <c r="L1129" s="97" t="n"/>
      <c r="M1129" s="97" t="n">
        <v>89.18513</v>
      </c>
      <c r="N1129" s="97" t="n">
        <v>95.89201</v>
      </c>
      <c r="O1129" s="97" t="n">
        <v>99.8</v>
      </c>
      <c r="P1129" s="97" t="n">
        <v>94.35408</v>
      </c>
      <c r="Q1129" s="97" t="n"/>
      <c r="R1129" s="97" t="n">
        <v>104.4</v>
      </c>
      <c r="S1129" s="97" t="n">
        <v>99.49083</v>
      </c>
      <c r="T1129" s="97" t="n">
        <v>98.42533</v>
      </c>
      <c r="U1129" s="97" t="n">
        <v>100.5827</v>
      </c>
      <c r="V1129" s="97" t="n">
        <v>84.90707</v>
      </c>
      <c r="W1129" s="97" t="n">
        <v>61.438</v>
      </c>
      <c r="X1129" s="97" t="n">
        <v>80.45629</v>
      </c>
      <c r="Y1129" s="97" t="n">
        <v>95.55034999999999</v>
      </c>
      <c r="Z1129" s="97" t="n">
        <v>99.89167999999999</v>
      </c>
      <c r="AA1129" s="97" t="n">
        <v>97.40557</v>
      </c>
      <c r="AB1129" s="97" t="n">
        <v>100.4506</v>
      </c>
      <c r="AC1129" s="97" t="n">
        <v>94.19215</v>
      </c>
      <c r="AD1129" s="97" t="n">
        <v>101.2</v>
      </c>
      <c r="AE1129" s="97" t="n">
        <v>105.8489</v>
      </c>
      <c r="AF1129" s="97" t="n">
        <v>102.5915</v>
      </c>
      <c r="AG1129" s="97" t="n">
        <v>99.26299</v>
      </c>
      <c r="AH1129" s="97" t="n">
        <v>96.13</v>
      </c>
      <c r="AI1129" s="97" t="n">
        <v>88.90000000000001</v>
      </c>
      <c r="AJ1129" s="97" t="n">
        <v>93.97554</v>
      </c>
      <c r="AK1129" s="97" t="n">
        <v>88.21469999999999</v>
      </c>
      <c r="AL1129" s="97" t="n">
        <v>91.90766000000001</v>
      </c>
      <c r="AM1129" s="97" t="n">
        <v>102.1</v>
      </c>
      <c r="AN1129" s="97" t="n"/>
      <c r="AO1129" s="97" t="n">
        <v>96.96747000000001</v>
      </c>
      <c r="AP1129" s="97" t="n">
        <v>95.58407</v>
      </c>
      <c r="AQ1129" s="97" t="n"/>
      <c r="AR1129" s="97" t="n"/>
      <c r="AS1129" s="97" t="n"/>
      <c r="AT1129" s="97" t="n">
        <v>91.40273000000001</v>
      </c>
      <c r="AU1129" s="97" t="n"/>
      <c r="AV1129" s="97" t="n">
        <v>91.7</v>
      </c>
      <c r="AW1129" s="97" t="n"/>
      <c r="AX1129" s="97" t="n">
        <v>84.99292</v>
      </c>
      <c r="AY1129" s="97" t="n">
        <v>111.5332</v>
      </c>
    </row>
    <row r="1130" s="135">
      <c r="A1130" t="inlineStr">
        <is>
          <t>2013-01</t>
        </is>
      </c>
      <c r="B1130" s="2" t="n">
        <v>41275</v>
      </c>
      <c r="C1130" s="96" t="n">
        <v>1130</v>
      </c>
      <c r="E1130" s="2">
        <f>B1130</f>
        <v/>
      </c>
      <c r="F1130" s="3">
        <f>B1130</f>
        <v/>
      </c>
      <c r="G1130" s="96" t="n">
        <v>1128</v>
      </c>
      <c r="H1130" s="97" t="n"/>
      <c r="I1130" s="97" t="n"/>
      <c r="J1130" s="97" t="n">
        <v>96.39197</v>
      </c>
      <c r="K1130" s="97" t="n">
        <v>94.0956</v>
      </c>
      <c r="L1130" s="97" t="n"/>
      <c r="M1130" s="97" t="n">
        <v>88.68522</v>
      </c>
      <c r="N1130" s="97" t="n">
        <v>94.69211</v>
      </c>
      <c r="O1130" s="97" t="n">
        <v>101.2</v>
      </c>
      <c r="P1130" s="97" t="n">
        <v>95.38208</v>
      </c>
      <c r="Q1130" s="97" t="n"/>
      <c r="R1130" s="97" t="n">
        <v>104.5</v>
      </c>
      <c r="S1130" s="97" t="n">
        <v>98.56082000000001</v>
      </c>
      <c r="T1130" s="97" t="n">
        <v>97.49091</v>
      </c>
      <c r="U1130" s="97" t="n">
        <v>100.5827</v>
      </c>
      <c r="V1130" s="97" t="n">
        <v>84.80707</v>
      </c>
      <c r="W1130" s="97" t="n">
        <v>59.61062</v>
      </c>
      <c r="X1130" s="97" t="n">
        <v>90.14709000000001</v>
      </c>
      <c r="Y1130" s="97" t="n">
        <v>96.48712</v>
      </c>
      <c r="Z1130" s="97" t="n">
        <v>99.99167</v>
      </c>
      <c r="AA1130" s="97" t="n">
        <v>95.39205</v>
      </c>
      <c r="AB1130" s="97" t="n">
        <v>100.6006</v>
      </c>
      <c r="AC1130" s="97" t="n">
        <v>91.89234</v>
      </c>
      <c r="AD1130" s="97" t="n">
        <v>99.5</v>
      </c>
      <c r="AE1130" s="97" t="n">
        <v>105.333</v>
      </c>
      <c r="AF1130" s="97" t="n">
        <v>104.2913</v>
      </c>
      <c r="AG1130" s="97" t="n">
        <v>95.30643999999999</v>
      </c>
      <c r="AH1130" s="97" t="n">
        <v>95.70144000000001</v>
      </c>
      <c r="AI1130" s="97" t="n">
        <v>88.90000000000001</v>
      </c>
      <c r="AJ1130" s="97" t="n">
        <v>96.07362000000001</v>
      </c>
      <c r="AK1130" s="97" t="n">
        <v>88.31471999999999</v>
      </c>
      <c r="AL1130" s="97" t="n">
        <v>93.50779</v>
      </c>
      <c r="AM1130" s="97" t="n">
        <v>99.90000000000001</v>
      </c>
      <c r="AN1130" s="97" t="n"/>
      <c r="AO1130" s="97" t="n">
        <v>96.83896</v>
      </c>
      <c r="AP1130" s="97" t="n">
        <v>95.18414</v>
      </c>
      <c r="AQ1130" s="97" t="n"/>
      <c r="AR1130" s="97" t="n"/>
      <c r="AS1130" s="97" t="n"/>
      <c r="AT1130" s="97" t="n">
        <v>91.32375</v>
      </c>
      <c r="AU1130" s="97" t="n"/>
      <c r="AV1130" s="97" t="n">
        <v>89.3</v>
      </c>
      <c r="AW1130" s="97" t="n"/>
      <c r="AX1130" s="97" t="n">
        <v>85.39288000000001</v>
      </c>
      <c r="AY1130" s="97" t="n">
        <v>112.414</v>
      </c>
    </row>
    <row r="1131" s="135">
      <c r="A1131" t="inlineStr">
        <is>
          <t>2013-02</t>
        </is>
      </c>
      <c r="B1131" s="2" t="n">
        <v>41306</v>
      </c>
      <c r="C1131" s="96" t="n">
        <v>1131</v>
      </c>
      <c r="E1131" s="2">
        <f>B1131</f>
        <v/>
      </c>
      <c r="F1131" s="3">
        <f>B1131</f>
        <v/>
      </c>
      <c r="G1131" s="96" t="n">
        <v>1129</v>
      </c>
      <c r="H1131" s="97" t="n"/>
      <c r="I1131" s="97" t="n"/>
      <c r="J1131" s="97" t="n">
        <v>96.19199</v>
      </c>
      <c r="K1131" s="97" t="n">
        <v>95.0975</v>
      </c>
      <c r="L1131" s="97" t="n"/>
      <c r="M1131" s="97" t="n">
        <v>88.98517</v>
      </c>
      <c r="N1131" s="97" t="n">
        <v>95.49204</v>
      </c>
      <c r="O1131" s="97" t="n">
        <v>98.7</v>
      </c>
      <c r="P1131" s="97" t="n">
        <v>94.61908</v>
      </c>
      <c r="Q1131" s="97" t="n"/>
      <c r="R1131" s="97" t="n">
        <v>103.8</v>
      </c>
      <c r="S1131" s="97" t="n">
        <v>99.68083</v>
      </c>
      <c r="T1131" s="97" t="n">
        <v>97.38709</v>
      </c>
      <c r="U1131" s="97" t="n">
        <v>99.0844</v>
      </c>
      <c r="V1131" s="97" t="n">
        <v>84.70706</v>
      </c>
      <c r="W1131" s="97" t="n">
        <v>59.29555</v>
      </c>
      <c r="X1131" s="97" t="n">
        <v>101.7262</v>
      </c>
      <c r="Y1131" s="97" t="n">
        <v>98.82904000000001</v>
      </c>
      <c r="Z1131" s="97" t="n">
        <v>99.39172000000001</v>
      </c>
      <c r="AA1131" s="97" t="n">
        <v>96.99191999999999</v>
      </c>
      <c r="AB1131" s="97" t="n">
        <v>100.0757</v>
      </c>
      <c r="AC1131" s="97" t="n">
        <v>93.19223</v>
      </c>
      <c r="AD1131" s="97" t="n">
        <v>96.8</v>
      </c>
      <c r="AE1131" s="97" t="n">
        <v>105.8798</v>
      </c>
      <c r="AF1131" s="97" t="n">
        <v>105.2912</v>
      </c>
      <c r="AG1131" s="97" t="n">
        <v>93.21178999999999</v>
      </c>
      <c r="AH1131" s="97" t="n">
        <v>96.14744</v>
      </c>
      <c r="AI1131" s="97" t="n">
        <v>89.90000000000001</v>
      </c>
      <c r="AJ1131" s="97" t="n">
        <v>95.30958</v>
      </c>
      <c r="AK1131" s="97" t="n">
        <v>88.31471999999999</v>
      </c>
      <c r="AL1131" s="97" t="n">
        <v>95.10793</v>
      </c>
      <c r="AM1131" s="97" t="n">
        <v>99.09999999999999</v>
      </c>
      <c r="AN1131" s="97" t="n"/>
      <c r="AO1131" s="97" t="n">
        <v>97.39519</v>
      </c>
      <c r="AP1131" s="97" t="n">
        <v>95.3841</v>
      </c>
      <c r="AQ1131" s="97" t="n"/>
      <c r="AR1131" s="97" t="n"/>
      <c r="AS1131" s="97" t="n"/>
      <c r="AT1131" s="97" t="n">
        <v>91.14263</v>
      </c>
      <c r="AU1131" s="97" t="n"/>
      <c r="AV1131" s="97" t="n">
        <v>90</v>
      </c>
      <c r="AW1131" s="97" t="n"/>
      <c r="AX1131" s="97" t="n">
        <v>87.29272</v>
      </c>
      <c r="AY1131" s="97" t="n">
        <v>109.7715</v>
      </c>
    </row>
    <row r="1132" s="135">
      <c r="A1132" t="inlineStr">
        <is>
          <t>2013-03</t>
        </is>
      </c>
      <c r="B1132" s="2" t="n">
        <v>41334</v>
      </c>
      <c r="C1132" s="96" t="n">
        <v>1132</v>
      </c>
      <c r="E1132" s="2">
        <f>B1132</f>
        <v/>
      </c>
      <c r="F1132" s="3">
        <f>B1132</f>
        <v/>
      </c>
      <c r="G1132" s="96" t="n">
        <v>1130</v>
      </c>
      <c r="H1132" s="97" t="n"/>
      <c r="I1132" s="97" t="n"/>
      <c r="J1132" s="97" t="n">
        <v>98.99175</v>
      </c>
      <c r="K1132" s="97" t="n">
        <v>95.68821</v>
      </c>
      <c r="L1132" s="97" t="n"/>
      <c r="M1132" s="97" t="n">
        <v>88.58524</v>
      </c>
      <c r="N1132" s="97" t="n">
        <v>96.79192999999999</v>
      </c>
      <c r="O1132" s="97" t="n">
        <v>98.3</v>
      </c>
      <c r="P1132" s="97" t="n">
        <v>95.57308</v>
      </c>
      <c r="Q1132" s="97" t="n"/>
      <c r="R1132" s="97" t="n">
        <v>105.4</v>
      </c>
      <c r="S1132" s="97" t="n">
        <v>99.81083</v>
      </c>
      <c r="T1132" s="97" t="n">
        <v>97.90621</v>
      </c>
      <c r="U1132" s="97" t="n">
        <v>101.3817</v>
      </c>
      <c r="V1132" s="97" t="n">
        <v>85.00709000000001</v>
      </c>
      <c r="W1132" s="97" t="n">
        <v>60.42979</v>
      </c>
      <c r="X1132" s="97" t="n">
        <v>93.60290999999999</v>
      </c>
      <c r="Y1132" s="97" t="n">
        <v>97.51756</v>
      </c>
      <c r="Z1132" s="97" t="n">
        <v>98.89176</v>
      </c>
      <c r="AA1132" s="97" t="n">
        <v>97.89185000000001</v>
      </c>
      <c r="AB1132" s="97" t="n">
        <v>98.28480999999999</v>
      </c>
      <c r="AC1132" s="97" t="n">
        <v>91.79235</v>
      </c>
      <c r="AD1132" s="97" t="n">
        <v>96</v>
      </c>
      <c r="AE1132" s="97" t="n">
        <v>106.3103</v>
      </c>
      <c r="AF1132" s="97" t="n">
        <v>107.1911</v>
      </c>
      <c r="AG1132" s="97" t="n">
        <v>93.21178999999999</v>
      </c>
      <c r="AH1132" s="97" t="n">
        <v>96.46838</v>
      </c>
      <c r="AI1132" s="97" t="n">
        <v>89.40000000000001</v>
      </c>
      <c r="AJ1132" s="97" t="n">
        <v>98.24287</v>
      </c>
      <c r="AK1132" s="97" t="n">
        <v>90.11502</v>
      </c>
      <c r="AL1132" s="97" t="n">
        <v>91.30761</v>
      </c>
      <c r="AM1132" s="97" t="n">
        <v>100.9</v>
      </c>
      <c r="AN1132" s="97" t="n"/>
      <c r="AO1132" s="97" t="n">
        <v>97.79082</v>
      </c>
      <c r="AP1132" s="97" t="n">
        <v>96.38393000000001</v>
      </c>
      <c r="AQ1132" s="97" t="n"/>
      <c r="AR1132" s="97" t="n"/>
      <c r="AS1132" s="97" t="n"/>
      <c r="AT1132" s="97" t="n">
        <v>92.90837999999999</v>
      </c>
      <c r="AU1132" s="97" t="n"/>
      <c r="AV1132" s="97" t="n">
        <v>92.90000000000001</v>
      </c>
      <c r="AW1132" s="97" t="n"/>
      <c r="AX1132" s="97" t="n">
        <v>86.99275</v>
      </c>
      <c r="AY1132" s="97" t="n">
        <v>111.4231</v>
      </c>
    </row>
    <row r="1133" s="135">
      <c r="A1133" t="inlineStr">
        <is>
          <t>2013-04</t>
        </is>
      </c>
      <c r="B1133" s="2" t="n">
        <v>41365</v>
      </c>
      <c r="C1133" s="96" t="n">
        <v>1133</v>
      </c>
      <c r="E1133" s="2">
        <f>B1133</f>
        <v/>
      </c>
      <c r="F1133" s="3">
        <f>B1133</f>
        <v/>
      </c>
      <c r="G1133" s="96" t="n">
        <v>1131</v>
      </c>
      <c r="H1133" s="97" t="n"/>
      <c r="I1133" s="97" t="n"/>
      <c r="J1133" s="97" t="n">
        <v>99.5917</v>
      </c>
      <c r="K1133" s="97" t="n">
        <v>95.02446999999999</v>
      </c>
      <c r="L1133" s="97" t="n"/>
      <c r="M1133" s="97" t="n">
        <v>89.68505</v>
      </c>
      <c r="N1133" s="97" t="n">
        <v>97.09191</v>
      </c>
      <c r="O1133" s="97" t="n">
        <v>100.2</v>
      </c>
      <c r="P1133" s="97" t="n">
        <v>94.34708000000001</v>
      </c>
      <c r="Q1133" s="97" t="n"/>
      <c r="R1133" s="97" t="n">
        <v>101.3</v>
      </c>
      <c r="S1133" s="97" t="n">
        <v>101.4008</v>
      </c>
      <c r="T1133" s="97" t="n">
        <v>97.17944</v>
      </c>
      <c r="U1133" s="97" t="n">
        <v>102.9799</v>
      </c>
      <c r="V1133" s="97" t="n">
        <v>85.30710999999999</v>
      </c>
      <c r="W1133" s="97" t="n">
        <v>61.12294</v>
      </c>
      <c r="X1133" s="97" t="n">
        <v>89.32742</v>
      </c>
      <c r="Y1133" s="97" t="n">
        <v>97.79859</v>
      </c>
      <c r="Z1133" s="97" t="n">
        <v>98.09183</v>
      </c>
      <c r="AA1133" s="97" t="n">
        <v>98.09183</v>
      </c>
      <c r="AB1133" s="97" t="n">
        <v>99.43272</v>
      </c>
      <c r="AC1133" s="97" t="n">
        <v>91.69235999999999</v>
      </c>
      <c r="AD1133" s="97" t="n">
        <v>95.8</v>
      </c>
      <c r="AE1133" s="97" t="n">
        <v>105.1999</v>
      </c>
      <c r="AF1133" s="97" t="n">
        <v>107.2911</v>
      </c>
      <c r="AG1133" s="97" t="n">
        <v>96.70287</v>
      </c>
      <c r="AH1133" s="97" t="n">
        <v>96.64524</v>
      </c>
      <c r="AI1133" s="97" t="n">
        <v>90.5</v>
      </c>
      <c r="AJ1133" s="97" t="n">
        <v>96.87918999999999</v>
      </c>
      <c r="AK1133" s="97" t="n">
        <v>89.91499</v>
      </c>
      <c r="AL1133" s="97" t="n">
        <v>93.10776</v>
      </c>
      <c r="AM1133" s="97" t="n">
        <v>98.3</v>
      </c>
      <c r="AN1133" s="97" t="n"/>
      <c r="AO1133" s="97" t="n">
        <v>97.62273</v>
      </c>
      <c r="AP1133" s="97" t="n">
        <v>96.5839</v>
      </c>
      <c r="AQ1133" s="97" t="n"/>
      <c r="AR1133" s="97" t="n"/>
      <c r="AS1133" s="97" t="n"/>
      <c r="AT1133" s="97" t="n">
        <v>93.60535</v>
      </c>
      <c r="AU1133" s="97" t="n"/>
      <c r="AV1133" s="97" t="n">
        <v>92.2</v>
      </c>
      <c r="AW1133" s="97" t="n"/>
      <c r="AX1133" s="97" t="n">
        <v>87.6927</v>
      </c>
      <c r="AY1133" s="97" t="n">
        <v>113.2948</v>
      </c>
    </row>
    <row r="1134" s="135">
      <c r="A1134" t="inlineStr">
        <is>
          <t>2013-05</t>
        </is>
      </c>
      <c r="B1134" s="2" t="n">
        <v>41395</v>
      </c>
      <c r="C1134" s="96" t="n">
        <v>1134</v>
      </c>
      <c r="E1134" s="2">
        <f>B1134</f>
        <v/>
      </c>
      <c r="F1134" s="3">
        <f>B1134</f>
        <v/>
      </c>
      <c r="G1134" s="96" t="n">
        <v>1132</v>
      </c>
      <c r="H1134" s="97" t="n"/>
      <c r="I1134" s="97" t="n"/>
      <c r="J1134" s="97" t="n">
        <v>100.5916</v>
      </c>
      <c r="K1134" s="97" t="n">
        <v>94.82462</v>
      </c>
      <c r="L1134" s="97" t="n"/>
      <c r="M1134" s="97" t="n">
        <v>90.5849</v>
      </c>
      <c r="N1134" s="97" t="n">
        <v>96.49196000000001</v>
      </c>
      <c r="O1134" s="97" t="n">
        <v>98.2</v>
      </c>
      <c r="P1134" s="97" t="n">
        <v>94.94708</v>
      </c>
      <c r="Q1134" s="97" t="n"/>
      <c r="R1134" s="97" t="n">
        <v>102.5</v>
      </c>
      <c r="S1134" s="97" t="n">
        <v>101.0608</v>
      </c>
      <c r="T1134" s="97" t="n">
        <v>97.80239</v>
      </c>
      <c r="U1134" s="97" t="n">
        <v>101.0821</v>
      </c>
      <c r="V1134" s="97" t="n">
        <v>84.80707</v>
      </c>
      <c r="W1134" s="97" t="n">
        <v>63.45443</v>
      </c>
      <c r="X1134" s="97" t="n">
        <v>87.60363</v>
      </c>
      <c r="Y1134" s="97" t="n">
        <v>95.92506</v>
      </c>
      <c r="Z1134" s="97" t="n">
        <v>99.89167999999999</v>
      </c>
      <c r="AA1134" s="97" t="n">
        <v>99.5917</v>
      </c>
      <c r="AB1134" s="97" t="n">
        <v>99.82868000000001</v>
      </c>
      <c r="AC1134" s="97" t="n">
        <v>93.79218</v>
      </c>
      <c r="AD1134" s="97" t="n">
        <v>97.59999999999999</v>
      </c>
      <c r="AE1134" s="97" t="n">
        <v>105.2716</v>
      </c>
      <c r="AF1134" s="97" t="n">
        <v>107.0911</v>
      </c>
      <c r="AG1134" s="97" t="n">
        <v>99.03026</v>
      </c>
      <c r="AH1134" s="97" t="n">
        <v>96.88930999999999</v>
      </c>
      <c r="AI1134" s="97" t="n">
        <v>92</v>
      </c>
      <c r="AJ1134" s="97" t="n">
        <v>96.6563</v>
      </c>
      <c r="AK1134" s="97" t="n">
        <v>90.51508</v>
      </c>
      <c r="AL1134" s="97" t="n">
        <v>91.10759</v>
      </c>
      <c r="AM1134" s="97" t="n">
        <v>96.8</v>
      </c>
      <c r="AN1134" s="97" t="n"/>
      <c r="AO1134" s="97" t="n">
        <v>97.72954</v>
      </c>
      <c r="AP1134" s="97" t="n">
        <v>96.78386999999999</v>
      </c>
      <c r="AQ1134" s="97" t="n"/>
      <c r="AR1134" s="97" t="n"/>
      <c r="AS1134" s="97" t="n"/>
      <c r="AT1134" s="97" t="n">
        <v>93.13808</v>
      </c>
      <c r="AU1134" s="97" t="n"/>
      <c r="AV1134" s="97" t="n">
        <v>93.90000000000001</v>
      </c>
      <c r="AW1134" s="97" t="n"/>
      <c r="AX1134" s="97" t="n">
        <v>87.89268</v>
      </c>
      <c r="AY1134" s="97" t="n">
        <v>112.8544</v>
      </c>
    </row>
    <row r="1135" s="135">
      <c r="A1135" t="inlineStr">
        <is>
          <t>2013-06</t>
        </is>
      </c>
      <c r="B1135" s="2" t="n">
        <v>41426</v>
      </c>
      <c r="C1135" s="96" t="n">
        <v>1135</v>
      </c>
      <c r="E1135" s="2">
        <f>B1135</f>
        <v/>
      </c>
      <c r="F1135" s="3">
        <f>B1135</f>
        <v/>
      </c>
      <c r="G1135" s="96" t="n">
        <v>1133</v>
      </c>
      <c r="H1135" s="97" t="n"/>
      <c r="I1135" s="97" t="n"/>
      <c r="J1135" s="97" t="n">
        <v>100.6916</v>
      </c>
      <c r="K1135" s="97" t="n">
        <v>94.53408</v>
      </c>
      <c r="L1135" s="97" t="n"/>
      <c r="M1135" s="97" t="n">
        <v>90.5849</v>
      </c>
      <c r="N1135" s="97" t="n">
        <v>98.19182000000001</v>
      </c>
      <c r="O1135" s="97" t="n">
        <v>98</v>
      </c>
      <c r="P1135" s="97" t="n">
        <v>95.91808</v>
      </c>
      <c r="Q1135" s="97" t="n"/>
      <c r="R1135" s="97" t="n">
        <v>103.4</v>
      </c>
      <c r="S1135" s="97" t="n">
        <v>99.86083000000001</v>
      </c>
      <c r="T1135" s="97" t="n">
        <v>98.32151</v>
      </c>
      <c r="U1135" s="97" t="n">
        <v>106.1761</v>
      </c>
      <c r="V1135" s="97" t="n">
        <v>85.40712000000001</v>
      </c>
      <c r="W1135" s="97" t="n">
        <v>61.12294</v>
      </c>
      <c r="X1135" s="97" t="n">
        <v>87.68064</v>
      </c>
      <c r="Y1135" s="97" t="n">
        <v>97.23653</v>
      </c>
      <c r="Z1135" s="97" t="n">
        <v>99.6917</v>
      </c>
      <c r="AA1135" s="97" t="n">
        <v>98.59178</v>
      </c>
      <c r="AB1135" s="97" t="n">
        <v>99.5817</v>
      </c>
      <c r="AC1135" s="97" t="n">
        <v>91.09241</v>
      </c>
      <c r="AD1135" s="97" t="n">
        <v>97.8</v>
      </c>
      <c r="AE1135" s="97" t="n">
        <v>105.5548</v>
      </c>
      <c r="AF1135" s="97" t="n">
        <v>103.1914</v>
      </c>
      <c r="AG1135" s="97" t="n">
        <v>97.40107999999999</v>
      </c>
      <c r="AH1135" s="97" t="n">
        <v>97.08423999999999</v>
      </c>
      <c r="AI1135" s="97" t="n">
        <v>92.90000000000001</v>
      </c>
      <c r="AJ1135" s="97" t="n">
        <v>95.18532</v>
      </c>
      <c r="AK1135" s="97" t="n">
        <v>89.71495</v>
      </c>
      <c r="AL1135" s="97" t="n">
        <v>93.00775</v>
      </c>
      <c r="AM1135" s="97" t="n">
        <v>97.5</v>
      </c>
      <c r="AN1135" s="97" t="n"/>
      <c r="AO1135" s="97" t="n">
        <v>97.92865</v>
      </c>
      <c r="AP1135" s="97" t="n">
        <v>96.78386999999999</v>
      </c>
      <c r="AQ1135" s="97" t="n"/>
      <c r="AR1135" s="97" t="n"/>
      <c r="AS1135" s="97" t="n"/>
      <c r="AT1135" s="97" t="n">
        <v>90.94877</v>
      </c>
      <c r="AU1135" s="97" t="n"/>
      <c r="AV1135" s="97" t="n">
        <v>92.40000000000001</v>
      </c>
      <c r="AW1135" s="97" t="n"/>
      <c r="AX1135" s="97" t="n">
        <v>90.59245</v>
      </c>
      <c r="AY1135" s="97" t="n">
        <v>113.6251</v>
      </c>
    </row>
    <row r="1136" s="135">
      <c r="A1136" t="inlineStr">
        <is>
          <t>2013-07</t>
        </is>
      </c>
      <c r="B1136" s="2" t="n">
        <v>41456</v>
      </c>
      <c r="C1136" s="96" t="n">
        <v>1136</v>
      </c>
      <c r="E1136" s="2">
        <f>B1136</f>
        <v/>
      </c>
      <c r="F1136" s="3">
        <f>B1136</f>
        <v/>
      </c>
      <c r="G1136" s="96" t="n">
        <v>1134</v>
      </c>
      <c r="H1136" s="97" t="n"/>
      <c r="I1136" s="97" t="n"/>
      <c r="J1136" s="97" t="n">
        <v>102.0915</v>
      </c>
      <c r="K1136" s="97" t="n">
        <v>94.91772</v>
      </c>
      <c r="L1136" s="97" t="n"/>
      <c r="M1136" s="97" t="n">
        <v>92.18464</v>
      </c>
      <c r="N1136" s="97" t="n">
        <v>96.49196000000001</v>
      </c>
      <c r="O1136" s="97" t="n">
        <v>100.1</v>
      </c>
      <c r="P1136" s="97" t="n">
        <v>95.66007999999999</v>
      </c>
      <c r="Q1136" s="97" t="n"/>
      <c r="R1136" s="97" t="n">
        <v>102.8</v>
      </c>
      <c r="S1136" s="97" t="n">
        <v>99.09083</v>
      </c>
      <c r="T1136" s="97" t="n">
        <v>98.52916</v>
      </c>
      <c r="U1136" s="97" t="n">
        <v>98.68487</v>
      </c>
      <c r="V1136" s="97" t="n">
        <v>86.70722000000001</v>
      </c>
      <c r="W1136" s="97" t="n">
        <v>60.05171</v>
      </c>
      <c r="X1136" s="97" t="n">
        <v>87.91201</v>
      </c>
      <c r="Y1136" s="97" t="n">
        <v>97.79859</v>
      </c>
      <c r="Z1136" s="97" t="n">
        <v>99.49171</v>
      </c>
      <c r="AA1136" s="97" t="n">
        <v>100.0917</v>
      </c>
      <c r="AB1136" s="97" t="n">
        <v>98.69378</v>
      </c>
      <c r="AC1136" s="97" t="n">
        <v>95.59202999999999</v>
      </c>
      <c r="AD1136" s="97" t="n">
        <v>98.90000000000001</v>
      </c>
      <c r="AE1136" s="97" t="n">
        <v>105.7836</v>
      </c>
      <c r="AF1136" s="97" t="n">
        <v>100.6916</v>
      </c>
      <c r="AG1136" s="97" t="n">
        <v>100.5431</v>
      </c>
      <c r="AH1136" s="97" t="n">
        <v>97.11208999999999</v>
      </c>
      <c r="AI1136" s="97" t="n">
        <v>93.90000000000001</v>
      </c>
      <c r="AJ1136" s="97" t="n">
        <v>93.56147</v>
      </c>
      <c r="AK1136" s="97" t="n">
        <v>91.01517</v>
      </c>
      <c r="AL1136" s="97" t="n">
        <v>91.60764</v>
      </c>
      <c r="AM1136" s="97" t="n">
        <v>100.2</v>
      </c>
      <c r="AN1136" s="97" t="n"/>
      <c r="AO1136" s="97" t="n">
        <v>97.51130999999999</v>
      </c>
      <c r="AP1136" s="97" t="n">
        <v>95.98399999999999</v>
      </c>
      <c r="AQ1136" s="97" t="n"/>
      <c r="AR1136" s="97" t="n"/>
      <c r="AS1136" s="97" t="n"/>
      <c r="AT1136" s="97" t="n">
        <v>93.60021999999999</v>
      </c>
      <c r="AU1136" s="97" t="n"/>
      <c r="AV1136" s="97" t="n">
        <v>92.09999999999999</v>
      </c>
      <c r="AW1136" s="97" t="n"/>
      <c r="AX1136" s="97" t="n">
        <v>90.09249</v>
      </c>
      <c r="AY1136" s="97" t="n">
        <v>112.7443</v>
      </c>
    </row>
    <row r="1137" s="135">
      <c r="A1137" t="inlineStr">
        <is>
          <t>2013-08</t>
        </is>
      </c>
      <c r="B1137" s="2" t="n">
        <v>41487</v>
      </c>
      <c r="C1137" s="96" t="n">
        <v>1137</v>
      </c>
      <c r="E1137" s="2">
        <f>B1137</f>
        <v/>
      </c>
      <c r="F1137" s="3">
        <f>B1137</f>
        <v/>
      </c>
      <c r="G1137" s="96" t="n">
        <v>1135</v>
      </c>
      <c r="H1137" s="97" t="n"/>
      <c r="I1137" s="97" t="n"/>
      <c r="J1137" s="97" t="n">
        <v>99.5917</v>
      </c>
      <c r="K1137" s="97" t="n">
        <v>95.74466</v>
      </c>
      <c r="L1137" s="97" t="n"/>
      <c r="M1137" s="97" t="n">
        <v>93.38444</v>
      </c>
      <c r="N1137" s="97" t="n">
        <v>98.69177000000001</v>
      </c>
      <c r="O1137" s="97" t="n">
        <v>96.2</v>
      </c>
      <c r="P1137" s="97" t="n">
        <v>96.63608000000001</v>
      </c>
      <c r="Q1137" s="97" t="n"/>
      <c r="R1137" s="97" t="n">
        <v>104.3</v>
      </c>
      <c r="S1137" s="97" t="n">
        <v>98.58082</v>
      </c>
      <c r="T1137" s="97" t="n">
        <v>98.01003</v>
      </c>
      <c r="U1137" s="97" t="n">
        <v>100.1831</v>
      </c>
      <c r="V1137" s="97" t="n">
        <v>88.60738000000001</v>
      </c>
      <c r="W1137" s="97" t="n">
        <v>59.86267</v>
      </c>
      <c r="X1137" s="97" t="n">
        <v>89.14848000000001</v>
      </c>
      <c r="Y1137" s="97" t="n">
        <v>94.89462</v>
      </c>
      <c r="Z1137" s="97" t="n">
        <v>97.99184</v>
      </c>
      <c r="AA1137" s="97" t="n">
        <v>100.3916</v>
      </c>
      <c r="AB1137" s="97" t="n">
        <v>100.4706</v>
      </c>
      <c r="AC1137" s="97" t="n">
        <v>97.69186000000001</v>
      </c>
      <c r="AD1137" s="97" t="n">
        <v>97.90000000000001</v>
      </c>
      <c r="AE1137" s="97" t="n">
        <v>106.0601</v>
      </c>
      <c r="AF1137" s="97" t="n">
        <v>103.0914</v>
      </c>
      <c r="AG1137" s="97" t="n">
        <v>96.93561</v>
      </c>
      <c r="AH1137" s="97" t="n">
        <v>97.48005999999999</v>
      </c>
      <c r="AI1137" s="97" t="n">
        <v>94.59999999999999</v>
      </c>
      <c r="AJ1137" s="97" t="n">
        <v>96.01205</v>
      </c>
      <c r="AK1137" s="97" t="n">
        <v>91.71529</v>
      </c>
      <c r="AL1137" s="97" t="n">
        <v>92.90774999999999</v>
      </c>
      <c r="AM1137" s="97" t="n">
        <v>97.59999999999999</v>
      </c>
      <c r="AN1137" s="97" t="n"/>
      <c r="AO1137" s="97" t="n">
        <v>98.15514</v>
      </c>
      <c r="AP1137" s="97" t="n">
        <v>96.48392</v>
      </c>
      <c r="AQ1137" s="97" t="n"/>
      <c r="AR1137" s="97" t="n"/>
      <c r="AS1137" s="97" t="n"/>
      <c r="AT1137" s="97" t="n">
        <v>95.00095</v>
      </c>
      <c r="AU1137" s="97" t="n"/>
      <c r="AV1137" s="97" t="n">
        <v>91.59999999999999</v>
      </c>
      <c r="AW1137" s="97" t="n"/>
      <c r="AX1137" s="97" t="n">
        <v>87.59269999999999</v>
      </c>
      <c r="AY1137" s="97" t="n">
        <v>113.2948</v>
      </c>
    </row>
    <row r="1138" s="135">
      <c r="A1138" t="inlineStr">
        <is>
          <t>2013-09</t>
        </is>
      </c>
      <c r="B1138" s="2" t="n">
        <v>41518</v>
      </c>
      <c r="C1138" s="96" t="n">
        <v>1138</v>
      </c>
      <c r="E1138" s="2">
        <f>B1138</f>
        <v/>
      </c>
      <c r="F1138" s="3">
        <f>B1138</f>
        <v/>
      </c>
      <c r="G1138" s="96" t="n">
        <v>1136</v>
      </c>
      <c r="H1138" s="97" t="n"/>
      <c r="I1138" s="97" t="n"/>
      <c r="J1138" s="97" t="n">
        <v>98.59178</v>
      </c>
      <c r="K1138" s="97" t="n">
        <v>96.53334</v>
      </c>
      <c r="L1138" s="97" t="n"/>
      <c r="M1138" s="97" t="n">
        <v>91.28478</v>
      </c>
      <c r="N1138" s="97" t="n">
        <v>98.19182000000001</v>
      </c>
      <c r="O1138" s="97" t="n">
        <v>95.8</v>
      </c>
      <c r="P1138" s="97" t="n">
        <v>96.37608</v>
      </c>
      <c r="Q1138" s="97" t="n"/>
      <c r="R1138" s="97" t="n">
        <v>101.7</v>
      </c>
      <c r="S1138" s="97" t="n">
        <v>98.90083</v>
      </c>
      <c r="T1138" s="97" t="n">
        <v>99.1521</v>
      </c>
      <c r="U1138" s="97" t="n">
        <v>101.0821</v>
      </c>
      <c r="V1138" s="97" t="n">
        <v>89.60747000000001</v>
      </c>
      <c r="W1138" s="97" t="n">
        <v>60.9339</v>
      </c>
      <c r="X1138" s="97" t="n">
        <v>89.22353</v>
      </c>
      <c r="Y1138" s="97" t="n">
        <v>95.55034999999999</v>
      </c>
      <c r="Z1138" s="97" t="n">
        <v>99.6917</v>
      </c>
      <c r="AA1138" s="97" t="n">
        <v>101.1916</v>
      </c>
      <c r="AB1138" s="97" t="n">
        <v>99.04375</v>
      </c>
      <c r="AC1138" s="97" t="n">
        <v>96.59195</v>
      </c>
      <c r="AD1138" s="97" t="n">
        <v>97.8</v>
      </c>
      <c r="AE1138" s="97" t="n">
        <v>105.7868</v>
      </c>
      <c r="AF1138" s="97" t="n">
        <v>104.7913</v>
      </c>
      <c r="AG1138" s="97" t="n">
        <v>95.30643999999999</v>
      </c>
      <c r="AH1138" s="97" t="n">
        <v>97.90873000000001</v>
      </c>
      <c r="AI1138" s="97" t="n">
        <v>94.2</v>
      </c>
      <c r="AJ1138" s="97" t="n">
        <v>97.38551</v>
      </c>
      <c r="AK1138" s="97" t="n">
        <v>92.51542000000001</v>
      </c>
      <c r="AL1138" s="97" t="n">
        <v>92.70773</v>
      </c>
      <c r="AM1138" s="97" t="n">
        <v>98.7</v>
      </c>
      <c r="AN1138" s="97" t="n"/>
      <c r="AO1138" s="97" t="n">
        <v>98.66065999999999</v>
      </c>
      <c r="AP1138" s="97" t="n">
        <v>96.5839</v>
      </c>
      <c r="AQ1138" s="97" t="n"/>
      <c r="AR1138" s="97" t="n"/>
      <c r="AS1138" s="97" t="n"/>
      <c r="AT1138" s="97" t="n">
        <v>95.49123</v>
      </c>
      <c r="AU1138" s="97" t="n"/>
      <c r="AV1138" s="97" t="n">
        <v>93.09999999999999</v>
      </c>
      <c r="AW1138" s="97" t="n"/>
      <c r="AX1138" s="97" t="n">
        <v>92.69228</v>
      </c>
      <c r="AY1138" s="97" t="n">
        <v>113.9554</v>
      </c>
    </row>
    <row r="1139" s="135">
      <c r="A1139" t="inlineStr">
        <is>
          <t>2013-10</t>
        </is>
      </c>
      <c r="B1139" s="2" t="n">
        <v>41548</v>
      </c>
      <c r="C1139" s="96" t="n">
        <v>1139</v>
      </c>
      <c r="E1139" s="2">
        <f>B1139</f>
        <v/>
      </c>
      <c r="F1139" s="3">
        <f>B1139</f>
        <v/>
      </c>
      <c r="G1139" s="96" t="n">
        <v>1137</v>
      </c>
      <c r="H1139" s="97" t="n"/>
      <c r="I1139" s="97" t="n"/>
      <c r="J1139" s="97" t="n">
        <v>100.8916</v>
      </c>
      <c r="K1139" s="97" t="n">
        <v>97.87714</v>
      </c>
      <c r="L1139" s="97" t="n"/>
      <c r="M1139" s="97" t="n">
        <v>93.28445000000001</v>
      </c>
      <c r="N1139" s="97" t="n">
        <v>97.49187000000001</v>
      </c>
      <c r="O1139" s="97" t="n">
        <v>102.7</v>
      </c>
      <c r="P1139" s="97" t="n">
        <v>95.42108</v>
      </c>
      <c r="Q1139" s="97" t="n"/>
      <c r="R1139" s="97" t="n">
        <v>102.4</v>
      </c>
      <c r="S1139" s="97" t="n">
        <v>99.01083</v>
      </c>
      <c r="T1139" s="97" t="n">
        <v>98.94445</v>
      </c>
      <c r="U1139" s="97" t="n">
        <v>99.6837</v>
      </c>
      <c r="V1139" s="97" t="n">
        <v>89.40745</v>
      </c>
      <c r="W1139" s="97" t="n">
        <v>56.83803</v>
      </c>
      <c r="X1139" s="97" t="n">
        <v>90.76049999999999</v>
      </c>
      <c r="Y1139" s="97" t="n">
        <v>96.76815000000001</v>
      </c>
      <c r="Z1139" s="97" t="n">
        <v>100.1917</v>
      </c>
      <c r="AA1139" s="97" t="n">
        <v>101.4915</v>
      </c>
      <c r="AB1139" s="97" t="n">
        <v>100.8746</v>
      </c>
      <c r="AC1139" s="97" t="n">
        <v>98.29181</v>
      </c>
      <c r="AD1139" s="97" t="n">
        <v>98.09999999999999</v>
      </c>
      <c r="AE1139" s="97" t="n">
        <v>106.1086</v>
      </c>
      <c r="AF1139" s="97" t="n">
        <v>102.2915</v>
      </c>
      <c r="AG1139" s="97" t="n">
        <v>92.74632</v>
      </c>
      <c r="AH1139" s="97" t="n">
        <v>97.92364999999999</v>
      </c>
      <c r="AI1139" s="97" t="n">
        <v>94.40000000000001</v>
      </c>
      <c r="AJ1139" s="97" t="n">
        <v>97.92062</v>
      </c>
      <c r="AK1139" s="97" t="n">
        <v>92.41540999999999</v>
      </c>
      <c r="AL1139" s="97" t="n">
        <v>92.70773</v>
      </c>
      <c r="AM1139" s="97" t="n">
        <v>95</v>
      </c>
      <c r="AN1139" s="97" t="n"/>
      <c r="AO1139" s="97" t="n">
        <v>98.48786</v>
      </c>
      <c r="AP1139" s="97" t="n">
        <v>96.08398</v>
      </c>
      <c r="AQ1139" s="97" t="n"/>
      <c r="AR1139" s="97" t="n"/>
      <c r="AS1139" s="97" t="n"/>
      <c r="AT1139" s="97" t="n">
        <v>94.06516999999999</v>
      </c>
      <c r="AU1139" s="97" t="n"/>
      <c r="AV1139" s="97" t="n">
        <v>93</v>
      </c>
      <c r="AW1139" s="97" t="n"/>
      <c r="AX1139" s="97" t="n">
        <v>91.69235999999999</v>
      </c>
      <c r="AY1139" s="97" t="n">
        <v>112.7443</v>
      </c>
    </row>
    <row r="1140" s="135">
      <c r="A1140" t="inlineStr">
        <is>
          <t>2013-11</t>
        </is>
      </c>
      <c r="B1140" s="2" t="n">
        <v>41579</v>
      </c>
      <c r="C1140" s="96" t="n">
        <v>1140</v>
      </c>
      <c r="E1140" s="2">
        <f>B1140</f>
        <v/>
      </c>
      <c r="F1140" s="3">
        <f>B1140</f>
        <v/>
      </c>
      <c r="G1140" s="96" t="n">
        <v>1138</v>
      </c>
      <c r="H1140" s="97" t="n"/>
      <c r="I1140" s="97" t="n"/>
      <c r="J1140" s="97" t="n">
        <v>103.4914</v>
      </c>
      <c r="K1140" s="97" t="n">
        <v>97.54112000000001</v>
      </c>
      <c r="L1140" s="97" t="n"/>
      <c r="M1140" s="97" t="n">
        <v>93.28445000000001</v>
      </c>
      <c r="N1140" s="97" t="n">
        <v>99.6917</v>
      </c>
      <c r="O1140" s="97" t="n">
        <v>100.3</v>
      </c>
      <c r="P1140" s="97" t="n">
        <v>96.58108</v>
      </c>
      <c r="Q1140" s="97" t="n"/>
      <c r="R1140" s="97" t="n">
        <v>103.6</v>
      </c>
      <c r="S1140" s="97" t="n">
        <v>100.7908</v>
      </c>
      <c r="T1140" s="97" t="n">
        <v>98.94445</v>
      </c>
      <c r="U1140" s="97" t="n">
        <v>96.48743</v>
      </c>
      <c r="V1140" s="97" t="n">
        <v>89.30744</v>
      </c>
      <c r="W1140" s="97" t="n">
        <v>60.24075</v>
      </c>
      <c r="X1140" s="97" t="n">
        <v>89.84508</v>
      </c>
      <c r="Y1140" s="97" t="n">
        <v>97.51756</v>
      </c>
      <c r="Z1140" s="97" t="n">
        <v>99.79169</v>
      </c>
      <c r="AA1140" s="97" t="n">
        <v>101.8915</v>
      </c>
      <c r="AB1140" s="97" t="n">
        <v>100.0097</v>
      </c>
      <c r="AC1140" s="97" t="n">
        <v>94.7921</v>
      </c>
      <c r="AD1140" s="97" t="n">
        <v>98.40000000000001</v>
      </c>
      <c r="AE1140" s="97" t="n">
        <v>106.5794</v>
      </c>
      <c r="AF1140" s="97" t="n">
        <v>104.9912</v>
      </c>
      <c r="AG1140" s="97" t="n">
        <v>96.47013</v>
      </c>
      <c r="AH1140" s="97" t="n">
        <v>98.52892</v>
      </c>
      <c r="AI1140" s="97" t="n">
        <v>96.09999999999999</v>
      </c>
      <c r="AJ1140" s="97" t="n">
        <v>98.16279</v>
      </c>
      <c r="AK1140" s="97" t="n">
        <v>94.01567</v>
      </c>
      <c r="AL1140" s="97" t="n">
        <v>93.6078</v>
      </c>
      <c r="AM1140" s="97" t="n">
        <v>99.90000000000001</v>
      </c>
      <c r="AN1140" s="97" t="n"/>
      <c r="AO1140" s="97" t="n">
        <v>98.77679000000001</v>
      </c>
      <c r="AP1140" s="97" t="n">
        <v>97.38377</v>
      </c>
      <c r="AQ1140" s="97" t="n"/>
      <c r="AR1140" s="97" t="n"/>
      <c r="AS1140" s="97" t="n"/>
      <c r="AT1140" s="97" t="n">
        <v>94.51662</v>
      </c>
      <c r="AU1140" s="97" t="n"/>
      <c r="AV1140" s="97" t="n">
        <v>95.59999999999999</v>
      </c>
      <c r="AW1140" s="97" t="n"/>
      <c r="AX1140" s="97" t="n">
        <v>92.29231</v>
      </c>
      <c r="AY1140" s="97" t="n">
        <v>113.4049</v>
      </c>
    </row>
    <row r="1141" s="135">
      <c r="A1141" t="inlineStr">
        <is>
          <t>2013-12</t>
        </is>
      </c>
      <c r="B1141" s="2" t="n">
        <v>41609</v>
      </c>
      <c r="C1141" s="96" t="n">
        <v>1141</v>
      </c>
      <c r="E1141" s="2">
        <f>B1141</f>
        <v/>
      </c>
      <c r="F1141" s="3">
        <f>B1141</f>
        <v/>
      </c>
      <c r="G1141" s="96" t="n">
        <v>1139</v>
      </c>
      <c r="H1141" s="97" t="n"/>
      <c r="I1141" s="97" t="n"/>
      <c r="J1141" s="97" t="n">
        <v>101.9915</v>
      </c>
      <c r="K1141" s="97" t="n">
        <v>96.69786999999999</v>
      </c>
      <c r="L1141" s="97" t="n"/>
      <c r="M1141" s="97" t="n">
        <v>94.38427</v>
      </c>
      <c r="N1141" s="97" t="n">
        <v>99.79169</v>
      </c>
      <c r="O1141" s="97" t="n">
        <v>101.5</v>
      </c>
      <c r="P1141" s="97" t="n">
        <v>96.75408</v>
      </c>
      <c r="Q1141" s="97" t="n"/>
      <c r="R1141" s="97" t="n">
        <v>98.8</v>
      </c>
      <c r="S1141" s="97" t="n">
        <v>99.52083</v>
      </c>
      <c r="T1141" s="97" t="n">
        <v>98.94445</v>
      </c>
      <c r="U1141" s="97" t="n">
        <v>99.48393</v>
      </c>
      <c r="V1141" s="97" t="n">
        <v>89.00742</v>
      </c>
      <c r="W1141" s="97" t="n">
        <v>62.19416</v>
      </c>
      <c r="X1141" s="97" t="n">
        <v>88.84514</v>
      </c>
      <c r="Y1141" s="97" t="n">
        <v>97.89227</v>
      </c>
      <c r="Z1141" s="97" t="n">
        <v>98.69177000000001</v>
      </c>
      <c r="AA1141" s="97" t="n">
        <v>101.8915</v>
      </c>
      <c r="AB1141" s="97" t="n">
        <v>101.4545</v>
      </c>
      <c r="AC1141" s="97" t="n">
        <v>99.89167999999999</v>
      </c>
      <c r="AD1141" s="97" t="n">
        <v>97.2</v>
      </c>
      <c r="AE1141" s="97" t="n">
        <v>106.7508</v>
      </c>
      <c r="AF1141" s="97" t="n">
        <v>103.6914</v>
      </c>
      <c r="AG1141" s="97" t="n">
        <v>96.93561</v>
      </c>
      <c r="AH1141" s="97" t="n">
        <v>98.45412</v>
      </c>
      <c r="AI1141" s="97" t="n">
        <v>92.59999999999999</v>
      </c>
      <c r="AJ1141" s="97" t="n">
        <v>98.70322</v>
      </c>
      <c r="AK1141" s="97" t="n">
        <v>92.91549000000001</v>
      </c>
      <c r="AL1141" s="97" t="n">
        <v>96.20802</v>
      </c>
      <c r="AM1141" s="97" t="n">
        <v>99.7</v>
      </c>
      <c r="AN1141" s="97" t="n"/>
      <c r="AO1141" s="97" t="n">
        <v>99.07693999999999</v>
      </c>
      <c r="AP1141" s="97" t="n">
        <v>97.18380000000001</v>
      </c>
      <c r="AQ1141" s="97" t="n"/>
      <c r="AR1141" s="97" t="n"/>
      <c r="AS1141" s="97" t="n"/>
      <c r="AT1141" s="97" t="n">
        <v>94.73331</v>
      </c>
      <c r="AU1141" s="97" t="n"/>
      <c r="AV1141" s="97" t="n">
        <v>96.3</v>
      </c>
      <c r="AW1141" s="97" t="n"/>
      <c r="AX1141" s="97" t="n">
        <v>91.79235</v>
      </c>
      <c r="AY1141" s="97" t="n">
        <v>109.0008</v>
      </c>
    </row>
    <row r="1142" s="135">
      <c r="A1142" t="inlineStr">
        <is>
          <t>2014-01</t>
        </is>
      </c>
      <c r="B1142" s="2" t="n">
        <v>41640</v>
      </c>
      <c r="C1142" s="96" t="n">
        <v>1142</v>
      </c>
      <c r="E1142" s="2">
        <f>B1142</f>
        <v/>
      </c>
      <c r="F1142" s="3">
        <f>B1142</f>
        <v/>
      </c>
      <c r="G1142" s="96" t="n">
        <v>1140</v>
      </c>
      <c r="H1142" s="97" t="n"/>
      <c r="I1142" s="97" t="n"/>
      <c r="J1142" s="97" t="n">
        <v>100.0917</v>
      </c>
      <c r="K1142" s="97" t="n">
        <v>97.05235</v>
      </c>
      <c r="L1142" s="97" t="n"/>
      <c r="M1142" s="97" t="n">
        <v>93.28445000000001</v>
      </c>
      <c r="N1142" s="97" t="n">
        <v>99.29173</v>
      </c>
      <c r="O1142" s="97" t="n">
        <v>100.7</v>
      </c>
      <c r="P1142" s="97" t="n">
        <v>96.53207999999999</v>
      </c>
      <c r="Q1142" s="97" t="n"/>
      <c r="R1142" s="97" t="n">
        <v>101.2</v>
      </c>
      <c r="S1142" s="97" t="n">
        <v>97.92081</v>
      </c>
      <c r="T1142" s="97" t="n">
        <v>99.25593000000001</v>
      </c>
      <c r="U1142" s="97" t="n">
        <v>97.38638</v>
      </c>
      <c r="V1142" s="97" t="n">
        <v>90.10751</v>
      </c>
      <c r="W1142" s="97" t="n">
        <v>65.28182</v>
      </c>
      <c r="X1142" s="97" t="n">
        <v>87.93819999999999</v>
      </c>
      <c r="Y1142" s="97" t="n">
        <v>98.64169</v>
      </c>
      <c r="Z1142" s="97" t="n">
        <v>100.3916</v>
      </c>
      <c r="AA1142" s="97" t="n">
        <v>103.5914</v>
      </c>
      <c r="AB1142" s="97" t="n">
        <v>101.4815</v>
      </c>
      <c r="AC1142" s="97" t="n">
        <v>96.19199</v>
      </c>
      <c r="AD1142" s="97" t="n">
        <v>97.2</v>
      </c>
      <c r="AE1142" s="97" t="n">
        <v>107.2732</v>
      </c>
      <c r="AF1142" s="97" t="n">
        <v>101.0916</v>
      </c>
      <c r="AG1142" s="97" t="n">
        <v>98.68114</v>
      </c>
      <c r="AH1142" s="97" t="n">
        <v>98.73166000000001</v>
      </c>
      <c r="AI1142" s="97" t="n">
        <v>94.7</v>
      </c>
      <c r="AJ1142" s="97" t="n">
        <v>100.3288</v>
      </c>
      <c r="AK1142" s="97" t="n">
        <v>92.31538</v>
      </c>
      <c r="AL1142" s="97" t="n">
        <v>93.10776</v>
      </c>
      <c r="AM1142" s="97" t="n">
        <v>99.5</v>
      </c>
      <c r="AN1142" s="97" t="n"/>
      <c r="AO1142" s="97" t="n">
        <v>98.66508</v>
      </c>
      <c r="AP1142" s="97" t="n">
        <v>96.88385</v>
      </c>
      <c r="AQ1142" s="97" t="n"/>
      <c r="AR1142" s="97" t="n"/>
      <c r="AS1142" s="97" t="n"/>
      <c r="AT1142" s="97" t="n">
        <v>95.92692</v>
      </c>
      <c r="AU1142" s="97" t="n"/>
      <c r="AV1142" s="97" t="n">
        <v>89.90000000000001</v>
      </c>
      <c r="AW1142" s="97" t="n"/>
      <c r="AX1142" s="97" t="n">
        <v>95.19207</v>
      </c>
      <c r="AY1142" s="97" t="n">
        <v>110.7625</v>
      </c>
    </row>
    <row r="1143" s="135">
      <c r="A1143" t="inlineStr">
        <is>
          <t>2014-02</t>
        </is>
      </c>
      <c r="B1143" s="2" t="n">
        <v>41671</v>
      </c>
      <c r="C1143" s="96" t="n">
        <v>1143</v>
      </c>
      <c r="E1143" s="2">
        <f>B1143</f>
        <v/>
      </c>
      <c r="F1143" s="3">
        <f>B1143</f>
        <v/>
      </c>
      <c r="G1143" s="96" t="n">
        <v>1141</v>
      </c>
      <c r="H1143" s="97" t="n"/>
      <c r="I1143" s="97" t="n"/>
      <c r="J1143" s="97" t="n">
        <v>104.6913</v>
      </c>
      <c r="K1143" s="97" t="n">
        <v>98.85577000000001</v>
      </c>
      <c r="L1143" s="97" t="n"/>
      <c r="M1143" s="97" t="n">
        <v>94.38427</v>
      </c>
      <c r="N1143" s="97" t="n">
        <v>99.39172000000001</v>
      </c>
      <c r="O1143" s="97" t="n">
        <v>102</v>
      </c>
      <c r="P1143" s="97" t="n">
        <v>97.23608</v>
      </c>
      <c r="Q1143" s="97" t="n"/>
      <c r="R1143" s="97" t="n">
        <v>101.8</v>
      </c>
      <c r="S1143" s="97" t="n">
        <v>99.45083</v>
      </c>
      <c r="T1143" s="97" t="n">
        <v>99.67122999999999</v>
      </c>
      <c r="U1143" s="97" t="n">
        <v>99.6837</v>
      </c>
      <c r="V1143" s="97" t="n">
        <v>91.40761999999999</v>
      </c>
      <c r="W1143" s="97" t="n">
        <v>68.81056</v>
      </c>
      <c r="X1143" s="97" t="n">
        <v>87.46317000000001</v>
      </c>
      <c r="Y1143" s="97" t="n">
        <v>102.7635</v>
      </c>
      <c r="Z1143" s="97" t="n">
        <v>99.5917</v>
      </c>
      <c r="AA1143" s="97" t="n">
        <v>102.8914</v>
      </c>
      <c r="AB1143" s="97" t="n">
        <v>100.4516</v>
      </c>
      <c r="AC1143" s="97" t="n">
        <v>99.5917</v>
      </c>
      <c r="AD1143" s="97" t="n">
        <v>97.40000000000001</v>
      </c>
      <c r="AE1143" s="97" t="n">
        <v>107.4031</v>
      </c>
      <c r="AF1143" s="97" t="n">
        <v>100.0917</v>
      </c>
      <c r="AG1143" s="97" t="n">
        <v>98.79752000000001</v>
      </c>
      <c r="AH1143" s="97" t="n">
        <v>99.07874</v>
      </c>
      <c r="AI1143" s="97" t="n">
        <v>94.40000000000001</v>
      </c>
      <c r="AJ1143" s="97" t="n">
        <v>99.94627</v>
      </c>
      <c r="AK1143" s="97" t="n">
        <v>93.0155</v>
      </c>
      <c r="AL1143" s="97" t="n">
        <v>91.30761</v>
      </c>
      <c r="AM1143" s="97" t="n">
        <v>99.90000000000001</v>
      </c>
      <c r="AN1143" s="97" t="n"/>
      <c r="AO1143" s="97" t="n">
        <v>99.50082</v>
      </c>
      <c r="AP1143" s="97" t="n">
        <v>97.58373</v>
      </c>
      <c r="AQ1143" s="97" t="n"/>
      <c r="AR1143" s="97" t="n"/>
      <c r="AS1143" s="97" t="n"/>
      <c r="AT1143" s="97" t="n">
        <v>96.02331</v>
      </c>
      <c r="AU1143" s="97" t="n"/>
      <c r="AV1143" s="97" t="n">
        <v>92.59999999999999</v>
      </c>
      <c r="AW1143" s="97" t="n"/>
      <c r="AX1143" s="97" t="n">
        <v>94.29214</v>
      </c>
      <c r="AY1143" s="97" t="n">
        <v>111.5332</v>
      </c>
    </row>
    <row r="1144" s="135">
      <c r="A1144" t="inlineStr">
        <is>
          <t>2014-03</t>
        </is>
      </c>
      <c r="B1144" s="2" t="n">
        <v>41699</v>
      </c>
      <c r="C1144" s="96" t="n">
        <v>1144</v>
      </c>
      <c r="E1144" s="2">
        <f>B1144</f>
        <v/>
      </c>
      <c r="F1144" s="3">
        <f>B1144</f>
        <v/>
      </c>
      <c r="G1144" s="96" t="n">
        <v>1142</v>
      </c>
      <c r="H1144" s="97" t="n"/>
      <c r="I1144" s="97" t="n"/>
      <c r="J1144" s="97" t="n">
        <v>101.0916</v>
      </c>
      <c r="K1144" s="97" t="n">
        <v>99.16959</v>
      </c>
      <c r="L1144" s="97" t="n"/>
      <c r="M1144" s="97" t="n">
        <v>95.3841</v>
      </c>
      <c r="N1144" s="97" t="n">
        <v>99.79169</v>
      </c>
      <c r="O1144" s="97" t="n">
        <v>98.90000000000001</v>
      </c>
      <c r="P1144" s="97" t="n">
        <v>96.28608</v>
      </c>
      <c r="Q1144" s="97" t="n"/>
      <c r="R1144" s="97" t="n">
        <v>101</v>
      </c>
      <c r="S1144" s="97" t="n">
        <v>98.72083000000001</v>
      </c>
      <c r="T1144" s="97" t="n">
        <v>99.35975000000001</v>
      </c>
      <c r="U1144" s="97" t="n">
        <v>97.58615</v>
      </c>
      <c r="V1144" s="97" t="n">
        <v>92.20769</v>
      </c>
      <c r="W1144" s="97" t="n">
        <v>70.32288</v>
      </c>
      <c r="X1144" s="97" t="n">
        <v>84.49992</v>
      </c>
      <c r="Y1144" s="97" t="n">
        <v>95.17564</v>
      </c>
      <c r="Z1144" s="97" t="n">
        <v>98.49178999999999</v>
      </c>
      <c r="AA1144" s="97" t="n">
        <v>104.2913</v>
      </c>
      <c r="AB1144" s="97" t="n">
        <v>101.4375</v>
      </c>
      <c r="AC1144" s="97" t="n">
        <v>96.69194</v>
      </c>
      <c r="AD1144" s="97" t="n">
        <v>94.59999999999999</v>
      </c>
      <c r="AE1144" s="97" t="n">
        <v>107.7716</v>
      </c>
      <c r="AF1144" s="97" t="n">
        <v>98.79177</v>
      </c>
      <c r="AG1144" s="97" t="n">
        <v>100.0776</v>
      </c>
      <c r="AH1144" s="97" t="n">
        <v>99.3927</v>
      </c>
      <c r="AI1144" s="97" t="n">
        <v>94.2</v>
      </c>
      <c r="AJ1144" s="97" t="n">
        <v>96.22403</v>
      </c>
      <c r="AK1144" s="97" t="n">
        <v>92.31538</v>
      </c>
      <c r="AL1144" s="97" t="n">
        <v>94.20784999999999</v>
      </c>
      <c r="AM1144" s="97" t="n">
        <v>97.2</v>
      </c>
      <c r="AN1144" s="97" t="n"/>
      <c r="AO1144" s="97" t="n">
        <v>100.4586</v>
      </c>
      <c r="AP1144" s="97" t="n">
        <v>96.98383</v>
      </c>
      <c r="AQ1144" s="97" t="n"/>
      <c r="AR1144" s="97" t="n"/>
      <c r="AS1144" s="97" t="n"/>
      <c r="AT1144" s="97" t="n">
        <v>95.8861</v>
      </c>
      <c r="AU1144" s="97" t="n"/>
      <c r="AV1144" s="97" t="n">
        <v>91.8</v>
      </c>
      <c r="AW1144" s="97" t="n"/>
      <c r="AX1144" s="97" t="n">
        <v>94.49213</v>
      </c>
      <c r="AY1144" s="97" t="n">
        <v>111.313</v>
      </c>
    </row>
    <row r="1145" s="135">
      <c r="A1145" t="inlineStr">
        <is>
          <t>2014-04</t>
        </is>
      </c>
      <c r="B1145" s="2" t="n">
        <v>41730</v>
      </c>
      <c r="C1145" s="96" t="n">
        <v>1145</v>
      </c>
      <c r="E1145" s="2">
        <f>B1145</f>
        <v/>
      </c>
      <c r="F1145" s="3">
        <f>B1145</f>
        <v/>
      </c>
      <c r="G1145" s="96" t="n">
        <v>1143</v>
      </c>
      <c r="H1145" s="97" t="n"/>
      <c r="I1145" s="97" t="n"/>
      <c r="J1145" s="97" t="n">
        <v>104.1913</v>
      </c>
      <c r="K1145" s="97" t="n">
        <v>100.4639</v>
      </c>
      <c r="L1145" s="97" t="n"/>
      <c r="M1145" s="97" t="n">
        <v>95.28412</v>
      </c>
      <c r="N1145" s="97" t="n">
        <v>99.39172000000001</v>
      </c>
      <c r="O1145" s="97" t="n">
        <v>99.59999999999999</v>
      </c>
      <c r="P1145" s="97" t="n">
        <v>97.58508</v>
      </c>
      <c r="Q1145" s="97" t="n"/>
      <c r="R1145" s="97" t="n">
        <v>102.6</v>
      </c>
      <c r="S1145" s="97" t="n">
        <v>99.07082</v>
      </c>
      <c r="T1145" s="97" t="n">
        <v>99.77504999999999</v>
      </c>
      <c r="U1145" s="97" t="n">
        <v>99.98335</v>
      </c>
      <c r="V1145" s="97" t="n">
        <v>92.90774999999999</v>
      </c>
      <c r="W1145" s="97" t="n">
        <v>81.85432</v>
      </c>
      <c r="X1145" s="97" t="n">
        <v>84.13187000000001</v>
      </c>
      <c r="Y1145" s="97" t="n">
        <v>93.11475</v>
      </c>
      <c r="Z1145" s="97" t="n">
        <v>99.49171</v>
      </c>
      <c r="AA1145" s="97" t="n">
        <v>99.79169</v>
      </c>
      <c r="AB1145" s="97" t="n">
        <v>102.2015</v>
      </c>
      <c r="AC1145" s="97" t="n">
        <v>98.69177000000001</v>
      </c>
      <c r="AD1145" s="97" t="n">
        <v>96.40000000000001</v>
      </c>
      <c r="AE1145" s="97" t="n">
        <v>108.5088</v>
      </c>
      <c r="AF1145" s="97" t="n">
        <v>104.0913</v>
      </c>
      <c r="AG1145" s="97" t="n">
        <v>99.14662</v>
      </c>
      <c r="AH1145" s="97" t="n">
        <v>99.3548</v>
      </c>
      <c r="AI1145" s="97" t="n">
        <v>95.5</v>
      </c>
      <c r="AJ1145" s="97" t="n">
        <v>98.73795</v>
      </c>
      <c r="AK1145" s="97" t="n">
        <v>93.81564</v>
      </c>
      <c r="AL1145" s="97" t="n">
        <v>93.50779</v>
      </c>
      <c r="AM1145" s="97" t="n">
        <v>97.7</v>
      </c>
      <c r="AN1145" s="97" t="n"/>
      <c r="AO1145" s="97" t="n">
        <v>100.5049</v>
      </c>
      <c r="AP1145" s="97" t="n">
        <v>98.58356999999999</v>
      </c>
      <c r="AQ1145" s="97" t="n"/>
      <c r="AR1145" s="97" t="n"/>
      <c r="AS1145" s="97" t="n"/>
      <c r="AT1145" s="97" t="n">
        <v>97.37034</v>
      </c>
      <c r="AU1145" s="97" t="n"/>
      <c r="AV1145" s="97" t="n">
        <v>94.2</v>
      </c>
      <c r="AW1145" s="97" t="n"/>
      <c r="AX1145" s="97" t="n">
        <v>93.59220000000001</v>
      </c>
      <c r="AY1145" s="97" t="n">
        <v>110.322</v>
      </c>
    </row>
    <row r="1146" s="135">
      <c r="A1146" t="inlineStr">
        <is>
          <t>2014-05</t>
        </is>
      </c>
      <c r="B1146" s="2" t="n">
        <v>41760</v>
      </c>
      <c r="C1146" s="96" t="n">
        <v>1146</v>
      </c>
      <c r="E1146" s="2">
        <f>B1146</f>
        <v/>
      </c>
      <c r="F1146" s="3">
        <f>B1146</f>
        <v/>
      </c>
      <c r="G1146" s="96" t="n">
        <v>1144</v>
      </c>
      <c r="H1146" s="97" t="n"/>
      <c r="I1146" s="97" t="n"/>
      <c r="J1146" s="97" t="n">
        <v>101.2916</v>
      </c>
      <c r="K1146" s="97" t="n">
        <v>100.7293</v>
      </c>
      <c r="L1146" s="97" t="n"/>
      <c r="M1146" s="97" t="n">
        <v>95.18414</v>
      </c>
      <c r="N1146" s="97" t="n">
        <v>98.69177000000001</v>
      </c>
      <c r="O1146" s="97" t="n">
        <v>98.2</v>
      </c>
      <c r="P1146" s="97" t="n">
        <v>97.23008</v>
      </c>
      <c r="Q1146" s="97" t="n"/>
      <c r="R1146" s="97" t="n">
        <v>101.9</v>
      </c>
      <c r="S1146" s="97" t="n">
        <v>96.86081</v>
      </c>
      <c r="T1146" s="97" t="n">
        <v>99.46357999999999</v>
      </c>
      <c r="U1146" s="97" t="n">
        <v>105.3771</v>
      </c>
      <c r="V1146" s="97" t="n">
        <v>92.30768999999999</v>
      </c>
      <c r="W1146" s="97" t="n">
        <v>84.18582000000001</v>
      </c>
      <c r="X1146" s="97" t="n">
        <v>84.74117</v>
      </c>
      <c r="Y1146" s="97" t="n">
        <v>96.29977</v>
      </c>
      <c r="Z1146" s="97" t="n">
        <v>97.99184</v>
      </c>
      <c r="AA1146" s="97" t="n">
        <v>101.8915</v>
      </c>
      <c r="AB1146" s="97" t="n">
        <v>99.56171000000001</v>
      </c>
      <c r="AC1146" s="97" t="n">
        <v>97.69186000000001</v>
      </c>
      <c r="AD1146" s="97" t="n">
        <v>96.59999999999999</v>
      </c>
      <c r="AE1146" s="97" t="n">
        <v>108.9781</v>
      </c>
      <c r="AF1146" s="97" t="n">
        <v>103.6914</v>
      </c>
      <c r="AG1146" s="97" t="n">
        <v>94.60822</v>
      </c>
      <c r="AH1146" s="97" t="n">
        <v>99.22836</v>
      </c>
      <c r="AI1146" s="97" t="n">
        <v>93.90000000000001</v>
      </c>
      <c r="AJ1146" s="97" t="n">
        <v>97.36971</v>
      </c>
      <c r="AK1146" s="97" t="n">
        <v>93.91565</v>
      </c>
      <c r="AL1146" s="97" t="n">
        <v>93.40778</v>
      </c>
      <c r="AM1146" s="97" t="n">
        <v>95</v>
      </c>
      <c r="AN1146" s="97" t="n"/>
      <c r="AO1146" s="97" t="n">
        <v>100.8681</v>
      </c>
      <c r="AP1146" s="97" t="n">
        <v>97.7837</v>
      </c>
      <c r="AQ1146" s="97" t="n"/>
      <c r="AR1146" s="97" t="n"/>
      <c r="AS1146" s="97" t="n"/>
      <c r="AT1146" s="97" t="n">
        <v>97.26206999999999</v>
      </c>
      <c r="AU1146" s="97" t="n"/>
      <c r="AV1146" s="97" t="n">
        <v>93.7</v>
      </c>
      <c r="AW1146" s="97" t="n"/>
      <c r="AX1146" s="97" t="n">
        <v>92.39230000000001</v>
      </c>
      <c r="AY1146" s="97" t="n">
        <v>108.7806</v>
      </c>
    </row>
    <row r="1147" s="135">
      <c r="A1147" t="inlineStr">
        <is>
          <t>2014-06</t>
        </is>
      </c>
      <c r="B1147" s="2" t="n">
        <v>41791</v>
      </c>
      <c r="C1147" s="96" t="n">
        <v>1147</v>
      </c>
      <c r="E1147" s="2">
        <f>B1147</f>
        <v/>
      </c>
      <c r="F1147" s="3">
        <f>B1147</f>
        <v/>
      </c>
      <c r="G1147" s="96" t="n">
        <v>1145</v>
      </c>
      <c r="H1147" s="97" t="n"/>
      <c r="I1147" s="97" t="n"/>
      <c r="J1147" s="97" t="n">
        <v>103.0914</v>
      </c>
      <c r="K1147" s="97" t="n">
        <v>101.5771</v>
      </c>
      <c r="L1147" s="97" t="n"/>
      <c r="M1147" s="97" t="n">
        <v>95.28412</v>
      </c>
      <c r="N1147" s="97" t="n">
        <v>98.79177</v>
      </c>
      <c r="O1147" s="97" t="n">
        <v>97.40000000000001</v>
      </c>
      <c r="P1147" s="97" t="n">
        <v>96.51708000000001</v>
      </c>
      <c r="Q1147" s="97" t="n"/>
      <c r="R1147" s="97" t="n">
        <v>99.8</v>
      </c>
      <c r="S1147" s="97" t="n">
        <v>99.10082</v>
      </c>
      <c r="T1147" s="97" t="n">
        <v>99.67122999999999</v>
      </c>
      <c r="U1147" s="97" t="n">
        <v>98.18545</v>
      </c>
      <c r="V1147" s="97" t="n">
        <v>95.70798000000001</v>
      </c>
      <c r="W1147" s="97" t="n">
        <v>63.95854</v>
      </c>
      <c r="X1147" s="97" t="n">
        <v>86.40221</v>
      </c>
      <c r="Y1147" s="97" t="n">
        <v>95.17564</v>
      </c>
      <c r="Z1147" s="97" t="n">
        <v>99.89167999999999</v>
      </c>
      <c r="AA1147" s="97" t="n">
        <v>100.5916</v>
      </c>
      <c r="AB1147" s="97" t="n">
        <v>101.9665</v>
      </c>
      <c r="AC1147" s="97" t="n">
        <v>98.09183</v>
      </c>
      <c r="AD1147" s="97" t="n">
        <v>95.90000000000001</v>
      </c>
      <c r="AE1147" s="97" t="n">
        <v>108.7625</v>
      </c>
      <c r="AF1147" s="97" t="n">
        <v>101.9915</v>
      </c>
      <c r="AG1147" s="97" t="n">
        <v>99.26299</v>
      </c>
      <c r="AH1147" s="97" t="n">
        <v>99.37961</v>
      </c>
      <c r="AI1147" s="97" t="n">
        <v>94.59999999999999</v>
      </c>
      <c r="AJ1147" s="97" t="n">
        <v>96.8485</v>
      </c>
      <c r="AK1147" s="97" t="n">
        <v>95.81596999999999</v>
      </c>
      <c r="AL1147" s="97" t="n">
        <v>95.80798</v>
      </c>
      <c r="AM1147" s="97" t="n">
        <v>96.8</v>
      </c>
      <c r="AN1147" s="97" t="n"/>
      <c r="AO1147" s="97" t="n">
        <v>101.2455</v>
      </c>
      <c r="AP1147" s="97" t="n">
        <v>97.28377999999999</v>
      </c>
      <c r="AQ1147" s="97" t="n"/>
      <c r="AR1147" s="97" t="n"/>
      <c r="AS1147" s="97" t="n"/>
      <c r="AT1147" s="97" t="n">
        <v>98.32169</v>
      </c>
      <c r="AU1147" s="97" t="n"/>
      <c r="AV1147" s="97" t="n">
        <v>94.90000000000001</v>
      </c>
      <c r="AW1147" s="97" t="n"/>
      <c r="AX1147" s="97" t="n">
        <v>94.19215</v>
      </c>
      <c r="AY1147" s="97" t="n">
        <v>105.8079</v>
      </c>
    </row>
    <row r="1148" s="135">
      <c r="A1148" t="inlineStr">
        <is>
          <t>2014-07</t>
        </is>
      </c>
      <c r="B1148" s="2" t="n">
        <v>41821</v>
      </c>
      <c r="C1148" s="96" t="n">
        <v>1148</v>
      </c>
      <c r="E1148" s="2">
        <f>B1148</f>
        <v/>
      </c>
      <c r="F1148" s="3">
        <f>B1148</f>
        <v/>
      </c>
      <c r="G1148" s="96" t="n">
        <v>1146</v>
      </c>
      <c r="H1148" s="97" t="n"/>
      <c r="I1148" s="97" t="n"/>
      <c r="J1148" s="97" t="n">
        <v>101.1916</v>
      </c>
      <c r="K1148" s="97" t="n">
        <v>100.9872</v>
      </c>
      <c r="L1148" s="97" t="n"/>
      <c r="M1148" s="97" t="n">
        <v>95.48408999999999</v>
      </c>
      <c r="N1148" s="97" t="n">
        <v>100.8916</v>
      </c>
      <c r="O1148" s="97" t="n">
        <v>97.5</v>
      </c>
      <c r="P1148" s="97" t="n">
        <v>96.51508</v>
      </c>
      <c r="Q1148" s="97" t="n"/>
      <c r="R1148" s="97" t="n">
        <v>101.3</v>
      </c>
      <c r="S1148" s="97" t="n">
        <v>100.3308</v>
      </c>
      <c r="T1148" s="97" t="n">
        <v>100.1903</v>
      </c>
      <c r="U1148" s="97" t="n">
        <v>97.78592</v>
      </c>
      <c r="V1148" s="97" t="n">
        <v>97.60813</v>
      </c>
      <c r="W1148" s="97" t="n">
        <v>71.20507000000001</v>
      </c>
      <c r="X1148" s="97" t="n">
        <v>89.43813</v>
      </c>
      <c r="Y1148" s="97" t="n">
        <v>97.89227</v>
      </c>
      <c r="Z1148" s="97" t="n">
        <v>98.49178999999999</v>
      </c>
      <c r="AA1148" s="97" t="n">
        <v>100.3916</v>
      </c>
      <c r="AB1148" s="97" t="n">
        <v>102.8264</v>
      </c>
      <c r="AC1148" s="97" t="n">
        <v>100.1917</v>
      </c>
      <c r="AD1148" s="97" t="n">
        <v>96.59999999999999</v>
      </c>
      <c r="AE1148" s="97" t="n">
        <v>108.9113</v>
      </c>
      <c r="AF1148" s="97" t="n">
        <v>102.6914</v>
      </c>
      <c r="AG1148" s="97" t="n">
        <v>97.86656000000001</v>
      </c>
      <c r="AH1148" s="97" t="n">
        <v>99.96986</v>
      </c>
      <c r="AI1148" s="97" t="n">
        <v>96.3</v>
      </c>
      <c r="AJ1148" s="97" t="n">
        <v>98.43776</v>
      </c>
      <c r="AK1148" s="97" t="n">
        <v>92.81547</v>
      </c>
      <c r="AL1148" s="97" t="n">
        <v>96.60805000000001</v>
      </c>
      <c r="AM1148" s="97" t="n">
        <v>96</v>
      </c>
      <c r="AN1148" s="97" t="n"/>
      <c r="AO1148" s="97" t="n">
        <v>101.4449</v>
      </c>
      <c r="AP1148" s="97" t="n">
        <v>98.08365999999999</v>
      </c>
      <c r="AQ1148" s="97" t="n"/>
      <c r="AR1148" s="97" t="n"/>
      <c r="AS1148" s="97" t="n"/>
      <c r="AT1148" s="97" t="n">
        <v>98.77539</v>
      </c>
      <c r="AU1148" s="97" t="n"/>
      <c r="AV1148" s="97" t="n">
        <v>94.7</v>
      </c>
      <c r="AW1148" s="97" t="n"/>
      <c r="AX1148" s="97" t="n">
        <v>96.49196000000001</v>
      </c>
      <c r="AY1148" s="97" t="n">
        <v>108.2301</v>
      </c>
    </row>
    <row r="1149" s="135">
      <c r="A1149" t="inlineStr">
        <is>
          <t>2014-08</t>
        </is>
      </c>
      <c r="B1149" s="2" t="n">
        <v>41852</v>
      </c>
      <c r="C1149" s="96" t="n">
        <v>1149</v>
      </c>
      <c r="E1149" s="2">
        <f>B1149</f>
        <v/>
      </c>
      <c r="F1149" s="3">
        <f>B1149</f>
        <v/>
      </c>
      <c r="G1149" s="96" t="n">
        <v>1147</v>
      </c>
      <c r="H1149" s="97" t="n"/>
      <c r="I1149" s="97" t="n"/>
      <c r="J1149" s="97" t="n">
        <v>97.99184</v>
      </c>
      <c r="K1149" s="97" t="n">
        <v>99.3079</v>
      </c>
      <c r="L1149" s="97" t="n"/>
      <c r="M1149" s="97" t="n">
        <v>95.88402000000001</v>
      </c>
      <c r="N1149" s="97" t="n">
        <v>96.69194</v>
      </c>
      <c r="O1149" s="97" t="n">
        <v>102.8</v>
      </c>
      <c r="P1149" s="97" t="n">
        <v>97.01308</v>
      </c>
      <c r="Q1149" s="97" t="n"/>
      <c r="R1149" s="97" t="n">
        <v>101.9</v>
      </c>
      <c r="S1149" s="97" t="n">
        <v>98.36082</v>
      </c>
      <c r="T1149" s="97" t="n">
        <v>99.46357999999999</v>
      </c>
      <c r="U1149" s="97" t="n">
        <v>96.0879</v>
      </c>
      <c r="V1149" s="97" t="n">
        <v>91.90766000000001</v>
      </c>
      <c r="W1149" s="97" t="n">
        <v>74.92286</v>
      </c>
      <c r="X1149" s="97" t="n">
        <v>93.64669000000001</v>
      </c>
      <c r="Y1149" s="97" t="n">
        <v>98.07962999999999</v>
      </c>
      <c r="Z1149" s="97" t="n">
        <v>97.39188</v>
      </c>
      <c r="AA1149" s="97" t="n">
        <v>99.49171</v>
      </c>
      <c r="AB1149" s="97" t="n">
        <v>99.19073</v>
      </c>
      <c r="AC1149" s="97" t="n">
        <v>98.49178999999999</v>
      </c>
      <c r="AD1149" s="97" t="n">
        <v>97</v>
      </c>
      <c r="AE1149" s="97" t="n">
        <v>109.0474</v>
      </c>
      <c r="AF1149" s="97" t="n">
        <v>102.9914</v>
      </c>
      <c r="AG1149" s="97" t="n">
        <v>98.68114</v>
      </c>
      <c r="AH1149" s="97" t="n">
        <v>98.82173</v>
      </c>
      <c r="AI1149" s="97" t="n">
        <v>95.2</v>
      </c>
      <c r="AJ1149" s="97" t="n">
        <v>96.91792</v>
      </c>
      <c r="AK1149" s="97" t="n">
        <v>94.51575</v>
      </c>
      <c r="AL1149" s="97" t="n">
        <v>95.00792</v>
      </c>
      <c r="AM1149" s="97" t="n">
        <v>96.7</v>
      </c>
      <c r="AN1149" s="97" t="n"/>
      <c r="AO1149" s="97" t="n">
        <v>101.3324</v>
      </c>
      <c r="AP1149" s="97" t="n">
        <v>96.38393000000001</v>
      </c>
      <c r="AQ1149" s="97" t="n"/>
      <c r="AR1149" s="97" t="n"/>
      <c r="AS1149" s="97" t="n"/>
      <c r="AT1149" s="97" t="n">
        <v>98.1233</v>
      </c>
      <c r="AU1149" s="97" t="n"/>
      <c r="AV1149" s="97" t="n">
        <v>94.8</v>
      </c>
      <c r="AW1149" s="97" t="n"/>
      <c r="AX1149" s="97" t="n">
        <v>91.79235</v>
      </c>
      <c r="AY1149" s="97" t="n">
        <v>109.221</v>
      </c>
    </row>
    <row r="1150" s="135">
      <c r="A1150" t="inlineStr">
        <is>
          <t>2014-09</t>
        </is>
      </c>
      <c r="B1150" s="2" t="n">
        <v>41883</v>
      </c>
      <c r="C1150" s="96" t="n">
        <v>1150</v>
      </c>
      <c r="E1150" s="2">
        <f>B1150</f>
        <v/>
      </c>
      <c r="F1150" s="3">
        <f>B1150</f>
        <v/>
      </c>
      <c r="G1150" s="96" t="n">
        <v>1148</v>
      </c>
      <c r="H1150" s="97" t="n"/>
      <c r="I1150" s="97" t="n"/>
      <c r="J1150" s="97" t="n">
        <v>102.6914</v>
      </c>
      <c r="K1150" s="97" t="n">
        <v>101.213</v>
      </c>
      <c r="L1150" s="97" t="n"/>
      <c r="M1150" s="97" t="n">
        <v>97.38377</v>
      </c>
      <c r="N1150" s="97" t="n">
        <v>99.09174</v>
      </c>
      <c r="O1150" s="97" t="n">
        <v>101.3</v>
      </c>
      <c r="P1150" s="97" t="n">
        <v>97.34008</v>
      </c>
      <c r="Q1150" s="97" t="n"/>
      <c r="R1150" s="97" t="n">
        <v>100</v>
      </c>
      <c r="S1150" s="97" t="n">
        <v>99.12083</v>
      </c>
      <c r="T1150" s="97" t="n">
        <v>99.98269999999999</v>
      </c>
      <c r="U1150" s="97" t="n">
        <v>97.18661</v>
      </c>
      <c r="V1150" s="97" t="n">
        <v>94.10784</v>
      </c>
      <c r="W1150" s="97" t="n">
        <v>73.41054</v>
      </c>
      <c r="X1150" s="97" t="n">
        <v>96.76832</v>
      </c>
      <c r="Y1150" s="97" t="n">
        <v>99.95316</v>
      </c>
      <c r="Z1150" s="97" t="n">
        <v>97.99184</v>
      </c>
      <c r="AA1150" s="97" t="n">
        <v>100.5916</v>
      </c>
      <c r="AB1150" s="97" t="n">
        <v>99.34472</v>
      </c>
      <c r="AC1150" s="97" t="n">
        <v>99.89167999999999</v>
      </c>
      <c r="AD1150" s="97" t="n">
        <v>98.40000000000001</v>
      </c>
      <c r="AE1150" s="97" t="n">
        <v>109.2971</v>
      </c>
      <c r="AF1150" s="97" t="n">
        <v>101.2916</v>
      </c>
      <c r="AG1150" s="97" t="n">
        <v>102.5213</v>
      </c>
      <c r="AH1150" s="97" t="n">
        <v>99.68128</v>
      </c>
      <c r="AI1150" s="97" t="n">
        <v>96.09999999999999</v>
      </c>
      <c r="AJ1150" s="97" t="n">
        <v>96.95988</v>
      </c>
      <c r="AK1150" s="97" t="n">
        <v>93.6156</v>
      </c>
      <c r="AL1150" s="97" t="n">
        <v>94.00784</v>
      </c>
      <c r="AM1150" s="97" t="n">
        <v>95.09999999999999</v>
      </c>
      <c r="AN1150" s="97" t="n"/>
      <c r="AO1150" s="97" t="n">
        <v>101.6352</v>
      </c>
      <c r="AP1150" s="97" t="n">
        <v>97.38377</v>
      </c>
      <c r="AQ1150" s="97" t="n"/>
      <c r="AR1150" s="97" t="n"/>
      <c r="AS1150" s="97" t="n"/>
      <c r="AT1150" s="97" t="n">
        <v>98.88744</v>
      </c>
      <c r="AU1150" s="97" t="n"/>
      <c r="AV1150" s="97" t="n">
        <v>96.40000000000001</v>
      </c>
      <c r="AW1150" s="97" t="n"/>
      <c r="AX1150" s="97" t="n">
        <v>96.092</v>
      </c>
      <c r="AY1150" s="97" t="n">
        <v>109.3311</v>
      </c>
    </row>
    <row r="1151" s="135">
      <c r="A1151" t="inlineStr">
        <is>
          <t>2014-10</t>
        </is>
      </c>
      <c r="B1151" s="2" t="n">
        <v>41913</v>
      </c>
      <c r="C1151" s="96" t="n">
        <v>1151</v>
      </c>
      <c r="E1151" s="2">
        <f>B1151</f>
        <v/>
      </c>
      <c r="F1151" s="3">
        <f>B1151</f>
        <v/>
      </c>
      <c r="G1151" s="96" t="n">
        <v>1149</v>
      </c>
      <c r="H1151" s="97" t="n"/>
      <c r="I1151" s="97" t="n"/>
      <c r="J1151" s="97" t="n">
        <v>99.79169</v>
      </c>
      <c r="K1151" s="97" t="n">
        <v>102.0271</v>
      </c>
      <c r="L1151" s="97" t="n"/>
      <c r="M1151" s="97" t="n">
        <v>96.5839</v>
      </c>
      <c r="N1151" s="97" t="n">
        <v>99.29173</v>
      </c>
      <c r="O1151" s="97" t="n">
        <v>100.4</v>
      </c>
      <c r="P1151" s="97" t="n">
        <v>96.84508</v>
      </c>
      <c r="Q1151" s="97" t="n"/>
      <c r="R1151" s="97" t="n">
        <v>101.3</v>
      </c>
      <c r="S1151" s="97" t="n">
        <v>97.59081</v>
      </c>
      <c r="T1151" s="97" t="n">
        <v>99.56740000000001</v>
      </c>
      <c r="U1151" s="97" t="n">
        <v>99.78358</v>
      </c>
      <c r="V1151" s="97" t="n">
        <v>91.10759</v>
      </c>
      <c r="W1151" s="97" t="n">
        <v>76.49818999999999</v>
      </c>
      <c r="X1151" s="97" t="n">
        <v>101.1724</v>
      </c>
      <c r="Y1151" s="97" t="n">
        <v>101.3583</v>
      </c>
      <c r="Z1151" s="97" t="n">
        <v>97.79185</v>
      </c>
      <c r="AA1151" s="97" t="n">
        <v>100.5916</v>
      </c>
      <c r="AB1151" s="97" t="n">
        <v>97.96084</v>
      </c>
      <c r="AC1151" s="97" t="n">
        <v>100.0917</v>
      </c>
      <c r="AD1151" s="97" t="n">
        <v>98.5</v>
      </c>
      <c r="AE1151" s="97" t="n">
        <v>109.3604</v>
      </c>
      <c r="AF1151" s="97" t="n">
        <v>100.1917</v>
      </c>
      <c r="AG1151" s="97" t="n">
        <v>103.1032</v>
      </c>
      <c r="AH1151" s="97" t="n">
        <v>99.54598</v>
      </c>
      <c r="AI1151" s="97" t="n">
        <v>96.2</v>
      </c>
      <c r="AJ1151" s="97" t="n">
        <v>98.86192</v>
      </c>
      <c r="AK1151" s="97" t="n">
        <v>94.11568</v>
      </c>
      <c r="AL1151" s="97" t="n">
        <v>95.80798</v>
      </c>
      <c r="AM1151" s="97" t="n">
        <v>95.8</v>
      </c>
      <c r="AN1151" s="97" t="n"/>
      <c r="AO1151" s="97" t="n">
        <v>101.6562</v>
      </c>
      <c r="AP1151" s="97" t="n">
        <v>97.08382</v>
      </c>
      <c r="AQ1151" s="97" t="n"/>
      <c r="AR1151" s="97" t="n"/>
      <c r="AS1151" s="97" t="n"/>
      <c r="AT1151" s="97" t="n">
        <v>94.64855</v>
      </c>
      <c r="AU1151" s="97" t="n"/>
      <c r="AV1151" s="97" t="n">
        <v>97.59999999999999</v>
      </c>
      <c r="AW1151" s="97" t="n"/>
      <c r="AX1151" s="97" t="n">
        <v>94.89209</v>
      </c>
      <c r="AY1151" s="97" t="n">
        <v>109.7715</v>
      </c>
    </row>
    <row r="1152" s="135">
      <c r="A1152" t="inlineStr">
        <is>
          <t>2014-11</t>
        </is>
      </c>
      <c r="B1152" s="2" t="n">
        <v>41944</v>
      </c>
      <c r="C1152" s="96" t="n">
        <v>1152</v>
      </c>
      <c r="E1152" s="2">
        <f>B1152</f>
        <v/>
      </c>
      <c r="F1152" s="3">
        <f>B1152</f>
        <v/>
      </c>
      <c r="G1152" s="96" t="n">
        <v>1150</v>
      </c>
      <c r="H1152" s="97" t="n"/>
      <c r="I1152" s="97" t="n"/>
      <c r="J1152" s="97" t="n">
        <v>98.99175</v>
      </c>
      <c r="K1152" s="97" t="n">
        <v>101.6582</v>
      </c>
      <c r="L1152" s="97" t="n"/>
      <c r="M1152" s="97" t="n">
        <v>97.68371999999999</v>
      </c>
      <c r="N1152" s="97" t="n">
        <v>99.39172000000001</v>
      </c>
      <c r="O1152" s="97" t="n">
        <v>100.1</v>
      </c>
      <c r="P1152" s="97" t="n">
        <v>96.49508</v>
      </c>
      <c r="Q1152" s="97" t="n"/>
      <c r="R1152" s="97" t="n">
        <v>100.5</v>
      </c>
      <c r="S1152" s="97" t="n">
        <v>96.67081</v>
      </c>
      <c r="T1152" s="97" t="n">
        <v>99.67122999999999</v>
      </c>
      <c r="U1152" s="97" t="n">
        <v>99.38405</v>
      </c>
      <c r="V1152" s="97" t="n">
        <v>95.40795</v>
      </c>
      <c r="W1152" s="97" t="n">
        <v>75.99409</v>
      </c>
      <c r="X1152" s="97" t="n">
        <v>99.58835999999999</v>
      </c>
      <c r="Y1152" s="97" t="n">
        <v>100.9836</v>
      </c>
      <c r="Z1152" s="97" t="n">
        <v>97.79185</v>
      </c>
      <c r="AA1152" s="97" t="n">
        <v>100.5916</v>
      </c>
      <c r="AB1152" s="97" t="n">
        <v>98.29680999999999</v>
      </c>
      <c r="AC1152" s="97" t="n">
        <v>99.79169</v>
      </c>
      <c r="AD1152" s="97" t="n">
        <v>96.3</v>
      </c>
      <c r="AE1152" s="97" t="n">
        <v>109.5572</v>
      </c>
      <c r="AF1152" s="97" t="n">
        <v>100.6916</v>
      </c>
      <c r="AG1152" s="97" t="n">
        <v>100.6594</v>
      </c>
      <c r="AH1152" s="97" t="n">
        <v>99.77294999999999</v>
      </c>
      <c r="AI1152" s="97" t="n">
        <v>96.3</v>
      </c>
      <c r="AJ1152" s="97" t="n">
        <v>97.75134</v>
      </c>
      <c r="AK1152" s="97" t="n">
        <v>94.21571</v>
      </c>
      <c r="AL1152" s="97" t="n">
        <v>96.008</v>
      </c>
      <c r="AM1152" s="97" t="n">
        <v>95.3</v>
      </c>
      <c r="AN1152" s="97" t="n"/>
      <c r="AO1152" s="97" t="n">
        <v>102.4512</v>
      </c>
      <c r="AP1152" s="97" t="n">
        <v>96.78386999999999</v>
      </c>
      <c r="AQ1152" s="97" t="n"/>
      <c r="AR1152" s="97" t="n"/>
      <c r="AS1152" s="97" t="n"/>
      <c r="AT1152" s="97" t="n">
        <v>101.4331</v>
      </c>
      <c r="AU1152" s="97" t="n"/>
      <c r="AV1152" s="97" t="n">
        <v>97.7</v>
      </c>
      <c r="AW1152" s="97" t="n"/>
      <c r="AX1152" s="97" t="n">
        <v>95.69202</v>
      </c>
      <c r="AY1152" s="97" t="n">
        <v>108.5604</v>
      </c>
    </row>
    <row r="1153" s="135">
      <c r="A1153" t="inlineStr">
        <is>
          <t>2014-12</t>
        </is>
      </c>
      <c r="B1153" s="2" t="n">
        <v>41974</v>
      </c>
      <c r="C1153" s="96" t="n">
        <v>1153</v>
      </c>
      <c r="E1153" s="2">
        <f>B1153</f>
        <v/>
      </c>
      <c r="F1153" s="3">
        <f>B1153</f>
        <v/>
      </c>
      <c r="G1153" s="96" t="n">
        <v>1151</v>
      </c>
      <c r="H1153" s="97" t="n"/>
      <c r="I1153" s="97" t="n"/>
      <c r="J1153" s="97" t="n">
        <v>99.39172000000001</v>
      </c>
      <c r="K1153" s="97" t="n">
        <v>102.0696</v>
      </c>
      <c r="L1153" s="97" t="n"/>
      <c r="M1153" s="97" t="n">
        <v>99.08349</v>
      </c>
      <c r="N1153" s="97" t="n">
        <v>101.0916</v>
      </c>
      <c r="O1153" s="97" t="n">
        <v>100.2</v>
      </c>
      <c r="P1153" s="97" t="n">
        <v>96.83208</v>
      </c>
      <c r="Q1153" s="97" t="n"/>
      <c r="R1153" s="97" t="n">
        <v>98.59999999999999</v>
      </c>
      <c r="S1153" s="97" t="n">
        <v>99.35083</v>
      </c>
      <c r="T1153" s="97" t="n">
        <v>99.87887000000001</v>
      </c>
      <c r="U1153" s="97" t="n">
        <v>96.68719</v>
      </c>
      <c r="V1153" s="97" t="n">
        <v>93.30777999999999</v>
      </c>
      <c r="W1153" s="97" t="n">
        <v>70.13384000000001</v>
      </c>
      <c r="X1153" s="97" t="n">
        <v>98.47759000000001</v>
      </c>
      <c r="Y1153" s="97" t="n">
        <v>99.0164</v>
      </c>
      <c r="Z1153" s="97" t="n">
        <v>98.79177</v>
      </c>
      <c r="AA1153" s="97" t="n">
        <v>100.1917</v>
      </c>
      <c r="AB1153" s="97" t="n">
        <v>101.2256</v>
      </c>
      <c r="AC1153" s="97" t="n">
        <v>100.8916</v>
      </c>
      <c r="AD1153" s="97" t="n">
        <v>97.2</v>
      </c>
      <c r="AE1153" s="97" t="n">
        <v>109.5996</v>
      </c>
      <c r="AF1153" s="97" t="n">
        <v>100.7916</v>
      </c>
      <c r="AG1153" s="97" t="n">
        <v>101.3576</v>
      </c>
      <c r="AH1153" s="97" t="n">
        <v>100.2133</v>
      </c>
      <c r="AI1153" s="97" t="n">
        <v>97.8</v>
      </c>
      <c r="AJ1153" s="97" t="n">
        <v>97.35671000000001</v>
      </c>
      <c r="AK1153" s="97" t="n">
        <v>96.51608</v>
      </c>
      <c r="AL1153" s="97" t="n">
        <v>96.50803999999999</v>
      </c>
      <c r="AM1153" s="97" t="n">
        <v>98.7</v>
      </c>
      <c r="AN1153" s="97" t="n"/>
      <c r="AO1153" s="97" t="n">
        <v>102.3024</v>
      </c>
      <c r="AP1153" s="97" t="n">
        <v>98.08365999999999</v>
      </c>
      <c r="AQ1153" s="97" t="n"/>
      <c r="AR1153" s="97" t="n"/>
      <c r="AS1153" s="97" t="n"/>
      <c r="AT1153" s="97" t="n">
        <v>98.65322999999999</v>
      </c>
      <c r="AU1153" s="97" t="n"/>
      <c r="AV1153" s="97" t="n">
        <v>100.6</v>
      </c>
      <c r="AW1153" s="97" t="n"/>
      <c r="AX1153" s="97" t="n">
        <v>95.59202999999999</v>
      </c>
      <c r="AY1153" s="97" t="n">
        <v>105.0372</v>
      </c>
    </row>
    <row r="1154" s="135">
      <c r="A1154" t="inlineStr">
        <is>
          <t>2015-01</t>
        </is>
      </c>
      <c r="B1154" s="2" t="n">
        <v>42005</v>
      </c>
      <c r="C1154" s="96" t="n">
        <v>1154</v>
      </c>
      <c r="E1154" s="2">
        <f>B1154</f>
        <v/>
      </c>
      <c r="F1154" s="3">
        <f>B1154</f>
        <v/>
      </c>
      <c r="G1154" s="96" t="n">
        <v>1152</v>
      </c>
      <c r="H1154" s="97" t="n"/>
      <c r="I1154" s="97" t="n"/>
      <c r="J1154" s="97" t="n">
        <v>101.2916</v>
      </c>
      <c r="K1154" s="97" t="n">
        <v>101.3863</v>
      </c>
      <c r="L1154" s="97" t="n"/>
      <c r="M1154" s="97" t="n">
        <v>98.28362</v>
      </c>
      <c r="N1154" s="97" t="n">
        <v>98.89176</v>
      </c>
      <c r="O1154" s="97" t="n">
        <v>97.3</v>
      </c>
      <c r="P1154" s="97" t="n">
        <v>96.85108</v>
      </c>
      <c r="Q1154" s="97" t="n"/>
      <c r="R1154" s="97" t="n">
        <v>97.40000000000001</v>
      </c>
      <c r="S1154" s="97" t="n">
        <v>99.51083</v>
      </c>
      <c r="T1154" s="97" t="n">
        <v>99.35975000000001</v>
      </c>
      <c r="U1154" s="97" t="n">
        <v>97.98568</v>
      </c>
      <c r="V1154" s="97" t="n">
        <v>97.60813</v>
      </c>
      <c r="W1154" s="97" t="n">
        <v>78.20652</v>
      </c>
      <c r="X1154" s="97" t="n">
        <v>99.28055999999999</v>
      </c>
      <c r="Y1154" s="97" t="n">
        <v>98.64169</v>
      </c>
      <c r="Z1154" s="97" t="n">
        <v>98.29181</v>
      </c>
      <c r="AA1154" s="97" t="n">
        <v>102.6914</v>
      </c>
      <c r="AB1154" s="97" t="n">
        <v>97.49187000000001</v>
      </c>
      <c r="AC1154" s="97" t="n">
        <v>100.0917</v>
      </c>
      <c r="AD1154" s="97" t="n">
        <v>96.59999999999999</v>
      </c>
      <c r="AE1154" s="97" t="n">
        <v>109.2765</v>
      </c>
      <c r="AF1154" s="97" t="n">
        <v>102.8914</v>
      </c>
      <c r="AG1154" s="97" t="n">
        <v>98.44841</v>
      </c>
      <c r="AH1154" s="97" t="n">
        <v>99.88723</v>
      </c>
      <c r="AI1154" s="97" t="n">
        <v>98.59999999999999</v>
      </c>
      <c r="AJ1154" s="97" t="n">
        <v>95.8792</v>
      </c>
      <c r="AK1154" s="97" t="n">
        <v>97.91632</v>
      </c>
      <c r="AL1154" s="97" t="n">
        <v>98.40819999999999</v>
      </c>
      <c r="AM1154" s="97" t="n">
        <v>94.7</v>
      </c>
      <c r="AN1154" s="97" t="n"/>
      <c r="AO1154" s="97" t="n">
        <v>101.7954</v>
      </c>
      <c r="AP1154" s="97" t="n">
        <v>97.7837</v>
      </c>
      <c r="AQ1154" s="97" t="n"/>
      <c r="AR1154" s="97" t="n"/>
      <c r="AS1154" s="97" t="n"/>
      <c r="AT1154" s="97" t="n">
        <v>98.10278</v>
      </c>
      <c r="AU1154" s="97" t="n"/>
      <c r="AV1154" s="97" t="n">
        <v>100.7</v>
      </c>
      <c r="AW1154" s="97" t="n"/>
      <c r="AX1154" s="97" t="n">
        <v>95.19207</v>
      </c>
      <c r="AY1154" s="97" t="n">
        <v>105.6978</v>
      </c>
    </row>
    <row r="1155" s="135">
      <c r="A1155" t="inlineStr">
        <is>
          <t>2015-02</t>
        </is>
      </c>
      <c r="B1155" s="2" t="n">
        <v>42036</v>
      </c>
      <c r="C1155" s="96" t="n">
        <v>1155</v>
      </c>
      <c r="E1155" s="2">
        <f>B1155</f>
        <v/>
      </c>
      <c r="F1155" s="3">
        <f>B1155</f>
        <v/>
      </c>
      <c r="G1155" s="96" t="n">
        <v>1153</v>
      </c>
      <c r="H1155" s="97" t="n"/>
      <c r="I1155" s="97" t="n"/>
      <c r="J1155" s="97" t="n">
        <v>97.09191</v>
      </c>
      <c r="K1155" s="97" t="n">
        <v>100.7461</v>
      </c>
      <c r="L1155" s="97" t="n"/>
      <c r="M1155" s="97" t="n">
        <v>98.88352</v>
      </c>
      <c r="N1155" s="97" t="n">
        <v>99.39172000000001</v>
      </c>
      <c r="O1155" s="97" t="n">
        <v>98.5</v>
      </c>
      <c r="P1155" s="97" t="n">
        <v>98.27208</v>
      </c>
      <c r="Q1155" s="97" t="n"/>
      <c r="R1155" s="97" t="n">
        <v>98.8</v>
      </c>
      <c r="S1155" s="97" t="n">
        <v>100.0708</v>
      </c>
      <c r="T1155" s="97" t="n">
        <v>99.98269999999999</v>
      </c>
      <c r="U1155" s="97" t="n">
        <v>101.6814</v>
      </c>
      <c r="V1155" s="97" t="n">
        <v>96.50803999999999</v>
      </c>
      <c r="W1155" s="97" t="n">
        <v>109.1091</v>
      </c>
      <c r="X1155" s="97" t="n">
        <v>101.417</v>
      </c>
      <c r="Y1155" s="97" t="n">
        <v>100.9836</v>
      </c>
      <c r="Z1155" s="97" t="n">
        <v>99.19173000000001</v>
      </c>
      <c r="AA1155" s="97" t="n">
        <v>99.79169</v>
      </c>
      <c r="AB1155" s="97" t="n">
        <v>100.4916</v>
      </c>
      <c r="AC1155" s="97" t="n">
        <v>100.2916</v>
      </c>
      <c r="AD1155" s="97" t="n">
        <v>97</v>
      </c>
      <c r="AE1155" s="97" t="n">
        <v>109.5905</v>
      </c>
      <c r="AF1155" s="97" t="n">
        <v>103.4914</v>
      </c>
      <c r="AG1155" s="97" t="n">
        <v>100.7758</v>
      </c>
      <c r="AH1155" s="97" t="n">
        <v>100.0238</v>
      </c>
      <c r="AI1155" s="97" t="n">
        <v>99.2</v>
      </c>
      <c r="AJ1155" s="97" t="n">
        <v>97.79919</v>
      </c>
      <c r="AK1155" s="97" t="n">
        <v>95.91598999999999</v>
      </c>
      <c r="AL1155" s="97" t="n">
        <v>97.00809</v>
      </c>
      <c r="AM1155" s="97" t="n">
        <v>95.8</v>
      </c>
      <c r="AN1155" s="97" t="n"/>
      <c r="AO1155" s="97" t="n">
        <v>101.2785</v>
      </c>
      <c r="AP1155" s="97" t="n">
        <v>100.1833</v>
      </c>
      <c r="AQ1155" s="97" t="n"/>
      <c r="AR1155" s="97" t="n"/>
      <c r="AS1155" s="97" t="n"/>
      <c r="AT1155" s="97" t="n">
        <v>98.94358</v>
      </c>
      <c r="AU1155" s="97" t="n"/>
      <c r="AV1155" s="97" t="n">
        <v>99.8</v>
      </c>
      <c r="AW1155" s="97" t="n"/>
      <c r="AX1155" s="97" t="n">
        <v>95.19207</v>
      </c>
      <c r="AY1155" s="97" t="n">
        <v>105.2574</v>
      </c>
    </row>
    <row r="1156" s="135">
      <c r="A1156" t="inlineStr">
        <is>
          <t>2015-03</t>
        </is>
      </c>
      <c r="B1156" s="2" t="n">
        <v>42064</v>
      </c>
      <c r="C1156" s="96" t="n">
        <v>1156</v>
      </c>
      <c r="E1156" s="2">
        <f>B1156</f>
        <v/>
      </c>
      <c r="F1156" s="3">
        <f>B1156</f>
        <v/>
      </c>
      <c r="G1156" s="96" t="n">
        <v>1154</v>
      </c>
      <c r="H1156" s="97" t="n"/>
      <c r="I1156" s="97" t="n"/>
      <c r="J1156" s="97" t="n">
        <v>100.2916</v>
      </c>
      <c r="K1156" s="97" t="n">
        <v>100.1431</v>
      </c>
      <c r="L1156" s="97" t="n"/>
      <c r="M1156" s="97" t="n">
        <v>99.18347</v>
      </c>
      <c r="N1156" s="97" t="n">
        <v>99.39172000000001</v>
      </c>
      <c r="O1156" s="97" t="n">
        <v>102.1</v>
      </c>
      <c r="P1156" s="97" t="n">
        <v>98.79707999999999</v>
      </c>
      <c r="Q1156" s="97" t="n"/>
      <c r="R1156" s="97" t="n">
        <v>100.8</v>
      </c>
      <c r="S1156" s="97" t="n">
        <v>99.82083</v>
      </c>
      <c r="T1156" s="97" t="n">
        <v>100.5018</v>
      </c>
      <c r="U1156" s="97" t="n">
        <v>101.5815</v>
      </c>
      <c r="V1156" s="97" t="n">
        <v>99.50829</v>
      </c>
      <c r="W1156" s="97" t="n">
        <v>114.8096</v>
      </c>
      <c r="X1156" s="97" t="n">
        <v>103.5515</v>
      </c>
      <c r="Y1156" s="97" t="n">
        <v>99.95316</v>
      </c>
      <c r="Z1156" s="97" t="n">
        <v>99.49171</v>
      </c>
      <c r="AA1156" s="97" t="n">
        <v>99.29173</v>
      </c>
      <c r="AB1156" s="97" t="n">
        <v>98.69177000000001</v>
      </c>
      <c r="AC1156" s="97" t="n">
        <v>99.6917</v>
      </c>
      <c r="AD1156" s="97" t="n">
        <v>101.1</v>
      </c>
      <c r="AE1156" s="97" t="n">
        <v>109.6938</v>
      </c>
      <c r="AF1156" s="97" t="n">
        <v>100.7916</v>
      </c>
      <c r="AG1156" s="97" t="n">
        <v>102.1722</v>
      </c>
      <c r="AH1156" s="97" t="n">
        <v>100.0739</v>
      </c>
      <c r="AI1156" s="97" t="n">
        <v>100.3</v>
      </c>
      <c r="AJ1156" s="97" t="n">
        <v>98.15918000000001</v>
      </c>
      <c r="AK1156" s="97" t="n">
        <v>99.01649999999999</v>
      </c>
      <c r="AL1156" s="97" t="n">
        <v>99.40828999999999</v>
      </c>
      <c r="AM1156" s="97" t="n">
        <v>96.3</v>
      </c>
      <c r="AN1156" s="97" t="n"/>
      <c r="AO1156" s="97" t="n">
        <v>100.9941</v>
      </c>
      <c r="AP1156" s="97" t="n">
        <v>100.6832</v>
      </c>
      <c r="AQ1156" s="97" t="n"/>
      <c r="AR1156" s="97" t="n"/>
      <c r="AS1156" s="97" t="n"/>
      <c r="AT1156" s="97" t="n">
        <v>98.17247</v>
      </c>
      <c r="AU1156" s="97" t="n"/>
      <c r="AV1156" s="97" t="n">
        <v>99.59999999999999</v>
      </c>
      <c r="AW1156" s="97" t="n"/>
      <c r="AX1156" s="97" t="n">
        <v>99.09174</v>
      </c>
      <c r="AY1156" s="97" t="n">
        <v>104.4866</v>
      </c>
    </row>
    <row r="1157" s="135">
      <c r="A1157" t="inlineStr">
        <is>
          <t>2015-04</t>
        </is>
      </c>
      <c r="B1157" s="2" t="n">
        <v>42095</v>
      </c>
      <c r="C1157" s="96" t="n">
        <v>1157</v>
      </c>
      <c r="E1157" s="2">
        <f>B1157</f>
        <v/>
      </c>
      <c r="F1157" s="3">
        <f>B1157</f>
        <v/>
      </c>
      <c r="G1157" s="96" t="n">
        <v>1155</v>
      </c>
      <c r="H1157" s="97" t="n"/>
      <c r="I1157" s="97" t="n"/>
      <c r="J1157" s="97" t="n">
        <v>101.6915</v>
      </c>
      <c r="K1157" s="97" t="n">
        <v>99.27606</v>
      </c>
      <c r="L1157" s="97" t="n"/>
      <c r="M1157" s="97" t="n">
        <v>99.68339</v>
      </c>
      <c r="N1157" s="97" t="n">
        <v>99.99167</v>
      </c>
      <c r="O1157" s="97" t="n">
        <v>101.1</v>
      </c>
      <c r="P1157" s="97" t="n">
        <v>99.71608000000001</v>
      </c>
      <c r="Q1157" s="97" t="n"/>
      <c r="R1157" s="97" t="n">
        <v>100.2</v>
      </c>
      <c r="S1157" s="97" t="n">
        <v>99.36082</v>
      </c>
      <c r="T1157" s="97" t="n">
        <v>100.7095</v>
      </c>
      <c r="U1157" s="97" t="n">
        <v>100.6825</v>
      </c>
      <c r="V1157" s="97" t="n">
        <v>98.80824</v>
      </c>
      <c r="W1157" s="97" t="n">
        <v>97.2081</v>
      </c>
      <c r="X1157" s="97" t="n">
        <v>107.1663</v>
      </c>
      <c r="Y1157" s="97" t="n">
        <v>98.36066</v>
      </c>
      <c r="Z1157" s="97" t="n">
        <v>99.6917</v>
      </c>
      <c r="AA1157" s="97" t="n">
        <v>99.6917</v>
      </c>
      <c r="AB1157" s="97" t="n">
        <v>99.89167999999999</v>
      </c>
      <c r="AC1157" s="97" t="n">
        <v>100.1917</v>
      </c>
      <c r="AD1157" s="97" t="n">
        <v>102.5</v>
      </c>
      <c r="AE1157" s="97" t="n">
        <v>110.4537</v>
      </c>
      <c r="AF1157" s="97" t="n">
        <v>98.59178</v>
      </c>
      <c r="AG1157" s="97" t="n">
        <v>95.30643999999999</v>
      </c>
      <c r="AH1157" s="97" t="n">
        <v>99.83271999999999</v>
      </c>
      <c r="AI1157" s="97" t="n">
        <v>97.90000000000001</v>
      </c>
      <c r="AJ1157" s="97" t="n">
        <v>99.84917</v>
      </c>
      <c r="AK1157" s="97" t="n">
        <v>97.91632</v>
      </c>
      <c r="AL1157" s="97" t="n">
        <v>98.30819</v>
      </c>
      <c r="AM1157" s="97" t="n">
        <v>100.5</v>
      </c>
      <c r="AN1157" s="97" t="n"/>
      <c r="AO1157" s="97" t="n">
        <v>100.3994</v>
      </c>
      <c r="AP1157" s="97" t="n">
        <v>99.78337000000001</v>
      </c>
      <c r="AQ1157" s="97" t="n"/>
      <c r="AR1157" s="97" t="n"/>
      <c r="AS1157" s="97" t="n"/>
      <c r="AT1157" s="97" t="n">
        <v>97.9949</v>
      </c>
      <c r="AU1157" s="97" t="n"/>
      <c r="AV1157" s="97" t="n">
        <v>99.3</v>
      </c>
      <c r="AW1157" s="97" t="n"/>
      <c r="AX1157" s="97" t="n">
        <v>99.39172000000001</v>
      </c>
      <c r="AY1157" s="97" t="n">
        <v>102.3947</v>
      </c>
    </row>
    <row r="1158" s="135">
      <c r="A1158" t="inlineStr">
        <is>
          <t>2015-05</t>
        </is>
      </c>
      <c r="B1158" s="2" t="n">
        <v>42125</v>
      </c>
      <c r="C1158" s="96" t="n">
        <v>1158</v>
      </c>
      <c r="E1158" s="2">
        <f>B1158</f>
        <v/>
      </c>
      <c r="F1158" s="3">
        <f>B1158</f>
        <v/>
      </c>
      <c r="G1158" s="96" t="n">
        <v>1156</v>
      </c>
      <c r="H1158" s="97" t="n"/>
      <c r="I1158" s="97" t="n"/>
      <c r="J1158" s="97" t="n">
        <v>101.7915</v>
      </c>
      <c r="K1158" s="97" t="n">
        <v>98.35496000000001</v>
      </c>
      <c r="L1158" s="97" t="n"/>
      <c r="M1158" s="97" t="n">
        <v>99.88334999999999</v>
      </c>
      <c r="N1158" s="97" t="n">
        <v>100.0917</v>
      </c>
      <c r="O1158" s="97" t="n">
        <v>100.8</v>
      </c>
      <c r="P1158" s="97" t="n">
        <v>100.6871</v>
      </c>
      <c r="Q1158" s="97" t="n"/>
      <c r="R1158" s="97" t="n">
        <v>99.5</v>
      </c>
      <c r="S1158" s="97" t="n">
        <v>100.2808</v>
      </c>
      <c r="T1158" s="97" t="n">
        <v>100.6056</v>
      </c>
      <c r="U1158" s="97" t="n">
        <v>95.98801</v>
      </c>
      <c r="V1158" s="97" t="n">
        <v>98.30819</v>
      </c>
      <c r="W1158" s="97" t="n">
        <v>97.10809</v>
      </c>
      <c r="X1158" s="97" t="n">
        <v>105.7428</v>
      </c>
      <c r="Y1158" s="97" t="n">
        <v>97.70492</v>
      </c>
      <c r="Z1158" s="97" t="n">
        <v>100.4916</v>
      </c>
      <c r="AA1158" s="97" t="n">
        <v>99.6917</v>
      </c>
      <c r="AB1158" s="97" t="n">
        <v>97.99184</v>
      </c>
      <c r="AC1158" s="97" t="n">
        <v>100.5916</v>
      </c>
      <c r="AD1158" s="97" t="n">
        <v>99.59999999999999</v>
      </c>
      <c r="AE1158" s="97" t="n">
        <v>108.9681</v>
      </c>
      <c r="AF1158" s="97" t="n">
        <v>97.89185000000001</v>
      </c>
      <c r="AG1158" s="97" t="n">
        <v>99.03026</v>
      </c>
      <c r="AH1158" s="97" t="n">
        <v>99.6767</v>
      </c>
      <c r="AI1158" s="97" t="n">
        <v>99.09999999999999</v>
      </c>
      <c r="AJ1158" s="97" t="n">
        <v>100.0892</v>
      </c>
      <c r="AK1158" s="97" t="n">
        <v>99.81664000000001</v>
      </c>
      <c r="AL1158" s="97" t="n">
        <v>99.70831</v>
      </c>
      <c r="AM1158" s="97" t="n">
        <v>100.9</v>
      </c>
      <c r="AN1158" s="97" t="n"/>
      <c r="AO1158" s="97" t="n">
        <v>99.96426</v>
      </c>
      <c r="AP1158" s="97" t="n">
        <v>99.98334</v>
      </c>
      <c r="AQ1158" s="97" t="n"/>
      <c r="AR1158" s="97" t="n"/>
      <c r="AS1158" s="97" t="n"/>
      <c r="AT1158" s="97" t="n">
        <v>98.89909</v>
      </c>
      <c r="AU1158" s="97" t="n"/>
      <c r="AV1158" s="97" t="n">
        <v>99.7</v>
      </c>
      <c r="AW1158" s="97" t="n"/>
      <c r="AX1158" s="97" t="n">
        <v>99.49171</v>
      </c>
      <c r="AY1158" s="97" t="n">
        <v>101.5139</v>
      </c>
    </row>
    <row r="1159" s="135">
      <c r="A1159" t="inlineStr">
        <is>
          <t>2015-06</t>
        </is>
      </c>
      <c r="B1159" s="2" t="n">
        <v>42156</v>
      </c>
      <c r="C1159" s="96" t="n">
        <v>1159</v>
      </c>
      <c r="E1159" s="2">
        <f>B1159</f>
        <v/>
      </c>
      <c r="F1159" s="3">
        <f>B1159</f>
        <v/>
      </c>
      <c r="G1159" s="96" t="n">
        <v>1157</v>
      </c>
      <c r="H1159" s="97" t="n"/>
      <c r="I1159" s="97" t="n"/>
      <c r="J1159" s="97" t="n">
        <v>98.09183</v>
      </c>
      <c r="K1159" s="97" t="n">
        <v>99.15648</v>
      </c>
      <c r="L1159" s="97" t="n"/>
      <c r="M1159" s="97" t="n">
        <v>99.98334</v>
      </c>
      <c r="N1159" s="97" t="n">
        <v>99.99167</v>
      </c>
      <c r="O1159" s="97" t="n">
        <v>105.2</v>
      </c>
      <c r="P1159" s="97" t="n">
        <v>101.1891</v>
      </c>
      <c r="Q1159" s="97" t="n"/>
      <c r="R1159" s="97" t="n">
        <v>101.4</v>
      </c>
      <c r="S1159" s="97" t="n">
        <v>100.1508</v>
      </c>
      <c r="T1159" s="97" t="n">
        <v>100.7095</v>
      </c>
      <c r="U1159" s="97" t="n">
        <v>95.08907000000001</v>
      </c>
      <c r="V1159" s="97" t="n">
        <v>100.2084</v>
      </c>
      <c r="W1159" s="97" t="n">
        <v>101.8085</v>
      </c>
      <c r="X1159" s="97" t="n">
        <v>105.0269</v>
      </c>
      <c r="Y1159" s="97" t="n">
        <v>99.95316</v>
      </c>
      <c r="Z1159" s="97" t="n">
        <v>99.99167</v>
      </c>
      <c r="AA1159" s="97" t="n">
        <v>100.4916</v>
      </c>
      <c r="AB1159" s="97" t="n">
        <v>99.99167</v>
      </c>
      <c r="AC1159" s="97" t="n">
        <v>99.09174</v>
      </c>
      <c r="AD1159" s="97" t="n">
        <v>98.90000000000001</v>
      </c>
      <c r="AE1159" s="97" t="n">
        <v>109.4337</v>
      </c>
      <c r="AF1159" s="97" t="n">
        <v>100.6916</v>
      </c>
      <c r="AG1159" s="97" t="n">
        <v>102.5213</v>
      </c>
      <c r="AH1159" s="97" t="n">
        <v>100.0079</v>
      </c>
      <c r="AI1159" s="97" t="n">
        <v>99.59999999999999</v>
      </c>
      <c r="AJ1159" s="97" t="n">
        <v>100.5992</v>
      </c>
      <c r="AK1159" s="97" t="n">
        <v>99.91665999999999</v>
      </c>
      <c r="AL1159" s="97" t="n">
        <v>100.4084</v>
      </c>
      <c r="AM1159" s="97" t="n">
        <v>100.6</v>
      </c>
      <c r="AN1159" s="97" t="n"/>
      <c r="AO1159" s="97" t="n">
        <v>99.62155</v>
      </c>
      <c r="AP1159" s="97" t="n">
        <v>100.2833</v>
      </c>
      <c r="AQ1159" s="97" t="n"/>
      <c r="AR1159" s="97" t="n"/>
      <c r="AS1159" s="97" t="n"/>
      <c r="AT1159" s="97" t="n">
        <v>99.19999</v>
      </c>
      <c r="AU1159" s="97" t="n"/>
      <c r="AV1159" s="97" t="n">
        <v>99.8</v>
      </c>
      <c r="AW1159" s="97" t="n"/>
      <c r="AX1159" s="97" t="n">
        <v>100.3916</v>
      </c>
      <c r="AY1159" s="97" t="n">
        <v>100.4129</v>
      </c>
    </row>
    <row r="1160" s="135">
      <c r="A1160" t="inlineStr">
        <is>
          <t>2015-07</t>
        </is>
      </c>
      <c r="B1160" s="2" t="n">
        <v>42186</v>
      </c>
      <c r="C1160" s="96" t="n">
        <v>1160</v>
      </c>
      <c r="E1160" s="2">
        <f>B1160</f>
        <v/>
      </c>
      <c r="F1160" s="3">
        <f>B1160</f>
        <v/>
      </c>
      <c r="G1160" s="96" t="n">
        <v>1158</v>
      </c>
      <c r="H1160" s="97" t="n"/>
      <c r="I1160" s="97" t="n"/>
      <c r="J1160" s="97" t="n">
        <v>98.79177</v>
      </c>
      <c r="K1160" s="97" t="n">
        <v>100.6175</v>
      </c>
      <c r="L1160" s="97" t="n"/>
      <c r="M1160" s="97" t="n">
        <v>102.8829</v>
      </c>
      <c r="N1160" s="97" t="n">
        <v>101.3915</v>
      </c>
      <c r="O1160" s="97" t="n">
        <v>100.1</v>
      </c>
      <c r="P1160" s="97" t="n">
        <v>102.3001</v>
      </c>
      <c r="Q1160" s="97" t="n"/>
      <c r="R1160" s="97" t="n">
        <v>99.3</v>
      </c>
      <c r="S1160" s="97" t="n">
        <v>99.14082000000001</v>
      </c>
      <c r="T1160" s="97" t="n">
        <v>99.56740000000001</v>
      </c>
      <c r="U1160" s="97" t="n">
        <v>97.48627</v>
      </c>
      <c r="V1160" s="97" t="n">
        <v>101.3084</v>
      </c>
      <c r="W1160" s="97" t="n">
        <v>101.1084</v>
      </c>
      <c r="X1160" s="97" t="n">
        <v>100.2263</v>
      </c>
      <c r="Y1160" s="97" t="n">
        <v>96.95551</v>
      </c>
      <c r="Z1160" s="97" t="n">
        <v>100.9916</v>
      </c>
      <c r="AA1160" s="97" t="n">
        <v>100.3916</v>
      </c>
      <c r="AB1160" s="97" t="n">
        <v>98.99175</v>
      </c>
      <c r="AC1160" s="97" t="n">
        <v>98.69177000000001</v>
      </c>
      <c r="AD1160" s="97" t="n">
        <v>101.5</v>
      </c>
      <c r="AE1160" s="97" t="n">
        <v>109.8766</v>
      </c>
      <c r="AF1160" s="97" t="n">
        <v>100.4916</v>
      </c>
      <c r="AG1160" s="97" t="n">
        <v>99.26299</v>
      </c>
      <c r="AH1160" s="97" t="n">
        <v>100.3694</v>
      </c>
      <c r="AI1160" s="97" t="n">
        <v>100.7</v>
      </c>
      <c r="AJ1160" s="97" t="n">
        <v>103.4991</v>
      </c>
      <c r="AK1160" s="97" t="n">
        <v>103.7173</v>
      </c>
      <c r="AL1160" s="97" t="n">
        <v>99.30826999999999</v>
      </c>
      <c r="AM1160" s="97" t="n">
        <v>97.90000000000001</v>
      </c>
      <c r="AN1160" s="97" t="n"/>
      <c r="AO1160" s="97" t="n">
        <v>100.2045</v>
      </c>
      <c r="AP1160" s="97" t="n">
        <v>100.8832</v>
      </c>
      <c r="AQ1160" s="97" t="n"/>
      <c r="AR1160" s="97" t="n"/>
      <c r="AS1160" s="97" t="n"/>
      <c r="AT1160" s="97" t="n">
        <v>100.0337</v>
      </c>
      <c r="AU1160" s="97" t="n"/>
      <c r="AV1160" s="97" t="n">
        <v>100.2</v>
      </c>
      <c r="AW1160" s="97" t="n"/>
      <c r="AX1160" s="97" t="n">
        <v>99.79169</v>
      </c>
      <c r="AY1160" s="97" t="n">
        <v>98.54115</v>
      </c>
    </row>
    <row r="1161" s="135">
      <c r="A1161" t="inlineStr">
        <is>
          <t>2015-08</t>
        </is>
      </c>
      <c r="B1161" s="2" t="n">
        <v>42217</v>
      </c>
      <c r="C1161" s="96" t="n">
        <v>1161</v>
      </c>
      <c r="E1161" s="2">
        <f>B1161</f>
        <v/>
      </c>
      <c r="F1161" s="3">
        <f>B1161</f>
        <v/>
      </c>
      <c r="G1161" s="96" t="n">
        <v>1159</v>
      </c>
      <c r="H1161" s="97" t="n"/>
      <c r="I1161" s="97" t="n"/>
      <c r="J1161" s="97" t="n">
        <v>97.99184</v>
      </c>
      <c r="K1161" s="97" t="n">
        <v>101.7066</v>
      </c>
      <c r="L1161" s="97" t="n"/>
      <c r="M1161" s="97" t="n">
        <v>100.6832</v>
      </c>
      <c r="N1161" s="97" t="n">
        <v>98.69177000000001</v>
      </c>
      <c r="O1161" s="97" t="n">
        <v>103.5</v>
      </c>
      <c r="P1161" s="97" t="n">
        <v>99.45208</v>
      </c>
      <c r="Q1161" s="97" t="n"/>
      <c r="R1161" s="97" t="n">
        <v>100</v>
      </c>
      <c r="S1161" s="97" t="n">
        <v>99.96083</v>
      </c>
      <c r="T1161" s="97" t="n">
        <v>99.87887000000001</v>
      </c>
      <c r="U1161" s="97" t="n">
        <v>100.7824</v>
      </c>
      <c r="V1161" s="97" t="n">
        <v>97.60813</v>
      </c>
      <c r="W1161" s="97" t="n">
        <v>110.7092</v>
      </c>
      <c r="X1161" s="97" t="n">
        <v>96.24937</v>
      </c>
      <c r="Y1161" s="97" t="n">
        <v>99.11006999999999</v>
      </c>
      <c r="Z1161" s="97" t="n">
        <v>98.89176</v>
      </c>
      <c r="AA1161" s="97" t="n">
        <v>98.79177</v>
      </c>
      <c r="AB1161" s="97" t="n">
        <v>101.5915</v>
      </c>
      <c r="AC1161" s="97" t="n">
        <v>101.3915</v>
      </c>
      <c r="AD1161" s="97" t="n">
        <v>101.5</v>
      </c>
      <c r="AE1161" s="97" t="n">
        <v>110.3098</v>
      </c>
      <c r="AF1161" s="97" t="n">
        <v>96.99191999999999</v>
      </c>
      <c r="AG1161" s="97" t="n">
        <v>102.0559</v>
      </c>
      <c r="AH1161" s="97" t="n">
        <v>100.0796</v>
      </c>
      <c r="AI1161" s="97" t="n">
        <v>98.5</v>
      </c>
      <c r="AJ1161" s="97" t="n">
        <v>98.25918</v>
      </c>
      <c r="AK1161" s="97" t="n">
        <v>96.71612</v>
      </c>
      <c r="AL1161" s="97" t="n">
        <v>99.80831999999999</v>
      </c>
      <c r="AM1161" s="97" t="n">
        <v>104</v>
      </c>
      <c r="AN1161" s="97" t="n"/>
      <c r="AO1161" s="97" t="n">
        <v>100.0487</v>
      </c>
      <c r="AP1161" s="97" t="n">
        <v>99.88334999999999</v>
      </c>
      <c r="AQ1161" s="97" t="n"/>
      <c r="AR1161" s="97" t="n"/>
      <c r="AS1161" s="97" t="n"/>
      <c r="AT1161" s="97" t="n">
        <v>101.4412</v>
      </c>
      <c r="AU1161" s="97" t="n"/>
      <c r="AV1161" s="97" t="n">
        <v>100.8</v>
      </c>
      <c r="AW1161" s="97" t="n"/>
      <c r="AX1161" s="97" t="n">
        <v>102.5915</v>
      </c>
      <c r="AY1161" s="97" t="n">
        <v>99.42197</v>
      </c>
    </row>
    <row r="1162" s="135">
      <c r="A1162" t="inlineStr">
        <is>
          <t>2015-09</t>
        </is>
      </c>
      <c r="B1162" s="2" t="n">
        <v>42248</v>
      </c>
      <c r="C1162" s="96" t="n">
        <v>1162</v>
      </c>
      <c r="E1162" s="2">
        <f>B1162</f>
        <v/>
      </c>
      <c r="F1162" s="3">
        <f>B1162</f>
        <v/>
      </c>
      <c r="G1162" s="96" t="n">
        <v>1160</v>
      </c>
      <c r="H1162" s="97" t="n"/>
      <c r="I1162" s="97" t="n"/>
      <c r="J1162" s="97" t="n">
        <v>101.1916</v>
      </c>
      <c r="K1162" s="97" t="n">
        <v>99.55001</v>
      </c>
      <c r="L1162" s="97" t="n"/>
      <c r="M1162" s="97" t="n">
        <v>99.78337000000001</v>
      </c>
      <c r="N1162" s="97" t="n">
        <v>99.29173</v>
      </c>
      <c r="O1162" s="97" t="n">
        <v>99.8</v>
      </c>
      <c r="P1162" s="97" t="n">
        <v>101.2561</v>
      </c>
      <c r="Q1162" s="97" t="n"/>
      <c r="R1162" s="97" t="n">
        <v>101.6</v>
      </c>
      <c r="S1162" s="97" t="n">
        <v>101.1508</v>
      </c>
      <c r="T1162" s="97" t="n">
        <v>100.5018</v>
      </c>
      <c r="U1162" s="97" t="n">
        <v>100.3829</v>
      </c>
      <c r="V1162" s="97" t="n">
        <v>101.5085</v>
      </c>
      <c r="W1162" s="97" t="n">
        <v>99.50829</v>
      </c>
      <c r="X1162" s="97" t="n">
        <v>93.74108</v>
      </c>
      <c r="Y1162" s="97" t="n">
        <v>98.26698</v>
      </c>
      <c r="Z1162" s="97" t="n">
        <v>99.89167999999999</v>
      </c>
      <c r="AA1162" s="97" t="n">
        <v>100.4916</v>
      </c>
      <c r="AB1162" s="97" t="n">
        <v>103.0914</v>
      </c>
      <c r="AC1162" s="97" t="n">
        <v>99.19173000000001</v>
      </c>
      <c r="AD1162" s="97" t="n">
        <v>100.8</v>
      </c>
      <c r="AE1162" s="97" t="n">
        <v>110.8694</v>
      </c>
      <c r="AF1162" s="97" t="n">
        <v>98.59178</v>
      </c>
      <c r="AG1162" s="97" t="n">
        <v>105.4306</v>
      </c>
      <c r="AH1162" s="97" t="n">
        <v>100.5092</v>
      </c>
      <c r="AI1162" s="97" t="n">
        <v>100.7</v>
      </c>
      <c r="AJ1162" s="97" t="n">
        <v>101.4992</v>
      </c>
      <c r="AK1162" s="97" t="n">
        <v>101.917</v>
      </c>
      <c r="AL1162" s="97" t="n">
        <v>100.1083</v>
      </c>
      <c r="AM1162" s="97" t="n">
        <v>103.1</v>
      </c>
      <c r="AN1162" s="97" t="n"/>
      <c r="AO1162" s="97" t="n">
        <v>99.6786</v>
      </c>
      <c r="AP1162" s="97" t="n">
        <v>100.1833</v>
      </c>
      <c r="AQ1162" s="97" t="n"/>
      <c r="AR1162" s="97" t="n"/>
      <c r="AS1162" s="97" t="n"/>
      <c r="AT1162" s="97" t="n">
        <v>100.7634</v>
      </c>
      <c r="AU1162" s="97" t="n"/>
      <c r="AV1162" s="97" t="n">
        <v>100.1</v>
      </c>
      <c r="AW1162" s="97" t="n"/>
      <c r="AX1162" s="97" t="n">
        <v>102.6914</v>
      </c>
      <c r="AY1162" s="97" t="n">
        <v>97.10983</v>
      </c>
    </row>
    <row r="1163" s="135">
      <c r="A1163" t="inlineStr">
        <is>
          <t>2015-10</t>
        </is>
      </c>
      <c r="B1163" s="2" t="n">
        <v>42278</v>
      </c>
      <c r="C1163" s="96" t="n">
        <v>1163</v>
      </c>
      <c r="E1163" s="2">
        <f>B1163</f>
        <v/>
      </c>
      <c r="F1163" s="3">
        <f>B1163</f>
        <v/>
      </c>
      <c r="G1163" s="96" t="n">
        <v>1161</v>
      </c>
      <c r="H1163" s="97" t="n"/>
      <c r="I1163" s="97" t="n"/>
      <c r="J1163" s="97" t="n">
        <v>101.6915</v>
      </c>
      <c r="K1163" s="97" t="n">
        <v>99.32662000000001</v>
      </c>
      <c r="L1163" s="97" t="n"/>
      <c r="M1163" s="97" t="n">
        <v>102.183</v>
      </c>
      <c r="N1163" s="97" t="n">
        <v>100.1917</v>
      </c>
      <c r="O1163" s="97" t="n">
        <v>96.8</v>
      </c>
      <c r="P1163" s="97" t="n">
        <v>100.8791</v>
      </c>
      <c r="Q1163" s="97" t="n"/>
      <c r="R1163" s="97" t="n">
        <v>99.90000000000001</v>
      </c>
      <c r="S1163" s="97" t="n">
        <v>101.5608</v>
      </c>
      <c r="T1163" s="97" t="n">
        <v>100.1903</v>
      </c>
      <c r="U1163" s="97" t="n">
        <v>99.58382</v>
      </c>
      <c r="V1163" s="97" t="n">
        <v>102.1085</v>
      </c>
      <c r="W1163" s="97" t="n">
        <v>93.40778</v>
      </c>
      <c r="X1163" s="97" t="n">
        <v>92.87555999999999</v>
      </c>
      <c r="Y1163" s="97" t="n">
        <v>98.45433</v>
      </c>
      <c r="Z1163" s="97" t="n">
        <v>99.99167</v>
      </c>
      <c r="AA1163" s="97" t="n">
        <v>100.5916</v>
      </c>
      <c r="AB1163" s="97" t="n">
        <v>101.2916</v>
      </c>
      <c r="AC1163" s="97" t="n">
        <v>100.3916</v>
      </c>
      <c r="AD1163" s="97" t="n">
        <v>100.7</v>
      </c>
      <c r="AE1163" s="97" t="n">
        <v>110.0128</v>
      </c>
      <c r="AF1163" s="97" t="n">
        <v>100.8916</v>
      </c>
      <c r="AG1163" s="97" t="n">
        <v>100.1939</v>
      </c>
      <c r="AH1163" s="97" t="n">
        <v>100.271</v>
      </c>
      <c r="AI1163" s="97" t="n">
        <v>101.5</v>
      </c>
      <c r="AJ1163" s="97" t="n">
        <v>104.2391</v>
      </c>
      <c r="AK1163" s="97" t="n">
        <v>101.6169</v>
      </c>
      <c r="AL1163" s="97" t="n">
        <v>99.20827</v>
      </c>
      <c r="AM1163" s="97" t="n">
        <v>102.9</v>
      </c>
      <c r="AN1163" s="97" t="n"/>
      <c r="AO1163" s="97" t="n">
        <v>99.31438</v>
      </c>
      <c r="AP1163" s="97" t="n">
        <v>100.2833</v>
      </c>
      <c r="AQ1163" s="97" t="n"/>
      <c r="AR1163" s="97" t="n"/>
      <c r="AS1163" s="97" t="n"/>
      <c r="AT1163" s="97" t="n">
        <v>103.6511</v>
      </c>
      <c r="AU1163" s="97" t="n"/>
      <c r="AV1163" s="97" t="n">
        <v>100.6</v>
      </c>
      <c r="AW1163" s="97" t="n"/>
      <c r="AX1163" s="97" t="n">
        <v>100.2916</v>
      </c>
      <c r="AY1163" s="97" t="n">
        <v>96.88963</v>
      </c>
    </row>
    <row r="1164" s="135">
      <c r="A1164" t="inlineStr">
        <is>
          <t>2015-11</t>
        </is>
      </c>
      <c r="B1164" s="2" t="n">
        <v>42309</v>
      </c>
      <c r="C1164" s="96" t="n">
        <v>1164</v>
      </c>
      <c r="E1164" s="2">
        <f>B1164</f>
        <v/>
      </c>
      <c r="F1164" s="3">
        <f>B1164</f>
        <v/>
      </c>
      <c r="G1164" s="96" t="n">
        <v>1162</v>
      </c>
      <c r="H1164" s="97" t="n"/>
      <c r="I1164" s="97" t="n"/>
      <c r="J1164" s="97" t="n">
        <v>100.7916</v>
      </c>
      <c r="K1164" s="97" t="n">
        <v>99.64552</v>
      </c>
      <c r="L1164" s="97" t="n"/>
      <c r="M1164" s="97" t="n">
        <v>99.88334999999999</v>
      </c>
      <c r="N1164" s="97" t="n">
        <v>99.29173</v>
      </c>
      <c r="O1164" s="97" t="n">
        <v>95.59999999999999</v>
      </c>
      <c r="P1164" s="97" t="n">
        <v>100.2771</v>
      </c>
      <c r="Q1164" s="97" t="n"/>
      <c r="R1164" s="97" t="n">
        <v>98.7</v>
      </c>
      <c r="S1164" s="97" t="n">
        <v>99.36082</v>
      </c>
      <c r="T1164" s="97" t="n">
        <v>99.25593000000001</v>
      </c>
      <c r="U1164" s="97" t="n">
        <v>102.88</v>
      </c>
      <c r="V1164" s="97" t="n">
        <v>101.5085</v>
      </c>
      <c r="W1164" s="97" t="n">
        <v>95.20793</v>
      </c>
      <c r="X1164" s="97" t="n">
        <v>95.57133</v>
      </c>
      <c r="Y1164" s="97" t="n">
        <v>105.2927</v>
      </c>
      <c r="Z1164" s="97" t="n">
        <v>100.5916</v>
      </c>
      <c r="AA1164" s="97" t="n">
        <v>99.99167</v>
      </c>
      <c r="AB1164" s="97" t="n">
        <v>100.3916</v>
      </c>
      <c r="AC1164" s="97" t="n">
        <v>101.2916</v>
      </c>
      <c r="AD1164" s="97" t="n">
        <v>100.4</v>
      </c>
      <c r="AE1164" s="97" t="n">
        <v>109.2308</v>
      </c>
      <c r="AF1164" s="97" t="n">
        <v>101.0916</v>
      </c>
      <c r="AG1164" s="97" t="n">
        <v>99.03026</v>
      </c>
      <c r="AH1164" s="97" t="n">
        <v>99.81867</v>
      </c>
      <c r="AI1164" s="97" t="n">
        <v>101.9</v>
      </c>
      <c r="AJ1164" s="97" t="n">
        <v>99.79917</v>
      </c>
      <c r="AK1164" s="97" t="n">
        <v>103.3172</v>
      </c>
      <c r="AL1164" s="97" t="n">
        <v>100.3084</v>
      </c>
      <c r="AM1164" s="97" t="n">
        <v>102.5</v>
      </c>
      <c r="AN1164" s="97" t="n"/>
      <c r="AO1164" s="97" t="n">
        <v>98.63145</v>
      </c>
      <c r="AP1164" s="97" t="n">
        <v>99.78337000000001</v>
      </c>
      <c r="AQ1164" s="97" t="n"/>
      <c r="AR1164" s="97" t="n"/>
      <c r="AS1164" s="97" t="n"/>
      <c r="AT1164" s="97" t="n">
        <v>101.6501</v>
      </c>
      <c r="AU1164" s="97" t="n"/>
      <c r="AV1164" s="97" t="n">
        <v>100.1</v>
      </c>
      <c r="AW1164" s="97" t="n"/>
      <c r="AX1164" s="97" t="n">
        <v>102.4915</v>
      </c>
      <c r="AY1164" s="97" t="n">
        <v>95.12799</v>
      </c>
    </row>
    <row r="1165" s="135">
      <c r="A1165" t="inlineStr">
        <is>
          <t>2015-12</t>
        </is>
      </c>
      <c r="B1165" s="2" t="n">
        <v>42339</v>
      </c>
      <c r="C1165" s="96" t="n">
        <v>1165</v>
      </c>
      <c r="E1165" s="2">
        <f>B1165</f>
        <v/>
      </c>
      <c r="F1165" s="3">
        <f>B1165</f>
        <v/>
      </c>
      <c r="G1165" s="96" t="n">
        <v>1163</v>
      </c>
      <c r="H1165" s="97" t="n"/>
      <c r="I1165" s="97" t="n"/>
      <c r="J1165" s="97" t="n">
        <v>99.39172000000001</v>
      </c>
      <c r="K1165" s="97" t="n">
        <v>100.0907</v>
      </c>
      <c r="L1165" s="97" t="n"/>
      <c r="M1165" s="97" t="n">
        <v>99.38343999999999</v>
      </c>
      <c r="N1165" s="97" t="n">
        <v>100.0917</v>
      </c>
      <c r="O1165" s="97" t="n">
        <v>99.2</v>
      </c>
      <c r="P1165" s="97" t="n">
        <v>100.3251</v>
      </c>
      <c r="Q1165" s="97" t="n"/>
      <c r="R1165" s="97" t="n">
        <v>102.4</v>
      </c>
      <c r="S1165" s="97" t="n">
        <v>99.65083</v>
      </c>
      <c r="T1165" s="97" t="n">
        <v>98.63298</v>
      </c>
      <c r="U1165" s="97" t="n">
        <v>105.8765</v>
      </c>
      <c r="V1165" s="97" t="n">
        <v>100.7084</v>
      </c>
      <c r="W1165" s="97" t="n">
        <v>101.6085</v>
      </c>
      <c r="X1165" s="97" t="n">
        <v>99.15125</v>
      </c>
      <c r="Y1165" s="97" t="n">
        <v>101.6393</v>
      </c>
      <c r="Z1165" s="97" t="n">
        <v>98.69177000000001</v>
      </c>
      <c r="AA1165" s="97" t="n">
        <v>98.09183</v>
      </c>
      <c r="AB1165" s="97" t="n">
        <v>99.89167999999999</v>
      </c>
      <c r="AC1165" s="97" t="n">
        <v>98.89176</v>
      </c>
      <c r="AD1165" s="97" t="n">
        <v>99.59999999999999</v>
      </c>
      <c r="AE1165" s="97" t="n">
        <v>109.7463</v>
      </c>
      <c r="AF1165" s="97" t="n">
        <v>98.3918</v>
      </c>
      <c r="AG1165" s="97" t="n">
        <v>98.91388999999999</v>
      </c>
      <c r="AH1165" s="97" t="n">
        <v>99.44987999999999</v>
      </c>
      <c r="AI1165" s="97" t="n">
        <v>102.1</v>
      </c>
      <c r="AJ1165" s="97" t="n">
        <v>100.3092</v>
      </c>
      <c r="AK1165" s="97" t="n">
        <v>102.117</v>
      </c>
      <c r="AL1165" s="97" t="n">
        <v>98.60822</v>
      </c>
      <c r="AM1165" s="97" t="n">
        <v>100.8</v>
      </c>
      <c r="AN1165" s="97" t="n"/>
      <c r="AO1165" s="97" t="n">
        <v>98.06937000000001</v>
      </c>
      <c r="AP1165" s="97" t="n">
        <v>99.88334999999999</v>
      </c>
      <c r="AQ1165" s="97" t="n"/>
      <c r="AR1165" s="97" t="n"/>
      <c r="AS1165" s="97" t="n"/>
      <c r="AT1165" s="97" t="n">
        <v>102.1286</v>
      </c>
      <c r="AU1165" s="97" t="n"/>
      <c r="AV1165" s="97" t="n">
        <v>99.7</v>
      </c>
      <c r="AW1165" s="97" t="n"/>
      <c r="AX1165" s="97" t="n">
        <v>103.2914</v>
      </c>
      <c r="AY1165" s="97" t="n">
        <v>93.36636</v>
      </c>
    </row>
    <row r="1166" s="135">
      <c r="A1166" t="inlineStr">
        <is>
          <t>2016-01</t>
        </is>
      </c>
      <c r="B1166" s="2" t="n">
        <v>42370</v>
      </c>
      <c r="C1166" s="96" t="n">
        <v>1166</v>
      </c>
      <c r="E1166" s="2">
        <f>B1166</f>
        <v/>
      </c>
      <c r="F1166" s="3">
        <f>B1166</f>
        <v/>
      </c>
      <c r="G1166" s="96" t="n">
        <v>1164</v>
      </c>
      <c r="H1166" s="97" t="n"/>
      <c r="I1166" s="97" t="n"/>
      <c r="J1166" s="97" t="n">
        <v>104.9912</v>
      </c>
      <c r="K1166" s="97" t="n">
        <v>100.698</v>
      </c>
      <c r="L1166" s="97" t="n"/>
      <c r="M1166" s="97" t="n">
        <v>102.283</v>
      </c>
      <c r="N1166" s="97" t="n">
        <v>101.9915</v>
      </c>
      <c r="O1166" s="97" t="n">
        <v>104.6</v>
      </c>
      <c r="P1166" s="97" t="n">
        <v>101.9911</v>
      </c>
      <c r="Q1166" s="97" t="n"/>
      <c r="R1166" s="97" t="n">
        <v>100.4</v>
      </c>
      <c r="S1166" s="97" t="n">
        <v>101.7108</v>
      </c>
      <c r="T1166" s="97" t="n">
        <v>99.46357999999999</v>
      </c>
      <c r="U1166" s="97" t="n">
        <v>102.0809</v>
      </c>
      <c r="V1166" s="97" t="n">
        <v>99.80831999999999</v>
      </c>
      <c r="W1166" s="97" t="n">
        <v>118.0098</v>
      </c>
      <c r="X1166" s="97" t="n">
        <v>94.68015</v>
      </c>
      <c r="Y1166" s="97" t="n">
        <v>99.48478</v>
      </c>
      <c r="Z1166" s="97" t="n">
        <v>101.6915</v>
      </c>
      <c r="AA1166" s="97" t="n">
        <v>100.2916</v>
      </c>
      <c r="AB1166" s="97" t="n">
        <v>98.69177000000001</v>
      </c>
      <c r="AC1166" s="97" t="n">
        <v>100.0917</v>
      </c>
      <c r="AD1166" s="97" t="n">
        <v>102.7</v>
      </c>
      <c r="AE1166" s="97" t="n">
        <v>110.083</v>
      </c>
      <c r="AF1166" s="97" t="n">
        <v>100.6916</v>
      </c>
      <c r="AG1166" s="97" t="n">
        <v>99.49574</v>
      </c>
      <c r="AH1166" s="97" t="n">
        <v>100.646</v>
      </c>
      <c r="AI1166" s="97" t="n">
        <v>101.9</v>
      </c>
      <c r="AJ1166" s="97" t="n">
        <v>100.6492</v>
      </c>
      <c r="AK1166" s="97" t="n">
        <v>103.9173</v>
      </c>
      <c r="AL1166" s="97" t="n">
        <v>106.2088</v>
      </c>
      <c r="AM1166" s="97" t="n">
        <v>101.4</v>
      </c>
      <c r="AN1166" s="97" t="n"/>
      <c r="AO1166" s="97" t="n">
        <v>98.88686</v>
      </c>
      <c r="AP1166" s="97" t="n">
        <v>102.8829</v>
      </c>
      <c r="AQ1166" s="97" t="n"/>
      <c r="AR1166" s="97" t="n"/>
      <c r="AS1166" s="97" t="n"/>
      <c r="AT1166" s="97" t="n">
        <v>102.5269</v>
      </c>
      <c r="AU1166" s="97" t="n"/>
      <c r="AV1166" s="97" t="n">
        <v>99.90000000000001</v>
      </c>
      <c r="AW1166" s="97" t="n"/>
      <c r="AX1166" s="97" t="n">
        <v>102.5915</v>
      </c>
      <c r="AY1166" s="97" t="n">
        <v>94.79769</v>
      </c>
    </row>
    <row r="1167" s="135">
      <c r="A1167" t="inlineStr">
        <is>
          <t>2016-02</t>
        </is>
      </c>
      <c r="B1167" s="2" t="n">
        <v>42401</v>
      </c>
      <c r="C1167" s="96" t="n">
        <v>1167</v>
      </c>
      <c r="E1167" s="2">
        <f>B1167</f>
        <v/>
      </c>
      <c r="F1167" s="3">
        <f>B1167</f>
        <v/>
      </c>
      <c r="G1167" s="96" t="n">
        <v>1165</v>
      </c>
      <c r="H1167" s="97" t="n"/>
      <c r="I1167" s="97" t="n"/>
      <c r="J1167" s="97" t="n">
        <v>101.8915</v>
      </c>
      <c r="K1167" s="97" t="n">
        <v>99.7734</v>
      </c>
      <c r="L1167" s="97" t="n"/>
      <c r="M1167" s="97" t="n">
        <v>102.9828</v>
      </c>
      <c r="N1167" s="97" t="n">
        <v>101.6915</v>
      </c>
      <c r="O1167" s="97" t="n">
        <v>100</v>
      </c>
      <c r="P1167" s="97" t="n">
        <v>100.8991</v>
      </c>
      <c r="Q1167" s="97" t="n"/>
      <c r="R1167" s="97" t="n">
        <v>102.4</v>
      </c>
      <c r="S1167" s="97" t="n">
        <v>100.6008</v>
      </c>
      <c r="T1167" s="97" t="n">
        <v>98.94445</v>
      </c>
      <c r="U1167" s="97" t="n">
        <v>98.38522</v>
      </c>
      <c r="V1167" s="97" t="n">
        <v>98.10818</v>
      </c>
      <c r="W1167" s="97" t="n">
        <v>94.10784</v>
      </c>
      <c r="X1167" s="97" t="n">
        <v>90.75861</v>
      </c>
      <c r="Y1167" s="97" t="n">
        <v>98.1733</v>
      </c>
      <c r="Z1167" s="97" t="n">
        <v>100.4916</v>
      </c>
      <c r="AA1167" s="97" t="n">
        <v>99.49171</v>
      </c>
      <c r="AB1167" s="97" t="n">
        <v>101.1916</v>
      </c>
      <c r="AC1167" s="97" t="n">
        <v>101.6915</v>
      </c>
      <c r="AD1167" s="97" t="n">
        <v>98.7</v>
      </c>
      <c r="AE1167" s="97" t="n">
        <v>110.0072</v>
      </c>
      <c r="AF1167" s="97" t="n">
        <v>101.4915</v>
      </c>
      <c r="AG1167" s="97" t="n">
        <v>99.49574</v>
      </c>
      <c r="AH1167" s="97" t="n">
        <v>100.0578</v>
      </c>
      <c r="AI1167" s="97" t="n">
        <v>101.6</v>
      </c>
      <c r="AJ1167" s="97" t="n">
        <v>102.3092</v>
      </c>
      <c r="AK1167" s="97" t="n">
        <v>105.8176</v>
      </c>
      <c r="AL1167" s="97" t="n">
        <v>107.409</v>
      </c>
      <c r="AM1167" s="97" t="n">
        <v>101.5</v>
      </c>
      <c r="AN1167" s="97" t="n"/>
      <c r="AO1167" s="97" t="n">
        <v>98.18568</v>
      </c>
      <c r="AP1167" s="97" t="n">
        <v>100.8832</v>
      </c>
      <c r="AQ1167" s="97" t="n"/>
      <c r="AR1167" s="97" t="n"/>
      <c r="AS1167" s="97" t="n"/>
      <c r="AT1167" s="97" t="n">
        <v>102.2902</v>
      </c>
      <c r="AU1167" s="97" t="n"/>
      <c r="AV1167" s="97" t="n">
        <v>99.7</v>
      </c>
      <c r="AW1167" s="97" t="n"/>
      <c r="AX1167" s="97" t="n">
        <v>103.6914</v>
      </c>
      <c r="AY1167" s="97" t="n">
        <v>93.58656999999999</v>
      </c>
    </row>
    <row r="1168" s="135">
      <c r="A1168" t="inlineStr">
        <is>
          <t>2016-03</t>
        </is>
      </c>
      <c r="B1168" s="2" t="n">
        <v>42430</v>
      </c>
      <c r="C1168" s="96" t="n">
        <v>1168</v>
      </c>
      <c r="E1168" s="2">
        <f>B1168</f>
        <v/>
      </c>
      <c r="F1168" s="3">
        <f>B1168</f>
        <v/>
      </c>
      <c r="G1168" s="96" t="n">
        <v>1166</v>
      </c>
      <c r="H1168" s="97" t="n"/>
      <c r="I1168" s="97" t="n"/>
      <c r="J1168" s="97" t="n">
        <v>103.6914</v>
      </c>
      <c r="K1168" s="97" t="n">
        <v>98.75678000000001</v>
      </c>
      <c r="L1168" s="97" t="n"/>
      <c r="M1168" s="97" t="n">
        <v>102.6829</v>
      </c>
      <c r="N1168" s="97" t="n">
        <v>100.4916</v>
      </c>
      <c r="O1168" s="97" t="n">
        <v>103.6</v>
      </c>
      <c r="P1168" s="97" t="n">
        <v>102.2761</v>
      </c>
      <c r="Q1168" s="97" t="n"/>
      <c r="R1168" s="97" t="n">
        <v>100.3</v>
      </c>
      <c r="S1168" s="97" t="n">
        <v>100.1208</v>
      </c>
      <c r="T1168" s="97" t="n">
        <v>99.87887000000001</v>
      </c>
      <c r="U1168" s="97" t="n">
        <v>99.78358</v>
      </c>
      <c r="V1168" s="97" t="n">
        <v>96.70806</v>
      </c>
      <c r="W1168" s="97" t="n">
        <v>93.80782000000001</v>
      </c>
      <c r="X1168" s="97" t="n">
        <v>88.77777</v>
      </c>
      <c r="Y1168" s="97" t="n">
        <v>100.8899</v>
      </c>
      <c r="Z1168" s="97" t="n">
        <v>100.5916</v>
      </c>
      <c r="AA1168" s="97" t="n">
        <v>99.89167999999999</v>
      </c>
      <c r="AB1168" s="97" t="n">
        <v>101.1916</v>
      </c>
      <c r="AC1168" s="97" t="n">
        <v>102.3915</v>
      </c>
      <c r="AD1168" s="97" t="n">
        <v>103.2</v>
      </c>
      <c r="AE1168" s="97" t="n">
        <v>109.5957</v>
      </c>
      <c r="AF1168" s="97" t="n">
        <v>102.5915</v>
      </c>
      <c r="AG1168" s="97" t="n">
        <v>100.3103</v>
      </c>
      <c r="AH1168" s="97" t="n">
        <v>99.66952000000001</v>
      </c>
      <c r="AI1168" s="97" t="n">
        <v>100.4</v>
      </c>
      <c r="AJ1168" s="97" t="n">
        <v>100.4692</v>
      </c>
      <c r="AK1168" s="97" t="n">
        <v>99.91665999999999</v>
      </c>
      <c r="AL1168" s="97" t="n">
        <v>103.8086</v>
      </c>
      <c r="AM1168" s="97" t="n">
        <v>101.8</v>
      </c>
      <c r="AN1168" s="97" t="n"/>
      <c r="AO1168" s="97" t="n">
        <v>97.41055</v>
      </c>
      <c r="AP1168" s="97" t="n">
        <v>100.4833</v>
      </c>
      <c r="AQ1168" s="97" t="n"/>
      <c r="AR1168" s="97" t="n"/>
      <c r="AS1168" s="97" t="n"/>
      <c r="AT1168" s="97" t="n">
        <v>103.0695</v>
      </c>
      <c r="AU1168" s="97" t="n"/>
      <c r="AV1168" s="97" t="n">
        <v>100.8</v>
      </c>
      <c r="AW1168" s="97" t="n"/>
      <c r="AX1168" s="97" t="n">
        <v>102.5915</v>
      </c>
      <c r="AY1168" s="97" t="n">
        <v>94.13708</v>
      </c>
    </row>
    <row r="1169" s="135">
      <c r="A1169" t="inlineStr">
        <is>
          <t>2016-04</t>
        </is>
      </c>
      <c r="B1169" s="2" t="n">
        <v>42461</v>
      </c>
      <c r="C1169" s="96" t="n">
        <v>1169</v>
      </c>
      <c r="E1169" s="2">
        <f>B1169</f>
        <v/>
      </c>
      <c r="F1169" s="3">
        <f>B1169</f>
        <v/>
      </c>
      <c r="G1169" s="96" t="n">
        <v>1167</v>
      </c>
      <c r="H1169" s="97" t="n"/>
      <c r="I1169" s="97" t="n"/>
      <c r="J1169" s="97" t="n">
        <v>105.4912</v>
      </c>
      <c r="K1169" s="97" t="n">
        <v>99.01201</v>
      </c>
      <c r="L1169" s="97" t="n"/>
      <c r="M1169" s="97" t="n">
        <v>102.6829</v>
      </c>
      <c r="N1169" s="97" t="n">
        <v>101.1916</v>
      </c>
      <c r="O1169" s="97" t="n">
        <v>102</v>
      </c>
      <c r="P1169" s="97" t="n">
        <v>102.8321</v>
      </c>
      <c r="Q1169" s="97" t="n"/>
      <c r="R1169" s="97" t="n">
        <v>105.2</v>
      </c>
      <c r="S1169" s="97" t="n">
        <v>101.1708</v>
      </c>
      <c r="T1169" s="97" t="n">
        <v>102.7859</v>
      </c>
      <c r="U1169" s="97" t="n">
        <v>103.0797</v>
      </c>
      <c r="V1169" s="97" t="n">
        <v>102.1085</v>
      </c>
      <c r="W1169" s="97" t="n">
        <v>95.60796000000001</v>
      </c>
      <c r="X1169" s="97" t="n">
        <v>87.59032000000001</v>
      </c>
      <c r="Y1169" s="97" t="n">
        <v>100.4215</v>
      </c>
      <c r="Z1169" s="97" t="n">
        <v>102.1915</v>
      </c>
      <c r="AA1169" s="97" t="n">
        <v>99.19173000000001</v>
      </c>
      <c r="AB1169" s="97" t="n">
        <v>99.99167</v>
      </c>
      <c r="AC1169" s="97" t="n">
        <v>98.59178</v>
      </c>
      <c r="AD1169" s="97" t="n">
        <v>102.8</v>
      </c>
      <c r="AE1169" s="97" t="n">
        <v>109.2793</v>
      </c>
      <c r="AF1169" s="97" t="n">
        <v>102.1915</v>
      </c>
      <c r="AG1169" s="97" t="n">
        <v>100.6594</v>
      </c>
      <c r="AH1169" s="97" t="n">
        <v>100.0219</v>
      </c>
      <c r="AI1169" s="97" t="n">
        <v>103.2</v>
      </c>
      <c r="AJ1169" s="97" t="n">
        <v>103.7991</v>
      </c>
      <c r="AK1169" s="97" t="n">
        <v>104.8175</v>
      </c>
      <c r="AL1169" s="97" t="n">
        <v>104.6087</v>
      </c>
      <c r="AM1169" s="97" t="n">
        <v>103.7</v>
      </c>
      <c r="AN1169" s="97" t="n"/>
      <c r="AO1169" s="97" t="n">
        <v>97.50776</v>
      </c>
      <c r="AP1169" s="97" t="n">
        <v>101.5831</v>
      </c>
      <c r="AQ1169" s="97" t="n"/>
      <c r="AR1169" s="97" t="n"/>
      <c r="AS1169" s="97" t="n"/>
      <c r="AT1169" s="97" t="n">
        <v>104.1047</v>
      </c>
      <c r="AU1169" s="97" t="n"/>
      <c r="AV1169" s="97" t="n">
        <v>100</v>
      </c>
      <c r="AW1169" s="97" t="n"/>
      <c r="AX1169" s="97" t="n">
        <v>102.7914</v>
      </c>
      <c r="AY1169" s="97" t="n">
        <v>94.02697999999999</v>
      </c>
    </row>
    <row r="1170" s="135">
      <c r="A1170" t="inlineStr">
        <is>
          <t>2016-05</t>
        </is>
      </c>
      <c r="B1170" s="2" t="n">
        <v>42491</v>
      </c>
      <c r="C1170" s="96" t="n">
        <v>1170</v>
      </c>
      <c r="E1170" s="2">
        <f>B1170</f>
        <v/>
      </c>
      <c r="F1170" s="3">
        <f>B1170</f>
        <v/>
      </c>
      <c r="G1170" s="96" t="n">
        <v>1168</v>
      </c>
      <c r="H1170" s="97" t="n"/>
      <c r="I1170" s="97" t="n"/>
      <c r="J1170" s="97" t="n">
        <v>101.4915</v>
      </c>
      <c r="K1170" s="97" t="n">
        <v>95.21923</v>
      </c>
      <c r="L1170" s="97" t="n"/>
      <c r="M1170" s="97" t="n">
        <v>101.3831</v>
      </c>
      <c r="N1170" s="97" t="n">
        <v>99.29173</v>
      </c>
      <c r="O1170" s="97" t="n">
        <v>103.3</v>
      </c>
      <c r="P1170" s="97" t="n">
        <v>100.1941</v>
      </c>
      <c r="Q1170" s="97" t="n"/>
      <c r="R1170" s="97" t="n">
        <v>104</v>
      </c>
      <c r="S1170" s="97" t="n">
        <v>99.63083</v>
      </c>
      <c r="T1170" s="97" t="n">
        <v>101.8515</v>
      </c>
      <c r="U1170" s="97" t="n">
        <v>100.7824</v>
      </c>
      <c r="V1170" s="97" t="n">
        <v>101.7085</v>
      </c>
      <c r="W1170" s="97" t="n">
        <v>98.40819999999999</v>
      </c>
      <c r="X1170" s="97" t="n">
        <v>89.61387000000001</v>
      </c>
      <c r="Y1170" s="97" t="n">
        <v>100.5152</v>
      </c>
      <c r="Z1170" s="97" t="n">
        <v>100.4916</v>
      </c>
      <c r="AA1170" s="97" t="n">
        <v>98.69177000000001</v>
      </c>
      <c r="AB1170" s="97" t="n">
        <v>103.1914</v>
      </c>
      <c r="AC1170" s="97" t="n">
        <v>99.49171</v>
      </c>
      <c r="AD1170" s="97" t="n">
        <v>104.3</v>
      </c>
      <c r="AE1170" s="97" t="n">
        <v>109.3424</v>
      </c>
      <c r="AF1170" s="97" t="n">
        <v>100.3916</v>
      </c>
      <c r="AG1170" s="97" t="n">
        <v>100.7758</v>
      </c>
      <c r="AH1170" s="97" t="n">
        <v>99.5295</v>
      </c>
      <c r="AI1170" s="97" t="n">
        <v>101.8</v>
      </c>
      <c r="AJ1170" s="97" t="n">
        <v>100.6092</v>
      </c>
      <c r="AK1170" s="97" t="n">
        <v>103.5173</v>
      </c>
      <c r="AL1170" s="97" t="n">
        <v>105.4088</v>
      </c>
      <c r="AM1170" s="97" t="n">
        <v>99.7</v>
      </c>
      <c r="AN1170" s="97" t="n"/>
      <c r="AO1170" s="97" t="n">
        <v>97.42429</v>
      </c>
      <c r="AP1170" s="97" t="n">
        <v>100.1833</v>
      </c>
      <c r="AQ1170" s="97" t="n"/>
      <c r="AR1170" s="97" t="n"/>
      <c r="AS1170" s="97" t="n"/>
      <c r="AT1170" s="97" t="n">
        <v>105.6444</v>
      </c>
      <c r="AU1170" s="97" t="n"/>
      <c r="AV1170" s="97" t="n">
        <v>100.2</v>
      </c>
      <c r="AW1170" s="97" t="n"/>
      <c r="AX1170" s="97" t="n">
        <v>104.4913</v>
      </c>
      <c r="AY1170" s="97" t="n">
        <v>94.46738000000001</v>
      </c>
    </row>
    <row r="1171" s="135">
      <c r="A1171" t="inlineStr">
        <is>
          <t>2016-06</t>
        </is>
      </c>
      <c r="B1171" s="2" t="n">
        <v>42522</v>
      </c>
      <c r="C1171" s="96" t="n">
        <v>1171</v>
      </c>
      <c r="E1171" s="2">
        <f>B1171</f>
        <v/>
      </c>
      <c r="F1171" s="3">
        <f>B1171</f>
        <v/>
      </c>
      <c r="G1171" s="96" t="n">
        <v>1169</v>
      </c>
      <c r="H1171" s="97" t="n"/>
      <c r="I1171" s="97" t="n"/>
      <c r="J1171" s="97" t="n">
        <v>103.4914</v>
      </c>
      <c r="K1171" s="97" t="n">
        <v>97.69629999999999</v>
      </c>
      <c r="L1171" s="97" t="n"/>
      <c r="M1171" s="97" t="n">
        <v>104.2826</v>
      </c>
      <c r="N1171" s="97" t="n">
        <v>101.4915</v>
      </c>
      <c r="O1171" s="97" t="n">
        <v>101.9</v>
      </c>
      <c r="P1171" s="97" t="n">
        <v>100.7071</v>
      </c>
      <c r="Q1171" s="97" t="n"/>
      <c r="R1171" s="97" t="n">
        <v>105.2</v>
      </c>
      <c r="S1171" s="97" t="n">
        <v>99.27083</v>
      </c>
      <c r="T1171" s="97" t="n">
        <v>101.2286</v>
      </c>
      <c r="U1171" s="97" t="n">
        <v>101.6814</v>
      </c>
      <c r="V1171" s="97" t="n">
        <v>99.90833000000001</v>
      </c>
      <c r="W1171" s="97" t="n">
        <v>101.2084</v>
      </c>
      <c r="X1171" s="97" t="n">
        <v>91.62724</v>
      </c>
      <c r="Y1171" s="97" t="n">
        <v>101.6393</v>
      </c>
      <c r="Z1171" s="97" t="n">
        <v>99.39172000000001</v>
      </c>
      <c r="AA1171" s="97" t="n">
        <v>99.19173000000001</v>
      </c>
      <c r="AB1171" s="97" t="n">
        <v>103.2914</v>
      </c>
      <c r="AC1171" s="97" t="n">
        <v>99.79169</v>
      </c>
      <c r="AD1171" s="97" t="n">
        <v>105.8</v>
      </c>
      <c r="AE1171" s="97" t="n">
        <v>109.537</v>
      </c>
      <c r="AF1171" s="97" t="n">
        <v>101.9915</v>
      </c>
      <c r="AG1171" s="97" t="n">
        <v>96.23739999999999</v>
      </c>
      <c r="AH1171" s="97" t="n">
        <v>100.0339</v>
      </c>
      <c r="AI1171" s="97" t="n">
        <v>102.8</v>
      </c>
      <c r="AJ1171" s="97" t="n">
        <v>102.4491</v>
      </c>
      <c r="AK1171" s="97" t="n">
        <v>104.3174</v>
      </c>
      <c r="AL1171" s="97" t="n">
        <v>106.0088</v>
      </c>
      <c r="AM1171" s="97" t="n">
        <v>97.8</v>
      </c>
      <c r="AN1171" s="97" t="n"/>
      <c r="AO1171" s="97" t="n">
        <v>97.85162</v>
      </c>
      <c r="AP1171" s="97" t="n">
        <v>100.9832</v>
      </c>
      <c r="AQ1171" s="97" t="n"/>
      <c r="AR1171" s="97" t="n"/>
      <c r="AS1171" s="97" t="n"/>
      <c r="AT1171" s="97" t="n">
        <v>107.2974</v>
      </c>
      <c r="AU1171" s="97" t="n"/>
      <c r="AV1171" s="97" t="n">
        <v>100.7</v>
      </c>
      <c r="AW1171" s="97" t="n"/>
      <c r="AX1171" s="97" t="n">
        <v>103.9913</v>
      </c>
      <c r="AY1171" s="97" t="n">
        <v>93.36636</v>
      </c>
    </row>
    <row r="1172" s="135">
      <c r="A1172" t="inlineStr">
        <is>
          <t>2016-07</t>
        </is>
      </c>
      <c r="B1172" s="2" t="n">
        <v>42552</v>
      </c>
      <c r="C1172" s="96" t="n">
        <v>1172</v>
      </c>
      <c r="E1172" s="2">
        <f>B1172</f>
        <v/>
      </c>
      <c r="F1172" s="3">
        <f>B1172</f>
        <v/>
      </c>
      <c r="G1172" s="96" t="n">
        <v>1170</v>
      </c>
      <c r="H1172" s="97" t="n"/>
      <c r="I1172" s="97" t="n"/>
      <c r="J1172" s="97" t="n">
        <v>108.091</v>
      </c>
      <c r="K1172" s="97" t="n">
        <v>100.2574</v>
      </c>
      <c r="L1172" s="97" t="n"/>
      <c r="M1172" s="97" t="n">
        <v>101.4831</v>
      </c>
      <c r="N1172" s="97" t="n">
        <v>99.99167</v>
      </c>
      <c r="O1172" s="97" t="n">
        <v>107.7</v>
      </c>
      <c r="P1172" s="97" t="n">
        <v>101.0791</v>
      </c>
      <c r="Q1172" s="97" t="n"/>
      <c r="R1172" s="97" t="n">
        <v>106.5</v>
      </c>
      <c r="S1172" s="97" t="n">
        <v>99.13083</v>
      </c>
      <c r="T1172" s="97" t="n">
        <v>101.0209</v>
      </c>
      <c r="U1172" s="97" t="n">
        <v>103.1796</v>
      </c>
      <c r="V1172" s="97" t="n">
        <v>101.8085</v>
      </c>
      <c r="W1172" s="97" t="n">
        <v>103.8086</v>
      </c>
      <c r="X1172" s="97" t="n">
        <v>93.90134</v>
      </c>
      <c r="Y1172" s="97" t="n">
        <v>99.76581</v>
      </c>
      <c r="Z1172" s="97" t="n">
        <v>101.2916</v>
      </c>
      <c r="AA1172" s="97" t="n">
        <v>99.6917</v>
      </c>
      <c r="AB1172" s="97" t="n">
        <v>102.2915</v>
      </c>
      <c r="AC1172" s="97" t="n">
        <v>100.1917</v>
      </c>
      <c r="AD1172" s="97" t="n">
        <v>104.3</v>
      </c>
      <c r="AE1172" s="97" t="n">
        <v>109.8136</v>
      </c>
      <c r="AF1172" s="97" t="n">
        <v>100.4916</v>
      </c>
      <c r="AG1172" s="97" t="n">
        <v>99.37936000000001</v>
      </c>
      <c r="AH1172" s="97" t="n">
        <v>99.83523</v>
      </c>
      <c r="AI1172" s="97" t="n">
        <v>101.9</v>
      </c>
      <c r="AJ1172" s="97" t="n">
        <v>101.8092</v>
      </c>
      <c r="AK1172" s="97" t="n">
        <v>100.7168</v>
      </c>
      <c r="AL1172" s="97" t="n">
        <v>107.509</v>
      </c>
      <c r="AM1172" s="97" t="n">
        <v>101.2</v>
      </c>
      <c r="AN1172" s="97" t="n"/>
      <c r="AO1172" s="97" t="n">
        <v>98.09923999999999</v>
      </c>
      <c r="AP1172" s="97" t="n">
        <v>101.0832</v>
      </c>
      <c r="AQ1172" s="97" t="n"/>
      <c r="AR1172" s="97" t="n"/>
      <c r="AS1172" s="97" t="n"/>
      <c r="AT1172" s="97" t="n">
        <v>105.1467</v>
      </c>
      <c r="AU1172" s="97" t="n"/>
      <c r="AV1172" s="97" t="n">
        <v>101.7</v>
      </c>
      <c r="AW1172" s="97" t="n"/>
      <c r="AX1172" s="97" t="n">
        <v>97.69186000000001</v>
      </c>
      <c r="AY1172" s="97" t="n">
        <v>94.13708</v>
      </c>
    </row>
    <row r="1173" s="135">
      <c r="A1173" t="inlineStr">
        <is>
          <t>2016-08</t>
        </is>
      </c>
      <c r="B1173" s="2" t="n">
        <v>42583</v>
      </c>
      <c r="C1173" s="96" t="n">
        <v>1173</v>
      </c>
      <c r="E1173" s="2">
        <f>B1173</f>
        <v/>
      </c>
      <c r="F1173" s="3">
        <f>B1173</f>
        <v/>
      </c>
      <c r="G1173" s="96" t="n">
        <v>1171</v>
      </c>
      <c r="H1173" s="97" t="n"/>
      <c r="I1173" s="97" t="n"/>
      <c r="J1173" s="97" t="n">
        <v>105.5912</v>
      </c>
      <c r="K1173" s="97" t="n">
        <v>100.6643</v>
      </c>
      <c r="L1173" s="97" t="n"/>
      <c r="M1173" s="97" t="n">
        <v>104.0826</v>
      </c>
      <c r="N1173" s="97" t="n">
        <v>101.5915</v>
      </c>
      <c r="O1173" s="97" t="n">
        <v>106.8</v>
      </c>
      <c r="P1173" s="97" t="n">
        <v>102.4321</v>
      </c>
      <c r="Q1173" s="97" t="n"/>
      <c r="R1173" s="97" t="n">
        <v>103.7</v>
      </c>
      <c r="S1173" s="97" t="n">
        <v>101.0408</v>
      </c>
      <c r="T1173" s="97" t="n">
        <v>100.9171</v>
      </c>
      <c r="U1173" s="97" t="n">
        <v>103.0797</v>
      </c>
      <c r="V1173" s="97" t="n">
        <v>101.0084</v>
      </c>
      <c r="W1173" s="97" t="n">
        <v>89.70747</v>
      </c>
      <c r="X1173" s="97" t="n">
        <v>97.52728</v>
      </c>
      <c r="Y1173" s="97" t="n">
        <v>99.48478</v>
      </c>
      <c r="Z1173" s="97" t="n">
        <v>102.1915</v>
      </c>
      <c r="AA1173" s="97" t="n">
        <v>100.5916</v>
      </c>
      <c r="AB1173" s="97" t="n">
        <v>101.3915</v>
      </c>
      <c r="AC1173" s="97" t="n">
        <v>97.69186000000001</v>
      </c>
      <c r="AD1173" s="97" t="n">
        <v>101.7</v>
      </c>
      <c r="AE1173" s="97" t="n">
        <v>109.4194</v>
      </c>
      <c r="AF1173" s="97" t="n">
        <v>99.39172000000001</v>
      </c>
      <c r="AG1173" s="97" t="n">
        <v>94.95733</v>
      </c>
      <c r="AH1173" s="97" t="n">
        <v>100.4385</v>
      </c>
      <c r="AI1173" s="97" t="n">
        <v>103.1</v>
      </c>
      <c r="AJ1173" s="97" t="n">
        <v>103.2191</v>
      </c>
      <c r="AK1173" s="97" t="n">
        <v>108.4181</v>
      </c>
      <c r="AL1173" s="97" t="n">
        <v>107.0089</v>
      </c>
      <c r="AM1173" s="97" t="n">
        <v>98.7</v>
      </c>
      <c r="AN1173" s="97" t="n"/>
      <c r="AO1173" s="97" t="n">
        <v>98.01106</v>
      </c>
      <c r="AP1173" s="97" t="n">
        <v>101.2831</v>
      </c>
      <c r="AQ1173" s="97" t="n"/>
      <c r="AR1173" s="97" t="n"/>
      <c r="AS1173" s="97" t="n"/>
      <c r="AT1173" s="97" t="n">
        <v>104.7563</v>
      </c>
      <c r="AU1173" s="97" t="n"/>
      <c r="AV1173" s="97" t="n">
        <v>101.7</v>
      </c>
      <c r="AW1173" s="97" t="n"/>
      <c r="AX1173" s="97" t="n">
        <v>104.9912</v>
      </c>
      <c r="AY1173" s="97" t="n">
        <v>91.82494</v>
      </c>
    </row>
    <row r="1174" s="135">
      <c r="A1174" t="inlineStr">
        <is>
          <t>2016-09</t>
        </is>
      </c>
      <c r="B1174" s="2" t="n">
        <v>42614</v>
      </c>
      <c r="C1174" s="96" t="n">
        <v>1174</v>
      </c>
      <c r="E1174" s="2">
        <f>B1174</f>
        <v/>
      </c>
      <c r="F1174" s="3">
        <f>B1174</f>
        <v/>
      </c>
      <c r="G1174" s="96" t="n">
        <v>1172</v>
      </c>
      <c r="H1174" s="97" t="n"/>
      <c r="I1174" s="97" t="n"/>
      <c r="J1174" s="97" t="n">
        <v>103.1914</v>
      </c>
      <c r="K1174" s="97" t="n">
        <v>101.8497</v>
      </c>
      <c r="L1174" s="97" t="n"/>
      <c r="M1174" s="97" t="n">
        <v>103.0828</v>
      </c>
      <c r="N1174" s="97" t="n">
        <v>101.4915</v>
      </c>
      <c r="O1174" s="97" t="n">
        <v>93.8</v>
      </c>
      <c r="P1174" s="97" t="n">
        <v>101.8631</v>
      </c>
      <c r="Q1174" s="97" t="n"/>
      <c r="R1174" s="97" t="n">
        <v>105.5</v>
      </c>
      <c r="S1174" s="97" t="n">
        <v>100.0208</v>
      </c>
      <c r="T1174" s="97" t="n">
        <v>101.4362</v>
      </c>
      <c r="U1174" s="97" t="n">
        <v>101.6814</v>
      </c>
      <c r="V1174" s="97" t="n">
        <v>99.20827</v>
      </c>
      <c r="W1174" s="97" t="n">
        <v>96.80807</v>
      </c>
      <c r="X1174" s="97" t="n">
        <v>92.27876999999999</v>
      </c>
      <c r="Y1174" s="97" t="n">
        <v>98.07962999999999</v>
      </c>
      <c r="Z1174" s="97" t="n">
        <v>101.9915</v>
      </c>
      <c r="AA1174" s="97" t="n">
        <v>100.9916</v>
      </c>
      <c r="AB1174" s="97" t="n">
        <v>101.9915</v>
      </c>
      <c r="AC1174" s="97" t="n">
        <v>97.99184</v>
      </c>
      <c r="AD1174" s="97" t="n">
        <v>103.7</v>
      </c>
      <c r="AE1174" s="97" t="n">
        <v>109.4168</v>
      </c>
      <c r="AF1174" s="97" t="n">
        <v>99.29173</v>
      </c>
      <c r="AG1174" s="97" t="n">
        <v>91.58262000000001</v>
      </c>
      <c r="AH1174" s="97" t="n">
        <v>100.347</v>
      </c>
      <c r="AI1174" s="97" t="n">
        <v>103.7</v>
      </c>
      <c r="AJ1174" s="97" t="n">
        <v>103.3591</v>
      </c>
      <c r="AK1174" s="97" t="n">
        <v>105.5176</v>
      </c>
      <c r="AL1174" s="97" t="n">
        <v>107.909</v>
      </c>
      <c r="AM1174" s="97" t="n">
        <v>105.5</v>
      </c>
      <c r="AN1174" s="97" t="n"/>
      <c r="AO1174" s="97" t="n">
        <v>98.01779000000001</v>
      </c>
      <c r="AP1174" s="97" t="n">
        <v>101.3831</v>
      </c>
      <c r="AQ1174" s="97" t="n"/>
      <c r="AR1174" s="97" t="n"/>
      <c r="AS1174" s="97" t="n"/>
      <c r="AT1174" s="97" t="n">
        <v>105.659</v>
      </c>
      <c r="AU1174" s="97" t="n"/>
      <c r="AV1174" s="97" t="n">
        <v>102.4</v>
      </c>
      <c r="AW1174" s="97" t="n"/>
      <c r="AX1174" s="97" t="n">
        <v>101.9915</v>
      </c>
      <c r="AY1174" s="97" t="n">
        <v>92.92596</v>
      </c>
    </row>
    <row r="1175" s="135">
      <c r="A1175" t="inlineStr">
        <is>
          <t>2016-10</t>
        </is>
      </c>
      <c r="B1175" s="2" t="n">
        <v>42644</v>
      </c>
      <c r="C1175" s="96" t="n">
        <v>1175</v>
      </c>
      <c r="E1175" s="2">
        <f>B1175</f>
        <v/>
      </c>
      <c r="F1175" s="3">
        <f>B1175</f>
        <v/>
      </c>
      <c r="G1175" s="96" t="n">
        <v>1173</v>
      </c>
      <c r="H1175" s="97" t="n"/>
      <c r="I1175" s="97" t="n"/>
      <c r="J1175" s="97" t="n">
        <v>103.3914</v>
      </c>
      <c r="K1175" s="97" t="n">
        <v>101.3074</v>
      </c>
      <c r="L1175" s="97" t="n"/>
      <c r="M1175" s="97" t="n">
        <v>104.1826</v>
      </c>
      <c r="N1175" s="97" t="n">
        <v>102.1915</v>
      </c>
      <c r="O1175" s="97" t="n">
        <v>108.6</v>
      </c>
      <c r="P1175" s="97" t="n">
        <v>102.0231</v>
      </c>
      <c r="Q1175" s="97" t="n"/>
      <c r="R1175" s="97" t="n">
        <v>106.4</v>
      </c>
      <c r="S1175" s="97" t="n">
        <v>99.66083</v>
      </c>
      <c r="T1175" s="97" t="n">
        <v>100.1903</v>
      </c>
      <c r="U1175" s="97" t="n">
        <v>105.5768</v>
      </c>
      <c r="V1175" s="97" t="n">
        <v>99.90833000000001</v>
      </c>
      <c r="W1175" s="97" t="n">
        <v>110.7092</v>
      </c>
      <c r="X1175" s="97" t="n">
        <v>88.62806999999999</v>
      </c>
      <c r="Y1175" s="97" t="n">
        <v>96.5808</v>
      </c>
      <c r="Z1175" s="97" t="n">
        <v>102.3915</v>
      </c>
      <c r="AA1175" s="97" t="n">
        <v>101.0916</v>
      </c>
      <c r="AB1175" s="97" t="n">
        <v>100.3916</v>
      </c>
      <c r="AC1175" s="97" t="n">
        <v>98.3918</v>
      </c>
      <c r="AD1175" s="97" t="n">
        <v>108.2</v>
      </c>
      <c r="AE1175" s="97" t="n">
        <v>109.7032</v>
      </c>
      <c r="AF1175" s="97" t="n">
        <v>100.3916</v>
      </c>
      <c r="AG1175" s="97" t="n">
        <v>101.0085</v>
      </c>
      <c r="AH1175" s="97" t="n">
        <v>100.8142</v>
      </c>
      <c r="AI1175" s="97" t="n">
        <v>102.3</v>
      </c>
      <c r="AJ1175" s="97" t="n">
        <v>101.2792</v>
      </c>
      <c r="AK1175" s="97" t="n">
        <v>106.1177</v>
      </c>
      <c r="AL1175" s="97" t="n">
        <v>108.009</v>
      </c>
      <c r="AM1175" s="97" t="n">
        <v>101.5</v>
      </c>
      <c r="AN1175" s="97" t="n"/>
      <c r="AO1175" s="97" t="n">
        <v>98.21066</v>
      </c>
      <c r="AP1175" s="97" t="n">
        <v>102.4829</v>
      </c>
      <c r="AQ1175" s="97" t="n"/>
      <c r="AR1175" s="97" t="n"/>
      <c r="AS1175" s="97" t="n"/>
      <c r="AT1175" s="97" t="n">
        <v>108.5013</v>
      </c>
      <c r="AU1175" s="97" t="n"/>
      <c r="AV1175" s="97" t="n">
        <v>104</v>
      </c>
      <c r="AW1175" s="97" t="n"/>
      <c r="AX1175" s="97" t="n">
        <v>106.4911</v>
      </c>
      <c r="AY1175" s="97" t="n">
        <v>91.71484</v>
      </c>
    </row>
    <row r="1176" s="135">
      <c r="A1176" t="inlineStr">
        <is>
          <t>2016-11</t>
        </is>
      </c>
      <c r="B1176" s="2" t="n">
        <v>42675</v>
      </c>
      <c r="C1176" s="96" t="n">
        <v>1176</v>
      </c>
      <c r="E1176" s="2">
        <f>B1176</f>
        <v/>
      </c>
      <c r="F1176" s="3">
        <f>B1176</f>
        <v/>
      </c>
      <c r="G1176" s="96" t="n">
        <v>1174</v>
      </c>
      <c r="H1176" s="97" t="n"/>
      <c r="I1176" s="97" t="n"/>
      <c r="J1176" s="97" t="n">
        <v>103.5914</v>
      </c>
      <c r="K1176" s="97" t="n">
        <v>102.5795</v>
      </c>
      <c r="L1176" s="97" t="n"/>
      <c r="M1176" s="97" t="n">
        <v>104.7825</v>
      </c>
      <c r="N1176" s="97" t="n">
        <v>101.8915</v>
      </c>
      <c r="O1176" s="97" t="n">
        <v>108.7</v>
      </c>
      <c r="P1176" s="97" t="n">
        <v>103.2381</v>
      </c>
      <c r="Q1176" s="97" t="n"/>
      <c r="R1176" s="97" t="n">
        <v>105.8</v>
      </c>
      <c r="S1176" s="97" t="n">
        <v>102.2509</v>
      </c>
      <c r="T1176" s="97" t="n">
        <v>101.7477</v>
      </c>
      <c r="U1176" s="97" t="n">
        <v>105.1773</v>
      </c>
      <c r="V1176" s="97" t="n">
        <v>102.3085</v>
      </c>
      <c r="W1176" s="97" t="n">
        <v>102.5085</v>
      </c>
      <c r="X1176" s="97" t="n">
        <v>88.01321</v>
      </c>
      <c r="Y1176" s="97" t="n">
        <v>100.5152</v>
      </c>
      <c r="Z1176" s="97" t="n">
        <v>103.2914</v>
      </c>
      <c r="AA1176" s="97" t="n">
        <v>102.0915</v>
      </c>
      <c r="AB1176" s="97" t="n">
        <v>104.8913</v>
      </c>
      <c r="AC1176" s="97" t="n">
        <v>98.19182000000001</v>
      </c>
      <c r="AD1176" s="97" t="n">
        <v>110.9</v>
      </c>
      <c r="AE1176" s="97" t="n">
        <v>109.7816</v>
      </c>
      <c r="AF1176" s="97" t="n">
        <v>103.0914</v>
      </c>
      <c r="AG1176" s="97" t="n">
        <v>100.4267</v>
      </c>
      <c r="AH1176" s="97" t="n">
        <v>101.4316</v>
      </c>
      <c r="AI1176" s="97" t="n">
        <v>104.6</v>
      </c>
      <c r="AJ1176" s="97" t="n">
        <v>103.1691</v>
      </c>
      <c r="AK1176" s="97" t="n">
        <v>106.7178</v>
      </c>
      <c r="AL1176" s="97" t="n">
        <v>108.409</v>
      </c>
      <c r="AM1176" s="97" t="n">
        <v>102.3</v>
      </c>
      <c r="AN1176" s="97" t="n"/>
      <c r="AO1176" s="97" t="n">
        <v>98.02067</v>
      </c>
      <c r="AP1176" s="97" t="n">
        <v>102.7829</v>
      </c>
      <c r="AQ1176" s="97" t="n"/>
      <c r="AR1176" s="97" t="n"/>
      <c r="AS1176" s="97" t="n"/>
      <c r="AT1176" s="97" t="n">
        <v>106.2078</v>
      </c>
      <c r="AU1176" s="97" t="n"/>
      <c r="AV1176" s="97" t="n">
        <v>104.9</v>
      </c>
      <c r="AW1176" s="97" t="n"/>
      <c r="AX1176" s="97" t="n">
        <v>105.6912</v>
      </c>
      <c r="AY1176" s="97" t="n">
        <v>92.48555</v>
      </c>
    </row>
    <row r="1177" s="135">
      <c r="A1177" t="inlineStr">
        <is>
          <t>2016-12</t>
        </is>
      </c>
      <c r="B1177" s="2" t="n">
        <v>42705</v>
      </c>
      <c r="C1177" s="96" t="n">
        <v>1177</v>
      </c>
      <c r="E1177" s="2">
        <f>B1177</f>
        <v/>
      </c>
      <c r="F1177" s="3">
        <f>B1177</f>
        <v/>
      </c>
      <c r="G1177" s="96" t="n">
        <v>1175</v>
      </c>
      <c r="H1177" s="97" t="n"/>
      <c r="I1177" s="97" t="n"/>
      <c r="J1177" s="97" t="n">
        <v>109.4909</v>
      </c>
      <c r="K1177" s="97" t="n">
        <v>102.8088</v>
      </c>
      <c r="L1177" s="97" t="n"/>
      <c r="M1177" s="97" t="n">
        <v>104.1826</v>
      </c>
      <c r="N1177" s="97" t="n">
        <v>100.2916</v>
      </c>
      <c r="O1177" s="97" t="n">
        <v>109.6</v>
      </c>
      <c r="P1177" s="97" t="n">
        <v>103.0231</v>
      </c>
      <c r="Q1177" s="97" t="n"/>
      <c r="R1177" s="97" t="n">
        <v>104.4</v>
      </c>
      <c r="S1177" s="97" t="n">
        <v>100.7708</v>
      </c>
      <c r="T1177" s="97" t="n">
        <v>103.3051</v>
      </c>
      <c r="U1177" s="97" t="n">
        <v>107.0751</v>
      </c>
      <c r="V1177" s="97" t="n">
        <v>102.4085</v>
      </c>
      <c r="W1177" s="97" t="n">
        <v>101.2084</v>
      </c>
      <c r="X1177" s="97" t="n">
        <v>88.60029</v>
      </c>
      <c r="Y1177" s="97" t="n">
        <v>100.7962</v>
      </c>
      <c r="Z1177" s="97" t="n">
        <v>104.7913</v>
      </c>
      <c r="AA1177" s="97" t="n">
        <v>101.4915</v>
      </c>
      <c r="AB1177" s="97" t="n">
        <v>104.1913</v>
      </c>
      <c r="AC1177" s="97" t="n">
        <v>101.9915</v>
      </c>
      <c r="AD1177" s="97" t="n">
        <v>110</v>
      </c>
      <c r="AE1177" s="97" t="n">
        <v>109.6382</v>
      </c>
      <c r="AF1177" s="97" t="n">
        <v>103.9913</v>
      </c>
      <c r="AG1177" s="97" t="n">
        <v>97.98293</v>
      </c>
      <c r="AH1177" s="97" t="n">
        <v>101.5078</v>
      </c>
      <c r="AI1177" s="97" t="n">
        <v>106.5</v>
      </c>
      <c r="AJ1177" s="97" t="n">
        <v>104.6691</v>
      </c>
      <c r="AK1177" s="97" t="n">
        <v>106.2177</v>
      </c>
      <c r="AL1177" s="97" t="n">
        <v>110.3092</v>
      </c>
      <c r="AM1177" s="97" t="n">
        <v>101.2</v>
      </c>
      <c r="AN1177" s="97" t="n"/>
      <c r="AO1177" s="97" t="n">
        <v>98.86342</v>
      </c>
      <c r="AP1177" s="97" t="n">
        <v>102.3829</v>
      </c>
      <c r="AQ1177" s="97" t="n"/>
      <c r="AR1177" s="97" t="n"/>
      <c r="AS1177" s="97" t="n"/>
      <c r="AT1177" s="97" t="n">
        <v>105.0059</v>
      </c>
      <c r="AU1177" s="97" t="n"/>
      <c r="AV1177" s="97" t="n">
        <v>104.4</v>
      </c>
      <c r="AW1177" s="97" t="n"/>
      <c r="AX1177" s="97" t="n">
        <v>104.9912</v>
      </c>
      <c r="AY1177" s="97" t="n">
        <v>94.24718</v>
      </c>
    </row>
    <row r="1178" s="135">
      <c r="A1178" t="inlineStr">
        <is>
          <t>2017-01</t>
        </is>
      </c>
      <c r="B1178" s="2" t="n">
        <v>42736</v>
      </c>
      <c r="C1178" s="96" t="n">
        <v>1178</v>
      </c>
      <c r="E1178" s="2">
        <f>B1178</f>
        <v/>
      </c>
      <c r="F1178" s="3">
        <f>B1178</f>
        <v/>
      </c>
      <c r="G1178" s="96" t="n">
        <v>1176</v>
      </c>
      <c r="H1178" s="97" t="n"/>
      <c r="I1178" s="97" t="n"/>
      <c r="J1178" s="97" t="n">
        <v>102.9914</v>
      </c>
      <c r="K1178" s="97" t="n">
        <v>103.75</v>
      </c>
      <c r="L1178" s="97" t="n"/>
      <c r="M1178" s="97" t="n">
        <v>107.2821</v>
      </c>
      <c r="N1178" s="97" t="n">
        <v>101.7915</v>
      </c>
      <c r="O1178" s="97" t="n">
        <v>103.1</v>
      </c>
      <c r="P1178" s="97" t="n">
        <v>104.1291</v>
      </c>
      <c r="Q1178" s="97" t="n"/>
      <c r="R1178" s="97" t="n">
        <v>107.5</v>
      </c>
      <c r="S1178" s="97" t="n">
        <v>101.3808</v>
      </c>
      <c r="T1178" s="97" t="n">
        <v>103.4089</v>
      </c>
      <c r="U1178" s="97" t="n">
        <v>107.0751</v>
      </c>
      <c r="V1178" s="97" t="n">
        <v>101.7085</v>
      </c>
      <c r="W1178" s="97" t="n">
        <v>98.80824</v>
      </c>
      <c r="X1178" s="97" t="n">
        <v>86.84499</v>
      </c>
      <c r="Y1178" s="97" t="n">
        <v>99.85948</v>
      </c>
      <c r="Z1178" s="97" t="n">
        <v>101.9915</v>
      </c>
      <c r="AA1178" s="97" t="n">
        <v>100.6916</v>
      </c>
      <c r="AB1178" s="97" t="n">
        <v>106.6911</v>
      </c>
      <c r="AC1178" s="97" t="n">
        <v>97.59187</v>
      </c>
      <c r="AD1178" s="97" t="n">
        <v>109.5</v>
      </c>
      <c r="AE1178" s="97" t="n">
        <v>109.7404</v>
      </c>
      <c r="AF1178" s="97" t="n">
        <v>101.1916</v>
      </c>
      <c r="AG1178" s="97" t="n">
        <v>100.8922</v>
      </c>
      <c r="AH1178" s="97" t="n">
        <v>101.6636</v>
      </c>
      <c r="AI1178" s="97" t="n">
        <v>106.3</v>
      </c>
      <c r="AJ1178" s="97" t="n">
        <v>104.8091</v>
      </c>
      <c r="AK1178" s="97" t="n">
        <v>107.4179</v>
      </c>
      <c r="AL1178" s="97" t="n">
        <v>107.909</v>
      </c>
      <c r="AM1178" s="97" t="n">
        <v>103.6</v>
      </c>
      <c r="AN1178" s="97" t="n"/>
      <c r="AO1178" s="97" t="n">
        <v>98.96764</v>
      </c>
      <c r="AP1178" s="97" t="n">
        <v>102.183</v>
      </c>
      <c r="AQ1178" s="97" t="n"/>
      <c r="AR1178" s="97" t="n"/>
      <c r="AS1178" s="97" t="n"/>
      <c r="AT1178" s="97" t="n">
        <v>105.9349</v>
      </c>
      <c r="AU1178" s="97" t="n"/>
      <c r="AV1178" s="97" t="n">
        <v>105.4</v>
      </c>
      <c r="AW1178" s="97" t="n"/>
      <c r="AX1178" s="97" t="n">
        <v>105.7912</v>
      </c>
      <c r="AY1178" s="97" t="n">
        <v>95.12799</v>
      </c>
    </row>
    <row r="1179" s="135">
      <c r="A1179" t="inlineStr">
        <is>
          <t>2017-02</t>
        </is>
      </c>
      <c r="B1179" s="2" t="n">
        <v>42767</v>
      </c>
      <c r="C1179" s="96" t="n">
        <v>1179</v>
      </c>
      <c r="E1179" s="2">
        <f>B1179</f>
        <v/>
      </c>
      <c r="F1179" s="3">
        <f>B1179</f>
        <v/>
      </c>
      <c r="G1179" s="96" t="n">
        <v>1177</v>
      </c>
      <c r="H1179" s="97" t="n"/>
      <c r="I1179" s="97" t="n"/>
      <c r="J1179" s="97" t="n">
        <v>106.4911</v>
      </c>
      <c r="K1179" s="97" t="n">
        <v>103.197</v>
      </c>
      <c r="L1179" s="97" t="n"/>
      <c r="M1179" s="97" t="n">
        <v>107.882</v>
      </c>
      <c r="N1179" s="97" t="n">
        <v>102.7914</v>
      </c>
      <c r="O1179" s="97" t="n">
        <v>106.9</v>
      </c>
      <c r="P1179" s="97" t="n">
        <v>103.5271</v>
      </c>
      <c r="Q1179" s="97" t="n"/>
      <c r="R1179" s="97" t="n">
        <v>106.3</v>
      </c>
      <c r="S1179" s="97" t="n">
        <v>100.0908</v>
      </c>
      <c r="T1179" s="97" t="n">
        <v>102.163</v>
      </c>
      <c r="U1179" s="97" t="n">
        <v>108.6732</v>
      </c>
      <c r="V1179" s="97" t="n">
        <v>104.8087</v>
      </c>
      <c r="W1179" s="97" t="n">
        <v>100.4084</v>
      </c>
      <c r="X1179" s="97" t="n">
        <v>86.16381</v>
      </c>
      <c r="Y1179" s="97" t="n">
        <v>97.51756</v>
      </c>
      <c r="Z1179" s="97" t="n">
        <v>103.1914</v>
      </c>
      <c r="AA1179" s="97" t="n">
        <v>101.3915</v>
      </c>
      <c r="AB1179" s="97" t="n">
        <v>104.3913</v>
      </c>
      <c r="AC1179" s="97" t="n">
        <v>101.3915</v>
      </c>
      <c r="AD1179" s="97" t="n">
        <v>110.8</v>
      </c>
      <c r="AE1179" s="97" t="n">
        <v>109.6186</v>
      </c>
      <c r="AF1179" s="97" t="n">
        <v>103.8913</v>
      </c>
      <c r="AG1179" s="97" t="n">
        <v>101.1249</v>
      </c>
      <c r="AH1179" s="97" t="n">
        <v>101.6886</v>
      </c>
      <c r="AI1179" s="97" t="n">
        <v>106.4</v>
      </c>
      <c r="AJ1179" s="97" t="n">
        <v>103.1191</v>
      </c>
      <c r="AK1179" s="97" t="n">
        <v>106.8178</v>
      </c>
      <c r="AL1179" s="97" t="n">
        <v>111.6093</v>
      </c>
      <c r="AM1179" s="97" t="n">
        <v>104.2</v>
      </c>
      <c r="AN1179" s="97" t="n"/>
      <c r="AO1179" s="97" t="n">
        <v>98.59428</v>
      </c>
      <c r="AP1179" s="97" t="n">
        <v>102.8829</v>
      </c>
      <c r="AQ1179" s="97" t="n"/>
      <c r="AR1179" s="97" t="n"/>
      <c r="AS1179" s="97" t="n"/>
      <c r="AT1179" s="97" t="n">
        <v>107.2531</v>
      </c>
      <c r="AU1179" s="97" t="n"/>
      <c r="AV1179" s="97" t="n">
        <v>104.5</v>
      </c>
      <c r="AW1179" s="97" t="n"/>
      <c r="AX1179" s="97" t="n">
        <v>107.591</v>
      </c>
      <c r="AY1179" s="97" t="n">
        <v>96.55932</v>
      </c>
    </row>
    <row r="1180" s="135">
      <c r="A1180" t="inlineStr">
        <is>
          <t>2017-03</t>
        </is>
      </c>
      <c r="B1180" s="2" t="n">
        <v>42795</v>
      </c>
      <c r="C1180" s="96" t="n">
        <v>1180</v>
      </c>
      <c r="E1180" s="2">
        <f>B1180</f>
        <v/>
      </c>
      <c r="F1180" s="3">
        <f>B1180</f>
        <v/>
      </c>
      <c r="G1180" s="96" t="n">
        <v>1178</v>
      </c>
      <c r="H1180" s="97" t="n"/>
      <c r="I1180" s="97" t="n"/>
      <c r="J1180" s="97" t="n">
        <v>105.8912</v>
      </c>
      <c r="K1180" s="97" t="n">
        <v>103.2794</v>
      </c>
      <c r="L1180" s="97" t="n"/>
      <c r="M1180" s="97" t="n">
        <v>107.782</v>
      </c>
      <c r="N1180" s="97" t="n">
        <v>102.2915</v>
      </c>
      <c r="O1180" s="97" t="n">
        <v>108</v>
      </c>
      <c r="P1180" s="97" t="n">
        <v>103.0201</v>
      </c>
      <c r="Q1180" s="97" t="n"/>
      <c r="R1180" s="97" t="n">
        <v>105.2</v>
      </c>
      <c r="S1180" s="97" t="n">
        <v>101.2008</v>
      </c>
      <c r="T1180" s="97" t="n">
        <v>101.5401</v>
      </c>
      <c r="U1180" s="97" t="n">
        <v>107.6744</v>
      </c>
      <c r="V1180" s="97" t="n">
        <v>105.2088</v>
      </c>
      <c r="W1180" s="97" t="n">
        <v>96.20802</v>
      </c>
      <c r="X1180" s="97" t="n">
        <v>87.56065</v>
      </c>
      <c r="Y1180" s="97" t="n">
        <v>100.7962</v>
      </c>
      <c r="Z1180" s="97" t="n">
        <v>103.9913</v>
      </c>
      <c r="AA1180" s="97" t="n">
        <v>101.4915</v>
      </c>
      <c r="AB1180" s="97" t="n">
        <v>106.5911</v>
      </c>
      <c r="AC1180" s="97" t="n">
        <v>103.3914</v>
      </c>
      <c r="AD1180" s="97" t="n">
        <v>113.4</v>
      </c>
      <c r="AE1180" s="97" t="n">
        <v>109.7365</v>
      </c>
      <c r="AF1180" s="97" t="n">
        <v>102.8914</v>
      </c>
      <c r="AG1180" s="97" t="n">
        <v>101.5904</v>
      </c>
      <c r="AH1180" s="97" t="n">
        <v>102.0766</v>
      </c>
      <c r="AI1180" s="97" t="n">
        <v>108.9</v>
      </c>
      <c r="AJ1180" s="97" t="n">
        <v>106.9391</v>
      </c>
      <c r="AK1180" s="97" t="n">
        <v>108.018</v>
      </c>
      <c r="AL1180" s="97" t="n">
        <v>113.1094</v>
      </c>
      <c r="AM1180" s="97" t="n">
        <v>104.9</v>
      </c>
      <c r="AN1180" s="97" t="n"/>
      <c r="AO1180" s="97" t="n">
        <v>99.26194</v>
      </c>
      <c r="AP1180" s="97" t="n">
        <v>102.6829</v>
      </c>
      <c r="AQ1180" s="97" t="n"/>
      <c r="AR1180" s="97" t="n"/>
      <c r="AS1180" s="97" t="n"/>
      <c r="AT1180" s="97" t="n">
        <v>107.6147</v>
      </c>
      <c r="AU1180" s="97" t="n"/>
      <c r="AV1180" s="97" t="n">
        <v>104.6</v>
      </c>
      <c r="AW1180" s="97" t="n"/>
      <c r="AX1180" s="97" t="n">
        <v>108.8909</v>
      </c>
      <c r="AY1180" s="97" t="n">
        <v>94.13708</v>
      </c>
    </row>
    <row r="1181" s="135">
      <c r="A1181" t="inlineStr">
        <is>
          <t>2017-04</t>
        </is>
      </c>
      <c r="B1181" s="2" t="n">
        <v>42826</v>
      </c>
      <c r="C1181" s="96" t="n">
        <v>1181</v>
      </c>
      <c r="E1181" s="2">
        <f>B1181</f>
        <v/>
      </c>
      <c r="F1181" s="3">
        <f>B1181</f>
        <v/>
      </c>
      <c r="G1181" s="96" t="n">
        <v>1179</v>
      </c>
      <c r="H1181" s="97" t="n"/>
      <c r="I1181" s="97" t="n"/>
      <c r="J1181" s="97" t="n">
        <v>108.091</v>
      </c>
      <c r="K1181" s="97" t="n">
        <v>104.0592</v>
      </c>
      <c r="L1181" s="97" t="n"/>
      <c r="M1181" s="97" t="n">
        <v>110.2816</v>
      </c>
      <c r="N1181" s="97" t="n">
        <v>103.5914</v>
      </c>
      <c r="O1181" s="97" t="n">
        <v>106.4</v>
      </c>
      <c r="P1181" s="97" t="n">
        <v>103.2821</v>
      </c>
      <c r="Q1181" s="97" t="n"/>
      <c r="R1181" s="97" t="n">
        <v>106</v>
      </c>
      <c r="S1181" s="97" t="n">
        <v>101.1408</v>
      </c>
      <c r="T1181" s="97" t="n">
        <v>101.6439</v>
      </c>
      <c r="U1181" s="97" t="n">
        <v>103.3794</v>
      </c>
      <c r="V1181" s="97" t="n">
        <v>105.7088</v>
      </c>
      <c r="W1181" s="97" t="n">
        <v>103.9087</v>
      </c>
      <c r="X1181" s="97" t="n">
        <v>88.80307000000001</v>
      </c>
      <c r="Y1181" s="97" t="n">
        <v>100.7026</v>
      </c>
      <c r="Z1181" s="97" t="n">
        <v>103.8913</v>
      </c>
      <c r="AA1181" s="97" t="n">
        <v>103.7914</v>
      </c>
      <c r="AB1181" s="97" t="n">
        <v>104.3913</v>
      </c>
      <c r="AC1181" s="97" t="n">
        <v>103.9913</v>
      </c>
      <c r="AD1181" s="97" t="n">
        <v>113.3</v>
      </c>
      <c r="AE1181" s="97" t="n">
        <v>109.4971</v>
      </c>
      <c r="AF1181" s="97" t="n">
        <v>101.2916</v>
      </c>
      <c r="AG1181" s="97" t="n">
        <v>101.8231</v>
      </c>
      <c r="AH1181" s="97" t="n">
        <v>102.7861</v>
      </c>
      <c r="AI1181" s="97" t="n">
        <v>107.6</v>
      </c>
      <c r="AJ1181" s="97" t="n">
        <v>101.8792</v>
      </c>
      <c r="AK1181" s="97" t="n">
        <v>106.0177</v>
      </c>
      <c r="AL1181" s="97" t="n">
        <v>113.4095</v>
      </c>
      <c r="AM1181" s="97" t="n">
        <v>104</v>
      </c>
      <c r="AN1181" s="97" t="n"/>
      <c r="AO1181" s="97" t="n">
        <v>100.1543</v>
      </c>
      <c r="AP1181" s="97" t="n">
        <v>103.5827</v>
      </c>
      <c r="AQ1181" s="97" t="n"/>
      <c r="AR1181" s="97" t="n"/>
      <c r="AS1181" s="97" t="n"/>
      <c r="AT1181" s="97" t="n">
        <v>107.7294</v>
      </c>
      <c r="AU1181" s="97" t="n"/>
      <c r="AV1181" s="97" t="n">
        <v>105.1</v>
      </c>
      <c r="AW1181" s="97" t="n"/>
      <c r="AX1181" s="97" t="n">
        <v>111.8907</v>
      </c>
      <c r="AY1181" s="97" t="n">
        <v>94.46738000000001</v>
      </c>
    </row>
    <row r="1182" s="135">
      <c r="A1182" t="inlineStr">
        <is>
          <t>2017-05</t>
        </is>
      </c>
      <c r="B1182" s="2" t="n">
        <v>42856</v>
      </c>
      <c r="C1182" s="96" t="n">
        <v>1182</v>
      </c>
      <c r="E1182" s="2">
        <f>B1182</f>
        <v/>
      </c>
      <c r="F1182" s="3">
        <f>B1182</f>
        <v/>
      </c>
      <c r="G1182" s="96" t="n">
        <v>1180</v>
      </c>
      <c r="H1182" s="97" t="n"/>
      <c r="I1182" s="97" t="n"/>
      <c r="J1182" s="97" t="n">
        <v>106.6911</v>
      </c>
      <c r="K1182" s="97" t="n">
        <v>105.3803</v>
      </c>
      <c r="L1182" s="97" t="n"/>
      <c r="M1182" s="97" t="n">
        <v>112.4813</v>
      </c>
      <c r="N1182" s="97" t="n">
        <v>103.9913</v>
      </c>
      <c r="O1182" s="97" t="n">
        <v>108.1</v>
      </c>
      <c r="P1182" s="97" t="n">
        <v>104.7131</v>
      </c>
      <c r="Q1182" s="97" t="n"/>
      <c r="R1182" s="97" t="n">
        <v>107.4</v>
      </c>
      <c r="S1182" s="97" t="n">
        <v>103.2909</v>
      </c>
      <c r="T1182" s="97" t="n">
        <v>102.163</v>
      </c>
      <c r="U1182" s="97" t="n">
        <v>107.0751</v>
      </c>
      <c r="V1182" s="97" t="n">
        <v>107.2089</v>
      </c>
      <c r="W1182" s="97" t="n">
        <v>94.8079</v>
      </c>
      <c r="X1182" s="97" t="n">
        <v>86.68665</v>
      </c>
      <c r="Y1182" s="97" t="n">
        <v>102.2014</v>
      </c>
      <c r="Z1182" s="97" t="n">
        <v>104.3913</v>
      </c>
      <c r="AA1182" s="97" t="n">
        <v>102.1915</v>
      </c>
      <c r="AB1182" s="97" t="n">
        <v>105.1912</v>
      </c>
      <c r="AC1182" s="97" t="n">
        <v>102.8914</v>
      </c>
      <c r="AD1182" s="97" t="n">
        <v>115</v>
      </c>
      <c r="AE1182" s="97" t="n">
        <v>109.3881</v>
      </c>
      <c r="AF1182" s="97" t="n">
        <v>101.3915</v>
      </c>
      <c r="AG1182" s="97" t="n">
        <v>101.0085</v>
      </c>
      <c r="AH1182" s="97" t="n">
        <v>102.8822</v>
      </c>
      <c r="AI1182" s="97" t="n">
        <v>108.4</v>
      </c>
      <c r="AJ1182" s="97" t="n">
        <v>107.0991</v>
      </c>
      <c r="AK1182" s="97" t="n">
        <v>106.3177</v>
      </c>
      <c r="AL1182" s="97" t="n">
        <v>114.1095</v>
      </c>
      <c r="AM1182" s="97" t="n">
        <v>105.7</v>
      </c>
      <c r="AN1182" s="97" t="n"/>
      <c r="AO1182" s="97" t="n">
        <v>100.2896</v>
      </c>
      <c r="AP1182" s="97" t="n">
        <v>103.7827</v>
      </c>
      <c r="AQ1182" s="97" t="n"/>
      <c r="AR1182" s="97" t="n"/>
      <c r="AS1182" s="97" t="n"/>
      <c r="AT1182" s="97" t="n">
        <v>108.2175</v>
      </c>
      <c r="AU1182" s="97" t="n"/>
      <c r="AV1182" s="97" t="n">
        <v>106.4</v>
      </c>
      <c r="AW1182" s="97" t="n"/>
      <c r="AX1182" s="97" t="n">
        <v>110.4908</v>
      </c>
      <c r="AY1182" s="97" t="n">
        <v>94.90779000000001</v>
      </c>
    </row>
    <row r="1183" s="135">
      <c r="A1183" t="inlineStr">
        <is>
          <t>2017-06</t>
        </is>
      </c>
      <c r="B1183" s="2" t="n">
        <v>42887</v>
      </c>
      <c r="C1183" s="96" t="n">
        <v>1183</v>
      </c>
      <c r="E1183" s="2">
        <f>B1183</f>
        <v/>
      </c>
      <c r="F1183" s="3">
        <f>B1183</f>
        <v/>
      </c>
      <c r="G1183" s="96" t="n">
        <v>1181</v>
      </c>
      <c r="H1183" s="97" t="n"/>
      <c r="I1183" s="97" t="n"/>
      <c r="J1183" s="97" t="n">
        <v>108.591</v>
      </c>
      <c r="K1183" s="97" t="n">
        <v>105.5649</v>
      </c>
      <c r="L1183" s="97" t="n"/>
      <c r="M1183" s="97" t="n">
        <v>108.182</v>
      </c>
      <c r="N1183" s="97" t="n">
        <v>103.8913</v>
      </c>
      <c r="O1183" s="97" t="n">
        <v>108.4</v>
      </c>
      <c r="P1183" s="97" t="n">
        <v>104.8471</v>
      </c>
      <c r="Q1183" s="97" t="n"/>
      <c r="R1183" s="97" t="n">
        <v>107.7</v>
      </c>
      <c r="S1183" s="97" t="n">
        <v>102.1508</v>
      </c>
      <c r="T1183" s="97" t="n">
        <v>102.4745</v>
      </c>
      <c r="U1183" s="97" t="n">
        <v>106.7754</v>
      </c>
      <c r="V1183" s="97" t="n">
        <v>106.3089</v>
      </c>
      <c r="W1183" s="97" t="n">
        <v>85.30710999999999</v>
      </c>
      <c r="X1183" s="97" t="n">
        <v>84.71561</v>
      </c>
      <c r="Y1183" s="97" t="n">
        <v>101.171</v>
      </c>
      <c r="Z1183" s="97" t="n">
        <v>105.6912</v>
      </c>
      <c r="AA1183" s="97" t="n">
        <v>102.9914</v>
      </c>
      <c r="AB1183" s="97" t="n">
        <v>103.8913</v>
      </c>
      <c r="AC1183" s="97" t="n">
        <v>104.0913</v>
      </c>
      <c r="AD1183" s="97" t="n">
        <v>113.9</v>
      </c>
      <c r="AE1183" s="97" t="n">
        <v>109.4216</v>
      </c>
      <c r="AF1183" s="97" t="n">
        <v>102.5915</v>
      </c>
      <c r="AG1183" s="97" t="n">
        <v>101.2413</v>
      </c>
      <c r="AH1183" s="97" t="n">
        <v>102.9126</v>
      </c>
      <c r="AI1183" s="97" t="n">
        <v>109.9</v>
      </c>
      <c r="AJ1183" s="97" t="n">
        <v>106.3291</v>
      </c>
      <c r="AK1183" s="97" t="n">
        <v>106.8178</v>
      </c>
      <c r="AL1183" s="97" t="n">
        <v>113.7095</v>
      </c>
      <c r="AM1183" s="97" t="n">
        <v>106.2</v>
      </c>
      <c r="AN1183" s="97" t="n"/>
      <c r="AO1183" s="97" t="n">
        <v>100.4548</v>
      </c>
      <c r="AP1183" s="97" t="n">
        <v>103.3828</v>
      </c>
      <c r="AQ1183" s="97" t="n"/>
      <c r="AR1183" s="97" t="n"/>
      <c r="AS1183" s="97" t="n"/>
      <c r="AT1183" s="97" t="n">
        <v>106.9784</v>
      </c>
      <c r="AU1183" s="97" t="n"/>
      <c r="AV1183" s="97" t="n">
        <v>106.7</v>
      </c>
      <c r="AW1183" s="97" t="n"/>
      <c r="AX1183" s="97" t="n">
        <v>111.1907</v>
      </c>
      <c r="AY1183" s="97" t="n">
        <v>95.6785</v>
      </c>
    </row>
    <row r="1184" s="135">
      <c r="A1184" t="inlineStr">
        <is>
          <t>2017-07</t>
        </is>
      </c>
      <c r="B1184" s="2" t="n">
        <v>42917</v>
      </c>
      <c r="C1184" s="96" t="n">
        <v>1184</v>
      </c>
      <c r="E1184" s="2">
        <f>B1184</f>
        <v/>
      </c>
      <c r="F1184" s="3">
        <f>B1184</f>
        <v/>
      </c>
      <c r="G1184" s="96" t="n">
        <v>1182</v>
      </c>
      <c r="H1184" s="97" t="n"/>
      <c r="I1184" s="97" t="n"/>
      <c r="J1184" s="97" t="n">
        <v>112.0907</v>
      </c>
      <c r="K1184" s="97" t="n">
        <v>105.9499</v>
      </c>
      <c r="L1184" s="97" t="n"/>
      <c r="M1184" s="97" t="n">
        <v>107.782</v>
      </c>
      <c r="N1184" s="97" t="n">
        <v>104.6913</v>
      </c>
      <c r="O1184" s="97" t="n">
        <v>104.5</v>
      </c>
      <c r="P1184" s="97" t="n">
        <v>104.5081</v>
      </c>
      <c r="Q1184" s="97" t="n"/>
      <c r="R1184" s="97" t="n">
        <v>108.9</v>
      </c>
      <c r="S1184" s="97" t="n">
        <v>102.7209</v>
      </c>
      <c r="T1184" s="97" t="n">
        <v>102.5783</v>
      </c>
      <c r="U1184" s="97" t="n">
        <v>105.5768</v>
      </c>
      <c r="V1184" s="97" t="n">
        <v>102.7086</v>
      </c>
      <c r="W1184" s="97" t="n">
        <v>102.6086</v>
      </c>
      <c r="X1184" s="97" t="n">
        <v>91.53857000000001</v>
      </c>
      <c r="Y1184" s="97" t="n">
        <v>100.9836</v>
      </c>
      <c r="Z1184" s="97" t="n">
        <v>106.4911</v>
      </c>
      <c r="AA1184" s="97" t="n">
        <v>102.4915</v>
      </c>
      <c r="AB1184" s="97" t="n">
        <v>104.5913</v>
      </c>
      <c r="AC1184" s="97" t="n">
        <v>102.1915</v>
      </c>
      <c r="AD1184" s="97" t="n">
        <v>113.7</v>
      </c>
      <c r="AE1184" s="97" t="n">
        <v>108.4362</v>
      </c>
      <c r="AF1184" s="97" t="n">
        <v>101.7915</v>
      </c>
      <c r="AG1184" s="97" t="n">
        <v>101.0085</v>
      </c>
      <c r="AH1184" s="97" t="n">
        <v>103.3356</v>
      </c>
      <c r="AI1184" s="97" t="n">
        <v>108.5</v>
      </c>
      <c r="AJ1184" s="97" t="n">
        <v>108.7591</v>
      </c>
      <c r="AK1184" s="97" t="n">
        <v>108.118</v>
      </c>
      <c r="AL1184" s="97" t="n">
        <v>114.8096</v>
      </c>
      <c r="AM1184" s="97" t="n">
        <v>106.4</v>
      </c>
      <c r="AN1184" s="97" t="n"/>
      <c r="AO1184" s="97" t="n">
        <v>100.4143</v>
      </c>
      <c r="AP1184" s="97" t="n">
        <v>105.0825</v>
      </c>
      <c r="AQ1184" s="97" t="n"/>
      <c r="AR1184" s="97" t="n"/>
      <c r="AS1184" s="97" t="n"/>
      <c r="AT1184" s="97" t="n">
        <v>106.3032</v>
      </c>
      <c r="AU1184" s="97" t="n"/>
      <c r="AV1184" s="97" t="n">
        <v>106.3</v>
      </c>
      <c r="AW1184" s="97" t="n"/>
      <c r="AX1184" s="97" t="n">
        <v>110.9908</v>
      </c>
      <c r="AY1184" s="97" t="n">
        <v>95.89870000000001</v>
      </c>
    </row>
    <row r="1185" s="135">
      <c r="A1185" t="inlineStr">
        <is>
          <t>2017-08</t>
        </is>
      </c>
      <c r="B1185" s="2" t="n">
        <v>42948</v>
      </c>
      <c r="C1185" s="96" t="n">
        <v>1185</v>
      </c>
      <c r="E1185" s="2">
        <f>B1185</f>
        <v/>
      </c>
      <c r="F1185" s="3">
        <f>B1185</f>
        <v/>
      </c>
      <c r="G1185" s="96" t="n">
        <v>1183</v>
      </c>
      <c r="H1185" s="97" t="n"/>
      <c r="I1185" s="97" t="n"/>
      <c r="J1185" s="97" t="n">
        <v>109.8908</v>
      </c>
      <c r="K1185" s="97" t="n">
        <v>104.7596</v>
      </c>
      <c r="L1185" s="97" t="n"/>
      <c r="M1185" s="97" t="n">
        <v>110.5816</v>
      </c>
      <c r="N1185" s="97" t="n">
        <v>106.7911</v>
      </c>
      <c r="O1185" s="97" t="n">
        <v>108.2</v>
      </c>
      <c r="P1185" s="97" t="n">
        <v>104.9691</v>
      </c>
      <c r="Q1185" s="97" t="n"/>
      <c r="R1185" s="97" t="n">
        <v>107.5</v>
      </c>
      <c r="S1185" s="97" t="n">
        <v>102.9209</v>
      </c>
      <c r="T1185" s="97" t="n">
        <v>102.4745</v>
      </c>
      <c r="U1185" s="97" t="n">
        <v>108.7731</v>
      </c>
      <c r="V1185" s="97" t="n">
        <v>106.8089</v>
      </c>
      <c r="W1185" s="97" t="n">
        <v>93.10776</v>
      </c>
      <c r="X1185" s="97" t="n">
        <v>100.1429</v>
      </c>
      <c r="Y1185" s="97" t="n">
        <v>100.4215</v>
      </c>
      <c r="Z1185" s="97" t="n">
        <v>108.291</v>
      </c>
      <c r="AA1185" s="97" t="n">
        <v>103.7914</v>
      </c>
      <c r="AB1185" s="97" t="n">
        <v>104.9912</v>
      </c>
      <c r="AC1185" s="97" t="n">
        <v>104.3913</v>
      </c>
      <c r="AD1185" s="97" t="n">
        <v>113</v>
      </c>
      <c r="AE1185" s="97" t="n">
        <v>108.7911</v>
      </c>
      <c r="AF1185" s="97" t="n">
        <v>101.6915</v>
      </c>
      <c r="AG1185" s="97" t="n">
        <v>101.474</v>
      </c>
      <c r="AH1185" s="97" t="n">
        <v>103.8594</v>
      </c>
      <c r="AI1185" s="97" t="n">
        <v>112.4</v>
      </c>
      <c r="AJ1185" s="97" t="n">
        <v>113.6091</v>
      </c>
      <c r="AK1185" s="97" t="n">
        <v>108.9182</v>
      </c>
      <c r="AL1185" s="97" t="n">
        <v>116.0097</v>
      </c>
      <c r="AM1185" s="97" t="n">
        <v>105.7</v>
      </c>
      <c r="AN1185" s="97" t="n"/>
      <c r="AO1185" s="97" t="n">
        <v>99.93861</v>
      </c>
      <c r="AP1185" s="97" t="n">
        <v>105.6824</v>
      </c>
      <c r="AQ1185" s="97" t="n"/>
      <c r="AR1185" s="97" t="n"/>
      <c r="AS1185" s="97" t="n"/>
      <c r="AT1185" s="97" t="n">
        <v>109.7957</v>
      </c>
      <c r="AU1185" s="97" t="n"/>
      <c r="AV1185" s="97" t="n">
        <v>106.7</v>
      </c>
      <c r="AW1185" s="97" t="n"/>
      <c r="AX1185" s="97" t="n">
        <v>114.3905</v>
      </c>
      <c r="AY1185" s="97" t="n">
        <v>95.6785</v>
      </c>
    </row>
    <row r="1186" s="135">
      <c r="A1186" t="inlineStr">
        <is>
          <t>2017-09</t>
        </is>
      </c>
      <c r="B1186" s="2" t="n">
        <v>42979</v>
      </c>
      <c r="C1186" s="96" t="n">
        <v>1186</v>
      </c>
      <c r="E1186" s="2">
        <f>B1186</f>
        <v/>
      </c>
      <c r="F1186" s="3">
        <f>B1186</f>
        <v/>
      </c>
      <c r="G1186" s="96" t="n">
        <v>1184</v>
      </c>
      <c r="H1186" s="97" t="n"/>
      <c r="I1186" s="97" t="n"/>
      <c r="J1186" s="97" t="n">
        <v>108.091</v>
      </c>
      <c r="K1186" s="97" t="n">
        <v>105.2452</v>
      </c>
      <c r="L1186" s="97" t="n"/>
      <c r="M1186" s="97" t="n">
        <v>111.8814</v>
      </c>
      <c r="N1186" s="97" t="n">
        <v>106.0912</v>
      </c>
      <c r="O1186" s="97" t="n">
        <v>102.5</v>
      </c>
      <c r="P1186" s="97" t="n">
        <v>105.5681</v>
      </c>
      <c r="Q1186" s="97" t="n"/>
      <c r="R1186" s="97" t="n">
        <v>106.9</v>
      </c>
      <c r="S1186" s="97" t="n">
        <v>103.7909</v>
      </c>
      <c r="T1186" s="97" t="n">
        <v>104.1357</v>
      </c>
      <c r="U1186" s="97" t="n">
        <v>104.1785</v>
      </c>
      <c r="V1186" s="97" t="n">
        <v>106.3089</v>
      </c>
      <c r="W1186" s="97" t="n">
        <v>98.80824</v>
      </c>
      <c r="X1186" s="97" t="n">
        <v>95.64026</v>
      </c>
      <c r="Y1186" s="97" t="n">
        <v>103.3255</v>
      </c>
      <c r="Z1186" s="97" t="n">
        <v>105.2912</v>
      </c>
      <c r="AA1186" s="97" t="n">
        <v>102.5915</v>
      </c>
      <c r="AB1186" s="97" t="n">
        <v>105.4912</v>
      </c>
      <c r="AC1186" s="97" t="n">
        <v>104.8913</v>
      </c>
      <c r="AD1186" s="97" t="n">
        <v>116.2</v>
      </c>
      <c r="AE1186" s="97" t="n">
        <v>108.2988</v>
      </c>
      <c r="AF1186" s="97" t="n">
        <v>102.4915</v>
      </c>
      <c r="AG1186" s="97" t="n">
        <v>102.9868</v>
      </c>
      <c r="AH1186" s="97" t="n">
        <v>103.7216</v>
      </c>
      <c r="AI1186" s="97" t="n">
        <v>111.1</v>
      </c>
      <c r="AJ1186" s="97" t="n">
        <v>106.8791</v>
      </c>
      <c r="AK1186" s="97" t="n">
        <v>109.9183</v>
      </c>
      <c r="AL1186" s="97" t="n">
        <v>119.91</v>
      </c>
      <c r="AM1186" s="97" t="n">
        <v>107.5</v>
      </c>
      <c r="AN1186" s="97" t="n"/>
      <c r="AO1186" s="97" t="n">
        <v>99.94121</v>
      </c>
      <c r="AP1186" s="97" t="n">
        <v>105.2825</v>
      </c>
      <c r="AQ1186" s="97" t="n"/>
      <c r="AR1186" s="97" t="n"/>
      <c r="AS1186" s="97" t="n"/>
      <c r="AT1186" s="97" t="n">
        <v>110.3844</v>
      </c>
      <c r="AU1186" s="97" t="n"/>
      <c r="AV1186" s="97" t="n">
        <v>106.8</v>
      </c>
      <c r="AW1186" s="97" t="n"/>
      <c r="AX1186" s="97" t="n">
        <v>115.7904</v>
      </c>
      <c r="AY1186" s="97" t="n">
        <v>96.11891</v>
      </c>
    </row>
    <row r="1187" s="135">
      <c r="A1187" t="inlineStr">
        <is>
          <t>2017-10</t>
        </is>
      </c>
      <c r="B1187" s="2" t="n">
        <v>43009</v>
      </c>
      <c r="C1187" s="96" t="n">
        <v>1187</v>
      </c>
      <c r="E1187" s="2">
        <f>B1187</f>
        <v/>
      </c>
      <c r="F1187" s="3">
        <f>B1187</f>
        <v/>
      </c>
      <c r="G1187" s="96" t="n">
        <v>1185</v>
      </c>
      <c r="H1187" s="97" t="n"/>
      <c r="I1187" s="97" t="n"/>
      <c r="J1187" s="97" t="n">
        <v>107.0911</v>
      </c>
      <c r="K1187" s="97" t="n">
        <v>104.4886</v>
      </c>
      <c r="L1187" s="97" t="n"/>
      <c r="M1187" s="97" t="n">
        <v>110.1816</v>
      </c>
      <c r="N1187" s="97" t="n">
        <v>104.3913</v>
      </c>
      <c r="O1187" s="97" t="n">
        <v>105.6</v>
      </c>
      <c r="P1187" s="97" t="n">
        <v>105.7781</v>
      </c>
      <c r="Q1187" s="97" t="n"/>
      <c r="R1187" s="97" t="n">
        <v>108.3</v>
      </c>
      <c r="S1187" s="97" t="n">
        <v>104.2309</v>
      </c>
      <c r="T1187" s="97" t="n">
        <v>103.928</v>
      </c>
      <c r="U1187" s="97" t="n">
        <v>107.7743</v>
      </c>
      <c r="V1187" s="97" t="n">
        <v>108.009</v>
      </c>
      <c r="W1187" s="97" t="n">
        <v>99.30826999999999</v>
      </c>
      <c r="X1187" s="97" t="n">
        <v>92.9348</v>
      </c>
      <c r="Y1187" s="97" t="n">
        <v>103.2318</v>
      </c>
      <c r="Z1187" s="97" t="n">
        <v>105.5912</v>
      </c>
      <c r="AA1187" s="97" t="n">
        <v>103.1914</v>
      </c>
      <c r="AB1187" s="97" t="n">
        <v>105.7912</v>
      </c>
      <c r="AC1187" s="97" t="n">
        <v>101.9915</v>
      </c>
      <c r="AD1187" s="97" t="n">
        <v>115.1</v>
      </c>
      <c r="AE1187" s="97" t="n">
        <v>108.8087</v>
      </c>
      <c r="AF1187" s="97" t="n">
        <v>104.0913</v>
      </c>
      <c r="AG1187" s="97" t="n">
        <v>98.91388999999999</v>
      </c>
      <c r="AH1187" s="97" t="n">
        <v>104.1472</v>
      </c>
      <c r="AI1187" s="97" t="n">
        <v>112.4</v>
      </c>
      <c r="AJ1187" s="97" t="n">
        <v>105.9291</v>
      </c>
      <c r="AK1187" s="97" t="n">
        <v>110.2184</v>
      </c>
      <c r="AL1187" s="97" t="n">
        <v>118.6099</v>
      </c>
      <c r="AM1187" s="97" t="n">
        <v>107.3</v>
      </c>
      <c r="AN1187" s="97" t="n"/>
      <c r="AO1187" s="97" t="n">
        <v>101.4574</v>
      </c>
      <c r="AP1187" s="97" t="n">
        <v>104.9825</v>
      </c>
      <c r="AQ1187" s="97" t="n"/>
      <c r="AR1187" s="97" t="n"/>
      <c r="AS1187" s="97" t="n"/>
      <c r="AT1187" s="97" t="n">
        <v>110.2457</v>
      </c>
      <c r="AU1187" s="97" t="n"/>
      <c r="AV1187" s="97" t="n">
        <v>105.7</v>
      </c>
      <c r="AW1187" s="97" t="n"/>
      <c r="AX1187" s="97" t="n">
        <v>116.3903</v>
      </c>
      <c r="AY1187" s="97" t="n">
        <v>96.77952000000001</v>
      </c>
    </row>
    <row r="1188" s="135">
      <c r="A1188" t="inlineStr">
        <is>
          <t>2017-11</t>
        </is>
      </c>
      <c r="B1188" s="2" t="n">
        <v>43040</v>
      </c>
      <c r="C1188" s="96" t="n">
        <v>1188</v>
      </c>
      <c r="E1188" s="2">
        <f>B1188</f>
        <v/>
      </c>
      <c r="F1188" s="3">
        <f>B1188</f>
        <v/>
      </c>
      <c r="G1188" s="96" t="n">
        <v>1186</v>
      </c>
      <c r="H1188" s="97" t="n"/>
      <c r="I1188" s="97" t="n"/>
      <c r="J1188" s="97" t="n">
        <v>107.791</v>
      </c>
      <c r="K1188" s="97" t="n">
        <v>105.8889</v>
      </c>
      <c r="L1188" s="97" t="n"/>
      <c r="M1188" s="97" t="n">
        <v>112.9812</v>
      </c>
      <c r="N1188" s="97" t="n">
        <v>108.591</v>
      </c>
      <c r="O1188" s="97" t="n">
        <v>106.7</v>
      </c>
      <c r="P1188" s="97" t="n">
        <v>107.5271</v>
      </c>
      <c r="Q1188" s="97" t="n"/>
      <c r="R1188" s="97" t="n">
        <v>110</v>
      </c>
      <c r="S1188" s="97" t="n">
        <v>104.6609</v>
      </c>
      <c r="T1188" s="97" t="n">
        <v>104.1357</v>
      </c>
      <c r="U1188" s="97" t="n">
        <v>106.7754</v>
      </c>
      <c r="V1188" s="97" t="n">
        <v>106.4089</v>
      </c>
      <c r="W1188" s="97" t="n">
        <v>106.5089</v>
      </c>
      <c r="X1188" s="97" t="n">
        <v>96.8969</v>
      </c>
      <c r="Y1188" s="97" t="n">
        <v>104.637</v>
      </c>
      <c r="Z1188" s="97" t="n">
        <v>107.2911</v>
      </c>
      <c r="AA1188" s="97" t="n">
        <v>103.9913</v>
      </c>
      <c r="AB1188" s="97" t="n">
        <v>105.5912</v>
      </c>
      <c r="AC1188" s="97" t="n">
        <v>106.8911</v>
      </c>
      <c r="AD1188" s="97" t="n">
        <v>115.6</v>
      </c>
      <c r="AE1188" s="97" t="n">
        <v>108.1969</v>
      </c>
      <c r="AF1188" s="97" t="n">
        <v>104.4913</v>
      </c>
      <c r="AG1188" s="97" t="n">
        <v>98.56478</v>
      </c>
      <c r="AH1188" s="97" t="n">
        <v>105.1624</v>
      </c>
      <c r="AI1188" s="97" t="n">
        <v>111.7</v>
      </c>
      <c r="AJ1188" s="97" t="n">
        <v>106.3591</v>
      </c>
      <c r="AK1188" s="97" t="n">
        <v>112.4187</v>
      </c>
      <c r="AL1188" s="97" t="n">
        <v>119.61</v>
      </c>
      <c r="AM1188" s="97" t="n">
        <v>108.9</v>
      </c>
      <c r="AN1188" s="97" t="n"/>
      <c r="AO1188" s="97" t="n">
        <v>101.9994</v>
      </c>
      <c r="AP1188" s="97" t="n">
        <v>107.4821</v>
      </c>
      <c r="AQ1188" s="97" t="n"/>
      <c r="AR1188" s="97" t="n"/>
      <c r="AS1188" s="97" t="n"/>
      <c r="AT1188" s="97" t="n">
        <v>115.0131</v>
      </c>
      <c r="AU1188" s="97" t="n"/>
      <c r="AV1188" s="97" t="n">
        <v>106</v>
      </c>
      <c r="AW1188" s="97" t="n"/>
      <c r="AX1188" s="97" t="n">
        <v>116.9902</v>
      </c>
      <c r="AY1188" s="97" t="n">
        <v>97.44013</v>
      </c>
    </row>
    <row r="1189" s="135">
      <c r="A1189" t="inlineStr">
        <is>
          <t>2017-12</t>
        </is>
      </c>
      <c r="B1189" s="2" t="n">
        <v>43070</v>
      </c>
      <c r="C1189" s="96" t="n">
        <v>1189</v>
      </c>
      <c r="E1189" s="2">
        <f>B1189</f>
        <v/>
      </c>
      <c r="F1189" s="3">
        <f>B1189</f>
        <v/>
      </c>
      <c r="G1189" s="96" t="n">
        <v>1187</v>
      </c>
      <c r="H1189" s="97" t="n"/>
      <c r="I1189" s="97" t="n"/>
      <c r="J1189" s="97" t="n">
        <v>106.7911</v>
      </c>
      <c r="K1189" s="97" t="n">
        <v>106.8175</v>
      </c>
      <c r="L1189" s="97" t="n"/>
      <c r="M1189" s="97" t="n">
        <v>113.1811</v>
      </c>
      <c r="N1189" s="97" t="n">
        <v>108.191</v>
      </c>
      <c r="O1189" s="97" t="n">
        <v>106.9</v>
      </c>
      <c r="P1189" s="97" t="n">
        <v>109.7471</v>
      </c>
      <c r="Q1189" s="97" t="n"/>
      <c r="R1189" s="97" t="n">
        <v>111.3</v>
      </c>
      <c r="S1189" s="97" t="n">
        <v>105.7009</v>
      </c>
      <c r="T1189" s="97" t="n">
        <v>103.7204</v>
      </c>
      <c r="U1189" s="97" t="n">
        <v>108.2737</v>
      </c>
      <c r="V1189" s="97" t="n">
        <v>108.109</v>
      </c>
      <c r="W1189" s="97" t="n">
        <v>105.0088</v>
      </c>
      <c r="X1189" s="97" t="n">
        <v>102.4182</v>
      </c>
      <c r="Y1189" s="97" t="n">
        <v>104.2623</v>
      </c>
      <c r="Z1189" s="97" t="n">
        <v>110.2908</v>
      </c>
      <c r="AA1189" s="97" t="n">
        <v>105.4912</v>
      </c>
      <c r="AB1189" s="97" t="n">
        <v>103.6914</v>
      </c>
      <c r="AC1189" s="97" t="n">
        <v>107.591</v>
      </c>
      <c r="AD1189" s="97" t="n">
        <v>115.1</v>
      </c>
      <c r="AE1189" s="97" t="n">
        <v>109.7265</v>
      </c>
      <c r="AF1189" s="97" t="n">
        <v>104.5913</v>
      </c>
      <c r="AG1189" s="97" t="n">
        <v>98.91388999999999</v>
      </c>
      <c r="AH1189" s="97" t="n">
        <v>105.7947</v>
      </c>
      <c r="AI1189" s="97" t="n">
        <v>115.1</v>
      </c>
      <c r="AJ1189" s="97" t="n">
        <v>104.4591</v>
      </c>
      <c r="AK1189" s="97" t="n">
        <v>110.1184</v>
      </c>
      <c r="AL1189" s="97" t="n">
        <v>122.9102</v>
      </c>
      <c r="AM1189" s="97" t="n">
        <v>110</v>
      </c>
      <c r="AN1189" s="97" t="n"/>
      <c r="AO1189" s="97" t="n">
        <v>102.3288</v>
      </c>
      <c r="AP1189" s="97" t="n">
        <v>107.882</v>
      </c>
      <c r="AQ1189" s="97" t="n"/>
      <c r="AR1189" s="97" t="n"/>
      <c r="AS1189" s="97" t="n"/>
      <c r="AT1189" s="97" t="n">
        <v>113.1059</v>
      </c>
      <c r="AU1189" s="97" t="n"/>
      <c r="AV1189" s="97" t="n">
        <v>105.3</v>
      </c>
      <c r="AW1189" s="97" t="n"/>
      <c r="AX1189" s="97" t="n">
        <v>120.09</v>
      </c>
      <c r="AY1189" s="97" t="n">
        <v>100.7432</v>
      </c>
    </row>
    <row r="1190" s="135">
      <c r="A1190" t="inlineStr">
        <is>
          <t>2018-01</t>
        </is>
      </c>
      <c r="B1190" s="2" t="n">
        <v>43101</v>
      </c>
      <c r="C1190" s="96" t="n">
        <v>1190</v>
      </c>
      <c r="E1190" s="2">
        <f>B1190</f>
        <v/>
      </c>
      <c r="F1190" s="3">
        <f>B1190</f>
        <v/>
      </c>
      <c r="G1190" s="96" t="n">
        <v>1188</v>
      </c>
      <c r="H1190" s="97" t="n"/>
      <c r="I1190" s="97" t="n"/>
      <c r="J1190" s="97" t="n">
        <v>108.191</v>
      </c>
      <c r="K1190" s="97" t="n">
        <v>106.2468</v>
      </c>
      <c r="L1190" s="97" t="n"/>
      <c r="M1190" s="97" t="n">
        <v>113.5811</v>
      </c>
      <c r="N1190" s="97" t="n">
        <v>107.2911</v>
      </c>
      <c r="O1190" s="97" t="n">
        <v>107.8</v>
      </c>
      <c r="P1190" s="97" t="n">
        <v>104.2681</v>
      </c>
      <c r="Q1190" s="97" t="n"/>
      <c r="R1190" s="97" t="n">
        <v>111.4</v>
      </c>
      <c r="S1190" s="97" t="n">
        <v>102.0209</v>
      </c>
      <c r="T1190" s="97" t="n">
        <v>104.3433</v>
      </c>
      <c r="U1190" s="97" t="n">
        <v>107.4746</v>
      </c>
      <c r="V1190" s="97" t="n">
        <v>108.8091</v>
      </c>
      <c r="W1190" s="97" t="n">
        <v>101.3084</v>
      </c>
      <c r="X1190" s="97" t="n">
        <v>99.97450000000001</v>
      </c>
      <c r="Y1190" s="97" t="n">
        <v>105.9485</v>
      </c>
      <c r="Z1190" s="97" t="n">
        <v>106.1912</v>
      </c>
      <c r="AA1190" s="97" t="n">
        <v>101.2916</v>
      </c>
      <c r="AB1190" s="97" t="n">
        <v>105.0912</v>
      </c>
      <c r="AC1190" s="97" t="n">
        <v>104.6913</v>
      </c>
      <c r="AD1190" s="97" t="n">
        <v>116.3</v>
      </c>
      <c r="AE1190" s="97" t="n">
        <v>109.2166</v>
      </c>
      <c r="AF1190" s="97" t="n">
        <v>105.1912</v>
      </c>
      <c r="AG1190" s="97" t="n">
        <v>102.2886</v>
      </c>
      <c r="AH1190" s="97" t="n">
        <v>104.6653</v>
      </c>
      <c r="AI1190" s="97" t="n">
        <v>112.9</v>
      </c>
      <c r="AJ1190" s="97" t="n">
        <v>107.4091</v>
      </c>
      <c r="AK1190" s="97" t="n">
        <v>107.4179</v>
      </c>
      <c r="AL1190" s="97" t="n">
        <v>123.0103</v>
      </c>
      <c r="AM1190" s="97" t="n">
        <v>108.9</v>
      </c>
      <c r="AN1190" s="97" t="n"/>
      <c r="AO1190" s="97" t="n">
        <v>102.069</v>
      </c>
      <c r="AP1190" s="97" t="n">
        <v>105.8824</v>
      </c>
      <c r="AQ1190" s="97" t="n"/>
      <c r="AR1190" s="97" t="n"/>
      <c r="AS1190" s="97" t="n"/>
      <c r="AT1190" s="97" t="n">
        <v>113.593</v>
      </c>
      <c r="AU1190" s="97" t="n"/>
      <c r="AV1190" s="97" t="n">
        <v>108.3</v>
      </c>
      <c r="AW1190" s="97" t="n"/>
      <c r="AX1190" s="97" t="n">
        <v>118.0902</v>
      </c>
      <c r="AY1190" s="97" t="n">
        <v>98.21084999999999</v>
      </c>
    </row>
    <row r="1191" s="135">
      <c r="A1191" t="inlineStr">
        <is>
          <t>2018-02</t>
        </is>
      </c>
      <c r="B1191" s="2" t="n">
        <v>43132</v>
      </c>
      <c r="C1191" s="96" t="n">
        <v>1191</v>
      </c>
      <c r="E1191" s="2">
        <f>B1191</f>
        <v/>
      </c>
      <c r="F1191" s="3">
        <f>B1191</f>
        <v/>
      </c>
      <c r="G1191" s="96" t="n">
        <v>1189</v>
      </c>
      <c r="H1191" s="97" t="n"/>
      <c r="I1191" s="97" t="n"/>
      <c r="J1191" s="97" t="n">
        <v>105.7912</v>
      </c>
      <c r="K1191" s="97" t="n">
        <v>107.6217</v>
      </c>
      <c r="L1191" s="97" t="n"/>
      <c r="M1191" s="97" t="n">
        <v>110.9815</v>
      </c>
      <c r="N1191" s="97" t="n">
        <v>105.2912</v>
      </c>
      <c r="O1191" s="97" t="n">
        <v>106.9</v>
      </c>
      <c r="P1191" s="97" t="n">
        <v>106.1961</v>
      </c>
      <c r="Q1191" s="97" t="n"/>
      <c r="R1191" s="97" t="n">
        <v>111.5</v>
      </c>
      <c r="S1191" s="97" t="n">
        <v>103.1509</v>
      </c>
      <c r="T1191" s="97" t="n">
        <v>104.3433</v>
      </c>
      <c r="U1191" s="97" t="n">
        <v>107.8741</v>
      </c>
      <c r="V1191" s="97" t="n">
        <v>109.0091</v>
      </c>
      <c r="W1191" s="97" t="n">
        <v>95.70798000000001</v>
      </c>
      <c r="X1191" s="97" t="n">
        <v>98.67519</v>
      </c>
      <c r="Y1191" s="97" t="n">
        <v>103.2318</v>
      </c>
      <c r="Z1191" s="97" t="n">
        <v>105.7912</v>
      </c>
      <c r="AA1191" s="97" t="n">
        <v>103.7914</v>
      </c>
      <c r="AB1191" s="97" t="n">
        <v>106.5911</v>
      </c>
      <c r="AC1191" s="97" t="n">
        <v>101.4915</v>
      </c>
      <c r="AD1191" s="97" t="n">
        <v>119.4</v>
      </c>
      <c r="AE1191" s="97" t="n">
        <v>110.3384</v>
      </c>
      <c r="AF1191" s="97" t="n">
        <v>104.5913</v>
      </c>
      <c r="AG1191" s="97" t="n">
        <v>102.2886</v>
      </c>
      <c r="AH1191" s="97" t="n">
        <v>105.0072</v>
      </c>
      <c r="AI1191" s="97" t="n">
        <v>114.1</v>
      </c>
      <c r="AJ1191" s="97" t="n">
        <v>105.0791</v>
      </c>
      <c r="AK1191" s="97" t="n">
        <v>109.4182</v>
      </c>
      <c r="AL1191" s="97" t="n">
        <v>119.71</v>
      </c>
      <c r="AM1191" s="97" t="n">
        <v>108.9</v>
      </c>
      <c r="AN1191" s="97" t="n"/>
      <c r="AO1191" s="97" t="n">
        <v>102.4306</v>
      </c>
      <c r="AP1191" s="97" t="n">
        <v>105.0825</v>
      </c>
      <c r="AQ1191" s="97" t="n"/>
      <c r="AR1191" s="97" t="n"/>
      <c r="AS1191" s="97" t="n"/>
      <c r="AT1191" s="97" t="n">
        <v>114.648</v>
      </c>
      <c r="AU1191" s="97" t="n"/>
      <c r="AV1191" s="97" t="n">
        <v>107.6</v>
      </c>
      <c r="AW1191" s="97" t="n"/>
      <c r="AX1191" s="97" t="n">
        <v>117.0902</v>
      </c>
      <c r="AY1191" s="97" t="n">
        <v>97.99064</v>
      </c>
    </row>
    <row r="1192" s="135">
      <c r="A1192" t="inlineStr">
        <is>
          <t>2018-03</t>
        </is>
      </c>
      <c r="B1192" s="2" t="n">
        <v>43160</v>
      </c>
      <c r="C1192" s="96" t="n">
        <v>1192</v>
      </c>
      <c r="E1192" s="2">
        <f>B1192</f>
        <v/>
      </c>
      <c r="F1192" s="3">
        <f>B1192</f>
        <v/>
      </c>
      <c r="G1192" s="96" t="n">
        <v>1190</v>
      </c>
      <c r="H1192" s="97" t="n"/>
      <c r="I1192" s="97" t="n"/>
      <c r="J1192" s="97" t="n">
        <v>109.8908</v>
      </c>
      <c r="K1192" s="97" t="n">
        <v>108.6889</v>
      </c>
      <c r="L1192" s="97" t="n"/>
      <c r="M1192" s="97" t="n">
        <v>112.6812</v>
      </c>
      <c r="N1192" s="97" t="n">
        <v>106.5911</v>
      </c>
      <c r="O1192" s="97" t="n">
        <v>106.6</v>
      </c>
      <c r="P1192" s="97" t="n">
        <v>108.0001</v>
      </c>
      <c r="Q1192" s="97" t="n"/>
      <c r="R1192" s="97" t="n">
        <v>113</v>
      </c>
      <c r="S1192" s="97" t="n">
        <v>103.9009</v>
      </c>
      <c r="T1192" s="97" t="n">
        <v>104.0318</v>
      </c>
      <c r="U1192" s="97" t="n">
        <v>108.6732</v>
      </c>
      <c r="V1192" s="97" t="n">
        <v>108.209</v>
      </c>
      <c r="W1192" s="97" t="n">
        <v>78.80656</v>
      </c>
      <c r="X1192" s="97" t="n"/>
      <c r="Y1192" s="97" t="n">
        <v>105.2927</v>
      </c>
      <c r="Z1192" s="97" t="n">
        <v>107.2911</v>
      </c>
      <c r="AA1192" s="97" t="n">
        <v>104.8913</v>
      </c>
      <c r="AB1192" s="97" t="n">
        <v>104.8913</v>
      </c>
      <c r="AC1192" s="97" t="n">
        <v>102.5915</v>
      </c>
      <c r="AD1192" s="97" t="n">
        <v>114.5</v>
      </c>
      <c r="AE1192" s="97" t="n"/>
      <c r="AF1192" s="97" t="n">
        <v>105.1912</v>
      </c>
      <c r="AG1192" s="97" t="n">
        <v>102.0559</v>
      </c>
      <c r="AH1192" s="97" t="n">
        <v>105.353</v>
      </c>
      <c r="AI1192" s="97" t="n">
        <v>113.2</v>
      </c>
      <c r="AJ1192" s="97" t="n">
        <v>109.8991</v>
      </c>
      <c r="AK1192" s="97" t="n">
        <v>110.2184</v>
      </c>
      <c r="AL1192" s="97" t="n">
        <v>120.7101</v>
      </c>
      <c r="AM1192" s="97" t="n">
        <v>109.9</v>
      </c>
      <c r="AN1192" s="97" t="n"/>
      <c r="AO1192" s="97" t="n">
        <v>103.0165</v>
      </c>
      <c r="AP1192" s="97" t="n">
        <v>105.1825</v>
      </c>
      <c r="AQ1192" s="97" t="n"/>
      <c r="AR1192" s="97" t="n"/>
      <c r="AS1192" s="97" t="n"/>
      <c r="AT1192" s="97" t="n">
        <v>113.6186</v>
      </c>
      <c r="AU1192" s="97" t="n"/>
      <c r="AV1192" s="97" t="n">
        <v>108.3</v>
      </c>
      <c r="AW1192" s="97" t="n"/>
      <c r="AX1192" s="97" t="n">
        <v>116.7903</v>
      </c>
      <c r="AY1192" s="97" t="n">
        <v>98.43105</v>
      </c>
    </row>
    <row r="1193" s="135">
      <c r="A1193" t="inlineStr">
        <is>
          <t>2018-04</t>
        </is>
      </c>
      <c r="B1193" s="2" t="n">
        <v>43191</v>
      </c>
      <c r="C1193" s="96" t="n">
        <v>1193</v>
      </c>
      <c r="E1193" s="2">
        <f>B1193</f>
        <v/>
      </c>
      <c r="F1193" s="3">
        <f>B1193</f>
        <v/>
      </c>
      <c r="G1193" s="96" t="n">
        <v>1191</v>
      </c>
      <c r="H1193" s="97" t="n"/>
      <c r="I1193" s="97" t="n"/>
      <c r="J1193" s="97" t="n">
        <v>110.4908</v>
      </c>
      <c r="K1193" s="97" t="n">
        <v>108.9155</v>
      </c>
      <c r="L1193" s="97" t="n"/>
      <c r="M1193" s="97" t="n">
        <v>110.3816</v>
      </c>
      <c r="N1193" s="97" t="n">
        <v>106.0912</v>
      </c>
      <c r="O1193" s="97" t="n">
        <v>107.5</v>
      </c>
      <c r="P1193" s="97" t="n">
        <v>105.0941</v>
      </c>
      <c r="Q1193" s="97" t="n"/>
      <c r="R1193" s="97" t="n">
        <v>107.9</v>
      </c>
      <c r="S1193" s="97" t="n">
        <v>102.6409</v>
      </c>
      <c r="T1193" s="97" t="n">
        <v>104.3433</v>
      </c>
      <c r="U1193" s="97" t="n">
        <v>106.6755</v>
      </c>
      <c r="V1193" s="97" t="n">
        <v>108.309</v>
      </c>
      <c r="W1193" s="97" t="n">
        <v>93.10776</v>
      </c>
      <c r="X1193" s="97" t="n"/>
      <c r="Y1193" s="97" t="n">
        <v>104.8244</v>
      </c>
      <c r="Z1193" s="97" t="n">
        <v>106.2911</v>
      </c>
      <c r="AA1193" s="97" t="n">
        <v>104.2913</v>
      </c>
      <c r="AB1193" s="97" t="n">
        <v>107.0911</v>
      </c>
      <c r="AC1193" s="97" t="n">
        <v>99.29173</v>
      </c>
      <c r="AD1193" s="97" t="n">
        <v>116</v>
      </c>
      <c r="AE1193" s="97" t="n"/>
      <c r="AF1193" s="97" t="n">
        <v>103.1914</v>
      </c>
      <c r="AG1193" s="97" t="n">
        <v>100.4267</v>
      </c>
      <c r="AH1193" s="97" t="n">
        <v>105.638</v>
      </c>
      <c r="AI1193" s="97" t="n">
        <v>114.8</v>
      </c>
      <c r="AJ1193" s="97" t="n">
        <v>106.7591</v>
      </c>
      <c r="AK1193" s="97" t="n">
        <v>109.3182</v>
      </c>
      <c r="AL1193" s="97" t="n">
        <v>120.7101</v>
      </c>
      <c r="AM1193" s="97" t="n">
        <v>105.3</v>
      </c>
      <c r="AN1193" s="97" t="n"/>
      <c r="AO1193" s="97" t="n">
        <v>103.9485</v>
      </c>
      <c r="AP1193" s="97" t="n">
        <v>105.1825</v>
      </c>
      <c r="AQ1193" s="97" t="n"/>
      <c r="AR1193" s="97" t="n"/>
      <c r="AS1193" s="97" t="n"/>
      <c r="AT1193" s="97" t="n">
        <v>112.2715</v>
      </c>
      <c r="AU1193" s="97" t="n"/>
      <c r="AV1193" s="97" t="n">
        <v>107.9</v>
      </c>
      <c r="AW1193" s="97" t="n"/>
      <c r="AX1193" s="97" t="n">
        <v>118.0902</v>
      </c>
      <c r="AY1193" s="97" t="n">
        <v>98.87145</v>
      </c>
    </row>
    <row r="1194" s="135">
      <c r="A1194" t="inlineStr">
        <is>
          <t>2018-05</t>
        </is>
      </c>
      <c r="B1194" s="2" t="n">
        <v>43221</v>
      </c>
      <c r="C1194" s="96" t="n">
        <v>1194</v>
      </c>
      <c r="E1194" s="2">
        <f>B1194</f>
        <v/>
      </c>
      <c r="F1194" s="3">
        <f>B1194</f>
        <v/>
      </c>
      <c r="G1194" s="96" t="n">
        <v>1192</v>
      </c>
      <c r="H1194" s="97" t="n"/>
      <c r="I1194" s="97" t="n"/>
      <c r="J1194" s="97" t="n">
        <v>110.6908</v>
      </c>
      <c r="K1194" s="97" t="n">
        <v>109.1699</v>
      </c>
      <c r="L1194" s="97" t="n"/>
      <c r="M1194" s="97" t="n">
        <v>113.1811</v>
      </c>
      <c r="N1194" s="97" t="n">
        <v>107.791</v>
      </c>
      <c r="O1194" s="97" t="n">
        <v>105.1</v>
      </c>
      <c r="P1194" s="97" t="n">
        <v>105.7231</v>
      </c>
      <c r="Q1194" s="97" t="n"/>
      <c r="R1194" s="97" t="n">
        <v>112.2</v>
      </c>
      <c r="S1194" s="97" t="n">
        <v>101.7008</v>
      </c>
      <c r="T1194" s="97" t="n">
        <v>103.3051</v>
      </c>
      <c r="U1194" s="97" t="n">
        <v>108.3736</v>
      </c>
      <c r="V1194" s="97" t="n">
        <v>110.5092</v>
      </c>
      <c r="W1194" s="97" t="n">
        <v>98.80824</v>
      </c>
      <c r="X1194" s="97" t="n"/>
      <c r="Y1194" s="97" t="n">
        <v>103.6066</v>
      </c>
      <c r="Z1194" s="97" t="n">
        <v>106.4911</v>
      </c>
      <c r="AA1194" s="97" t="n">
        <v>104.5913</v>
      </c>
      <c r="AB1194" s="97" t="n">
        <v>107.491</v>
      </c>
      <c r="AC1194" s="97" t="n">
        <v>101.3915</v>
      </c>
      <c r="AD1194" s="97" t="n">
        <v>114.4</v>
      </c>
      <c r="AE1194" s="97" t="n"/>
      <c r="AF1194" s="97" t="n">
        <v>103.3914</v>
      </c>
      <c r="AG1194" s="97" t="n">
        <v>99.14662</v>
      </c>
      <c r="AH1194" s="97" t="n">
        <v>105.7542</v>
      </c>
      <c r="AI1194" s="97" t="n">
        <v>116.5</v>
      </c>
      <c r="AJ1194" s="97" t="n">
        <v>105.2891</v>
      </c>
      <c r="AK1194" s="97" t="n">
        <v>112.7188</v>
      </c>
      <c r="AL1194" s="97" t="n">
        <v>121.4101</v>
      </c>
      <c r="AM1194" s="97" t="n">
        <v>109.9</v>
      </c>
      <c r="AN1194" s="97" t="n"/>
      <c r="AO1194" s="97" t="n">
        <v>103.124</v>
      </c>
      <c r="AP1194" s="97" t="n">
        <v>106.1823</v>
      </c>
      <c r="AQ1194" s="97" t="n"/>
      <c r="AR1194" s="97" t="n"/>
      <c r="AS1194" s="97" t="n"/>
      <c r="AT1194" s="97" t="n">
        <v>112.2656</v>
      </c>
      <c r="AU1194" s="97" t="n"/>
      <c r="AV1194" s="97" t="n">
        <v>110.3</v>
      </c>
      <c r="AW1194" s="97" t="n"/>
      <c r="AX1194" s="97" t="n">
        <v>116.4903</v>
      </c>
      <c r="AY1194" s="97" t="n">
        <v>88.30168</v>
      </c>
    </row>
    <row r="1195" s="135">
      <c r="A1195" t="inlineStr">
        <is>
          <t>2018-06</t>
        </is>
      </c>
      <c r="B1195" s="2" t="n">
        <v>43252</v>
      </c>
      <c r="C1195" s="96" t="n">
        <v>1195</v>
      </c>
      <c r="E1195" s="2">
        <f>B1195</f>
        <v/>
      </c>
      <c r="F1195" s="3">
        <f>B1195</f>
        <v/>
      </c>
      <c r="G1195" s="96" t="n">
        <v>1193</v>
      </c>
      <c r="H1195" s="97" t="n"/>
      <c r="I1195" s="97" t="n"/>
      <c r="J1195" s="97" t="n">
        <v>107.2911</v>
      </c>
      <c r="K1195" s="97" t="n">
        <v>110.2314</v>
      </c>
      <c r="L1195" s="97" t="n"/>
      <c r="M1195" s="97" t="n">
        <v>115.3808</v>
      </c>
      <c r="N1195" s="97" t="n">
        <v>107.491</v>
      </c>
      <c r="O1195" s="97" t="n">
        <v>106.5</v>
      </c>
      <c r="P1195" s="97" t="n">
        <v>105.1831</v>
      </c>
      <c r="Q1195" s="97" t="n"/>
      <c r="R1195" s="97" t="n">
        <v>111.3</v>
      </c>
      <c r="S1195" s="97" t="n">
        <v>103.4809</v>
      </c>
      <c r="T1195" s="97" t="n">
        <v>104.0318</v>
      </c>
      <c r="U1195" s="97" t="n">
        <v>108.3736</v>
      </c>
      <c r="V1195" s="97" t="n">
        <v>109.6091</v>
      </c>
      <c r="W1195" s="97" t="n">
        <v>96.70806</v>
      </c>
      <c r="X1195" s="97" t="n"/>
      <c r="Y1195" s="97" t="n">
        <v>102.9508</v>
      </c>
      <c r="Z1195" s="97" t="n">
        <v>106.8911</v>
      </c>
      <c r="AA1195" s="97" t="n">
        <v>103.5914</v>
      </c>
      <c r="AB1195" s="97" t="n">
        <v>107.691</v>
      </c>
      <c r="AC1195" s="97" t="n">
        <v>102.0915</v>
      </c>
      <c r="AD1195" s="97" t="n">
        <v>114.1</v>
      </c>
      <c r="AE1195" s="97" t="n"/>
      <c r="AF1195" s="97" t="n">
        <v>103.2914</v>
      </c>
      <c r="AG1195" s="97" t="n">
        <v>103.9178</v>
      </c>
      <c r="AH1195" s="97" t="n">
        <v>105.8954</v>
      </c>
      <c r="AI1195" s="97" t="n">
        <v>117.3</v>
      </c>
      <c r="AJ1195" s="97" t="n">
        <v>106.3191</v>
      </c>
      <c r="AK1195" s="97" t="n">
        <v>114.019</v>
      </c>
      <c r="AL1195" s="97" t="n">
        <v>122.5102</v>
      </c>
      <c r="AM1195" s="97" t="n">
        <v>109.7</v>
      </c>
      <c r="AN1195" s="97" t="n"/>
      <c r="AO1195" s="97" t="n">
        <v>103.899</v>
      </c>
      <c r="AP1195" s="97" t="n">
        <v>106.1823</v>
      </c>
      <c r="AQ1195" s="97" t="n"/>
      <c r="AR1195" s="97" t="n"/>
      <c r="AS1195" s="97" t="n"/>
      <c r="AT1195" s="97" t="n">
        <v>114.892</v>
      </c>
      <c r="AU1195" s="97" t="n"/>
      <c r="AV1195" s="97" t="n">
        <v>109.7</v>
      </c>
      <c r="AW1195" s="97" t="n"/>
      <c r="AX1195" s="97" t="n">
        <v>113.7905</v>
      </c>
      <c r="AY1195" s="97" t="n">
        <v>99.42197</v>
      </c>
    </row>
    <row r="1196" s="135">
      <c r="A1196" t="inlineStr">
        <is>
          <t>2018-07</t>
        </is>
      </c>
      <c r="B1196" s="2" t="n">
        <v>43282</v>
      </c>
      <c r="C1196" s="96" t="n">
        <v>1196</v>
      </c>
      <c r="E1196" s="2">
        <f>B1196</f>
        <v/>
      </c>
      <c r="F1196" s="3">
        <f>B1196</f>
        <v/>
      </c>
      <c r="G1196" s="96" t="n">
        <v>1194</v>
      </c>
      <c r="H1196" s="97" t="n"/>
      <c r="I1196" s="97" t="n"/>
      <c r="J1196" s="97" t="n">
        <v>109.6909</v>
      </c>
      <c r="K1196" s="97" t="n">
        <v>111.1659</v>
      </c>
      <c r="L1196" s="97" t="n"/>
      <c r="M1196" s="97" t="n">
        <v>115.3808</v>
      </c>
      <c r="N1196" s="97" t="n">
        <v>105.4912</v>
      </c>
      <c r="O1196" s="97" t="n">
        <v>108.4</v>
      </c>
      <c r="P1196" s="97" t="n">
        <v>105.5911</v>
      </c>
      <c r="Q1196" s="97" t="n"/>
      <c r="R1196" s="97" t="n">
        <v>109.7</v>
      </c>
      <c r="S1196" s="97" t="n">
        <v>103.4309</v>
      </c>
      <c r="T1196" s="97" t="n">
        <v>104.4471</v>
      </c>
      <c r="U1196" s="97" t="n">
        <v>109.2725</v>
      </c>
      <c r="V1196" s="97" t="n">
        <v>106.9089</v>
      </c>
      <c r="W1196" s="97" t="n">
        <v>91.80765</v>
      </c>
      <c r="X1196" s="97" t="n"/>
      <c r="Y1196" s="97" t="n">
        <v>105.2927</v>
      </c>
      <c r="Z1196" s="97" t="n">
        <v>105.9912</v>
      </c>
      <c r="AA1196" s="97" t="n">
        <v>103.7914</v>
      </c>
      <c r="AB1196" s="97" t="n">
        <v>107.791</v>
      </c>
      <c r="AC1196" s="97" t="n">
        <v>101.7915</v>
      </c>
      <c r="AD1196" s="97" t="n">
        <v>117.5</v>
      </c>
      <c r="AE1196" s="97" t="n"/>
      <c r="AF1196" s="97" t="n">
        <v>101.7915</v>
      </c>
      <c r="AG1196" s="97" t="n">
        <v>101.5904</v>
      </c>
      <c r="AH1196" s="97" t="n">
        <v>105.821</v>
      </c>
      <c r="AI1196" s="97" t="n">
        <v>117</v>
      </c>
      <c r="AJ1196" s="97" t="n">
        <v>107.7991</v>
      </c>
      <c r="AK1196" s="97" t="n">
        <v>112.1187</v>
      </c>
      <c r="AL1196" s="97" t="n">
        <v>120.41</v>
      </c>
      <c r="AM1196" s="97" t="n">
        <v>106.3</v>
      </c>
      <c r="AN1196" s="97" t="n"/>
      <c r="AO1196" s="97" t="n">
        <v>104.3613</v>
      </c>
      <c r="AP1196" s="97" t="n">
        <v>105.0825</v>
      </c>
      <c r="AQ1196" s="97" t="n"/>
      <c r="AR1196" s="97" t="n"/>
      <c r="AS1196" s="97" t="n"/>
      <c r="AT1196" s="97" t="n">
        <v>113.0191</v>
      </c>
      <c r="AU1196" s="97" t="n"/>
      <c r="AV1196" s="97" t="n">
        <v>109.4</v>
      </c>
      <c r="AW1196" s="97" t="n"/>
      <c r="AX1196" s="97" t="n">
        <v>115.5904</v>
      </c>
      <c r="AY1196" s="97" t="n">
        <v>98.65125</v>
      </c>
    </row>
    <row r="1197" s="135">
      <c r="A1197" t="inlineStr">
        <is>
          <t>2018-08</t>
        </is>
      </c>
      <c r="B1197" s="2" t="n">
        <v>43313</v>
      </c>
      <c r="C1197" s="96" t="n">
        <v>1197</v>
      </c>
      <c r="E1197" s="2">
        <f>B1197</f>
        <v/>
      </c>
      <c r="F1197" s="3">
        <f>B1197</f>
        <v/>
      </c>
      <c r="G1197" s="96" t="n">
        <v>1195</v>
      </c>
      <c r="H1197" s="97" t="n"/>
      <c r="I1197" s="97" t="n"/>
      <c r="J1197" s="97" t="n">
        <v>111.7907</v>
      </c>
      <c r="K1197" s="97" t="n">
        <v>111.0956</v>
      </c>
      <c r="L1197" s="97" t="n"/>
      <c r="M1197" s="97" t="n">
        <v>113.2811</v>
      </c>
      <c r="N1197" s="97" t="n">
        <v>105.5912</v>
      </c>
      <c r="O1197" s="97" t="n">
        <v>105.9</v>
      </c>
      <c r="P1197" s="97" t="n">
        <v>105.8121</v>
      </c>
      <c r="Q1197" s="97" t="n"/>
      <c r="R1197" s="97" t="n">
        <v>110.1</v>
      </c>
      <c r="S1197" s="97" t="n">
        <v>104.1509</v>
      </c>
      <c r="T1197" s="97" t="n">
        <v>104.0318</v>
      </c>
      <c r="U1197" s="97" t="n">
        <v>109.0727</v>
      </c>
      <c r="V1197" s="97" t="n">
        <v>111.4093</v>
      </c>
      <c r="W1197" s="97" t="n">
        <v>100.4084</v>
      </c>
      <c r="X1197" s="97" t="n"/>
      <c r="Y1197" s="97" t="n">
        <v>106.8852</v>
      </c>
      <c r="Z1197" s="97" t="n">
        <v>106.7911</v>
      </c>
      <c r="AA1197" s="97" t="n">
        <v>103.5914</v>
      </c>
      <c r="AB1197" s="97" t="n">
        <v>109.0909</v>
      </c>
      <c r="AC1197" s="97" t="n">
        <v>102.0915</v>
      </c>
      <c r="AD1197" s="97" t="n">
        <v>118.4</v>
      </c>
      <c r="AE1197" s="97" t="n"/>
      <c r="AF1197" s="97" t="n">
        <v>102.6914</v>
      </c>
      <c r="AG1197" s="97" t="n">
        <v>103.8014</v>
      </c>
      <c r="AH1197" s="97" t="n">
        <v>106.4259</v>
      </c>
      <c r="AI1197" s="97" t="n">
        <v>118.1</v>
      </c>
      <c r="AJ1197" s="97" t="n">
        <v>109.3391</v>
      </c>
      <c r="AK1197" s="97" t="n">
        <v>116.2194</v>
      </c>
      <c r="AL1197" s="97" t="n">
        <v>122.4102</v>
      </c>
      <c r="AM1197" s="97" t="n">
        <v>107.2</v>
      </c>
      <c r="AN1197" s="97" t="n"/>
      <c r="AO1197" s="97" t="n">
        <v>105.1994</v>
      </c>
      <c r="AP1197" s="97" t="n">
        <v>106.0823</v>
      </c>
      <c r="AQ1197" s="97" t="n"/>
      <c r="AR1197" s="97" t="n"/>
      <c r="AS1197" s="97" t="n"/>
      <c r="AT1197" s="97" t="n">
        <v>115.1072</v>
      </c>
      <c r="AU1197" s="97" t="n"/>
      <c r="AV1197" s="97" t="n">
        <v>109.2</v>
      </c>
      <c r="AW1197" s="97" t="n"/>
      <c r="AX1197" s="97" t="n">
        <v>116.0903</v>
      </c>
      <c r="AY1197" s="97" t="n">
        <v>97.77043999999999</v>
      </c>
    </row>
    <row r="1198" s="135">
      <c r="A1198" t="inlineStr">
        <is>
          <t>2018-09</t>
        </is>
      </c>
      <c r="B1198" s="2" t="n">
        <v>43344</v>
      </c>
      <c r="C1198" s="96" t="n">
        <v>1198</v>
      </c>
      <c r="E1198" s="2">
        <f>B1198</f>
        <v/>
      </c>
      <c r="F1198" s="3">
        <f>B1198</f>
        <v/>
      </c>
      <c r="G1198" s="96" t="n">
        <v>1196</v>
      </c>
      <c r="H1198" s="97" t="n"/>
      <c r="I1198" s="97" t="n"/>
      <c r="J1198" s="97" t="n">
        <v>106.8911</v>
      </c>
      <c r="K1198" s="97" t="n">
        <v>110.7847</v>
      </c>
      <c r="L1198" s="97" t="n"/>
      <c r="M1198" s="97" t="n">
        <v>114.181</v>
      </c>
      <c r="N1198" s="97" t="n">
        <v>105.6912</v>
      </c>
      <c r="O1198" s="97" t="n">
        <v>107.3</v>
      </c>
      <c r="P1198" s="97" t="n">
        <v>105.2251</v>
      </c>
      <c r="Q1198" s="97" t="n"/>
      <c r="R1198" s="97" t="n">
        <v>113.1</v>
      </c>
      <c r="S1198" s="97" t="n">
        <v>102.8909</v>
      </c>
      <c r="T1198" s="97" t="n">
        <v>104.2395</v>
      </c>
      <c r="U1198" s="97" t="n">
        <v>107.8741</v>
      </c>
      <c r="V1198" s="97" t="n">
        <v>108.7091</v>
      </c>
      <c r="W1198" s="97" t="n">
        <v>99.50829</v>
      </c>
      <c r="X1198" s="97" t="n"/>
      <c r="Y1198" s="97" t="n">
        <v>102.7635</v>
      </c>
      <c r="Z1198" s="97" t="n">
        <v>106.7911</v>
      </c>
      <c r="AA1198" s="97" t="n">
        <v>103.2914</v>
      </c>
      <c r="AB1198" s="97" t="n">
        <v>106.4911</v>
      </c>
      <c r="AC1198" s="97" t="n">
        <v>100.9916</v>
      </c>
      <c r="AD1198" s="97" t="n">
        <v>113.7</v>
      </c>
      <c r="AE1198" s="97" t="n"/>
      <c r="AF1198" s="97" t="n">
        <v>102.7914</v>
      </c>
      <c r="AG1198" s="97" t="n">
        <v>102.8704</v>
      </c>
      <c r="AH1198" s="97" t="n">
        <v>105.9278</v>
      </c>
      <c r="AI1198" s="97" t="n">
        <v>117</v>
      </c>
      <c r="AJ1198" s="97" t="n">
        <v>106.6691</v>
      </c>
      <c r="AK1198" s="97" t="n">
        <v>114.5191</v>
      </c>
      <c r="AL1198" s="97" t="n">
        <v>121.8102</v>
      </c>
      <c r="AM1198" s="97" t="n">
        <v>109</v>
      </c>
      <c r="AN1198" s="97" t="n"/>
      <c r="AO1198" s="97" t="n">
        <v>105.3438</v>
      </c>
      <c r="AP1198" s="97" t="n">
        <v>105.4824</v>
      </c>
      <c r="AQ1198" s="97" t="n"/>
      <c r="AR1198" s="97" t="n"/>
      <c r="AS1198" s="97" t="n"/>
      <c r="AT1198" s="97" t="n">
        <v>115.8144</v>
      </c>
      <c r="AU1198" s="97" t="n"/>
      <c r="AV1198" s="97" t="n">
        <v>109.5</v>
      </c>
      <c r="AW1198" s="97" t="n"/>
      <c r="AX1198" s="97" t="n">
        <v>111.8907</v>
      </c>
      <c r="AY1198" s="97" t="n">
        <v>95.2381</v>
      </c>
    </row>
    <row r="1199" s="135">
      <c r="A1199" t="inlineStr">
        <is>
          <t>2018-10</t>
        </is>
      </c>
      <c r="B1199" s="2" t="n">
        <v>43374</v>
      </c>
      <c r="C1199" s="96" t="n">
        <v>1199</v>
      </c>
      <c r="E1199" s="2">
        <f>B1199</f>
        <v/>
      </c>
      <c r="F1199" s="3">
        <f>B1199</f>
        <v/>
      </c>
      <c r="G1199" s="96" t="n">
        <v>1197</v>
      </c>
      <c r="H1199" s="97" t="n"/>
      <c r="I1199" s="97" t="n"/>
      <c r="J1199" s="97" t="n">
        <v>106.7911</v>
      </c>
      <c r="K1199" s="97" t="n">
        <v>111.0137</v>
      </c>
      <c r="L1199" s="97" t="n"/>
      <c r="M1199" s="97" t="n">
        <v>113.3811</v>
      </c>
      <c r="N1199" s="97" t="n">
        <v>105.4912</v>
      </c>
      <c r="O1199" s="97" t="n">
        <v>109.7</v>
      </c>
      <c r="P1199" s="97" t="n">
        <v>106.4591</v>
      </c>
      <c r="Q1199" s="97" t="n"/>
      <c r="R1199" s="97" t="n">
        <v>111</v>
      </c>
      <c r="S1199" s="97" t="n">
        <v>103.6509</v>
      </c>
      <c r="T1199" s="97" t="n">
        <v>103.3051</v>
      </c>
      <c r="U1199" s="97" t="n">
        <v>108.1738</v>
      </c>
      <c r="V1199" s="97" t="n">
        <v>110.6092</v>
      </c>
      <c r="W1199" s="97" t="n">
        <v>96.40804</v>
      </c>
      <c r="X1199" s="97" t="n"/>
      <c r="Y1199" s="97" t="n">
        <v>103.7002</v>
      </c>
      <c r="Z1199" s="97" t="n">
        <v>106.4911</v>
      </c>
      <c r="AA1199" s="97" t="n">
        <v>105.2912</v>
      </c>
      <c r="AB1199" s="97" t="n">
        <v>107.991</v>
      </c>
      <c r="AC1199" s="97" t="n">
        <v>104.6913</v>
      </c>
      <c r="AD1199" s="97" t="n">
        <v>114.4</v>
      </c>
      <c r="AE1199" s="97" t="n"/>
      <c r="AF1199" s="97" t="n">
        <v>103.1914</v>
      </c>
      <c r="AG1199" s="97" t="n">
        <v>103.3359</v>
      </c>
      <c r="AH1199" s="97" t="n">
        <v>106.4288</v>
      </c>
      <c r="AI1199" s="97" t="n">
        <v>117.9</v>
      </c>
      <c r="AJ1199" s="97" t="n">
        <v>106.4691</v>
      </c>
      <c r="AK1199" s="97" t="n">
        <v>117.1195</v>
      </c>
      <c r="AL1199" s="97" t="n">
        <v>122.7102</v>
      </c>
      <c r="AM1199" s="97" t="n">
        <v>111.2</v>
      </c>
      <c r="AN1199" s="97" t="n"/>
      <c r="AO1199" s="97" t="n">
        <v>105.5758</v>
      </c>
      <c r="AP1199" s="97" t="n">
        <v>105.3824</v>
      </c>
      <c r="AQ1199" s="97" t="n"/>
      <c r="AR1199" s="97" t="n"/>
      <c r="AS1199" s="97" t="n"/>
      <c r="AT1199" s="97" t="n">
        <v>119.2405</v>
      </c>
      <c r="AU1199" s="97" t="n"/>
      <c r="AV1199" s="97" t="n">
        <v>110.4</v>
      </c>
      <c r="AW1199" s="97" t="n"/>
      <c r="AX1199" s="97" t="n">
        <v>110.0908</v>
      </c>
      <c r="AY1199" s="97" t="n">
        <v>96.22901</v>
      </c>
    </row>
    <row r="1200" s="135">
      <c r="A1200" t="inlineStr">
        <is>
          <t>2018-11</t>
        </is>
      </c>
      <c r="B1200" s="2" t="n">
        <v>43405</v>
      </c>
      <c r="C1200" s="96" t="n">
        <v>1200</v>
      </c>
      <c r="E1200" s="2">
        <f>B1200</f>
        <v/>
      </c>
      <c r="F1200" s="3">
        <f>B1200</f>
        <v/>
      </c>
      <c r="G1200" s="96" t="n">
        <v>1198</v>
      </c>
      <c r="H1200" s="97" t="n"/>
      <c r="I1200" s="97" t="n"/>
      <c r="J1200" s="97" t="n">
        <v>111.5907</v>
      </c>
      <c r="K1200" s="97" t="n">
        <v>110.0361</v>
      </c>
      <c r="L1200" s="97" t="n"/>
      <c r="M1200" s="97" t="n">
        <v>115.3808</v>
      </c>
      <c r="N1200" s="97" t="n">
        <v>103.7914</v>
      </c>
      <c r="O1200" s="97" t="n">
        <v>109.9</v>
      </c>
      <c r="P1200" s="97" t="n">
        <v>104.1551</v>
      </c>
      <c r="Q1200" s="97" t="n"/>
      <c r="R1200" s="97" t="n">
        <v>111.2</v>
      </c>
      <c r="S1200" s="97" t="n">
        <v>102.7909</v>
      </c>
      <c r="T1200" s="97" t="n">
        <v>102.6821</v>
      </c>
      <c r="U1200" s="97" t="n">
        <v>112.9682</v>
      </c>
      <c r="V1200" s="97" t="n">
        <v>110.3092</v>
      </c>
      <c r="W1200" s="97" t="n">
        <v>93.50779</v>
      </c>
      <c r="X1200" s="97" t="n"/>
      <c r="Y1200" s="97" t="n">
        <v>100.1405</v>
      </c>
      <c r="Z1200" s="97" t="n">
        <v>104.5913</v>
      </c>
      <c r="AA1200" s="97" t="n">
        <v>104.0913</v>
      </c>
      <c r="AB1200" s="97" t="n">
        <v>105.8912</v>
      </c>
      <c r="AC1200" s="97" t="n">
        <v>103.1914</v>
      </c>
      <c r="AD1200" s="97" t="n">
        <v>115.8</v>
      </c>
      <c r="AE1200" s="97" t="n"/>
      <c r="AF1200" s="97" t="n">
        <v>103.4914</v>
      </c>
      <c r="AG1200" s="97" t="n">
        <v>100.7758</v>
      </c>
      <c r="AH1200" s="97" t="n">
        <v>105.8924</v>
      </c>
      <c r="AI1200" s="97" t="n">
        <v>117.6</v>
      </c>
      <c r="AJ1200" s="97" t="n">
        <v>103.1291</v>
      </c>
      <c r="AK1200" s="97" t="n">
        <v>114.4191</v>
      </c>
      <c r="AL1200" s="97" t="n">
        <v>122.8102</v>
      </c>
      <c r="AM1200" s="97" t="n">
        <v>110</v>
      </c>
      <c r="AN1200" s="97" t="n"/>
      <c r="AO1200" s="97" t="n">
        <v>106.1427</v>
      </c>
      <c r="AP1200" s="97" t="n">
        <v>104.2826</v>
      </c>
      <c r="AQ1200" s="97" t="n"/>
      <c r="AR1200" s="97" t="n"/>
      <c r="AS1200" s="97" t="n"/>
      <c r="AT1200" s="97" t="n">
        <v>115.1575</v>
      </c>
      <c r="AU1200" s="97" t="n"/>
      <c r="AV1200" s="97" t="n">
        <v>110.8</v>
      </c>
      <c r="AW1200" s="97" t="n"/>
      <c r="AX1200" s="97" t="n">
        <v>110.0908</v>
      </c>
      <c r="AY1200" s="97" t="n">
        <v>96.44922</v>
      </c>
    </row>
    <row r="1201" s="135">
      <c r="A1201" t="inlineStr">
        <is>
          <t>2018-12</t>
        </is>
      </c>
      <c r="B1201" s="2" t="n">
        <v>43435</v>
      </c>
      <c r="C1201" s="96" t="n">
        <v>1201</v>
      </c>
      <c r="E1201" s="2">
        <f>B1201</f>
        <v/>
      </c>
      <c r="F1201" s="3">
        <f>B1201</f>
        <v/>
      </c>
      <c r="G1201" s="96" t="n">
        <v>1199</v>
      </c>
      <c r="H1201" s="97" t="n"/>
      <c r="I1201" s="97" t="n"/>
      <c r="J1201" s="97" t="n">
        <v>106.2911</v>
      </c>
      <c r="K1201" s="97" t="n">
        <v>109.2772</v>
      </c>
      <c r="L1201" s="97" t="n"/>
      <c r="M1201" s="97" t="n">
        <v>114.181</v>
      </c>
      <c r="N1201" s="97" t="n">
        <v>104.8913</v>
      </c>
      <c r="O1201" s="97" t="n">
        <v>119.3</v>
      </c>
      <c r="P1201" s="97" t="n">
        <v>103.5211</v>
      </c>
      <c r="Q1201" s="97" t="n"/>
      <c r="R1201" s="97" t="n">
        <v>113</v>
      </c>
      <c r="S1201" s="97" t="n">
        <v>103.7009</v>
      </c>
      <c r="T1201" s="97" t="n">
        <v>102.6821</v>
      </c>
      <c r="U1201" s="97" t="n">
        <v>110.6709</v>
      </c>
      <c r="V1201" s="97" t="n">
        <v>115.6096</v>
      </c>
      <c r="W1201" s="97" t="n">
        <v>84.70706</v>
      </c>
      <c r="X1201" s="97" t="n"/>
      <c r="Y1201" s="97" t="n">
        <v>104.8244</v>
      </c>
      <c r="Z1201" s="97" t="n">
        <v>104.9912</v>
      </c>
      <c r="AA1201" s="97" t="n">
        <v>104.3913</v>
      </c>
      <c r="AB1201" s="97" t="n">
        <v>104.4913</v>
      </c>
      <c r="AC1201" s="97" t="n">
        <v>103.9913</v>
      </c>
      <c r="AD1201" s="97" t="n">
        <v>119.3</v>
      </c>
      <c r="AE1201" s="97" t="n"/>
      <c r="AF1201" s="97" t="n">
        <v>100.7916</v>
      </c>
      <c r="AG1201" s="97" t="n">
        <v>100.5431</v>
      </c>
      <c r="AH1201" s="97" t="n">
        <v>105.7883</v>
      </c>
      <c r="AI1201" s="97" t="n">
        <v>118.6</v>
      </c>
      <c r="AJ1201" s="97" t="n">
        <v>103.0691</v>
      </c>
      <c r="AK1201" s="97" t="n">
        <v>117.1195</v>
      </c>
      <c r="AL1201" s="97" t="n">
        <v>121.4101</v>
      </c>
      <c r="AM1201" s="97" t="n">
        <v>111.8</v>
      </c>
      <c r="AN1201" s="97" t="n"/>
      <c r="AO1201" s="97" t="n">
        <v>106.1859</v>
      </c>
      <c r="AP1201" s="97" t="n">
        <v>104.0826</v>
      </c>
      <c r="AQ1201" s="97" t="n"/>
      <c r="AR1201" s="97" t="n"/>
      <c r="AS1201" s="97" t="n"/>
      <c r="AT1201" s="97" t="n">
        <v>116.0369</v>
      </c>
      <c r="AU1201" s="97" t="n"/>
      <c r="AV1201" s="97" t="n">
        <v>112.1</v>
      </c>
      <c r="AW1201" s="97" t="n"/>
      <c r="AX1201" s="97" t="n">
        <v>108.491</v>
      </c>
      <c r="AY1201" s="97" t="n">
        <v>97.21992</v>
      </c>
    </row>
    <row r="1202" s="135">
      <c r="A1202" t="inlineStr">
        <is>
          <t>2019-01</t>
        </is>
      </c>
      <c r="B1202" s="2" t="n">
        <v>43466</v>
      </c>
      <c r="C1202" s="96" t="n">
        <v>1202</v>
      </c>
      <c r="E1202" s="2">
        <f>B1202</f>
        <v/>
      </c>
      <c r="F1202" s="3">
        <f>B1202</f>
        <v/>
      </c>
      <c r="G1202" s="96" t="n">
        <v>1200</v>
      </c>
      <c r="H1202" s="97" t="n"/>
      <c r="I1202" s="97" t="n"/>
      <c r="J1202" s="97" t="n">
        <v>112.1907</v>
      </c>
      <c r="K1202" s="97" t="n">
        <v>108.4952</v>
      </c>
      <c r="L1202" s="97" t="n"/>
      <c r="M1202" s="97" t="n">
        <v>113.4811</v>
      </c>
      <c r="N1202" s="97" t="n">
        <v>103.7914</v>
      </c>
      <c r="O1202" s="97" t="n">
        <v>110.9</v>
      </c>
      <c r="P1202" s="97" t="n">
        <v>107.1521</v>
      </c>
      <c r="Q1202" s="97" t="n"/>
      <c r="R1202" s="97" t="n">
        <v>113.7</v>
      </c>
      <c r="S1202" s="97" t="n">
        <v>104.7709</v>
      </c>
      <c r="T1202" s="97" t="n">
        <v>103.2012</v>
      </c>
      <c r="U1202" s="97" t="n">
        <v>110.9705</v>
      </c>
      <c r="V1202" s="97" t="n">
        <v>114.2095</v>
      </c>
      <c r="W1202" s="97" t="n">
        <v>93.90783</v>
      </c>
      <c r="X1202" s="97" t="n"/>
      <c r="Y1202" s="97" t="n">
        <v>104.7307</v>
      </c>
      <c r="Z1202" s="97" t="n">
        <v>105.6912</v>
      </c>
      <c r="AA1202" s="97" t="n">
        <v>102.3915</v>
      </c>
      <c r="AB1202" s="97" t="n">
        <v>104.9912</v>
      </c>
      <c r="AC1202" s="97" t="n">
        <v>102.1915</v>
      </c>
      <c r="AD1202" s="97" t="n">
        <v>116.8</v>
      </c>
      <c r="AE1202" s="97" t="n"/>
      <c r="AF1202" s="97" t="n">
        <v>103.9913</v>
      </c>
      <c r="AG1202" s="97" t="n">
        <v>98.44841</v>
      </c>
      <c r="AH1202" s="97" t="n">
        <v>105.73</v>
      </c>
      <c r="AI1202" s="97" t="n">
        <v>119.6</v>
      </c>
      <c r="AJ1202" s="97" t="n">
        <v>104.6491</v>
      </c>
      <c r="AK1202" s="97" t="n">
        <v>114.4191</v>
      </c>
      <c r="AL1202" s="97" t="n">
        <v>126.9106</v>
      </c>
      <c r="AM1202" s="97" t="n">
        <v>112.4</v>
      </c>
      <c r="AN1202" s="97" t="n"/>
      <c r="AO1202" s="97" t="n">
        <v>105.7699</v>
      </c>
      <c r="AP1202" s="97" t="n">
        <v>105.2825</v>
      </c>
      <c r="AQ1202" s="97" t="n"/>
      <c r="AR1202" s="97" t="n"/>
      <c r="AS1202" s="97" t="n"/>
      <c r="AT1202" s="97" t="n"/>
      <c r="AU1202" s="97" t="n"/>
      <c r="AV1202" s="97" t="n">
        <v>111.3</v>
      </c>
      <c r="AW1202" s="97" t="n"/>
      <c r="AX1202" s="97" t="n">
        <v>109.9908</v>
      </c>
      <c r="AY1202" s="97" t="n">
        <v>96.22901</v>
      </c>
    </row>
    <row r="1203" s="135">
      <c r="A1203" t="inlineStr">
        <is>
          <t>2019-02</t>
        </is>
      </c>
      <c r="B1203" s="2" t="n">
        <v>43497</v>
      </c>
      <c r="C1203" s="96" t="n">
        <v>1203</v>
      </c>
      <c r="E1203" s="2">
        <f>B1203</f>
        <v/>
      </c>
      <c r="F1203" s="3">
        <f>B1203</f>
        <v/>
      </c>
      <c r="G1203" s="96" t="n">
        <v>1201</v>
      </c>
      <c r="H1203" s="97" t="n"/>
      <c r="I1203" s="97" t="n"/>
      <c r="J1203" s="97" t="n">
        <v>111.2907</v>
      </c>
      <c r="K1203" s="97" t="n">
        <v>107.8469</v>
      </c>
      <c r="L1203" s="97" t="n"/>
      <c r="M1203" s="97" t="n">
        <v>112.9812</v>
      </c>
      <c r="N1203" s="97" t="n">
        <v>103.6914</v>
      </c>
      <c r="O1203" s="97" t="n">
        <v>109.5</v>
      </c>
      <c r="P1203" s="97" t="n">
        <v>106.0741</v>
      </c>
      <c r="Q1203" s="97" t="n"/>
      <c r="R1203" s="97" t="n">
        <v>112.3</v>
      </c>
      <c r="S1203" s="97" t="n">
        <v>104.2809</v>
      </c>
      <c r="T1203" s="97" t="n">
        <v>103.6165</v>
      </c>
      <c r="U1203" s="97" t="n">
        <v>109.8718</v>
      </c>
      <c r="V1203" s="97" t="n">
        <v>115.6096</v>
      </c>
      <c r="W1203" s="97" t="n">
        <v>97.90816</v>
      </c>
      <c r="X1203" s="97" t="n"/>
      <c r="Y1203" s="97" t="n">
        <v>104.918</v>
      </c>
      <c r="Z1203" s="97" t="n">
        <v>106.4911</v>
      </c>
      <c r="AA1203" s="97" t="n">
        <v>102.8914</v>
      </c>
      <c r="AB1203" s="97" t="n">
        <v>102.3915</v>
      </c>
      <c r="AC1203" s="97" t="n">
        <v>101.1916</v>
      </c>
      <c r="AD1203" s="97" t="n">
        <v>115.8</v>
      </c>
      <c r="AE1203" s="97" t="n"/>
      <c r="AF1203" s="97" t="n">
        <v>102.8914</v>
      </c>
      <c r="AG1203" s="97" t="n">
        <v>96.47013</v>
      </c>
      <c r="AH1203" s="97" t="n">
        <v>105.5566</v>
      </c>
      <c r="AI1203" s="97" t="n">
        <v>121.7</v>
      </c>
      <c r="AJ1203" s="97" t="n">
        <v>103.1091</v>
      </c>
      <c r="AK1203" s="97" t="n">
        <v>115.3192</v>
      </c>
      <c r="AL1203" s="97" t="n">
        <v>124.0103</v>
      </c>
      <c r="AM1203" s="97" t="n">
        <v>111.7</v>
      </c>
      <c r="AN1203" s="97" t="n"/>
      <c r="AO1203" s="97" t="n">
        <v>105.2364</v>
      </c>
      <c r="AP1203" s="97" t="n">
        <v>105.1825</v>
      </c>
      <c r="AQ1203" s="97" t="n"/>
      <c r="AR1203" s="97" t="n"/>
      <c r="AS1203" s="97" t="n"/>
      <c r="AT1203" s="97" t="n"/>
      <c r="AU1203" s="97" t="n"/>
      <c r="AV1203" s="97" t="n">
        <v>111.5</v>
      </c>
      <c r="AW1203" s="97" t="n"/>
      <c r="AX1203" s="97" t="n">
        <v>111.4907</v>
      </c>
      <c r="AY1203" s="97" t="n">
        <v>96.77952000000001</v>
      </c>
    </row>
    <row r="1204" s="135">
      <c r="A1204" t="inlineStr">
        <is>
          <t>2019-03</t>
        </is>
      </c>
      <c r="B1204" s="2" t="n">
        <v>43525</v>
      </c>
      <c r="C1204" s="96" t="n">
        <v>1204</v>
      </c>
      <c r="E1204" s="2">
        <f>B1204</f>
        <v/>
      </c>
      <c r="F1204" s="3">
        <f>B1204</f>
        <v/>
      </c>
      <c r="G1204" s="96" t="n">
        <v>1202</v>
      </c>
      <c r="H1204" s="97" t="n"/>
      <c r="I1204" s="97" t="n"/>
      <c r="J1204" s="97" t="n">
        <v>110.6908</v>
      </c>
      <c r="K1204" s="97" t="n">
        <v>109.8168</v>
      </c>
      <c r="L1204" s="97" t="n"/>
      <c r="M1204" s="97" t="n">
        <v>113.3811</v>
      </c>
      <c r="N1204" s="97" t="n">
        <v>104.4913</v>
      </c>
      <c r="O1204" s="97" t="n">
        <v>112.5</v>
      </c>
      <c r="P1204" s="97" t="n">
        <v>105.0781</v>
      </c>
      <c r="Q1204" s="97" t="n"/>
      <c r="R1204" s="97" t="n">
        <v>111</v>
      </c>
      <c r="S1204" s="97" t="n">
        <v>103.6309</v>
      </c>
      <c r="T1204" s="97" t="n">
        <v>105.1739</v>
      </c>
      <c r="U1204" s="97" t="n">
        <v>107.8741</v>
      </c>
      <c r="V1204" s="97" t="n">
        <v>116.9097</v>
      </c>
      <c r="W1204" s="97" t="n">
        <v>93.10776</v>
      </c>
      <c r="X1204" s="97" t="n"/>
      <c r="Y1204" s="97" t="n">
        <v>106.8852</v>
      </c>
      <c r="Z1204" s="97" t="n">
        <v>105.6912</v>
      </c>
      <c r="AA1204" s="97" t="n">
        <v>102.4915</v>
      </c>
      <c r="AB1204" s="97" t="n">
        <v>103.8913</v>
      </c>
      <c r="AC1204" s="97" t="n">
        <v>100.8916</v>
      </c>
      <c r="AD1204" s="97" t="n">
        <v>116.5</v>
      </c>
      <c r="AE1204" s="97" t="n"/>
      <c r="AF1204" s="97" t="n">
        <v>103.3914</v>
      </c>
      <c r="AG1204" s="97" t="n">
        <v>95.65555000000001</v>
      </c>
      <c r="AH1204" s="97" t="n">
        <v>105.8602</v>
      </c>
      <c r="AI1204" s="97" t="n">
        <v>122.2</v>
      </c>
      <c r="AJ1204" s="97" t="n">
        <v>102.8091</v>
      </c>
      <c r="AK1204" s="97" t="n">
        <v>117.6196</v>
      </c>
      <c r="AL1204" s="97" t="n">
        <v>125.2104</v>
      </c>
      <c r="AM1204" s="97" t="n">
        <v>110.8</v>
      </c>
      <c r="AN1204" s="97" t="n"/>
      <c r="AO1204" s="97" t="n">
        <v>105.3497</v>
      </c>
      <c r="AP1204" s="97" t="n">
        <v>104.8825</v>
      </c>
      <c r="AQ1204" s="97" t="n"/>
      <c r="AR1204" s="97" t="n"/>
      <c r="AS1204" s="97" t="n"/>
      <c r="AT1204" s="97" t="n"/>
      <c r="AU1204" s="97" t="n"/>
      <c r="AV1204" s="97" t="n">
        <v>111.8</v>
      </c>
      <c r="AW1204" s="97" t="n"/>
      <c r="AX1204" s="97" t="n">
        <v>114.2905</v>
      </c>
      <c r="AY1204" s="97" t="n">
        <v>95.5684</v>
      </c>
    </row>
    <row r="1205" s="135">
      <c r="A1205" t="inlineStr">
        <is>
          <t>2019-04</t>
        </is>
      </c>
      <c r="B1205" s="2" t="n">
        <v>43556</v>
      </c>
      <c r="C1205" s="96" t="n">
        <v>1205</v>
      </c>
      <c r="E1205" s="2">
        <f>B1205</f>
        <v/>
      </c>
      <c r="F1205" s="3">
        <f>B1205</f>
        <v/>
      </c>
      <c r="G1205" s="96" t="n">
        <v>1203</v>
      </c>
      <c r="H1205" s="97" t="n"/>
      <c r="I1205" s="97" t="n"/>
      <c r="J1205" s="97" t="n">
        <v>117.3902</v>
      </c>
      <c r="K1205" s="97" t="n">
        <v>111.953</v>
      </c>
      <c r="L1205" s="97" t="n"/>
      <c r="M1205" s="97" t="n">
        <v>114.281</v>
      </c>
      <c r="N1205" s="97" t="n">
        <v>101.7915</v>
      </c>
      <c r="O1205" s="97" t="n">
        <v>112.8</v>
      </c>
      <c r="P1205" s="97" t="n">
        <v>106.9421</v>
      </c>
      <c r="Q1205" s="97" t="n"/>
      <c r="R1205" s="97" t="n">
        <v>115.2</v>
      </c>
      <c r="S1205" s="97" t="n">
        <v>104.0809</v>
      </c>
      <c r="T1205" s="97" t="n">
        <v>101.8515</v>
      </c>
      <c r="U1205" s="97" t="n">
        <v>109.6721</v>
      </c>
      <c r="V1205" s="97" t="n">
        <v>115.1096</v>
      </c>
      <c r="W1205" s="97" t="n">
        <v>96.008</v>
      </c>
      <c r="X1205" s="97" t="n"/>
      <c r="Y1205" s="97" t="n">
        <v>107.6347</v>
      </c>
      <c r="Z1205" s="97" t="n">
        <v>105.1912</v>
      </c>
      <c r="AA1205" s="97" t="n">
        <v>102.6914</v>
      </c>
      <c r="AB1205" s="97" t="n">
        <v>105.6912</v>
      </c>
      <c r="AC1205" s="97" t="n">
        <v>102.1915</v>
      </c>
      <c r="AD1205" s="97" t="n">
        <v>114.3</v>
      </c>
      <c r="AE1205" s="97" t="n"/>
      <c r="AF1205" s="97" t="n">
        <v>102.2915</v>
      </c>
      <c r="AG1205" s="97" t="n">
        <v>96.47013</v>
      </c>
      <c r="AH1205" s="97" t="n">
        <v>105.6215</v>
      </c>
      <c r="AI1205" s="97" t="n">
        <v>122.1</v>
      </c>
      <c r="AJ1205" s="97" t="n">
        <v>105.8391</v>
      </c>
      <c r="AK1205" s="97" t="n">
        <v>116.2194</v>
      </c>
      <c r="AL1205" s="97" t="n">
        <v>126.5105</v>
      </c>
      <c r="AM1205" s="97" t="n">
        <v>110.9</v>
      </c>
      <c r="AN1205" s="97" t="n"/>
      <c r="AO1205" s="97" t="n">
        <v>104.6848</v>
      </c>
      <c r="AP1205" s="97" t="n">
        <v>104.2826</v>
      </c>
      <c r="AQ1205" s="97" t="n"/>
      <c r="AR1205" s="97" t="n"/>
      <c r="AS1205" s="97" t="n"/>
      <c r="AT1205" s="97" t="n"/>
      <c r="AU1205" s="97" t="n"/>
      <c r="AV1205" s="97" t="n">
        <v>112.5</v>
      </c>
      <c r="AW1205" s="97" t="n"/>
      <c r="AX1205" s="97" t="n">
        <v>113.6905</v>
      </c>
      <c r="AY1205" s="97" t="n">
        <v>95.7886</v>
      </c>
    </row>
    <row r="1206" s="135">
      <c r="A1206" t="inlineStr">
        <is>
          <t>2019-05</t>
        </is>
      </c>
      <c r="B1206" s="2" t="n">
        <v>43586</v>
      </c>
      <c r="C1206" s="96" t="n">
        <v>1206</v>
      </c>
      <c r="E1206" s="2">
        <f>B1206</f>
        <v/>
      </c>
      <c r="F1206" s="3">
        <f>B1206</f>
        <v/>
      </c>
      <c r="G1206" s="96" t="n">
        <v>1204</v>
      </c>
      <c r="H1206" s="97" t="n"/>
      <c r="I1206" s="97" t="n"/>
      <c r="J1206" s="97" t="n">
        <v>112.8906</v>
      </c>
      <c r="K1206" s="97" t="n">
        <v>112.0589</v>
      </c>
      <c r="L1206" s="97" t="n"/>
      <c r="M1206" s="97" t="n">
        <v>116.3806</v>
      </c>
      <c r="N1206" s="97" t="n">
        <v>102.6914</v>
      </c>
      <c r="O1206" s="97" t="n">
        <v>118.4</v>
      </c>
      <c r="P1206" s="97" t="n">
        <v>107.0511</v>
      </c>
      <c r="Q1206" s="97" t="n"/>
      <c r="R1206" s="97" t="n">
        <v>112.7</v>
      </c>
      <c r="S1206" s="97" t="n">
        <v>105.8109</v>
      </c>
      <c r="T1206" s="97" t="n">
        <v>103.0974</v>
      </c>
      <c r="U1206" s="97" t="n">
        <v>108.0739</v>
      </c>
      <c r="V1206" s="97" t="n">
        <v>118.2099</v>
      </c>
      <c r="W1206" s="97" t="n">
        <v>98.70823</v>
      </c>
      <c r="X1206" s="97" t="n"/>
      <c r="Y1206" s="97" t="n">
        <v>105.9485</v>
      </c>
      <c r="Z1206" s="97" t="n">
        <v>106.0912</v>
      </c>
      <c r="AA1206" s="97" t="n">
        <v>103.8913</v>
      </c>
      <c r="AB1206" s="97" t="n">
        <v>104.8913</v>
      </c>
      <c r="AC1206" s="97" t="n">
        <v>100.8916</v>
      </c>
      <c r="AD1206" s="97" t="n">
        <v>116.7</v>
      </c>
      <c r="AE1206" s="97" t="n"/>
      <c r="AF1206" s="97" t="n">
        <v>102.6914</v>
      </c>
      <c r="AG1206" s="97" t="n">
        <v>96.70287</v>
      </c>
      <c r="AH1206" s="97" t="n">
        <v>106.1921</v>
      </c>
      <c r="AI1206" s="97" t="n">
        <v>122.3</v>
      </c>
      <c r="AJ1206" s="97" t="n">
        <v>106.3691</v>
      </c>
      <c r="AK1206" s="97" t="n">
        <v>116.0193</v>
      </c>
      <c r="AL1206" s="97" t="n">
        <v>125.4105</v>
      </c>
      <c r="AM1206" s="97" t="n">
        <v>112.3</v>
      </c>
      <c r="AN1206" s="97" t="n"/>
      <c r="AO1206" s="97" t="n">
        <v>104.913</v>
      </c>
      <c r="AP1206" s="97" t="n">
        <v>105.0825</v>
      </c>
      <c r="AQ1206" s="97" t="n"/>
      <c r="AR1206" s="97" t="n"/>
      <c r="AS1206" s="97" t="n"/>
      <c r="AT1206" s="97" t="n"/>
      <c r="AU1206" s="97" t="n"/>
      <c r="AV1206" s="97" t="n">
        <v>112.4</v>
      </c>
      <c r="AW1206" s="97" t="n"/>
      <c r="AX1206" s="97" t="n">
        <v>115.0904</v>
      </c>
      <c r="AY1206" s="97" t="n">
        <v>96.22901</v>
      </c>
    </row>
    <row r="1207" s="135">
      <c r="A1207" t="inlineStr">
        <is>
          <t>2019-06</t>
        </is>
      </c>
      <c r="B1207" s="2" t="n">
        <v>43617</v>
      </c>
      <c r="C1207" s="96" t="n">
        <v>1207</v>
      </c>
      <c r="E1207" s="2">
        <f>B1207</f>
        <v/>
      </c>
      <c r="F1207" s="3">
        <f>B1207</f>
        <v/>
      </c>
      <c r="G1207" s="96" t="n">
        <v>1205</v>
      </c>
      <c r="H1207" s="97" t="n"/>
      <c r="I1207" s="97" t="n"/>
      <c r="J1207" s="97" t="n">
        <v>118.0902</v>
      </c>
      <c r="K1207" s="97" t="n">
        <v>111.3652</v>
      </c>
      <c r="L1207" s="97" t="n"/>
      <c r="M1207" s="97" t="n">
        <v>112.5812</v>
      </c>
      <c r="N1207" s="97" t="n">
        <v>101.4915</v>
      </c>
      <c r="O1207" s="97" t="n">
        <v>110.4</v>
      </c>
      <c r="P1207" s="97" t="n">
        <v>106.9241</v>
      </c>
      <c r="Q1207" s="97" t="n"/>
      <c r="R1207" s="97" t="n">
        <v>114.4</v>
      </c>
      <c r="S1207" s="97" t="n">
        <v>103.3509</v>
      </c>
      <c r="T1207" s="97" t="n">
        <v>102.6821</v>
      </c>
      <c r="U1207" s="97" t="n">
        <v>107.8741</v>
      </c>
      <c r="V1207" s="97" t="n">
        <v>114.5095</v>
      </c>
      <c r="W1207" s="97" t="n">
        <v>93.6078</v>
      </c>
      <c r="X1207" s="97" t="n"/>
      <c r="Y1207" s="97" t="n">
        <v>104.5433</v>
      </c>
      <c r="Z1207" s="97" t="n">
        <v>105.7912</v>
      </c>
      <c r="AA1207" s="97" t="n">
        <v>101.3915</v>
      </c>
      <c r="AB1207" s="97" t="n">
        <v>105.1912</v>
      </c>
      <c r="AC1207" s="97" t="n">
        <v>98.79177</v>
      </c>
      <c r="AD1207" s="97" t="n">
        <v>118.2</v>
      </c>
      <c r="AE1207" s="97" t="n"/>
      <c r="AF1207" s="97" t="n">
        <v>101.5915</v>
      </c>
      <c r="AG1207" s="97" t="n">
        <v>94.95733</v>
      </c>
      <c r="AH1207" s="97" t="n">
        <v>105.0481</v>
      </c>
      <c r="AI1207" s="97" t="n">
        <v>119.8</v>
      </c>
      <c r="AJ1207" s="97" t="n">
        <v>100.7292</v>
      </c>
      <c r="AK1207" s="97" t="n">
        <v>114.3191</v>
      </c>
      <c r="AL1207" s="97" t="n">
        <v>124.2104</v>
      </c>
      <c r="AM1207" s="97" t="n">
        <v>112.5</v>
      </c>
      <c r="AN1207" s="97" t="n"/>
      <c r="AO1207" s="97" t="n">
        <v>104.962</v>
      </c>
      <c r="AP1207" s="97" t="n">
        <v>103.8827</v>
      </c>
      <c r="AQ1207" s="97" t="n"/>
      <c r="AR1207" s="97" t="n"/>
      <c r="AS1207" s="97" t="n"/>
      <c r="AT1207" s="97" t="n"/>
      <c r="AU1207" s="97" t="n"/>
      <c r="AV1207" s="97" t="n">
        <v>113.9</v>
      </c>
      <c r="AW1207" s="97" t="n"/>
      <c r="AX1207" s="97" t="n">
        <v>109.2909</v>
      </c>
      <c r="AY1207" s="97" t="n">
        <v>95.34820000000001</v>
      </c>
    </row>
    <row r="1208" s="135">
      <c r="A1208" t="inlineStr">
        <is>
          <t>2019-07</t>
        </is>
      </c>
      <c r="B1208" s="2" t="n">
        <v>43647</v>
      </c>
      <c r="C1208" s="96" t="n">
        <v>1208</v>
      </c>
      <c r="E1208" s="2">
        <f>B1208</f>
        <v/>
      </c>
      <c r="F1208" s="3">
        <f>B1208</f>
        <v/>
      </c>
      <c r="G1208" s="96" t="n">
        <v>1206</v>
      </c>
      <c r="H1208" s="97" t="n"/>
      <c r="I1208" s="97" t="n"/>
      <c r="J1208" s="97" t="n">
        <v>109.6909</v>
      </c>
      <c r="K1208" s="97" t="n">
        <v>109.2202</v>
      </c>
      <c r="L1208" s="97" t="n"/>
      <c r="M1208" s="97" t="n">
        <v>112.4813</v>
      </c>
      <c r="N1208" s="97" t="n">
        <v>101.2916</v>
      </c>
      <c r="O1208" s="97" t="n">
        <v>114</v>
      </c>
      <c r="P1208" s="97" t="n">
        <v>107.1981</v>
      </c>
      <c r="Q1208" s="97" t="n"/>
      <c r="R1208" s="97" t="n">
        <v>115</v>
      </c>
      <c r="S1208" s="97" t="n">
        <v>103.6709</v>
      </c>
      <c r="T1208" s="97" t="n">
        <v>102.4745</v>
      </c>
      <c r="U1208" s="97" t="n">
        <v>106.4758</v>
      </c>
      <c r="V1208" s="97" t="n">
        <v>116.6097</v>
      </c>
      <c r="W1208" s="97" t="n">
        <v>96.90807</v>
      </c>
      <c r="X1208" s="97" t="n"/>
      <c r="Y1208" s="97" t="n">
        <v>109.7892</v>
      </c>
      <c r="Z1208" s="97" t="n">
        <v>106.1912</v>
      </c>
      <c r="AA1208" s="97" t="n">
        <v>101.7915</v>
      </c>
      <c r="AB1208" s="97" t="n">
        <v>107.591</v>
      </c>
      <c r="AC1208" s="97" t="n">
        <v>97.79185</v>
      </c>
      <c r="AD1208" s="97" t="n">
        <v>115.9</v>
      </c>
      <c r="AE1208" s="97" t="n"/>
      <c r="AF1208" s="97" t="n">
        <v>101.6915</v>
      </c>
      <c r="AG1208" s="97" t="n">
        <v>96.23739999999999</v>
      </c>
      <c r="AH1208" s="97" t="n">
        <v>105.5188</v>
      </c>
      <c r="AI1208" s="97" t="n">
        <v>120.8</v>
      </c>
      <c r="AJ1208" s="97" t="n">
        <v>106.4091</v>
      </c>
      <c r="AK1208" s="97" t="n">
        <v>113.1189</v>
      </c>
      <c r="AL1208" s="97" t="n">
        <v>125.3104</v>
      </c>
      <c r="AM1208" s="97" t="n">
        <v>112.8</v>
      </c>
      <c r="AN1208" s="97" t="n"/>
      <c r="AO1208" s="97" t="n">
        <v>104.7774</v>
      </c>
      <c r="AP1208" s="97" t="n">
        <v>103.7827</v>
      </c>
      <c r="AQ1208" s="97" t="n"/>
      <c r="AR1208" s="97" t="n"/>
      <c r="AS1208" s="97" t="n"/>
      <c r="AT1208" s="97" t="n"/>
      <c r="AU1208" s="97" t="n"/>
      <c r="AV1208" s="97" t="n">
        <v>113.6</v>
      </c>
      <c r="AW1208" s="97" t="n"/>
      <c r="AX1208" s="97" t="n">
        <v>113.9905</v>
      </c>
      <c r="AY1208" s="97" t="n">
        <v>94.02697999999999</v>
      </c>
    </row>
    <row r="1209" s="135">
      <c r="A1209" t="inlineStr">
        <is>
          <t>2019-08</t>
        </is>
      </c>
      <c r="B1209" s="2" t="n">
        <v>43678</v>
      </c>
      <c r="C1209" s="96" t="n">
        <v>1209</v>
      </c>
      <c r="E1209" s="2">
        <f>B1209</f>
        <v/>
      </c>
      <c r="F1209" s="3">
        <f>B1209</f>
        <v/>
      </c>
      <c r="G1209" s="96" t="n">
        <v>1207</v>
      </c>
      <c r="H1209" s="97" t="n"/>
      <c r="I1209" s="97" t="n"/>
      <c r="J1209" s="97" t="n">
        <v>116.7903</v>
      </c>
      <c r="K1209" s="97" t="n">
        <v>108.8654</v>
      </c>
      <c r="L1209" s="97" t="n"/>
      <c r="M1209" s="97" t="n">
        <v>112.3813</v>
      </c>
      <c r="N1209" s="97" t="n">
        <v>101.4915</v>
      </c>
      <c r="O1209" s="97" t="n">
        <v>109.9</v>
      </c>
      <c r="P1209" s="97" t="n">
        <v>107.2151</v>
      </c>
      <c r="Q1209" s="97" t="n"/>
      <c r="R1209" s="97" t="n">
        <v>114</v>
      </c>
      <c r="S1209" s="97" t="n">
        <v>102.6209</v>
      </c>
      <c r="T1209" s="97" t="n">
        <v>101.6439</v>
      </c>
      <c r="U1209" s="97" t="n">
        <v>108.7731</v>
      </c>
      <c r="V1209" s="97" t="n">
        <v>114.7096</v>
      </c>
      <c r="W1209" s="97" t="n">
        <v>99.80831999999999</v>
      </c>
      <c r="X1209" s="97" t="n"/>
      <c r="Y1209" s="97" t="n">
        <v>108.8525</v>
      </c>
      <c r="Z1209" s="97" t="n">
        <v>105.2912</v>
      </c>
      <c r="AA1209" s="97" t="n">
        <v>100.4916</v>
      </c>
      <c r="AB1209" s="97" t="n">
        <v>106.1912</v>
      </c>
      <c r="AC1209" s="97" t="n">
        <v>101.3915</v>
      </c>
      <c r="AD1209" s="97" t="n">
        <v>119.4</v>
      </c>
      <c r="AE1209" s="97" t="n"/>
      <c r="AF1209" s="97" t="n">
        <v>101.8915</v>
      </c>
      <c r="AG1209" s="97" t="n">
        <v>94.37549</v>
      </c>
      <c r="AH1209" s="97" t="n">
        <v>105.2276</v>
      </c>
      <c r="AI1209" s="97" t="n">
        <v>119.2</v>
      </c>
      <c r="AJ1209" s="97" t="n">
        <v>103.5291</v>
      </c>
      <c r="AK1209" s="97" t="n">
        <v>109.7183</v>
      </c>
      <c r="AL1209" s="97" t="n">
        <v>123.3103</v>
      </c>
      <c r="AM1209" s="97" t="n">
        <v>112.4</v>
      </c>
      <c r="AN1209" s="97" t="n"/>
      <c r="AO1209" s="97" t="n">
        <v>105.5161</v>
      </c>
      <c r="AP1209" s="97" t="n">
        <v>103.8827</v>
      </c>
      <c r="AQ1209" s="97" t="n"/>
      <c r="AR1209" s="97" t="n"/>
      <c r="AS1209" s="97" t="n"/>
      <c r="AT1209" s="97" t="n"/>
      <c r="AU1209" s="97" t="n"/>
      <c r="AV1209" s="97" t="n">
        <v>113.6</v>
      </c>
      <c r="AW1209" s="97" t="n"/>
      <c r="AX1209" s="97" t="n">
        <v>111.2907</v>
      </c>
      <c r="AY1209" s="97" t="n">
        <v>95.5684</v>
      </c>
    </row>
    <row r="1210" s="135">
      <c r="A1210" t="inlineStr">
        <is>
          <t>2019-09</t>
        </is>
      </c>
      <c r="B1210" s="2" t="n">
        <v>43709</v>
      </c>
      <c r="C1210" s="96" t="n">
        <v>1210</v>
      </c>
      <c r="E1210" s="2">
        <f>B1210</f>
        <v/>
      </c>
      <c r="F1210" s="3">
        <f>B1210</f>
        <v/>
      </c>
      <c r="G1210" s="96" t="n">
        <v>1208</v>
      </c>
      <c r="H1210" s="97" t="n"/>
      <c r="I1210" s="97" t="n"/>
      <c r="J1210" s="97" t="n">
        <v>115.4904</v>
      </c>
      <c r="K1210" s="97" t="n">
        <v>108.5508</v>
      </c>
      <c r="L1210" s="97" t="n"/>
      <c r="M1210" s="97" t="n">
        <v>113.0812</v>
      </c>
      <c r="N1210" s="97" t="n">
        <v>100.6916</v>
      </c>
      <c r="O1210" s="97" t="n">
        <v>112</v>
      </c>
      <c r="P1210" s="97" t="n">
        <v>105.5951</v>
      </c>
      <c r="Q1210" s="97" t="n"/>
      <c r="R1210" s="97" t="n">
        <v>114.4</v>
      </c>
      <c r="S1210" s="97" t="n">
        <v>103.6809</v>
      </c>
      <c r="T1210" s="97" t="n">
        <v>102.0592</v>
      </c>
      <c r="U1210" s="97" t="n">
        <v>109.3724</v>
      </c>
      <c r="V1210" s="97" t="n">
        <v>118.5099</v>
      </c>
      <c r="W1210" s="97" t="n">
        <v>104.0087</v>
      </c>
      <c r="X1210" s="97" t="n"/>
      <c r="Y1210" s="97" t="n">
        <v>108.4778</v>
      </c>
      <c r="Z1210" s="97" t="n">
        <v>104.7913</v>
      </c>
      <c r="AA1210" s="97" t="n">
        <v>102.4915</v>
      </c>
      <c r="AB1210" s="97" t="n">
        <v>107.991</v>
      </c>
      <c r="AC1210" s="97" t="n">
        <v>99.79169</v>
      </c>
      <c r="AD1210" s="97" t="n">
        <v>120.2</v>
      </c>
      <c r="AE1210" s="97" t="n"/>
      <c r="AF1210" s="97" t="n">
        <v>103.0914</v>
      </c>
      <c r="AG1210" s="97" t="n">
        <v>93.67726999999999</v>
      </c>
      <c r="AH1210" s="97" t="n">
        <v>105.7087</v>
      </c>
      <c r="AI1210" s="97" t="n">
        <v>120.7</v>
      </c>
      <c r="AJ1210" s="97" t="n">
        <v>100.8492</v>
      </c>
      <c r="AK1210" s="97" t="n">
        <v>111.0185</v>
      </c>
      <c r="AL1210" s="97" t="n">
        <v>124.7104</v>
      </c>
      <c r="AM1210" s="97" t="n">
        <v>111.8</v>
      </c>
      <c r="AN1210" s="97" t="n"/>
      <c r="AO1210" s="97" t="n">
        <v>105.1494</v>
      </c>
      <c r="AP1210" s="97" t="n">
        <v>103.8827</v>
      </c>
      <c r="AQ1210" s="97" t="n"/>
      <c r="AR1210" s="97" t="n"/>
      <c r="AS1210" s="97" t="n"/>
      <c r="AT1210" s="97" t="n"/>
      <c r="AU1210" s="97" t="n"/>
      <c r="AV1210" s="97" t="n">
        <v>114</v>
      </c>
      <c r="AW1210" s="97" t="n"/>
      <c r="AX1210" s="97" t="n">
        <v>115.2904</v>
      </c>
      <c r="AY1210" s="97" t="n">
        <v>95.6785</v>
      </c>
    </row>
    <row r="1211" s="135">
      <c r="A1211" t="inlineStr">
        <is>
          <t>2019-10</t>
        </is>
      </c>
      <c r="B1211" s="2" t="n">
        <v>43739</v>
      </c>
      <c r="C1211" s="96" t="n">
        <v>1211</v>
      </c>
      <c r="E1211" s="2">
        <f>B1211</f>
        <v/>
      </c>
      <c r="F1211" s="3">
        <f>B1211</f>
        <v/>
      </c>
      <c r="G1211" s="96" t="n">
        <v>1209</v>
      </c>
      <c r="H1211" s="97" t="n"/>
      <c r="I1211" s="97" t="n"/>
      <c r="J1211" s="97" t="n">
        <v>111.9907</v>
      </c>
      <c r="K1211" s="97" t="n">
        <v>108.9264</v>
      </c>
      <c r="L1211" s="97" t="n"/>
      <c r="M1211" s="97" t="n">
        <v>113.0812</v>
      </c>
      <c r="N1211" s="97" t="n">
        <v>99.49171</v>
      </c>
      <c r="O1211" s="97" t="n">
        <v>110.1</v>
      </c>
      <c r="P1211" s="97" t="n">
        <v>104.4861</v>
      </c>
      <c r="Q1211" s="97" t="n"/>
      <c r="R1211" s="97" t="n">
        <v>112.6</v>
      </c>
      <c r="S1211" s="97" t="n">
        <v>103.5609</v>
      </c>
      <c r="T1211" s="97" t="n">
        <v>102.5783</v>
      </c>
      <c r="U1211" s="97" t="n">
        <v>107.4746</v>
      </c>
      <c r="V1211" s="97" t="n">
        <v>117.6098</v>
      </c>
      <c r="W1211" s="97" t="n">
        <v>105.7088</v>
      </c>
      <c r="X1211" s="97" t="n"/>
      <c r="Y1211" s="97" t="n">
        <v>110.726</v>
      </c>
      <c r="Z1211" s="97" t="n">
        <v>103.6914</v>
      </c>
      <c r="AA1211" s="97" t="n">
        <v>98.29181</v>
      </c>
      <c r="AB1211" s="97" t="n">
        <v>106.8911</v>
      </c>
      <c r="AC1211" s="97" t="n">
        <v>97.09191</v>
      </c>
      <c r="AD1211" s="97" t="n">
        <v>117.7</v>
      </c>
      <c r="AE1211" s="97" t="n"/>
      <c r="AF1211" s="97" t="n">
        <v>102.8914</v>
      </c>
      <c r="AG1211" s="97" t="n">
        <v>97.28471</v>
      </c>
      <c r="AH1211" s="97" t="n">
        <v>104.7993</v>
      </c>
      <c r="AI1211" s="97" t="n">
        <v>122.2</v>
      </c>
      <c r="AJ1211" s="97" t="n">
        <v>104.2691</v>
      </c>
      <c r="AK1211" s="97" t="n">
        <v>112.2187</v>
      </c>
      <c r="AL1211" s="97" t="n">
        <v>125.8105</v>
      </c>
      <c r="AM1211" s="97" t="n">
        <v>111.4</v>
      </c>
      <c r="AN1211" s="97" t="n"/>
      <c r="AO1211" s="97" t="n">
        <v>104.7215</v>
      </c>
      <c r="AP1211" s="97" t="n">
        <v>103.1828</v>
      </c>
      <c r="AQ1211" s="97" t="n"/>
      <c r="AR1211" s="97" t="n"/>
      <c r="AS1211" s="97" t="n"/>
      <c r="AT1211" s="97" t="n"/>
      <c r="AU1211" s="97" t="n"/>
      <c r="AV1211" s="97" t="n">
        <v>114.9</v>
      </c>
      <c r="AW1211" s="97" t="n"/>
      <c r="AX1211" s="97" t="n">
        <v>114.6904</v>
      </c>
      <c r="AY1211" s="97" t="n">
        <v>97.44013</v>
      </c>
    </row>
    <row r="1212">
      <c r="A1212" t="inlineStr">
        <is>
          <t>2019-11</t>
        </is>
      </c>
      <c r="B1212" s="2" t="n">
        <v>43770</v>
      </c>
      <c r="C1212" s="96" t="n">
        <v>1212</v>
      </c>
      <c r="E1212" s="2">
        <f>B1212</f>
        <v/>
      </c>
      <c r="F1212" s="3">
        <f>B1212</f>
        <v/>
      </c>
      <c r="G1212" s="96" t="n">
        <v>1210</v>
      </c>
      <c r="H1212" s="97" t="n"/>
      <c r="I1212" s="97" t="n"/>
      <c r="J1212" s="97" t="n">
        <v>114.0905</v>
      </c>
      <c r="K1212" s="97" t="n">
        <v>108.4572</v>
      </c>
      <c r="L1212" s="97" t="n"/>
      <c r="M1212" s="97" t="n">
        <v>111.8814</v>
      </c>
      <c r="N1212" s="97" t="n">
        <v>100.1917</v>
      </c>
      <c r="O1212" s="97" t="n">
        <v>104.1</v>
      </c>
      <c r="P1212" s="97" t="n">
        <v>105.7551</v>
      </c>
      <c r="Q1212" s="97" t="n"/>
      <c r="R1212" s="97" t="n">
        <v>112.9</v>
      </c>
      <c r="S1212" s="97" t="n">
        <v>103.2709</v>
      </c>
      <c r="T1212" s="97" t="n">
        <v>101.5401</v>
      </c>
      <c r="U1212" s="97" t="n">
        <v>102.1808</v>
      </c>
      <c r="V1212" s="97" t="n">
        <v>116.3097</v>
      </c>
      <c r="W1212" s="97" t="n">
        <v>97.10809</v>
      </c>
      <c r="X1212" s="97" t="n"/>
      <c r="Y1212" s="97" t="n">
        <v>109.6955</v>
      </c>
      <c r="Z1212" s="97" t="n">
        <v>104.0913</v>
      </c>
      <c r="AA1212" s="97" t="n">
        <v>97.69186000000001</v>
      </c>
      <c r="AB1212" s="97" t="n">
        <v>107.3911</v>
      </c>
      <c r="AC1212" s="97" t="n">
        <v>95.69202</v>
      </c>
      <c r="AD1212" s="97" t="n">
        <v>116.3</v>
      </c>
      <c r="AE1212" s="97" t="n"/>
      <c r="AF1212" s="97" t="n">
        <v>101.6915</v>
      </c>
      <c r="AG1212" s="97" t="n">
        <v>100.0776</v>
      </c>
      <c r="AH1212" s="97" t="n">
        <v>105.0481</v>
      </c>
      <c r="AI1212" s="97" t="n">
        <v>124</v>
      </c>
      <c r="AJ1212" s="97" t="n">
        <v>103.1291</v>
      </c>
      <c r="AK1212" s="97" t="n">
        <v>111.9187</v>
      </c>
      <c r="AL1212" s="97" t="n">
        <v>124.8104</v>
      </c>
      <c r="AM1212" s="97" t="n">
        <v>112.8</v>
      </c>
      <c r="AN1212" s="97" t="n"/>
      <c r="AO1212" s="97" t="n">
        <v>105.6933</v>
      </c>
      <c r="AP1212" s="97" t="n">
        <v>102.9828</v>
      </c>
      <c r="AQ1212" s="97" t="n"/>
      <c r="AR1212" s="97" t="n"/>
      <c r="AS1212" s="97" t="n"/>
      <c r="AT1212" s="97" t="n"/>
      <c r="AU1212" s="97" t="n"/>
      <c r="AV1212" s="97" t="n">
        <v>113.4</v>
      </c>
      <c r="AW1212" s="97" t="n"/>
      <c r="AX1212" s="97" t="n">
        <v>115.7904</v>
      </c>
      <c r="AY1212" s="97" t="n">
        <v>95.7886</v>
      </c>
    </row>
    <row r="1213">
      <c r="A1213" t="inlineStr">
        <is>
          <t>2019-12</t>
        </is>
      </c>
      <c r="B1213" s="2" t="n">
        <v>43800</v>
      </c>
      <c r="C1213" s="96" t="n">
        <v>1213</v>
      </c>
      <c r="E1213" s="2">
        <f>B1213</f>
        <v/>
      </c>
      <c r="F1213" s="3">
        <f>B1213</f>
        <v/>
      </c>
      <c r="G1213" s="96" t="n">
        <v>1211</v>
      </c>
      <c r="H1213" s="97" t="n"/>
      <c r="I1213" s="97" t="n"/>
      <c r="J1213" s="97" t="n">
        <v>116.9902</v>
      </c>
      <c r="K1213" s="97" t="n">
        <v>108.0364</v>
      </c>
      <c r="L1213" s="97" t="n"/>
      <c r="M1213" s="97" t="n">
        <v>110.8815</v>
      </c>
      <c r="N1213" s="97" t="n">
        <v>98.59178</v>
      </c>
      <c r="O1213" s="97" t="n">
        <v>111.4</v>
      </c>
      <c r="P1213" s="97" t="n">
        <v>104.3681</v>
      </c>
      <c r="Q1213" s="97" t="n"/>
      <c r="R1213" s="97" t="n">
        <v>112.7</v>
      </c>
      <c r="S1213" s="97" t="n">
        <v>100.7608</v>
      </c>
      <c r="T1213" s="97" t="n">
        <v>101.0209</v>
      </c>
      <c r="U1213" s="97" t="n">
        <v>106.0762</v>
      </c>
      <c r="V1213" s="97" t="n">
        <v>112.2094</v>
      </c>
      <c r="W1213" s="97" t="n">
        <v>85.30710999999999</v>
      </c>
      <c r="X1213" s="97" t="n"/>
      <c r="Y1213" s="97" t="n">
        <v>110.2576</v>
      </c>
      <c r="Z1213" s="97" t="n">
        <v>101.3915</v>
      </c>
      <c r="AA1213" s="97" t="n">
        <v>97.79185</v>
      </c>
      <c r="AB1213" s="97" t="n">
        <v>111.2907</v>
      </c>
      <c r="AC1213" s="97" t="n">
        <v>92.49229</v>
      </c>
      <c r="AD1213" s="97" t="n">
        <v>115.9</v>
      </c>
      <c r="AE1213" s="97" t="n"/>
      <c r="AF1213" s="97" t="n">
        <v>100.1917</v>
      </c>
      <c r="AG1213" s="97" t="n">
        <v>101.1249</v>
      </c>
      <c r="AH1213" s="97" t="n">
        <v>104.6378</v>
      </c>
      <c r="AI1213" s="97" t="n">
        <v>120.3</v>
      </c>
      <c r="AJ1213" s="97" t="n">
        <v>106.4391</v>
      </c>
      <c r="AK1213" s="97" t="n">
        <v>110.2184</v>
      </c>
      <c r="AL1213" s="97" t="n">
        <v>123.1103</v>
      </c>
      <c r="AM1213" s="97" t="n">
        <v>111.2</v>
      </c>
      <c r="AN1213" s="97" t="n"/>
      <c r="AO1213" s="97" t="n">
        <v>105.3225</v>
      </c>
      <c r="AP1213" s="97" t="n">
        <v>100.8832</v>
      </c>
      <c r="AQ1213" s="97" t="n"/>
      <c r="AR1213" s="97" t="n"/>
      <c r="AS1213" s="97" t="n"/>
      <c r="AT1213" s="97" t="n"/>
      <c r="AU1213" s="97" t="n"/>
      <c r="AV1213" s="97" t="n">
        <v>114.2</v>
      </c>
      <c r="AW1213" s="97" t="n"/>
      <c r="AX1213" s="97" t="n">
        <v>118.2901</v>
      </c>
      <c r="AY1213" s="97" t="n">
        <v>95.2381</v>
      </c>
    </row>
    <row r="1214">
      <c r="A1214" t="inlineStr">
        <is>
          <t>2020-1</t>
        </is>
      </c>
      <c r="B1214" s="2" t="n">
        <v>43831</v>
      </c>
      <c r="C1214" s="96" t="n">
        <v>1214</v>
      </c>
      <c r="E1214" s="2">
        <f>B1214</f>
        <v/>
      </c>
      <c r="F1214" s="3">
        <f>B1214</f>
        <v/>
      </c>
      <c r="G1214" s="96" t="n">
        <v>1212</v>
      </c>
      <c r="H1214" s="97" t="n"/>
      <c r="I1214" s="97" t="n"/>
      <c r="J1214" s="97" t="n">
        <v>112.4906</v>
      </c>
      <c r="K1214" s="97" t="n">
        <v>107.508</v>
      </c>
      <c r="L1214" s="97" t="n"/>
      <c r="M1214" s="97" t="n">
        <v>111.6814</v>
      </c>
      <c r="N1214" s="97" t="n">
        <v>100.8916</v>
      </c>
      <c r="O1214" s="97" t="n">
        <v>107.6</v>
      </c>
      <c r="P1214" s="97" t="n">
        <v>103.9461</v>
      </c>
      <c r="Q1214" s="97" t="n"/>
      <c r="R1214" s="97" t="n">
        <v>110.7</v>
      </c>
      <c r="S1214" s="97" t="n">
        <v>101.6808</v>
      </c>
      <c r="T1214" s="97" t="n">
        <v>100.9171</v>
      </c>
      <c r="U1214" s="97" t="n">
        <v>110.7708</v>
      </c>
      <c r="V1214" s="97" t="n">
        <v>117.6098</v>
      </c>
      <c r="W1214" s="97" t="n">
        <v>95.00792</v>
      </c>
      <c r="X1214" s="97" t="n"/>
      <c r="Y1214" s="97" t="n">
        <v>111.1007</v>
      </c>
      <c r="Z1214" s="97" t="n">
        <v>104.6913</v>
      </c>
      <c r="AA1214" s="97" t="n">
        <v>99.79169</v>
      </c>
      <c r="AB1214" s="97" t="n">
        <v>109.5909</v>
      </c>
      <c r="AC1214" s="97" t="n">
        <v>96.89192</v>
      </c>
      <c r="AD1214" s="97" t="n">
        <v>113.7</v>
      </c>
      <c r="AE1214" s="97" t="n"/>
      <c r="AF1214" s="97" t="n">
        <v>102.8914</v>
      </c>
      <c r="AG1214" s="97" t="n">
        <v>98.56478</v>
      </c>
      <c r="AH1214" s="97" t="n">
        <v>105.3465</v>
      </c>
      <c r="AI1214" s="97" t="n">
        <v>123.9</v>
      </c>
      <c r="AJ1214" s="97" t="n">
        <v>107.0691</v>
      </c>
      <c r="AK1214" s="97" t="n">
        <v>115.3192</v>
      </c>
      <c r="AL1214" s="97" t="n">
        <v>123.6103</v>
      </c>
      <c r="AM1214" s="97" t="n">
        <v>112</v>
      </c>
      <c r="AN1214" s="97" t="n"/>
      <c r="AO1214" s="97" t="n">
        <v>104.8727</v>
      </c>
      <c r="AP1214" s="97" t="n">
        <v>103.0828</v>
      </c>
      <c r="AQ1214" s="97" t="n"/>
      <c r="AR1214" s="97" t="n"/>
      <c r="AS1214" s="97" t="n"/>
      <c r="AT1214" s="97" t="n"/>
      <c r="AU1214" s="97" t="n"/>
      <c r="AV1214" s="97" t="n">
        <v>113.2</v>
      </c>
      <c r="AW1214" s="97" t="n"/>
      <c r="AX1214" s="97" t="n">
        <v>118.0902</v>
      </c>
      <c r="AY1214" s="97" t="n">
        <v>96.22901</v>
      </c>
    </row>
    <row r="1215">
      <c r="A1215" t="inlineStr">
        <is>
          <t>2020-2</t>
        </is>
      </c>
      <c r="B1215" s="2" t="n">
        <v>43862</v>
      </c>
      <c r="C1215" s="96" t="n">
        <v>1215</v>
      </c>
      <c r="E1215" s="2">
        <f>B1215</f>
        <v/>
      </c>
      <c r="F1215" s="3">
        <f>B1215</f>
        <v/>
      </c>
      <c r="G1215" s="96" t="n">
        <v>1213</v>
      </c>
      <c r="H1215" s="97" t="n"/>
      <c r="I1215" s="97" t="n"/>
      <c r="J1215" s="97" t="n">
        <v>113.4905</v>
      </c>
      <c r="K1215" s="97" t="n">
        <v>108.2033</v>
      </c>
      <c r="L1215" s="97" t="n"/>
      <c r="M1215" s="97" t="n">
        <v>112.0813</v>
      </c>
      <c r="N1215" s="97" t="n">
        <v>101.2916</v>
      </c>
      <c r="O1215" s="97" t="n">
        <v>108.9</v>
      </c>
      <c r="P1215" s="97" t="n">
        <v>103.8541</v>
      </c>
      <c r="Q1215" s="97" t="n"/>
      <c r="R1215" s="97" t="n">
        <v>111.1</v>
      </c>
      <c r="S1215" s="97" t="n">
        <v>102.8409</v>
      </c>
      <c r="T1215" s="97" t="n">
        <v>101.3324</v>
      </c>
      <c r="U1215" s="97" t="n">
        <v>106.4758</v>
      </c>
      <c r="V1215" s="97" t="n">
        <v>117.8098</v>
      </c>
      <c r="W1215" s="97" t="n">
        <v>96.90807</v>
      </c>
      <c r="X1215" s="97" t="n"/>
      <c r="Y1215" s="97" t="n">
        <v>111.4754</v>
      </c>
      <c r="Z1215" s="97" t="n">
        <v>103.3914</v>
      </c>
      <c r="AA1215" s="97" t="n">
        <v>99.39172000000001</v>
      </c>
      <c r="AB1215" s="97" t="n">
        <v>105.4912</v>
      </c>
      <c r="AC1215" s="97" t="n">
        <v>97.59187</v>
      </c>
      <c r="AD1215" s="97" t="n">
        <v>117</v>
      </c>
      <c r="AE1215" s="97" t="n"/>
      <c r="AF1215" s="97" t="n">
        <v>101.9915</v>
      </c>
      <c r="AG1215" s="97" t="n">
        <v>101.2413</v>
      </c>
      <c r="AH1215" s="97" t="n">
        <v>105.298</v>
      </c>
      <c r="AI1215" s="97" t="n">
        <v>125.3</v>
      </c>
      <c r="AJ1215" s="97" t="n">
        <v>104.0991</v>
      </c>
      <c r="AK1215" s="97" t="n">
        <v>114.3191</v>
      </c>
      <c r="AL1215" s="97" t="n">
        <v>128.1107</v>
      </c>
      <c r="AM1215" s="97" t="n">
        <v>112.3</v>
      </c>
      <c r="AN1215" s="97" t="n"/>
      <c r="AO1215" s="97" t="n">
        <v>104.9804</v>
      </c>
      <c r="AP1215" s="97" t="n">
        <v>103.0828</v>
      </c>
      <c r="AQ1215" s="97" t="n"/>
      <c r="AR1215" s="97" t="n"/>
      <c r="AS1215" s="97" t="n"/>
      <c r="AT1215" s="97" t="n"/>
      <c r="AU1215" s="97" t="n"/>
      <c r="AV1215" s="97" t="n">
        <v>114.4</v>
      </c>
      <c r="AW1215" s="97" t="n"/>
      <c r="AX1215" s="97" t="n">
        <v>120.59</v>
      </c>
      <c r="AY1215" s="97" t="n">
        <v>97.10983</v>
      </c>
    </row>
    <row r="1216">
      <c r="A1216" t="inlineStr">
        <is>
          <t>2020-3</t>
        </is>
      </c>
      <c r="B1216" s="2" t="n">
        <v>43891</v>
      </c>
      <c r="C1216" s="96" t="n">
        <v>1216</v>
      </c>
      <c r="E1216" s="2">
        <f>B1216</f>
        <v/>
      </c>
      <c r="F1216" s="3">
        <f>B1216</f>
        <v/>
      </c>
      <c r="G1216" s="96" t="n">
        <v>1214</v>
      </c>
      <c r="H1216" s="97" t="n"/>
      <c r="I1216" s="97" t="n"/>
      <c r="J1216" s="97" t="n">
        <v>107.3911</v>
      </c>
      <c r="K1216" s="97" t="n">
        <v>102.6451</v>
      </c>
      <c r="L1216" s="97" t="n"/>
      <c r="M1216" s="97" t="n">
        <v>99.88334999999999</v>
      </c>
      <c r="N1216" s="97" t="n">
        <v>90.19248</v>
      </c>
      <c r="O1216" s="97" t="n">
        <v>108.3</v>
      </c>
      <c r="P1216" s="97" t="n">
        <v>90.25606999999999</v>
      </c>
      <c r="Q1216" s="97" t="n"/>
      <c r="R1216" s="97" t="n">
        <v>113.4</v>
      </c>
      <c r="S1216" s="97" t="n">
        <v>85.41070999999999</v>
      </c>
      <c r="T1216" s="97" t="n">
        <v>96.66032</v>
      </c>
      <c r="U1216" s="97" t="n">
        <v>107.974</v>
      </c>
      <c r="V1216" s="97" t="n">
        <v>105.2088</v>
      </c>
      <c r="W1216" s="97" t="n">
        <v>114.5095</v>
      </c>
      <c r="X1216" s="97" t="n"/>
      <c r="Y1216" s="97" t="n">
        <v>100.9836</v>
      </c>
      <c r="Z1216" s="97" t="n">
        <v>74.49379</v>
      </c>
      <c r="AA1216" s="97" t="n">
        <v>95.79201999999999</v>
      </c>
      <c r="AB1216" s="97" t="n">
        <v>110.6908</v>
      </c>
      <c r="AC1216" s="97" t="n">
        <v>78.89342000000001</v>
      </c>
      <c r="AD1216" s="97" t="n">
        <v>112.2</v>
      </c>
      <c r="AE1216" s="97" t="n"/>
      <c r="AF1216" s="97" t="n">
        <v>101.0916</v>
      </c>
      <c r="AG1216" s="97" t="n">
        <v>102.6377</v>
      </c>
      <c r="AH1216" s="97" t="n">
        <v>98.90851000000001</v>
      </c>
      <c r="AI1216" s="97" t="n">
        <v>116</v>
      </c>
      <c r="AJ1216" s="97" t="n">
        <v>95.20921</v>
      </c>
      <c r="AK1216" s="97" t="n">
        <v>91.61527</v>
      </c>
      <c r="AL1216" s="97" t="n">
        <v>114.9096</v>
      </c>
      <c r="AM1216" s="97" t="n">
        <v>111.8</v>
      </c>
      <c r="AN1216" s="97" t="n"/>
      <c r="AO1216" s="97" t="n">
        <v>100.3945</v>
      </c>
      <c r="AP1216" s="97" t="n">
        <v>90.98483</v>
      </c>
      <c r="AQ1216" s="97" t="n"/>
      <c r="AR1216" s="97" t="n"/>
      <c r="AS1216" s="97" t="n"/>
      <c r="AT1216" s="97" t="n"/>
      <c r="AU1216" s="97" t="n"/>
      <c r="AV1216" s="97" t="n">
        <v>114</v>
      </c>
      <c r="AW1216" s="97" t="n"/>
      <c r="AX1216" s="97" t="n">
        <v>112.6906</v>
      </c>
      <c r="AY1216" s="97" t="n">
        <v>87.97136999999999</v>
      </c>
    </row>
    <row r="1217">
      <c r="A1217" t="inlineStr">
        <is>
          <t>2020-4</t>
        </is>
      </c>
      <c r="B1217" s="2" t="n">
        <v>43922</v>
      </c>
      <c r="C1217" s="96" t="n">
        <v>1217</v>
      </c>
      <c r="E1217" s="2">
        <f>B1217</f>
        <v/>
      </c>
      <c r="F1217" s="3">
        <f>B1217</f>
        <v/>
      </c>
      <c r="G1217" s="96" t="n">
        <v>1215</v>
      </c>
      <c r="H1217" s="97" t="n"/>
      <c r="I1217" s="97" t="n"/>
      <c r="J1217" s="97" t="n">
        <v>95.29206000000001</v>
      </c>
      <c r="K1217" s="97" t="n">
        <v>88.06653</v>
      </c>
      <c r="L1217" s="97" t="n"/>
      <c r="M1217" s="97" t="n">
        <v>75.38744</v>
      </c>
      <c r="N1217" s="97" t="n">
        <v>71.49404</v>
      </c>
      <c r="O1217" s="97" t="n">
        <v>102.6</v>
      </c>
      <c r="P1217" s="97" t="n">
        <v>70.58105999999999</v>
      </c>
      <c r="Q1217" s="97" t="n"/>
      <c r="R1217" s="97" t="n">
        <v>110.6</v>
      </c>
      <c r="S1217" s="97" t="n">
        <v>67.70056</v>
      </c>
      <c r="T1217" s="97" t="n">
        <v>77.76432</v>
      </c>
      <c r="U1217" s="97" t="n">
        <v>98.28533</v>
      </c>
      <c r="V1217" s="97" t="n">
        <v>72.70605999999999</v>
      </c>
      <c r="W1217" s="97" t="n">
        <v>98.10818</v>
      </c>
      <c r="X1217" s="97" t="n"/>
      <c r="Y1217" s="97" t="n">
        <v>101.733</v>
      </c>
      <c r="Z1217" s="97" t="n">
        <v>59.59504</v>
      </c>
      <c r="AA1217" s="97" t="n">
        <v>87.19273</v>
      </c>
      <c r="AB1217" s="97" t="n">
        <v>103.3914</v>
      </c>
      <c r="AC1217" s="97" t="n">
        <v>69.29423</v>
      </c>
      <c r="AD1217" s="97" t="n">
        <v>103.9</v>
      </c>
      <c r="AE1217" s="97" t="n"/>
      <c r="AF1217" s="97" t="n">
        <v>94.29214</v>
      </c>
      <c r="AG1217" s="97" t="n">
        <v>101.8231</v>
      </c>
      <c r="AH1217" s="97" t="n">
        <v>84.56487</v>
      </c>
      <c r="AI1217" s="97" t="n">
        <v>91.5</v>
      </c>
      <c r="AJ1217" s="97" t="n">
        <v>75.28937999999999</v>
      </c>
      <c r="AK1217" s="97" t="n">
        <v>66.41107</v>
      </c>
      <c r="AL1217" s="97" t="n">
        <v>95.60796000000001</v>
      </c>
      <c r="AM1217" s="97" t="n">
        <v>93.7</v>
      </c>
      <c r="AN1217" s="97" t="n"/>
      <c r="AO1217" s="97" t="n">
        <v>87.66167</v>
      </c>
      <c r="AP1217" s="97" t="n">
        <v>74.58757</v>
      </c>
      <c r="AQ1217" s="97" t="n"/>
      <c r="AR1217" s="97" t="n"/>
      <c r="AS1217" s="97" t="n"/>
      <c r="AT1217" s="97" t="n"/>
      <c r="AU1217" s="97" t="n"/>
      <c r="AV1217" s="97" t="n">
        <v>107.2</v>
      </c>
      <c r="AW1217" s="97" t="n"/>
      <c r="AX1217" s="97" t="n">
        <v>78.69344</v>
      </c>
      <c r="AY1217" s="97" t="n">
        <v>70.79549</v>
      </c>
    </row>
    <row r="1218">
      <c r="A1218" t="inlineStr">
        <is>
          <t>2020-5</t>
        </is>
      </c>
      <c r="B1218" s="2" t="n">
        <v>43952</v>
      </c>
      <c r="C1218" s="96" t="n">
        <v>1218</v>
      </c>
      <c r="E1218" s="2">
        <f>B1218</f>
        <v/>
      </c>
      <c r="F1218" s="3">
        <f>B1218</f>
        <v/>
      </c>
      <c r="G1218" s="96" t="n">
        <v>1216</v>
      </c>
      <c r="H1218" s="97" t="n"/>
      <c r="I1218" s="97" t="n"/>
      <c r="J1218" s="97" t="n">
        <v>107.691</v>
      </c>
      <c r="K1218" s="97" t="n">
        <v>91.68729</v>
      </c>
      <c r="L1218" s="97" t="n"/>
      <c r="M1218" s="97" t="n">
        <v>87.78537</v>
      </c>
      <c r="N1218" s="97" t="n">
        <v>78.59345</v>
      </c>
      <c r="O1218" s="97" t="n">
        <v>100.7</v>
      </c>
      <c r="P1218" s="97" t="n">
        <v>80.73407</v>
      </c>
      <c r="Q1218" s="97" t="n"/>
      <c r="R1218" s="97" t="n">
        <v>108.5</v>
      </c>
      <c r="S1218" s="97" t="n">
        <v>81.17068</v>
      </c>
      <c r="T1218" s="97" t="n">
        <v>82.12493000000001</v>
      </c>
      <c r="U1218" s="97" t="n">
        <v>99.58382</v>
      </c>
      <c r="V1218" s="97" t="n">
        <v>85.70715</v>
      </c>
      <c r="W1218" s="97" t="n">
        <v>84.90707</v>
      </c>
      <c r="X1218" s="97" t="n"/>
      <c r="Y1218" s="97" t="n">
        <v>106.8852</v>
      </c>
      <c r="Z1218" s="97" t="n">
        <v>84.29298</v>
      </c>
      <c r="AA1218" s="97" t="n">
        <v>79.59336999999999</v>
      </c>
      <c r="AB1218" s="97" t="n">
        <v>96.19199</v>
      </c>
      <c r="AC1218" s="97" t="n">
        <v>78.59345</v>
      </c>
      <c r="AD1218" s="97" t="n">
        <v>109.2</v>
      </c>
      <c r="AE1218" s="97" t="n"/>
      <c r="AF1218" s="97" t="n">
        <v>93.89216999999999</v>
      </c>
      <c r="AG1218" s="97" t="n">
        <v>100.7758</v>
      </c>
      <c r="AH1218" s="97" t="n">
        <v>87.65364</v>
      </c>
      <c r="AI1218" s="97" t="n">
        <v>103.4</v>
      </c>
      <c r="AJ1218" s="97" t="n">
        <v>77.48936</v>
      </c>
      <c r="AK1218" s="97" t="n">
        <v>79.61327</v>
      </c>
      <c r="AL1218" s="97" t="n">
        <v>104.9087</v>
      </c>
      <c r="AM1218" s="97" t="n">
        <v>94.90000000000001</v>
      </c>
      <c r="AN1218" s="97" t="n"/>
      <c r="AO1218" s="97" t="n">
        <v>88.42576</v>
      </c>
      <c r="AP1218" s="97" t="n">
        <v>83.88602</v>
      </c>
      <c r="AQ1218" s="97" t="n"/>
      <c r="AR1218" s="97" t="n"/>
      <c r="AS1218" s="97" t="n"/>
      <c r="AT1218" s="97" t="n"/>
      <c r="AU1218" s="97" t="n"/>
      <c r="AV1218" s="97" t="n">
        <v>104.6</v>
      </c>
      <c r="AW1218" s="97" t="n"/>
      <c r="AX1218" s="97" t="n">
        <v>92.99225</v>
      </c>
      <c r="AY1218" s="97" t="n">
        <v>76.96119</v>
      </c>
    </row>
    <row r="1219">
      <c r="A1219" t="inlineStr">
        <is>
          <t>2020-6</t>
        </is>
      </c>
      <c r="B1219" s="2" t="n">
        <v>43983</v>
      </c>
      <c r="C1219" s="96" t="n">
        <v>1219</v>
      </c>
      <c r="E1219" s="2">
        <f>B1219</f>
        <v/>
      </c>
      <c r="F1219" s="3">
        <f>B1219</f>
        <v/>
      </c>
      <c r="G1219" s="96" t="n">
        <v>1217</v>
      </c>
      <c r="H1219" s="97" t="n"/>
      <c r="I1219" s="97" t="n"/>
      <c r="J1219" s="97" t="n">
        <v>105.3912</v>
      </c>
      <c r="K1219" s="97" t="n">
        <v>96.24120000000001</v>
      </c>
      <c r="L1219" s="97" t="n"/>
      <c r="M1219" s="97" t="n">
        <v>101.4831</v>
      </c>
      <c r="N1219" s="97" t="n">
        <v>87.39272</v>
      </c>
      <c r="O1219" s="97" t="n">
        <v>105.3</v>
      </c>
      <c r="P1219" s="97" t="n">
        <v>91.67807999999999</v>
      </c>
      <c r="Q1219" s="97" t="n"/>
      <c r="R1219" s="97" t="n">
        <v>107.7</v>
      </c>
      <c r="S1219" s="97" t="n">
        <v>91.61076</v>
      </c>
      <c r="T1219" s="97" t="n">
        <v>90.22322</v>
      </c>
      <c r="U1219" s="97" t="n">
        <v>102.6802</v>
      </c>
      <c r="V1219" s="97" t="n">
        <v>101.0084</v>
      </c>
      <c r="W1219" s="97" t="n">
        <v>97.2081</v>
      </c>
      <c r="X1219" s="97" t="n"/>
      <c r="Y1219" s="97" t="n">
        <v>111.4754</v>
      </c>
      <c r="Z1219" s="97" t="n">
        <v>91.29239</v>
      </c>
      <c r="AA1219" s="97" t="n">
        <v>81.29322999999999</v>
      </c>
      <c r="AB1219" s="97" t="n">
        <v>102.9914</v>
      </c>
      <c r="AC1219" s="97" t="n">
        <v>85.49287</v>
      </c>
      <c r="AD1219" s="97" t="n">
        <v>117.3</v>
      </c>
      <c r="AE1219" s="97" t="n"/>
      <c r="AF1219" s="97" t="n">
        <v>94.49213</v>
      </c>
      <c r="AG1219" s="97" t="n">
        <v>98.91388999999999</v>
      </c>
      <c r="AH1219" s="97" t="n">
        <v>94.10796999999999</v>
      </c>
      <c r="AI1219" s="97" t="n">
        <v>113.8</v>
      </c>
      <c r="AJ1219" s="97" t="n">
        <v>86.13928</v>
      </c>
      <c r="AK1219" s="97" t="n">
        <v>101.817</v>
      </c>
      <c r="AL1219" s="97" t="n">
        <v>110.1092</v>
      </c>
      <c r="AM1219" s="97" t="n">
        <v>101.1</v>
      </c>
      <c r="AN1219" s="97" t="n"/>
      <c r="AO1219" s="97" t="n">
        <v>93.93966</v>
      </c>
      <c r="AP1219" s="97" t="n">
        <v>91.88469000000001</v>
      </c>
      <c r="AQ1219" s="97" t="n"/>
      <c r="AR1219" s="97" t="n"/>
      <c r="AS1219" s="97" t="n"/>
      <c r="AT1219" s="97" t="n"/>
      <c r="AU1219" s="97" t="n"/>
      <c r="AV1219" s="97" t="n">
        <v>105.2</v>
      </c>
      <c r="AW1219" s="97" t="n"/>
      <c r="AX1219" s="97" t="n">
        <v>109.5909</v>
      </c>
      <c r="AY1219" s="97" t="n">
        <v>84.33801</v>
      </c>
    </row>
    <row r="1220">
      <c r="A1220" t="inlineStr">
        <is>
          <t>2020-7</t>
        </is>
      </c>
      <c r="B1220" s="2" t="n">
        <v>44013</v>
      </c>
      <c r="C1220" s="96" t="n">
        <v>1220</v>
      </c>
      <c r="E1220" s="2">
        <f>B1220</f>
        <v/>
      </c>
      <c r="F1220" s="3">
        <f>B1220</f>
        <v/>
      </c>
      <c r="G1220" s="96" t="n">
        <v>1218</v>
      </c>
      <c r="H1220" s="97" t="n"/>
      <c r="I1220" s="97" t="n"/>
      <c r="J1220" s="97" t="n">
        <v>109.9908</v>
      </c>
      <c r="K1220" s="97" t="n">
        <v>99.02245000000001</v>
      </c>
      <c r="L1220" s="97" t="n"/>
      <c r="M1220" s="97" t="n">
        <v>107.782</v>
      </c>
      <c r="N1220" s="97" t="n">
        <v>90.09249</v>
      </c>
      <c r="O1220" s="97" t="n">
        <v>101.1</v>
      </c>
      <c r="P1220" s="97" t="n">
        <v>100.8411</v>
      </c>
      <c r="Q1220" s="97" t="n"/>
      <c r="R1220" s="97" t="n">
        <v>108.3</v>
      </c>
      <c r="S1220" s="97" t="n">
        <v>95.07079</v>
      </c>
      <c r="T1220" s="97" t="n">
        <v>94.99914</v>
      </c>
      <c r="U1220" s="97" t="n">
        <v>106.276</v>
      </c>
      <c r="V1220" s="97" t="n">
        <v>107.809</v>
      </c>
      <c r="W1220" s="97" t="n">
        <v>110.9092</v>
      </c>
      <c r="X1220" s="97" t="n"/>
      <c r="Y1220" s="97" t="n">
        <v>108.103</v>
      </c>
      <c r="Z1220" s="97" t="n">
        <v>98.19182000000001</v>
      </c>
      <c r="AA1220" s="97" t="n">
        <v>87.29272</v>
      </c>
      <c r="AB1220" s="97" t="n">
        <v>104.9912</v>
      </c>
      <c r="AC1220" s="97" t="n">
        <v>90.29246999999999</v>
      </c>
      <c r="AD1220" s="97" t="n">
        <v>116.6</v>
      </c>
      <c r="AE1220" s="97" t="n"/>
      <c r="AF1220" s="97" t="n">
        <v>97.29189</v>
      </c>
      <c r="AG1220" s="97" t="n">
        <v>101.474</v>
      </c>
      <c r="AH1220" s="97" t="n">
        <v>98.69687999999999</v>
      </c>
      <c r="AI1220" s="97" t="n">
        <v>120.5</v>
      </c>
      <c r="AJ1220" s="97" t="n">
        <v>97.68919</v>
      </c>
      <c r="AK1220" s="97" t="n">
        <v>106.5178</v>
      </c>
      <c r="AL1220" s="97" t="n">
        <v>118.3099</v>
      </c>
      <c r="AM1220" s="97" t="n">
        <v>104.8</v>
      </c>
      <c r="AN1220" s="97" t="n"/>
      <c r="AO1220" s="97" t="n">
        <v>97.86862000000001</v>
      </c>
      <c r="AP1220" s="97" t="n">
        <v>96.88385</v>
      </c>
      <c r="AQ1220" s="97" t="n"/>
      <c r="AR1220" s="97" t="n"/>
      <c r="AS1220" s="97" t="n"/>
      <c r="AT1220" s="97" t="n"/>
      <c r="AU1220" s="97" t="n"/>
      <c r="AV1220" s="97" t="n">
        <v>107</v>
      </c>
      <c r="AW1220" s="97" t="n"/>
      <c r="AX1220" s="97" t="n">
        <v>118.7901</v>
      </c>
      <c r="AY1220" s="97" t="n">
        <v>91.60474000000001</v>
      </c>
    </row>
    <row r="1221">
      <c r="A1221" t="inlineStr">
        <is>
          <t>2020-8</t>
        </is>
      </c>
      <c r="B1221" s="2" t="n">
        <v>44044</v>
      </c>
      <c r="C1221" s="96" t="n">
        <v>1221</v>
      </c>
      <c r="E1221" s="2">
        <f>B1221</f>
        <v/>
      </c>
      <c r="F1221" s="3">
        <f>B1221</f>
        <v/>
      </c>
      <c r="G1221" s="96" t="n">
        <v>1219</v>
      </c>
      <c r="H1221" s="97" t="n"/>
      <c r="I1221" s="97" t="n"/>
      <c r="J1221" s="97" t="n">
        <v>109.3909</v>
      </c>
      <c r="K1221" s="97" t="n">
        <v>98.26613999999999</v>
      </c>
      <c r="L1221" s="97" t="n"/>
      <c r="M1221" s="97" t="n">
        <v>106.9822</v>
      </c>
      <c r="N1221" s="97" t="n">
        <v>90.19248</v>
      </c>
      <c r="O1221" s="97" t="n">
        <v>104</v>
      </c>
      <c r="P1221" s="97" t="n">
        <v>101.3461</v>
      </c>
      <c r="Q1221" s="97" t="n"/>
      <c r="R1221" s="97" t="n">
        <v>110.3</v>
      </c>
      <c r="S1221" s="97" t="n">
        <v>96.0908</v>
      </c>
      <c r="T1221" s="97" t="n">
        <v>95.20677999999999</v>
      </c>
      <c r="U1221" s="97" t="n">
        <v>104.7778</v>
      </c>
      <c r="V1221" s="97" t="n">
        <v>114.7096</v>
      </c>
      <c r="W1221" s="97" t="n">
        <v>94.60789</v>
      </c>
      <c r="X1221" s="97" t="n"/>
      <c r="Y1221" s="97" t="n">
        <v>110.2576</v>
      </c>
      <c r="Z1221" s="97" t="n">
        <v>105.1912</v>
      </c>
      <c r="AA1221" s="97" t="n">
        <v>89.29255999999999</v>
      </c>
      <c r="AB1221" s="97" t="n">
        <v>104.5913</v>
      </c>
      <c r="AC1221" s="97" t="n">
        <v>91.09241</v>
      </c>
      <c r="AD1221" s="97" t="n">
        <v>116</v>
      </c>
      <c r="AE1221" s="97" t="n"/>
      <c r="AF1221" s="97" t="n">
        <v>97.49187000000001</v>
      </c>
      <c r="AG1221" s="97" t="n">
        <v>102.6377</v>
      </c>
      <c r="AH1221" s="97" t="n">
        <v>99.66301</v>
      </c>
      <c r="AI1221" s="97" t="n">
        <v>121.1</v>
      </c>
      <c r="AJ1221" s="97" t="n">
        <v>107.2591</v>
      </c>
      <c r="AK1221" s="97" t="n">
        <v>109.4182</v>
      </c>
      <c r="AL1221" s="97" t="n">
        <v>120.7101</v>
      </c>
      <c r="AM1221" s="97" t="n">
        <v>111.2</v>
      </c>
      <c r="AN1221" s="97" t="n"/>
      <c r="AO1221" s="97" t="n">
        <v>98.60773</v>
      </c>
      <c r="AP1221" s="97" t="n">
        <v>97.38377</v>
      </c>
      <c r="AQ1221" s="97" t="n"/>
      <c r="AR1221" s="97" t="n"/>
      <c r="AS1221" s="97" t="n"/>
      <c r="AT1221" s="97" t="n"/>
      <c r="AU1221" s="97" t="n"/>
      <c r="AV1221" s="97" t="n">
        <v>108.9</v>
      </c>
      <c r="AW1221" s="97" t="n"/>
      <c r="AX1221" s="97" t="n">
        <v>122.8898</v>
      </c>
      <c r="AY1221" s="97" t="n">
        <v>94.68758</v>
      </c>
    </row>
    <row r="1222">
      <c r="A1222" t="inlineStr">
        <is>
          <t>2020-9</t>
        </is>
      </c>
      <c r="B1222" s="2" t="n">
        <v>44075</v>
      </c>
      <c r="C1222" s="96" t="n">
        <v>1222</v>
      </c>
      <c r="E1222" s="2">
        <f>B1222</f>
        <v/>
      </c>
      <c r="F1222" s="3">
        <f>B1222</f>
        <v/>
      </c>
      <c r="G1222" s="96" t="n">
        <v>1220</v>
      </c>
      <c r="H1222" s="97" t="n"/>
      <c r="I1222" s="97" t="n"/>
      <c r="J1222" s="97" t="n">
        <v>110.1908</v>
      </c>
      <c r="K1222" s="97" t="n">
        <v>100.0169</v>
      </c>
      <c r="L1222" s="97" t="n"/>
      <c r="M1222" s="97" t="n">
        <v>110.8815</v>
      </c>
      <c r="N1222" s="97" t="n">
        <v>92.29231</v>
      </c>
      <c r="O1222" s="97" t="n">
        <v>106.1</v>
      </c>
      <c r="P1222" s="97" t="n">
        <v>102.2791</v>
      </c>
      <c r="Q1222" s="97" t="n"/>
      <c r="R1222" s="97" t="n">
        <v>108.1</v>
      </c>
      <c r="S1222" s="97" t="n">
        <v>97.59081</v>
      </c>
      <c r="T1222" s="97" t="n">
        <v>95.62208</v>
      </c>
      <c r="U1222" s="97" t="n">
        <v>106.6755</v>
      </c>
      <c r="V1222" s="97" t="n">
        <v>117.3098</v>
      </c>
      <c r="W1222" s="97" t="n">
        <v>89.90749</v>
      </c>
      <c r="X1222" s="97" t="n"/>
      <c r="Y1222" s="97" t="n">
        <v>114.6604</v>
      </c>
      <c r="Z1222" s="97" t="n">
        <v>99.79169</v>
      </c>
      <c r="AA1222" s="97" t="n">
        <v>92.09232</v>
      </c>
      <c r="AB1222" s="97" t="n">
        <v>110.3908</v>
      </c>
      <c r="AC1222" s="97" t="n">
        <v>93.29223</v>
      </c>
      <c r="AD1222" s="97" t="n">
        <v>116.5</v>
      </c>
      <c r="AE1222" s="97" t="n"/>
      <c r="AF1222" s="97" t="n">
        <v>97.69186000000001</v>
      </c>
      <c r="AG1222" s="97" t="n">
        <v>101.0085</v>
      </c>
      <c r="AH1222" s="97" t="n">
        <v>100.6808</v>
      </c>
      <c r="AI1222" s="97" t="n">
        <v>124.7</v>
      </c>
      <c r="AJ1222" s="97" t="n">
        <v>103.6291</v>
      </c>
      <c r="AK1222" s="97" t="n">
        <v>111.8186</v>
      </c>
      <c r="AL1222" s="97" t="n">
        <v>120.7101</v>
      </c>
      <c r="AM1222" s="97" t="n">
        <v>109.7</v>
      </c>
      <c r="AN1222" s="97" t="n"/>
      <c r="AO1222" s="97" t="n">
        <v>98.54904999999999</v>
      </c>
      <c r="AP1222" s="97" t="n">
        <v>97.48375</v>
      </c>
      <c r="AQ1222" s="97" t="n"/>
      <c r="AR1222" s="97" t="n"/>
      <c r="AS1222" s="97" t="n"/>
      <c r="AT1222" s="97" t="n"/>
      <c r="AU1222" s="97" t="n"/>
      <c r="AV1222" s="97" t="n">
        <v>108.9</v>
      </c>
      <c r="AW1222" s="97" t="n"/>
      <c r="AX1222" s="97" t="n">
        <v>125.0896</v>
      </c>
      <c r="AY1222" s="97" t="n">
        <v>97.33002999999999</v>
      </c>
    </row>
    <row r="1223">
      <c r="A1223" t="inlineStr">
        <is>
          <t>2020-10</t>
        </is>
      </c>
      <c r="B1223" s="2" t="n">
        <v>44105</v>
      </c>
      <c r="C1223" s="96" t="n">
        <v>1223</v>
      </c>
      <c r="E1223" s="2">
        <f>B1223</f>
        <v/>
      </c>
      <c r="F1223" s="3">
        <f>B1223</f>
        <v/>
      </c>
      <c r="G1223" s="96" t="n">
        <v>1221</v>
      </c>
      <c r="H1223" s="97" t="n"/>
      <c r="I1223" s="97" t="n"/>
      <c r="J1223" s="97" t="n">
        <v>117.7902</v>
      </c>
      <c r="K1223" s="97" t="n"/>
      <c r="L1223" s="97" t="n"/>
      <c r="M1223" s="97" t="n">
        <v>114.181</v>
      </c>
      <c r="N1223" s="97" t="n">
        <v>95.29206000000001</v>
      </c>
      <c r="O1223" s="97" t="n">
        <v>99.90000000000001</v>
      </c>
      <c r="P1223" s="97" t="n">
        <v>102.8621</v>
      </c>
      <c r="Q1223" s="97" t="n"/>
      <c r="R1223" s="97" t="n">
        <v>109.8</v>
      </c>
      <c r="S1223" s="97" t="n">
        <v>99.18082</v>
      </c>
      <c r="T1223" s="97" t="n">
        <v>96.86797</v>
      </c>
      <c r="U1223" s="97" t="n">
        <v>103.4793</v>
      </c>
      <c r="V1223" s="97" t="n">
        <v>120.6101</v>
      </c>
      <c r="W1223" s="97" t="n">
        <v>89.90749</v>
      </c>
      <c r="X1223" s="97" t="n"/>
      <c r="Y1223" s="97" t="n"/>
      <c r="Z1223" s="97" t="n">
        <v>101.0916</v>
      </c>
      <c r="AA1223" s="97" t="n">
        <v>95.09208</v>
      </c>
      <c r="AB1223" s="97" t="n">
        <v>109.0909</v>
      </c>
      <c r="AC1223" s="97" t="n">
        <v>93.89216999999999</v>
      </c>
      <c r="AD1223" s="97" t="n">
        <v>116.4</v>
      </c>
      <c r="AE1223" s="97" t="n"/>
      <c r="AF1223" s="97" t="n">
        <v>99.79169</v>
      </c>
      <c r="AG1223" s="97" t="n">
        <v>97.51746</v>
      </c>
      <c r="AH1223" s="97" t="n">
        <v>102.1095</v>
      </c>
      <c r="AI1223" s="97" t="n">
        <v>126.7</v>
      </c>
      <c r="AJ1223" s="97" t="n">
        <v>104.3491</v>
      </c>
      <c r="AK1223" s="97" t="n">
        <v>110.5184</v>
      </c>
      <c r="AL1223" s="97" t="n">
        <v>124.4104</v>
      </c>
      <c r="AM1223" s="97" t="n">
        <v>110.6</v>
      </c>
      <c r="AN1223" s="97" t="n"/>
      <c r="AO1223" s="97" t="n">
        <v>99.48295</v>
      </c>
      <c r="AP1223" s="97" t="n">
        <v>99.48342</v>
      </c>
      <c r="AQ1223" s="97" t="n"/>
      <c r="AR1223" s="97" t="n"/>
      <c r="AS1223" s="97" t="n"/>
      <c r="AT1223" s="97" t="n"/>
      <c r="AU1223" s="97" t="n"/>
      <c r="AV1223" s="97" t="n">
        <v>108.4</v>
      </c>
      <c r="AW1223" s="97" t="n"/>
      <c r="AX1223" s="97" t="n">
        <v>126.3895</v>
      </c>
      <c r="AY1223" s="97" t="n">
        <v>98.43105</v>
      </c>
    </row>
    <row r="1224">
      <c r="A1224" t="inlineStr">
        <is>
          <t>2020-11</t>
        </is>
      </c>
      <c r="B1224" s="2" t="n">
        <v>44136</v>
      </c>
      <c r="C1224" s="96" t="n">
        <v>1224</v>
      </c>
      <c r="E1224" s="2">
        <f>B1224</f>
        <v/>
      </c>
      <c r="F1224" s="3">
        <f>B1224</f>
        <v/>
      </c>
      <c r="G1224" s="96" t="n">
        <v>1222</v>
      </c>
      <c r="H1224" s="97" t="n"/>
      <c r="I1224" s="97" t="n"/>
      <c r="J1224" s="97" t="n"/>
      <c r="K1224" s="97" t="n"/>
      <c r="L1224" s="97" t="n"/>
      <c r="M1224" s="97" t="n"/>
      <c r="N1224" s="97" t="n"/>
      <c r="O1224" s="97" t="n"/>
      <c r="P1224" s="97" t="n"/>
      <c r="Q1224" s="97" t="n"/>
      <c r="R1224" s="97" t="n"/>
      <c r="S1224" s="97" t="n"/>
      <c r="T1224" s="97" t="n"/>
      <c r="U1224" s="97" t="n"/>
      <c r="V1224" s="97" t="n"/>
      <c r="W1224" s="97" t="n"/>
      <c r="X1224" s="97" t="n"/>
      <c r="Y1224" s="97" t="n"/>
      <c r="Z1224" s="97" t="n"/>
      <c r="AA1224" s="97" t="n"/>
      <c r="AB1224" s="97" t="n"/>
      <c r="AC1224" s="97" t="n"/>
      <c r="AD1224" s="97" t="n"/>
      <c r="AE1224" s="97" t="n"/>
      <c r="AF1224" s="97" t="n"/>
      <c r="AG1224" s="97" t="n"/>
      <c r="AH1224" s="97" t="n"/>
      <c r="AI1224" s="97" t="n"/>
      <c r="AJ1224" s="97" t="n"/>
      <c r="AK1224" s="97" t="n"/>
      <c r="AL1224" s="97" t="n"/>
      <c r="AM1224" s="97" t="n"/>
      <c r="AN1224" s="97" t="n"/>
      <c r="AO1224" s="97" t="n">
        <v>99.87551000000001</v>
      </c>
      <c r="AP1224" s="97" t="n"/>
      <c r="AQ1224" s="97" t="n"/>
      <c r="AR1224" s="97" t="n"/>
      <c r="AS1224" s="97" t="n"/>
      <c r="AT1224" s="97" t="n"/>
      <c r="AU1224" s="97" t="n"/>
      <c r="AV1224" s="97" t="n"/>
      <c r="AW1224" s="97" t="n"/>
      <c r="AX1224" s="97" t="n"/>
      <c r="AY1224" s="97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1">
    <tabColor theme="1" tint="0.499984740745262"/>
    <outlinePr summaryBelow="1" summaryRight="1"/>
    <pageSetUpPr/>
  </sheetPr>
  <dimension ref="A1:D18"/>
  <sheetViews>
    <sheetView zoomScale="200" zoomScaleNormal="200" workbookViewId="0">
      <selection activeCell="I15" sqref="I15"/>
    </sheetView>
  </sheetViews>
  <sheetFormatPr baseColWidth="10" defaultColWidth="9.1640625" defaultRowHeight="15"/>
  <cols>
    <col width="13.83203125" customWidth="1" style="129" min="1" max="1"/>
    <col width="23.33203125" customWidth="1" style="129" min="2" max="2"/>
    <col width="9.1640625" customWidth="1" style="129" min="3" max="3"/>
    <col width="9.1640625" customWidth="1" style="26" min="4" max="41"/>
    <col width="9.1640625" customWidth="1" style="129" min="42" max="16384"/>
  </cols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Z825"/>
  <sheetViews>
    <sheetView zoomScale="150" zoomScaleNormal="150" workbookViewId="0">
      <pane xSplit="2" ySplit="9" topLeftCell="C363" activePane="bottomRight" state="frozen"/>
      <selection pane="topRight" activeCell="C1" sqref="C1"/>
      <selection pane="bottomLeft" activeCell="A10" sqref="A10"/>
      <selection pane="bottomRight" activeCell="AA387" sqref="AA387"/>
    </sheetView>
  </sheetViews>
  <sheetFormatPr baseColWidth="10" defaultColWidth="8.83203125" defaultRowHeight="15"/>
  <cols>
    <col width="10.6640625" bestFit="1" customWidth="1" style="129" min="1" max="1"/>
    <col width="13.6640625" customWidth="1" style="135" min="2" max="2"/>
    <col width="7.1640625" customWidth="1" style="135" min="3" max="3"/>
    <col width="7" customWidth="1" style="135" min="4" max="4"/>
    <col width="6.1640625" customWidth="1" style="135" min="5" max="11"/>
    <col hidden="1" width="6.33203125" customWidth="1" style="135" min="12" max="13"/>
    <col hidden="1" width="6.1640625" customWidth="1" style="135" min="14" max="14"/>
    <col width="6.1640625" customWidth="1" style="135" min="15" max="20"/>
    <col width="6.6640625" customWidth="1" style="135" min="21" max="21"/>
    <col width="6.1640625" customWidth="1" style="135" min="22" max="22"/>
    <col width="6.1640625" customWidth="1" style="129" min="23" max="23"/>
    <col width="15.33203125" customWidth="1" style="129" min="24" max="25"/>
    <col width="10.6640625" bestFit="1" customWidth="1" style="129" min="26" max="26"/>
    <col width="9.1640625" customWidth="1" style="129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8" t="inlineStr">
        <is>
          <t>modify max/min/avg</t>
        </is>
      </c>
    </row>
    <row r="2" ht="16" customFormat="1" customHeight="1" s="129" thickBot="1">
      <c r="B2" s="129" t="n"/>
      <c r="Y2" s="129" t="inlineStr">
        <is>
          <t>Last month</t>
        </is>
      </c>
      <c r="Z2" s="17" t="n">
        <v>44105</v>
      </c>
    </row>
    <row r="3" ht="75.75" customHeight="1" s="135">
      <c r="B3" s="61" t="n"/>
      <c r="C3" s="62" t="inlineStr">
        <is>
          <t>US</t>
        </is>
      </c>
      <c r="D3" s="63" t="inlineStr">
        <is>
          <t>Eurozone</t>
        </is>
      </c>
      <c r="E3" s="64" t="inlineStr">
        <is>
          <t xml:space="preserve">Japan </t>
        </is>
      </c>
      <c r="F3" s="65" t="inlineStr">
        <is>
          <t>Germany</t>
        </is>
      </c>
      <c r="G3" s="65" t="inlineStr">
        <is>
          <t>France</t>
        </is>
      </c>
      <c r="H3" s="65" t="inlineStr">
        <is>
          <t>UK</t>
        </is>
      </c>
      <c r="I3" s="65" t="inlineStr">
        <is>
          <t xml:space="preserve">Italy </t>
        </is>
      </c>
      <c r="J3" s="65" t="inlineStr">
        <is>
          <t>Spain</t>
        </is>
      </c>
      <c r="K3" s="65" t="inlineStr">
        <is>
          <t>Sweden</t>
        </is>
      </c>
      <c r="L3" s="65" t="inlineStr">
        <is>
          <t>Mexico</t>
        </is>
      </c>
      <c r="M3" s="65" t="inlineStr">
        <is>
          <t>Russia</t>
        </is>
      </c>
      <c r="N3" s="65" t="inlineStr">
        <is>
          <t>India</t>
        </is>
      </c>
      <c r="O3" s="65" t="inlineStr">
        <is>
          <t>Canada</t>
        </is>
      </c>
      <c r="P3" s="65" t="inlineStr">
        <is>
          <t xml:space="preserve">S Korea </t>
        </is>
      </c>
      <c r="Q3" s="65" t="inlineStr">
        <is>
          <t>Brazil</t>
        </is>
      </c>
      <c r="R3" s="65" t="inlineStr">
        <is>
          <t>Greece</t>
        </is>
      </c>
      <c r="S3" s="65" t="inlineStr">
        <is>
          <t>Ireland</t>
        </is>
      </c>
      <c r="T3" s="65" t="inlineStr">
        <is>
          <t>Turkey</t>
        </is>
      </c>
      <c r="U3" s="65" t="inlineStr">
        <is>
          <t xml:space="preserve">Czech </t>
        </is>
      </c>
      <c r="V3" s="66" t="inlineStr">
        <is>
          <t>Poland</t>
        </is>
      </c>
      <c r="Z3" s="19">
        <f>EDATE(Z2,-1)</f>
        <v/>
      </c>
    </row>
    <row r="4">
      <c r="B4" s="67" t="inlineStr">
        <is>
          <t>max 1y</t>
        </is>
      </c>
      <c r="C4" s="4">
        <f>MAX(C382:C393)</f>
        <v/>
      </c>
      <c r="D4" s="4">
        <f>MAX(D382:D393)</f>
        <v/>
      </c>
      <c r="E4" s="4">
        <f>MAX(E382:E393)</f>
        <v/>
      </c>
      <c r="F4" s="4">
        <f>MAX(F382:F393)</f>
        <v/>
      </c>
      <c r="G4" s="4">
        <f>MAX(G382:G393)</f>
        <v/>
      </c>
      <c r="H4" s="4">
        <f>MAX(H382:H393)</f>
        <v/>
      </c>
      <c r="I4" s="4">
        <f>MAX(I382:I393)</f>
        <v/>
      </c>
      <c r="J4" s="4">
        <f>MAX(J382:J393)</f>
        <v/>
      </c>
      <c r="K4" s="4">
        <f>MAX(K382:K393)</f>
        <v/>
      </c>
      <c r="L4" s="4">
        <f>MAX(L382:L393)</f>
        <v/>
      </c>
      <c r="M4" s="4">
        <f>MAX(M382:M393)</f>
        <v/>
      </c>
      <c r="N4" s="4">
        <f>MAX(N382:N393)</f>
        <v/>
      </c>
      <c r="O4" s="4">
        <f>MAX(O382:O393)</f>
        <v/>
      </c>
      <c r="P4" s="4">
        <f>MAX(P382:P393)</f>
        <v/>
      </c>
      <c r="Q4" s="4">
        <f>MAX(Q382:Q393)</f>
        <v/>
      </c>
      <c r="R4" s="4">
        <f>MAX(R382:R393)</f>
        <v/>
      </c>
      <c r="S4" s="4">
        <f>MAX(S382:S393)</f>
        <v/>
      </c>
      <c r="T4" s="4">
        <f>MAX(T382:T393)</f>
        <v/>
      </c>
      <c r="U4" s="4">
        <f>MAX(U382:U393)</f>
        <v/>
      </c>
      <c r="V4" s="68">
        <f>MAX(V382:V393)</f>
        <v/>
      </c>
      <c r="Z4" s="19">
        <f>EDATE(Z2,-12)</f>
        <v/>
      </c>
    </row>
    <row r="5">
      <c r="B5" s="67" t="inlineStr">
        <is>
          <t>min 1y</t>
        </is>
      </c>
      <c r="C5" s="4">
        <f>MIN(C382:C393)</f>
        <v/>
      </c>
      <c r="D5" s="4">
        <f>MIN(D382:D393)</f>
        <v/>
      </c>
      <c r="E5" s="4">
        <f>MIN(E382:E393)</f>
        <v/>
      </c>
      <c r="F5" s="4">
        <f>MIN(F382:F393)</f>
        <v/>
      </c>
      <c r="G5" s="4">
        <f>MIN(G382:G393)</f>
        <v/>
      </c>
      <c r="H5" s="4">
        <f>MIN(H382:H393)</f>
        <v/>
      </c>
      <c r="I5" s="4">
        <f>MIN(I382:I393)</f>
        <v/>
      </c>
      <c r="J5" s="4">
        <f>MIN(J382:J393)</f>
        <v/>
      </c>
      <c r="K5" s="4">
        <f>MIN(K382:K393)</f>
        <v/>
      </c>
      <c r="L5" s="4">
        <f>MIN(L382:L393)</f>
        <v/>
      </c>
      <c r="M5" s="4">
        <f>MIN(M382:M393)</f>
        <v/>
      </c>
      <c r="N5" s="4">
        <f>MIN(N382:N393)</f>
        <v/>
      </c>
      <c r="O5" s="4">
        <f>MIN(O382:O393)</f>
        <v/>
      </c>
      <c r="P5" s="4">
        <f>MIN(P382:P393)</f>
        <v/>
      </c>
      <c r="Q5" s="4">
        <f>MIN(Q382:Q393)</f>
        <v/>
      </c>
      <c r="R5" s="4">
        <f>MIN(R382:R393)</f>
        <v/>
      </c>
      <c r="S5" s="4">
        <f>MIN(S382:S393)</f>
        <v/>
      </c>
      <c r="T5" s="4">
        <f>MIN(T382:T393)</f>
        <v/>
      </c>
      <c r="U5" s="4">
        <f>MIN(U382:U393)</f>
        <v/>
      </c>
      <c r="V5" s="68">
        <f>MIN(V382:V393)</f>
        <v/>
      </c>
    </row>
    <row r="6">
      <c r="B6" s="67" t="inlineStr">
        <is>
          <t>1y avg</t>
        </is>
      </c>
      <c r="C6" s="4">
        <f>AVERAGE(C382:C393)</f>
        <v/>
      </c>
      <c r="D6" s="4">
        <f>AVERAGE(D382:D393)</f>
        <v/>
      </c>
      <c r="E6" s="4">
        <f>AVERAGE(E382:E393)</f>
        <v/>
      </c>
      <c r="F6" s="4">
        <f>AVERAGE(F382:F393)</f>
        <v/>
      </c>
      <c r="G6" s="4">
        <f>AVERAGE(G382:G393)</f>
        <v/>
      </c>
      <c r="H6" s="4">
        <f>AVERAGE(H382:H393)</f>
        <v/>
      </c>
      <c r="I6" s="4">
        <f>AVERAGE(I382:I393)</f>
        <v/>
      </c>
      <c r="J6" s="4">
        <f>AVERAGE(J382:J393)</f>
        <v/>
      </c>
      <c r="K6" s="4">
        <f>AVERAGE(K382:K393)</f>
        <v/>
      </c>
      <c r="L6" s="4">
        <f>AVERAGE(L382:L393)</f>
        <v/>
      </c>
      <c r="M6" s="4">
        <f>AVERAGE(M382:M393)</f>
        <v/>
      </c>
      <c r="N6" s="4">
        <f>AVERAGE(N382:N393)</f>
        <v/>
      </c>
      <c r="O6" s="4">
        <f>AVERAGE(O382:O393)</f>
        <v/>
      </c>
      <c r="P6" s="4">
        <f>AVERAGE(P382:P393)</f>
        <v/>
      </c>
      <c r="Q6" s="4">
        <f>AVERAGE(Q382:Q393)</f>
        <v/>
      </c>
      <c r="R6" s="4">
        <f>AVERAGE(R382:R393)</f>
        <v/>
      </c>
      <c r="S6" s="4">
        <f>AVERAGE(S382:S393)</f>
        <v/>
      </c>
      <c r="T6" s="4">
        <f>AVERAGE(T382:T393)</f>
        <v/>
      </c>
      <c r="U6" s="4">
        <f>AVERAGE(U382:U393)</f>
        <v/>
      </c>
      <c r="V6" s="68">
        <f>AVERAGE(V382:V393)</f>
        <v/>
      </c>
    </row>
    <row r="7">
      <c r="B7" s="67" t="inlineStr">
        <is>
          <t>Last vs 12m avg</t>
        </is>
      </c>
      <c r="C7" s="5">
        <f>IF((VLOOKUP($Z$2,$B:$V,MATCH(C3,$B$3:$V$3,),))&gt;C6,"above","below")</f>
        <v/>
      </c>
      <c r="D7" s="5">
        <f>IF((VLOOKUP($Z$2,$B:$V,MATCH(D3,$B$3:$V$3,),))&gt;D6,"above","below")</f>
        <v/>
      </c>
      <c r="E7" s="5">
        <f>IF((VLOOKUP($Z$2,$B:$V,MATCH(E3,$B$3:$V$3,),))&gt;E6,"above","below")</f>
        <v/>
      </c>
      <c r="F7" s="5">
        <f>IF((VLOOKUP($Z$2,$B:$V,MATCH(F3,$B$3:$V$3,),))&gt;F6,"above","below")</f>
        <v/>
      </c>
      <c r="G7" s="5">
        <f>IF((VLOOKUP($Z$2,$B:$V,MATCH(G3,$B$3:$V$3,),))&gt;G6,"above","below")</f>
        <v/>
      </c>
      <c r="H7" s="5">
        <f>IF((VLOOKUP($Z$2,$B:$V,MATCH(H3,$B$3:$V$3,),))&gt;H6,"above","below")</f>
        <v/>
      </c>
      <c r="I7" s="5">
        <f>IF((VLOOKUP($Z$2,$B:$V,MATCH(I3,$B$3:$V$3,),))&gt;I6,"above","below")</f>
        <v/>
      </c>
      <c r="J7" s="5">
        <f>IF((VLOOKUP($Z$2,$B:$V,MATCH(J3,$B$3:$V$3,),))&gt;J6,"above","below")</f>
        <v/>
      </c>
      <c r="K7" s="5">
        <f>IF((VLOOKUP($Z$2,$B:$V,MATCH(K3,$B$3:$V$3,),))&gt;K6,"above","below")</f>
        <v/>
      </c>
      <c r="L7" s="5">
        <f>IF((VLOOKUP($Z$2,$B:$V,MATCH(L3,$B$3:$V$3,),))&gt;L6,"above","below")</f>
        <v/>
      </c>
      <c r="M7" s="5">
        <f>IF((VLOOKUP($Z$2,$B:$V,MATCH(M3,$B$3:$V$3,),))&gt;M6,"above","below")</f>
        <v/>
      </c>
      <c r="N7" s="5">
        <f>IF((VLOOKUP($Z$2,$B:$V,MATCH(N3,$B$3:$V$3,),))&gt;N6,"above","below")</f>
        <v/>
      </c>
      <c r="O7" s="5">
        <f>IF((VLOOKUP($Z$2,$B:$V,MATCH(O3,$B$3:$V$3,),))&gt;O6,"above","below")</f>
        <v/>
      </c>
      <c r="P7" s="5">
        <f>IF((VLOOKUP($Z$2,$B:$V,MATCH(P3,$B$3:$V$3,),))&gt;P6,"above","below")</f>
        <v/>
      </c>
      <c r="Q7" s="5">
        <f>IF((VLOOKUP($Z$2,$B:$V,MATCH(Q3,$B$3:$V$3,),))&gt;Q6,"above","below")</f>
        <v/>
      </c>
      <c r="R7" s="5">
        <f>IF((VLOOKUP($Z$2,$B:$V,MATCH(R3,$B$3:$V$3,),))&gt;R6,"above","below")</f>
        <v/>
      </c>
      <c r="S7" s="5">
        <f>IF((VLOOKUP($Z$2,$B:$V,MATCH(S3,$B$3:$V$3,),))&gt;S6,"above","below")</f>
        <v/>
      </c>
      <c r="T7" s="5">
        <f>IF((VLOOKUP($Z$2,$B:$V,MATCH(T3,$B$3:$V$3,),))&gt;T6,"above","below")</f>
        <v/>
      </c>
      <c r="U7" s="5">
        <f>IF((VLOOKUP($Z$2,$B:$V,MATCH(U3,$B$3:$V$3,),))&gt;U6,"above","below")</f>
        <v/>
      </c>
      <c r="V7" s="69">
        <f>IF((VLOOKUP($Z$2,$B:$V,MATCH(V3,$B$3:$V$3,),))&gt;V6,"above","below")</f>
        <v/>
      </c>
    </row>
    <row r="8">
      <c r="B8" s="67" t="inlineStr">
        <is>
          <t>Y/Y</t>
        </is>
      </c>
      <c r="C8" s="20">
        <f>VLOOKUP($Z$2,$B:$V,MATCH(C3,$B$3:$V$3,),)-VLOOKUP($Z$4,$B:$V,MATCH(C3,$B$3:$V$3,),)</f>
        <v/>
      </c>
      <c r="D8" s="20">
        <f>VLOOKUP($Z$2,$B:$V,MATCH(D3,$B$3:$V$3,),)-VLOOKUP($Z$4,$B:$V,MATCH(D3,$B$3:$V$3,),)</f>
        <v/>
      </c>
      <c r="E8" s="20">
        <f>VLOOKUP($Z$2,$B:$V,MATCH(E3,$B$3:$V$3,),)-VLOOKUP($Z$4,$B:$V,MATCH(E3,$B$3:$V$3,),)</f>
        <v/>
      </c>
      <c r="F8" s="20">
        <f>VLOOKUP($Z$2,$B:$V,MATCH(F3,$B$3:$V$3,),)-VLOOKUP($Z$4,$B:$V,MATCH(F3,$B$3:$V$3,),)</f>
        <v/>
      </c>
      <c r="G8" s="20">
        <f>VLOOKUP($Z$2,$B:$V,MATCH(G3,$B$3:$V$3,),)-VLOOKUP($Z$4,$B:$V,MATCH(G3,$B$3:$V$3,),)</f>
        <v/>
      </c>
      <c r="H8" s="20">
        <f>VLOOKUP($Z$2,$B:$V,MATCH(H3,$B$3:$V$3,),)-VLOOKUP($Z$4,$B:$V,MATCH(H3,$B$3:$V$3,),)</f>
        <v/>
      </c>
      <c r="I8" s="20">
        <f>VLOOKUP($Z$2,$B:$V,MATCH(I3,$B$3:$V$3,),)-VLOOKUP($Z$4,$B:$V,MATCH(I3,$B$3:$V$3,),)</f>
        <v/>
      </c>
      <c r="J8" s="20">
        <f>VLOOKUP($Z$2,$B:$V,MATCH(J3,$B$3:$V$3,),)-VLOOKUP($Z$4,$B:$V,MATCH(J3,$B$3:$V$3,),)</f>
        <v/>
      </c>
      <c r="K8" s="20">
        <f>VLOOKUP($Z$2,$B:$V,MATCH(K3,$B$3:$V$3,),)-VLOOKUP($Z$4,$B:$V,MATCH(K3,$B$3:$V$3,),)</f>
        <v/>
      </c>
      <c r="L8" s="20">
        <f>VLOOKUP($Z$2,$B:$V,MATCH(L3,$B$3:$V$3,),)-VLOOKUP($Z$4,$B:$V,MATCH(L3,$B$3:$V$3,),)</f>
        <v/>
      </c>
      <c r="M8" s="20">
        <f>VLOOKUP($Z$2,$B:$V,MATCH(M3,$B$3:$V$3,),)-VLOOKUP($Z$4,$B:$V,MATCH(M3,$B$3:$V$3,),)</f>
        <v/>
      </c>
      <c r="N8" s="20">
        <f>VLOOKUP($Z$2,$B:$V,MATCH(N3,$B$3:$V$3,),)-VLOOKUP($Z$4,$B:$V,MATCH(N3,$B$3:$V$3,),)</f>
        <v/>
      </c>
      <c r="O8" s="20">
        <f>VLOOKUP($Z$2,$B:$V,MATCH(O3,$B$3:$V$3,),)-VLOOKUP($Z$4,$B:$V,MATCH(O3,$B$3:$V$3,),)</f>
        <v/>
      </c>
      <c r="P8" s="20">
        <f>VLOOKUP($Z$2,$B:$V,MATCH(P3,$B$3:$V$3,),)-VLOOKUP($Z$4,$B:$V,MATCH(P3,$B$3:$V$3,),)</f>
        <v/>
      </c>
      <c r="Q8" s="20">
        <f>VLOOKUP($Z$2,$B:$V,MATCH(Q3,$B$3:$V$3,),)-VLOOKUP($Z$4,$B:$V,MATCH(Q3,$B$3:$V$3,),)</f>
        <v/>
      </c>
      <c r="R8" s="20">
        <f>VLOOKUP($Z$2,$B:$V,MATCH(R3,$B$3:$V$3,),)-VLOOKUP($Z$4,$B:$V,MATCH(R3,$B$3:$V$3,),)</f>
        <v/>
      </c>
      <c r="S8" s="20">
        <f>VLOOKUP($Z$2,$B:$V,MATCH(S3,$B$3:$V$3,),)-VLOOKUP($Z$4,$B:$V,MATCH(S3,$B$3:$V$3,),)</f>
        <v/>
      </c>
      <c r="T8" s="20">
        <f>VLOOKUP($Z$2,$B:$V,MATCH(T3,$B$3:$V$3,),)-VLOOKUP($Z$4,$B:$V,MATCH(T3,$B$3:$V$3,),)</f>
        <v/>
      </c>
      <c r="U8" s="20">
        <f>VLOOKUP($Z$2,$B:$V,MATCH(U3,$B$3:$V$3,),)-VLOOKUP($Z$4,$B:$V,MATCH(U3,$B$3:$V$3,),)</f>
        <v/>
      </c>
      <c r="V8" s="70">
        <f>VLOOKUP($Z$2,$B:$V,MATCH(V3,$B$3:$V$3,),)-VLOOKUP($Z$4,$B:$V,MATCH(V3,$B$3:$V$3,),)</f>
        <v/>
      </c>
    </row>
    <row r="9" ht="16" customHeight="1" s="135" thickBot="1">
      <c r="B9" s="71" t="inlineStr">
        <is>
          <t>M/M</t>
        </is>
      </c>
      <c r="C9" s="72">
        <f>VLOOKUP($Z$2,$B:$V,MATCH(C3,$B$3:$V$3,),)-VLOOKUP($Z$3,$B:$V,MATCH(C3,$B$3:$V$3,),)</f>
        <v/>
      </c>
      <c r="D9" s="72">
        <f>VLOOKUP($Z$2,$B:$V,MATCH(D3,$B$3:$V$3,),)-VLOOKUP($Z$3,$B:$V,MATCH(D3,$B$3:$V$3,),)</f>
        <v/>
      </c>
      <c r="E9" s="72">
        <f>VLOOKUP($Z$2,$B:$V,MATCH(E3,$B$3:$V$3,),)-VLOOKUP($Z$3,$B:$V,MATCH(E3,$B$3:$V$3,),)</f>
        <v/>
      </c>
      <c r="F9" s="72">
        <f>VLOOKUP($Z$2,$B:$V,MATCH(F3,$B$3:$V$3,),)-VLOOKUP($Z$3,$B:$V,MATCH(F3,$B$3:$V$3,),)</f>
        <v/>
      </c>
      <c r="G9" s="72">
        <f>VLOOKUP($Z$2,$B:$V,MATCH(G3,$B$3:$V$3,),)-VLOOKUP($Z$3,$B:$V,MATCH(G3,$B$3:$V$3,),)</f>
        <v/>
      </c>
      <c r="H9" s="72">
        <f>VLOOKUP($Z$2,$B:$V,MATCH(H3,$B$3:$V$3,),)-VLOOKUP($Z$3,$B:$V,MATCH(H3,$B$3:$V$3,),)</f>
        <v/>
      </c>
      <c r="I9" s="72">
        <f>VLOOKUP($Z$2,$B:$V,MATCH(I3,$B$3:$V$3,),)-VLOOKUP($Z$3,$B:$V,MATCH(I3,$B$3:$V$3,),)</f>
        <v/>
      </c>
      <c r="J9" s="72">
        <f>VLOOKUP($Z$2,$B:$V,MATCH(J3,$B$3:$V$3,),)-VLOOKUP($Z$3,$B:$V,MATCH(J3,$B$3:$V$3,),)</f>
        <v/>
      </c>
      <c r="K9" s="72">
        <f>VLOOKUP($Z$2,$B:$V,MATCH(K3,$B$3:$V$3,),)-VLOOKUP($Z$3,$B:$V,MATCH(K3,$B$3:$V$3,),)</f>
        <v/>
      </c>
      <c r="L9" s="72">
        <f>VLOOKUP($Z$2,$B:$V,MATCH(L3,$B$3:$V$3,),)-VLOOKUP($Z$3,$B:$V,MATCH(L3,$B$3:$V$3,),)</f>
        <v/>
      </c>
      <c r="M9" s="72">
        <f>VLOOKUP($Z$2,$B:$V,MATCH(M3,$B$3:$V$3,),)-VLOOKUP($Z$3,$B:$V,MATCH(M3,$B$3:$V$3,),)</f>
        <v/>
      </c>
      <c r="N9" s="72">
        <f>VLOOKUP($Z$2,$B:$V,MATCH(N3,$B$3:$V$3,),)-VLOOKUP($Z$3,$B:$V,MATCH(N3,$B$3:$V$3,),)</f>
        <v/>
      </c>
      <c r="O9" s="72">
        <f>VLOOKUP($Z$2,$B:$V,MATCH(O3,$B$3:$V$3,),)-VLOOKUP($Z$3,$B:$V,MATCH(O3,$B$3:$V$3,),)</f>
        <v/>
      </c>
      <c r="P9" s="72">
        <f>VLOOKUP($Z$2,$B:$V,MATCH(P3,$B$3:$V$3,),)-VLOOKUP($Z$3,$B:$V,MATCH(P3,$B$3:$V$3,),)</f>
        <v/>
      </c>
      <c r="Q9" s="72">
        <f>VLOOKUP($Z$2,$B:$V,MATCH(Q3,$B$3:$V$3,),)-VLOOKUP($Z$3,$B:$V,MATCH(Q3,$B$3:$V$3,),)</f>
        <v/>
      </c>
      <c r="R9" s="72">
        <f>VLOOKUP($Z$2,$B:$V,MATCH(R3,$B$3:$V$3,),)-VLOOKUP($Z$3,$B:$V,MATCH(R3,$B$3:$V$3,),)</f>
        <v/>
      </c>
      <c r="S9" s="72">
        <f>VLOOKUP($Z$2,$B:$V,MATCH(S3,$B$3:$V$3,),)-VLOOKUP($Z$3,$B:$V,MATCH(S3,$B$3:$V$3,),)</f>
        <v/>
      </c>
      <c r="T9" s="72">
        <f>VLOOKUP($Z$2,$B:$V,MATCH(T3,$B$3:$V$3,),)-VLOOKUP($Z$3,$B:$V,MATCH(T3,$B$3:$V$3,),)</f>
        <v/>
      </c>
      <c r="U9" s="72">
        <f>VLOOKUP($Z$2,$B:$V,MATCH(U3,$B$3:$V$3,),)-VLOOKUP($Z$3,$B:$V,MATCH(U3,$B$3:$V$3,),)</f>
        <v/>
      </c>
      <c r="V9" s="73">
        <f>VLOOKUP($Z$2,$B:$V,MATCH(V3,$B$3:$V$3,),)-VLOOKUP($Z$3,$B:$V,MATCH(V3,$B$3:$V$3,),)</f>
        <v/>
      </c>
    </row>
    <row r="10"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</row>
    <row r="11" hidden="1" s="135">
      <c r="B11" s="23" t="n">
        <v>42064</v>
      </c>
      <c r="C11" s="6" t="n">
        <v>55.3</v>
      </c>
      <c r="D11" s="6" t="n">
        <v>52.2</v>
      </c>
      <c r="E11" s="6" t="n">
        <v>50.3</v>
      </c>
      <c r="F11" s="6" t="n">
        <v>52.8</v>
      </c>
      <c r="G11" s="6" t="n">
        <v>48.8</v>
      </c>
      <c r="H11" s="6" t="n">
        <v>54.4</v>
      </c>
      <c r="I11" s="6" t="n">
        <v>53.3</v>
      </c>
      <c r="J11" s="6" t="n">
        <v>54.3</v>
      </c>
      <c r="K11" s="6" t="n">
        <v>0.09999999999999432</v>
      </c>
      <c r="L11" s="6" t="n">
        <v>53.8</v>
      </c>
      <c r="M11" s="6" t="n">
        <v>48.1</v>
      </c>
      <c r="N11" s="6" t="n">
        <v>52.1</v>
      </c>
      <c r="O11" s="6" t="n">
        <v>48.9</v>
      </c>
      <c r="P11" s="6" t="n">
        <v>49.2</v>
      </c>
      <c r="Q11" s="6" t="n">
        <v>51</v>
      </c>
      <c r="R11" s="6" t="n">
        <v>48.9</v>
      </c>
      <c r="S11" s="6" t="n">
        <v>56.8</v>
      </c>
      <c r="T11" s="6" t="n">
        <v>48</v>
      </c>
      <c r="U11" s="6" t="n">
        <v>56.1</v>
      </c>
      <c r="V11" s="6" t="n">
        <v>54.8</v>
      </c>
    </row>
    <row r="12" hidden="1" s="135">
      <c r="B12" s="23" t="n">
        <v>42095</v>
      </c>
      <c r="C12" s="6" t="n">
        <v>54.1</v>
      </c>
      <c r="D12" s="6" t="n">
        <v>52</v>
      </c>
      <c r="E12" s="6" t="n">
        <v>49.9</v>
      </c>
      <c r="F12" s="6" t="n">
        <v>52.1</v>
      </c>
      <c r="G12" s="6" t="n">
        <v>48</v>
      </c>
      <c r="H12" s="6" t="n">
        <v>51.9</v>
      </c>
      <c r="I12" s="6" t="n">
        <v>53.8</v>
      </c>
      <c r="J12" s="6" t="n">
        <v>54.2</v>
      </c>
      <c r="K12" s="6" t="n">
        <v>-0.09999999999999432</v>
      </c>
      <c r="L12" s="6" t="n">
        <v>53.8</v>
      </c>
      <c r="M12" s="6" t="n">
        <v>48.9</v>
      </c>
      <c r="N12" s="6" t="n">
        <v>51.3</v>
      </c>
      <c r="O12" s="6" t="n">
        <v>49</v>
      </c>
      <c r="P12" s="6" t="n">
        <v>48.8</v>
      </c>
      <c r="Q12" s="6" t="n">
        <v>49.2</v>
      </c>
      <c r="R12" s="6" t="n">
        <v>46.5</v>
      </c>
      <c r="S12" s="6" t="n">
        <v>55.8</v>
      </c>
      <c r="T12" s="6" t="n">
        <v>48.5</v>
      </c>
      <c r="U12" s="6" t="n">
        <v>54.7</v>
      </c>
      <c r="V12" s="6" t="n">
        <v>54</v>
      </c>
    </row>
    <row r="13" hidden="1" s="135">
      <c r="B13" s="23" t="n">
        <v>42125</v>
      </c>
      <c r="C13" s="6" t="n">
        <v>53.8</v>
      </c>
      <c r="D13" s="6" t="n">
        <v>52.2</v>
      </c>
      <c r="E13" s="6" t="n">
        <v>50.9</v>
      </c>
      <c r="F13" s="6" t="n">
        <v>51.1</v>
      </c>
      <c r="G13" s="6" t="n">
        <v>49.4</v>
      </c>
      <c r="H13" s="6" t="n">
        <v>52.2</v>
      </c>
      <c r="I13" s="6" t="n">
        <v>54.8</v>
      </c>
      <c r="J13" s="6" t="n">
        <v>55.8</v>
      </c>
      <c r="K13" s="6" t="n">
        <v>1.599999999999994</v>
      </c>
      <c r="L13" s="6" t="n">
        <v>53.3</v>
      </c>
      <c r="M13" s="6" t="n">
        <v>47.6</v>
      </c>
      <c r="N13" s="6" t="n">
        <v>52.6</v>
      </c>
      <c r="O13" s="6" t="n">
        <v>49.8</v>
      </c>
      <c r="P13" s="6" t="n">
        <v>47.8</v>
      </c>
      <c r="Q13" s="6" t="n">
        <v>49.3</v>
      </c>
      <c r="R13" s="6" t="n">
        <v>48</v>
      </c>
      <c r="S13" s="6" t="n">
        <v>57.1</v>
      </c>
      <c r="T13" s="6" t="n">
        <v>50.2</v>
      </c>
      <c r="U13" s="6" t="n">
        <v>55.5</v>
      </c>
      <c r="V13" s="6" t="n">
        <v>52.4</v>
      </c>
    </row>
    <row r="14" hidden="1" s="135">
      <c r="B14" s="23" t="n">
        <v>42156</v>
      </c>
      <c r="C14" s="6" t="n">
        <v>53.6</v>
      </c>
      <c r="D14" s="6" t="n">
        <v>52.5</v>
      </c>
      <c r="E14" s="6" t="n">
        <v>50.1</v>
      </c>
      <c r="F14" s="6" t="n">
        <v>51.9</v>
      </c>
      <c r="G14" s="6" t="n">
        <v>50.7</v>
      </c>
      <c r="H14" s="6" t="n">
        <v>51.9</v>
      </c>
      <c r="I14" s="6" t="n">
        <v>54.1</v>
      </c>
      <c r="J14" s="6" t="n">
        <v>54.5</v>
      </c>
      <c r="K14" s="6" t="n">
        <v>-1.299999999999997</v>
      </c>
      <c r="L14" s="6" t="n">
        <v>52</v>
      </c>
      <c r="M14" s="6" t="n">
        <v>48.7</v>
      </c>
      <c r="N14" s="6" t="n">
        <v>51.3</v>
      </c>
      <c r="O14" s="6" t="n">
        <v>51.3</v>
      </c>
      <c r="P14" s="6" t="n">
        <v>46.1</v>
      </c>
      <c r="Q14" s="6" t="n">
        <v>46.3</v>
      </c>
      <c r="R14" s="6" t="n">
        <v>46.9</v>
      </c>
      <c r="S14" s="6" t="n">
        <v>54.6</v>
      </c>
      <c r="T14" s="6" t="n">
        <v>49</v>
      </c>
      <c r="U14" s="6" t="n">
        <v>56.9</v>
      </c>
      <c r="V14" s="6" t="n">
        <v>54.3</v>
      </c>
    </row>
    <row r="15" hidden="1" s="135">
      <c r="B15" s="23" t="n">
        <v>42186</v>
      </c>
      <c r="C15" s="6" t="n">
        <v>53.8</v>
      </c>
      <c r="D15" s="6" t="n">
        <v>52.4</v>
      </c>
      <c r="E15" s="6" t="n">
        <v>51.2</v>
      </c>
      <c r="F15" s="6" t="n">
        <v>51.8</v>
      </c>
      <c r="G15" s="6" t="n">
        <v>49.6</v>
      </c>
      <c r="H15" s="6" t="n">
        <v>52.5</v>
      </c>
      <c r="I15" s="6" t="n">
        <v>55.3</v>
      </c>
      <c r="J15" s="6" t="n">
        <v>53.6</v>
      </c>
      <c r="K15" s="6" t="n">
        <v>-0.8999999999999986</v>
      </c>
      <c r="L15" s="6" t="n">
        <v>52.9</v>
      </c>
      <c r="M15" s="6" t="n">
        <v>48.3</v>
      </c>
      <c r="N15" s="6" t="n">
        <v>52.7</v>
      </c>
      <c r="O15" s="6" t="n">
        <v>50.8</v>
      </c>
      <c r="P15" s="6" t="n">
        <v>47.6</v>
      </c>
      <c r="Q15" s="6" t="n">
        <v>47.1</v>
      </c>
      <c r="R15" s="6" t="n">
        <v>30.2</v>
      </c>
      <c r="S15" s="6" t="n">
        <v>56.7</v>
      </c>
      <c r="T15" s="6" t="n">
        <v>50.1</v>
      </c>
      <c r="U15" s="6" t="n">
        <v>57.5</v>
      </c>
      <c r="V15" s="6" t="n">
        <v>54.5</v>
      </c>
    </row>
    <row r="16" hidden="1" s="135">
      <c r="B16" s="23" t="n">
        <v>42217</v>
      </c>
      <c r="C16" s="6" t="n">
        <v>53</v>
      </c>
      <c r="D16" s="6" t="n">
        <v>52.3</v>
      </c>
      <c r="E16" s="6" t="n">
        <v>51.7</v>
      </c>
      <c r="F16" s="6" t="n">
        <v>53.3</v>
      </c>
      <c r="G16" s="6" t="n">
        <v>48.3</v>
      </c>
      <c r="H16" s="6" t="n">
        <v>51.6</v>
      </c>
      <c r="I16" s="6" t="n">
        <v>53.8</v>
      </c>
      <c r="J16" s="6" t="n">
        <v>53.2</v>
      </c>
      <c r="K16" s="6" t="n">
        <v>-0.3999999999999986</v>
      </c>
      <c r="L16" s="6" t="n">
        <v>52.4</v>
      </c>
      <c r="M16" s="6" t="n">
        <v>47.9</v>
      </c>
      <c r="N16" s="6" t="n">
        <v>52.3</v>
      </c>
      <c r="O16" s="6" t="n">
        <v>49.4</v>
      </c>
      <c r="P16" s="6" t="n">
        <v>47.9</v>
      </c>
      <c r="Q16" s="6" t="n">
        <v>46.1</v>
      </c>
      <c r="R16" s="6" t="n">
        <v>39.1</v>
      </c>
      <c r="S16" s="6" t="n">
        <v>53.6</v>
      </c>
      <c r="T16" s="6" t="n">
        <v>49.3</v>
      </c>
      <c r="U16" s="6" t="n">
        <v>56.6</v>
      </c>
      <c r="V16" s="6" t="n">
        <v>51.1</v>
      </c>
    </row>
    <row r="17" hidden="1" s="135">
      <c r="B17" s="23" t="n">
        <v>42248</v>
      </c>
      <c r="C17" s="6" t="n">
        <v>53.1</v>
      </c>
      <c r="D17" s="6" t="n">
        <v>52</v>
      </c>
      <c r="E17" s="6" t="n">
        <v>51</v>
      </c>
      <c r="F17" s="6" t="n">
        <v>52.3</v>
      </c>
      <c r="G17" s="6" t="n">
        <v>50.6</v>
      </c>
      <c r="H17" s="6" t="n">
        <v>51.6</v>
      </c>
      <c r="I17" s="6" t="n">
        <v>52.7</v>
      </c>
      <c r="J17" s="6" t="n">
        <v>51.7</v>
      </c>
      <c r="K17" s="6" t="n">
        <v>-1.5</v>
      </c>
      <c r="L17" s="6" t="n">
        <v>52.1</v>
      </c>
      <c r="M17" s="6" t="n">
        <v>49.1</v>
      </c>
      <c r="N17" s="6" t="n">
        <v>51.2</v>
      </c>
      <c r="O17" s="6" t="n">
        <v>48.6</v>
      </c>
      <c r="P17" s="6" t="n">
        <v>49.2</v>
      </c>
      <c r="Q17" s="6" t="n">
        <v>46.9</v>
      </c>
      <c r="R17" s="6" t="n">
        <v>43.3</v>
      </c>
      <c r="S17" s="6" t="n">
        <v>53.8</v>
      </c>
      <c r="T17" s="6" t="n">
        <v>48.8</v>
      </c>
      <c r="U17" s="6" t="n">
        <v>55.5</v>
      </c>
      <c r="V17" s="6" t="n">
        <v>50.9</v>
      </c>
    </row>
    <row r="18" hidden="1" s="135">
      <c r="B18" s="23" t="n">
        <v>42278</v>
      </c>
      <c r="C18" s="6" t="n">
        <v>54.1</v>
      </c>
      <c r="D18" s="6" t="n">
        <v>52.3</v>
      </c>
      <c r="E18" s="6" t="n">
        <v>52.4</v>
      </c>
      <c r="F18" s="6" t="n">
        <v>52.1</v>
      </c>
      <c r="G18" s="6" t="n">
        <v>50.6</v>
      </c>
      <c r="H18" s="6" t="n">
        <v>54.3</v>
      </c>
      <c r="I18" s="6" t="n">
        <v>54.1</v>
      </c>
      <c r="J18" s="6" t="n">
        <v>51.3</v>
      </c>
      <c r="K18" s="6" t="n">
        <v>-0.4000000000000057</v>
      </c>
      <c r="L18" s="6" t="n">
        <v>53</v>
      </c>
      <c r="M18" s="6" t="n">
        <v>50.2</v>
      </c>
      <c r="N18" s="6" t="n">
        <v>50.7</v>
      </c>
      <c r="O18" s="6" t="n">
        <v>48</v>
      </c>
      <c r="P18" s="6" t="n">
        <v>49.1</v>
      </c>
      <c r="Q18" s="6" t="n">
        <v>47.8</v>
      </c>
      <c r="R18" s="6" t="n">
        <v>47.3</v>
      </c>
      <c r="S18" s="6" t="n">
        <v>53.6</v>
      </c>
      <c r="T18" s="6" t="n">
        <v>49.5</v>
      </c>
      <c r="U18" s="6" t="n">
        <v>54</v>
      </c>
      <c r="V18" s="6" t="n">
        <v>52.2</v>
      </c>
    </row>
    <row r="19" hidden="1" s="135">
      <c r="B19" s="23" t="n">
        <v>42309</v>
      </c>
      <c r="C19" s="6" t="n">
        <v>52.8</v>
      </c>
      <c r="D19" s="6" t="n">
        <v>52.8</v>
      </c>
      <c r="E19" s="6" t="n">
        <v>52.6</v>
      </c>
      <c r="F19" s="6" t="n">
        <v>52.9</v>
      </c>
      <c r="G19" s="6" t="n">
        <v>50.6</v>
      </c>
      <c r="H19" s="6" t="n">
        <v>52.3</v>
      </c>
      <c r="I19" s="6" t="n">
        <v>54.9</v>
      </c>
      <c r="J19" s="6" t="n">
        <v>53.1</v>
      </c>
      <c r="K19" s="6" t="n">
        <v>1.800000000000004</v>
      </c>
      <c r="L19" s="6" t="n">
        <v>53</v>
      </c>
      <c r="M19" s="6" t="n">
        <v>50.1</v>
      </c>
      <c r="N19" s="6" t="n">
        <v>50.3</v>
      </c>
      <c r="O19" s="6" t="n">
        <v>48.6</v>
      </c>
      <c r="P19" s="6" t="n">
        <v>49.1</v>
      </c>
      <c r="Q19" s="6" t="n">
        <v>49.5</v>
      </c>
      <c r="R19" s="6" t="n">
        <v>48.1</v>
      </c>
      <c r="S19" s="6" t="n">
        <v>53.3</v>
      </c>
      <c r="T19" s="6" t="n">
        <v>50.9</v>
      </c>
      <c r="U19" s="6" t="n">
        <v>54.2</v>
      </c>
      <c r="V19" s="6" t="n">
        <v>52.1</v>
      </c>
    </row>
    <row r="20" hidden="1" s="135">
      <c r="B20" s="23" t="n">
        <v>42339</v>
      </c>
      <c r="C20" s="6" t="n">
        <v>51.2</v>
      </c>
      <c r="D20" s="6" t="n">
        <v>53.2</v>
      </c>
      <c r="E20" s="6" t="n">
        <v>52.6</v>
      </c>
      <c r="F20" s="6" t="n">
        <v>53.2</v>
      </c>
      <c r="G20" s="6" t="n">
        <v>51.4</v>
      </c>
      <c r="H20" s="6" t="n">
        <v>51</v>
      </c>
      <c r="I20" s="6" t="n">
        <v>55.6</v>
      </c>
      <c r="J20" s="6" t="n">
        <v>53</v>
      </c>
      <c r="K20" s="6" t="n">
        <v>-0.1000000000000014</v>
      </c>
      <c r="L20" s="6" t="n">
        <v>52.4</v>
      </c>
      <c r="M20" s="6" t="n">
        <v>48.7</v>
      </c>
      <c r="N20" s="6" t="n">
        <v>49.1</v>
      </c>
      <c r="O20" s="6" t="n">
        <v>47.5</v>
      </c>
      <c r="P20" s="6" t="n">
        <v>50.7</v>
      </c>
      <c r="Q20" s="6" t="n">
        <v>51.7</v>
      </c>
      <c r="R20" s="6" t="n">
        <v>50.2</v>
      </c>
      <c r="S20" s="6" t="n">
        <v>54.2</v>
      </c>
      <c r="T20" s="6" t="n">
        <v>52.2</v>
      </c>
      <c r="U20" s="6" t="n">
        <v>55.6</v>
      </c>
      <c r="V20" s="6" t="n">
        <v>52.1</v>
      </c>
    </row>
    <row r="21" hidden="1" s="135">
      <c r="B21" s="23" t="n">
        <v>42370</v>
      </c>
      <c r="C21" s="6" t="n">
        <v>52.4</v>
      </c>
      <c r="D21" s="6" t="n">
        <v>52.3</v>
      </c>
      <c r="E21" s="6" t="n">
        <v>52.3</v>
      </c>
      <c r="F21" s="6" t="n">
        <v>52.3</v>
      </c>
      <c r="G21" s="6" t="n">
        <v>50</v>
      </c>
      <c r="H21" s="6" t="n">
        <v>52.2</v>
      </c>
      <c r="I21" s="6" t="n">
        <v>53.2</v>
      </c>
      <c r="J21" s="6" t="n">
        <v>55.4</v>
      </c>
      <c r="K21" s="6" t="n">
        <v>2.399999999999999</v>
      </c>
      <c r="L21" s="6" t="n">
        <v>52.2</v>
      </c>
      <c r="M21" s="6" t="n">
        <v>49.8</v>
      </c>
      <c r="N21" s="6" t="n">
        <v>51.1</v>
      </c>
      <c r="O21" s="6" t="n">
        <v>49.3</v>
      </c>
      <c r="P21" s="6" t="n">
        <v>49.5</v>
      </c>
      <c r="Q21" s="6" t="n">
        <v>50.6</v>
      </c>
      <c r="R21" s="6" t="n">
        <v>50</v>
      </c>
      <c r="S21" s="6" t="n">
        <v>54.3</v>
      </c>
      <c r="T21" s="6" t="n">
        <v>50.9</v>
      </c>
      <c r="U21" s="6" t="n">
        <v>56.9</v>
      </c>
      <c r="V21" s="6" t="n">
        <v>50.9</v>
      </c>
    </row>
    <row r="22" hidden="1" s="135">
      <c r="B22" s="23" t="n">
        <v>42401</v>
      </c>
      <c r="C22" s="6" t="n">
        <v>51.3</v>
      </c>
      <c r="D22" s="6" t="n">
        <v>51.2</v>
      </c>
      <c r="E22" s="6" t="n">
        <v>50.1</v>
      </c>
      <c r="F22" s="6" t="n">
        <v>50.5</v>
      </c>
      <c r="G22" s="6" t="n">
        <v>50.2</v>
      </c>
      <c r="H22" s="6" t="n">
        <v>50.8</v>
      </c>
      <c r="I22" s="6" t="n">
        <v>52.2</v>
      </c>
      <c r="J22" s="6" t="n">
        <v>54.1</v>
      </c>
      <c r="K22" s="6" t="n">
        <v>-1.299999999999997</v>
      </c>
      <c r="L22" s="6" t="n">
        <v>53.1</v>
      </c>
      <c r="M22" s="6" t="n">
        <v>49.3</v>
      </c>
      <c r="N22" s="6" t="n">
        <v>51.1</v>
      </c>
      <c r="O22" s="6" t="n">
        <v>49.4</v>
      </c>
      <c r="P22" s="6" t="n">
        <v>48.7</v>
      </c>
      <c r="Q22" s="6" t="n">
        <v>49.4</v>
      </c>
      <c r="R22" s="6" t="n">
        <v>48.4</v>
      </c>
      <c r="S22" s="6" t="n">
        <v>52.9</v>
      </c>
      <c r="T22" s="6" t="n">
        <v>50.3</v>
      </c>
      <c r="U22" s="6" t="n">
        <v>55.5</v>
      </c>
      <c r="V22" s="6" t="n">
        <v>52.8</v>
      </c>
    </row>
    <row r="23" hidden="1" s="135">
      <c r="B23" s="23" t="n">
        <v>42430</v>
      </c>
      <c r="C23" s="6" t="n">
        <v>51.5</v>
      </c>
      <c r="D23" s="6" t="n">
        <v>51.6</v>
      </c>
      <c r="E23" s="6" t="n">
        <v>49.1</v>
      </c>
      <c r="F23" s="6" t="n">
        <v>50.7</v>
      </c>
      <c r="G23" s="6" t="n">
        <v>49.6</v>
      </c>
      <c r="H23" s="6" t="n">
        <v>51.1</v>
      </c>
      <c r="I23" s="6" t="n">
        <v>53.5</v>
      </c>
      <c r="J23" s="6" t="n">
        <v>53.4</v>
      </c>
      <c r="K23" s="6" t="n">
        <v>-0.7000000000000028</v>
      </c>
      <c r="L23" s="6" t="n">
        <v>53.2</v>
      </c>
      <c r="M23" s="6" t="n">
        <v>48.3</v>
      </c>
      <c r="N23" s="6" t="n">
        <v>52.4</v>
      </c>
      <c r="O23" s="6" t="n">
        <v>51.5</v>
      </c>
      <c r="P23" s="6" t="n">
        <v>49.5</v>
      </c>
      <c r="Q23" s="6" t="n">
        <v>51.1</v>
      </c>
      <c r="R23" s="6" t="n">
        <v>49</v>
      </c>
      <c r="S23" s="6" t="n">
        <v>54.9</v>
      </c>
      <c r="T23" s="6" t="n">
        <v>49.2</v>
      </c>
      <c r="U23" s="6" t="n">
        <v>54.3</v>
      </c>
      <c r="V23" s="6" t="n">
        <v>53.8</v>
      </c>
    </row>
    <row r="24" customFormat="1" s="129">
      <c r="A24" s="51" t="n"/>
      <c r="B24" s="52" t="n">
        <v>32874</v>
      </c>
      <c r="C24" s="16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6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6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6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6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6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6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6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6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6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6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6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6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6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6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6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6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6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6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6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51">
        <f>DATE(YEAR(B24),MONTH(B24)-12,DAY(B24))</f>
        <v/>
      </c>
    </row>
    <row r="25" customFormat="1" s="129">
      <c r="A25" s="51" t="n"/>
      <c r="B25" s="52" t="n">
        <v>32905</v>
      </c>
      <c r="C25" s="16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6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6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6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6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6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6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6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6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6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6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6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6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6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6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6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6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6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6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6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51">
        <f>EDATE(A25,-12)</f>
        <v/>
      </c>
    </row>
    <row r="26" customFormat="1" s="129">
      <c r="A26" s="51" t="n"/>
      <c r="B26" s="52" t="n">
        <v>32933</v>
      </c>
      <c r="C26" s="16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6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6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6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6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6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6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6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6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6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6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6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6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6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6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6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6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6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6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6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129">
      <c r="A27" s="51" t="n"/>
      <c r="B27" s="52" t="n">
        <v>32964</v>
      </c>
      <c r="C27" s="16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6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6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6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6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6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6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6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6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6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6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6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6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6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6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6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6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6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6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6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129">
      <c r="A28" s="51" t="n"/>
      <c r="B28" s="52" t="n">
        <v>32994</v>
      </c>
      <c r="C28" s="16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6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6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6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6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6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6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6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6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6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6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6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6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6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6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6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6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6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6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6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129">
      <c r="A29" s="51" t="n"/>
      <c r="B29" s="52" t="n">
        <v>33025</v>
      </c>
      <c r="C29" s="16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6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6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6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6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6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6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6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6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6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6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6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6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6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6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6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6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6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6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6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129">
      <c r="A30" s="51" t="n"/>
      <c r="B30" s="52" t="n">
        <v>33055</v>
      </c>
      <c r="C30" s="16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6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6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6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6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6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6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6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6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6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6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6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6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6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6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6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6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6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6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6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129">
      <c r="A31" s="51" t="n"/>
      <c r="B31" s="52" t="n">
        <v>33086</v>
      </c>
      <c r="C31" s="16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6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6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6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6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6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6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6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6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6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6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6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6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6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6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6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6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6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6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6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129">
      <c r="A32" s="51" t="n"/>
      <c r="B32" s="52" t="n">
        <v>33117</v>
      </c>
      <c r="C32" s="16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6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6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6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6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6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6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6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6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6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6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6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6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6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6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6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6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6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6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6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129">
      <c r="A33" s="51" t="n"/>
      <c r="B33" s="52" t="n">
        <v>33147</v>
      </c>
      <c r="C33" s="16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6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6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6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6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6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6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6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6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6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6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6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6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6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6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6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6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6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6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6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129">
      <c r="A34" s="51" t="n"/>
      <c r="B34" s="52" t="n">
        <v>33178</v>
      </c>
      <c r="C34" s="16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6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6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6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6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6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6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6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6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6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6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6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6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6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6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6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6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6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6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6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129">
      <c r="A35" s="51" t="n"/>
      <c r="B35" s="52" t="n">
        <v>33208</v>
      </c>
      <c r="C35" s="16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6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6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6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6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6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6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6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6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6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6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6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6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6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6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6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6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6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6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6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129">
      <c r="A36" s="51" t="n"/>
      <c r="B36" s="52" t="n">
        <v>33239</v>
      </c>
      <c r="C36" s="16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6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6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6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6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6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6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6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6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6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6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6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6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6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6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6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6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6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6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6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129">
      <c r="A37" s="51" t="n"/>
      <c r="B37" s="52" t="n">
        <v>33270</v>
      </c>
      <c r="C37" s="16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6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6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6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6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6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6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6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6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6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6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6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6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6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6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6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6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6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6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6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129">
      <c r="A38" s="51" t="n"/>
      <c r="B38" s="52" t="n">
        <v>33298</v>
      </c>
      <c r="C38" s="16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6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6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6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6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6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6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6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6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6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6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6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6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6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6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6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6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6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6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6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129">
      <c r="A39" s="51" t="n"/>
      <c r="B39" s="52" t="n">
        <v>33329</v>
      </c>
      <c r="C39" s="16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6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6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6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6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6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6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6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6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6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6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6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6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6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6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6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6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6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6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6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129">
      <c r="A40" s="51" t="n"/>
      <c r="B40" s="52" t="n">
        <v>33359</v>
      </c>
      <c r="C40" s="16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6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6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6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6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6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6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6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6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6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6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6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6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6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6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6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6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6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6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6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129">
      <c r="A41" s="51" t="n"/>
      <c r="B41" s="52" t="n">
        <v>33390</v>
      </c>
      <c r="C41" s="16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6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6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6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6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6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6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6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6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6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6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6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6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6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6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6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6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6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6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6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129">
      <c r="A42" s="51" t="n"/>
      <c r="B42" s="52" t="n">
        <v>33420</v>
      </c>
      <c r="C42" s="16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6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6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6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6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6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6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6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6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6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6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6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6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6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6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6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6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6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6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6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129">
      <c r="A43" s="51" t="n"/>
      <c r="B43" s="52" t="n">
        <v>33451</v>
      </c>
      <c r="C43" s="16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6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6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6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6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6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6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6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6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6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6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6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6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6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6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6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6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6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6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6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129">
      <c r="A44" s="51" t="n"/>
      <c r="B44" s="52" t="n">
        <v>33482</v>
      </c>
      <c r="C44" s="16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6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6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6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6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6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6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6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6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6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6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6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6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6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6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6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6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6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6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6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129">
      <c r="A45" s="51" t="n"/>
      <c r="B45" s="52" t="n">
        <v>33512</v>
      </c>
      <c r="C45" s="16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6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6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6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6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6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6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6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6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6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6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6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6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6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6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6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6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6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6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6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129">
      <c r="A46" s="51" t="n"/>
      <c r="B46" s="52" t="n">
        <v>33543</v>
      </c>
      <c r="C46" s="16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6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6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6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6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6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6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6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6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6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6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6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6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6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6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6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6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6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6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6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129">
      <c r="A47" s="51" t="n"/>
      <c r="B47" s="52" t="n">
        <v>33573</v>
      </c>
      <c r="C47" s="16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6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6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6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6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6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6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6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6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6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6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6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6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6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6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6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6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6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6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6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129">
      <c r="A48" s="51" t="n"/>
      <c r="B48" s="52" t="n">
        <v>33604</v>
      </c>
      <c r="C48" s="16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6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6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6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6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6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6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6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6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6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6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6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6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6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6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6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6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6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6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6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129">
      <c r="A49" s="51" t="n"/>
      <c r="B49" s="52" t="n">
        <v>33635</v>
      </c>
      <c r="C49" s="16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6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6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6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6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6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6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6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6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6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6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6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6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6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6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6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6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6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6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6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129">
      <c r="A50" s="51" t="n"/>
      <c r="B50" s="52" t="n">
        <v>33664</v>
      </c>
      <c r="C50" s="16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6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6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6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6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6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6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6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6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6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6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6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6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6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6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6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6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6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6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6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129">
      <c r="A51" s="51" t="n"/>
      <c r="B51" s="52" t="n">
        <v>33695</v>
      </c>
      <c r="C51" s="16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6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6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6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6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6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6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6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6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6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6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6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6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6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6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6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6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6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6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6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129">
      <c r="A52" s="51" t="n"/>
      <c r="B52" s="52" t="n">
        <v>33725</v>
      </c>
      <c r="C52" s="16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6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6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6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6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6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6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6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6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6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6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6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6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6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6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6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6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6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6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6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129">
      <c r="A53" s="51" t="n"/>
      <c r="B53" s="52" t="n">
        <v>33756</v>
      </c>
      <c r="C53" s="16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6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6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6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6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6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6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6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6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6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6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6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6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6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6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6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6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6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6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6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129">
      <c r="A54" s="51" t="n"/>
      <c r="B54" s="52" t="n">
        <v>33786</v>
      </c>
      <c r="C54" s="16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6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6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6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6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6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6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6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6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6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6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6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6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6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6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6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6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6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6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6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129">
      <c r="A55" s="51" t="n"/>
      <c r="B55" s="52" t="n">
        <v>33817</v>
      </c>
      <c r="C55" s="16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6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6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6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6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6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6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6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6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6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6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6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6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6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6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6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6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6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6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6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129">
      <c r="A56" s="51" t="n"/>
      <c r="B56" s="52" t="n">
        <v>33848</v>
      </c>
      <c r="C56" s="16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6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6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6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6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6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6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6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6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6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6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6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6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6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6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6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6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6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6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6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129">
      <c r="A57" s="51" t="n"/>
      <c r="B57" s="52" t="n">
        <v>33878</v>
      </c>
      <c r="C57" s="16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6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6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6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6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6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6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6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6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6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6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6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6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6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6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6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6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6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6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6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129">
      <c r="A58" s="51" t="n"/>
      <c r="B58" s="52" t="n">
        <v>33909</v>
      </c>
      <c r="C58" s="16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6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6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6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6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6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6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6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6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6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6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6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6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6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6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6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6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6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6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6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129">
      <c r="A59" s="51" t="n"/>
      <c r="B59" s="52" t="n">
        <v>33939</v>
      </c>
      <c r="C59" s="16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6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6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6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6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6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6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6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6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6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6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6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6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6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6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6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6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6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6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6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129">
      <c r="A60" s="51" t="n"/>
      <c r="B60" s="52" t="n">
        <v>33970</v>
      </c>
      <c r="C60" s="16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6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6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6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6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6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6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6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6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6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6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6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6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6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6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6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6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6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6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6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129">
      <c r="A61" s="51" t="n"/>
      <c r="B61" s="52" t="n">
        <v>34001</v>
      </c>
      <c r="C61" s="16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6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6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6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6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6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6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6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6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6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6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6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6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6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6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6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6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6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6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6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129">
      <c r="A62" s="51" t="n"/>
      <c r="B62" s="52" t="n">
        <v>34029</v>
      </c>
      <c r="C62" s="16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6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6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6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6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6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6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6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6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6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6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6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6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6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6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6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6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6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6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6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129">
      <c r="A63" s="51" t="n"/>
      <c r="B63" s="52" t="n">
        <v>34060</v>
      </c>
      <c r="C63" s="16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6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6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6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6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6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6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6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6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6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6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6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6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6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6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6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6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6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6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6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129">
      <c r="A64" s="51" t="n"/>
      <c r="B64" s="52" t="n">
        <v>34090</v>
      </c>
      <c r="C64" s="16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6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6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6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6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6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6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6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6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6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6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6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6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6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6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6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6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6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6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6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129">
      <c r="A65" s="51" t="n"/>
      <c r="B65" s="52" t="n">
        <v>34121</v>
      </c>
      <c r="C65" s="16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6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6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6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6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6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6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6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6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6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6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6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6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6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6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6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6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6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6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6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129">
      <c r="A66" s="51" t="n"/>
      <c r="B66" s="52" t="n">
        <v>34151</v>
      </c>
      <c r="C66" s="16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6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6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6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6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6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6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6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6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6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6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6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6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6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6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6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6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6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6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6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129">
      <c r="A67" s="51" t="n"/>
      <c r="B67" s="52" t="n">
        <v>34182</v>
      </c>
      <c r="C67" s="16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6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6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6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6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6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6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6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6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6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6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6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6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6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6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6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6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6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6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6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129">
      <c r="A68" s="51" t="n"/>
      <c r="B68" s="52" t="n">
        <v>34213</v>
      </c>
      <c r="C68" s="16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6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6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6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6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6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6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6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6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6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6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6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6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6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6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6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6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6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6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6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129">
      <c r="A69" s="51" t="n"/>
      <c r="B69" s="52" t="n">
        <v>34243</v>
      </c>
      <c r="C69" s="16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6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6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6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6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6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6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6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6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6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6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6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6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6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6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6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6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6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6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6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129">
      <c r="A70" s="51" t="n"/>
      <c r="B70" s="52" t="n">
        <v>34274</v>
      </c>
      <c r="C70" s="16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6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6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6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6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6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6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6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6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6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6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6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6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6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6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6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6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6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6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6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129">
      <c r="A71" s="51" t="n"/>
      <c r="B71" s="52" t="n">
        <v>34304</v>
      </c>
      <c r="C71" s="16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6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6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6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6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6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6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6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6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6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6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6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6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6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6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6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6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6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6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6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129">
      <c r="A72" s="51" t="n"/>
      <c r="B72" s="52" t="n">
        <v>34335</v>
      </c>
      <c r="C72" s="16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6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6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6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6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6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6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6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6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6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6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6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6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6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6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6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6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6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6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6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129">
      <c r="A73" s="51" t="n"/>
      <c r="B73" s="52" t="n">
        <v>34366</v>
      </c>
      <c r="C73" s="16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6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6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6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6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6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6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6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6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6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6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6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6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6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6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6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6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6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6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6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129">
      <c r="A74" s="51" t="n"/>
      <c r="B74" s="52" t="n">
        <v>34394</v>
      </c>
      <c r="C74" s="16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6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6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6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6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6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6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6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6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6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6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6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6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6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6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6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6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6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6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6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129">
      <c r="A75" s="51" t="n"/>
      <c r="B75" s="52" t="n">
        <v>34425</v>
      </c>
      <c r="C75" s="16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6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6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6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6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6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6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6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6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6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6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6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6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6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6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6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6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6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6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6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129">
      <c r="A76" s="51" t="n"/>
      <c r="B76" s="52" t="n">
        <v>34455</v>
      </c>
      <c r="C76" s="16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6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6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6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6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6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6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6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6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6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6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6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6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6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6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6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6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6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6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6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129">
      <c r="A77" s="51" t="n"/>
      <c r="B77" s="52" t="n">
        <v>34486</v>
      </c>
      <c r="C77" s="16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6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6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6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6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6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6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6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6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6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6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6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6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6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6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6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6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6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6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6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129">
      <c r="A78" s="51" t="n"/>
      <c r="B78" s="52" t="n">
        <v>34516</v>
      </c>
      <c r="C78" s="16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6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6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6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6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6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6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6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6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6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6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6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6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6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6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6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6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6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6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6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129">
      <c r="A79" s="51" t="n"/>
      <c r="B79" s="52" t="n">
        <v>34547</v>
      </c>
      <c r="C79" s="16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6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6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6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6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6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6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6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6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6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6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6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6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6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6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6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6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6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6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6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129">
      <c r="A80" s="51" t="n"/>
      <c r="B80" s="52" t="n">
        <v>34578</v>
      </c>
      <c r="C80" s="16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6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6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6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6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6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6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6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6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6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6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6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6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6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6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6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6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6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6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6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129">
      <c r="A81" s="51" t="n"/>
      <c r="B81" s="52" t="n">
        <v>34608</v>
      </c>
      <c r="C81" s="16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6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6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6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6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6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6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6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6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6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6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6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6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6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6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6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6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6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6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6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129">
      <c r="A82" s="51" t="n"/>
      <c r="B82" s="52" t="n">
        <v>34639</v>
      </c>
      <c r="C82" s="16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6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6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6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6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6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6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6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6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6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6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6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6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6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6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6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6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6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6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6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129">
      <c r="A83" s="51" t="n"/>
      <c r="B83" s="52" t="n">
        <v>34669</v>
      </c>
      <c r="C83" s="16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6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6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6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6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6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6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6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6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6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6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6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6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6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6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6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6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6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6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6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129">
      <c r="A84" s="51" t="n"/>
      <c r="B84" s="52" t="n">
        <v>34700</v>
      </c>
      <c r="C84" s="16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6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6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6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6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6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6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6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6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6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6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6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6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6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6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6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6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6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6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6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129">
      <c r="A85" s="51" t="n"/>
      <c r="B85" s="52" t="n">
        <v>34731</v>
      </c>
      <c r="C85" s="16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6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6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6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6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6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6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6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6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6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6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6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6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6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6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6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6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6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6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6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129">
      <c r="A86" s="51" t="n"/>
      <c r="B86" s="52" t="n">
        <v>34759</v>
      </c>
      <c r="C86" s="16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6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6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6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6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6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6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6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6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6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6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6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6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6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6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6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6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6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6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6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129">
      <c r="A87" s="51" t="n"/>
      <c r="B87" s="52" t="n">
        <v>34790</v>
      </c>
      <c r="C87" s="16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6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6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6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6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6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6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6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6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6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6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6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6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6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6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6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6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6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6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6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129">
      <c r="A88" s="51" t="n"/>
      <c r="B88" s="52" t="n">
        <v>34820</v>
      </c>
      <c r="C88" s="16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6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6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6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6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6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6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6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6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6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6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6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6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6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6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6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6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6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6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6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129">
      <c r="A89" s="51" t="n"/>
      <c r="B89" s="52" t="n">
        <v>34851</v>
      </c>
      <c r="C89" s="16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6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6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6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6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6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6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6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6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6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6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6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6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6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6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6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6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6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6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6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129">
      <c r="A90" s="51" t="n"/>
      <c r="B90" s="52" t="n">
        <v>34881</v>
      </c>
      <c r="C90" s="16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6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6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6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6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6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6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6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6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6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6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6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6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6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6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6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6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6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6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6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129">
      <c r="A91" s="51" t="n"/>
      <c r="B91" s="52" t="n">
        <v>34912</v>
      </c>
      <c r="C91" s="16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6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6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6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6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6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6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6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6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6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6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6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6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6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6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6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6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6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6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6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129">
      <c r="A92" s="51" t="n"/>
      <c r="B92" s="52" t="n">
        <v>34943</v>
      </c>
      <c r="C92" s="16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6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6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6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6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6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6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6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6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6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6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6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6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6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6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6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6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6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6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6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129">
      <c r="A93" s="51" t="n"/>
      <c r="B93" s="52" t="n">
        <v>34973</v>
      </c>
      <c r="C93" s="16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6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6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6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6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6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6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6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6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6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6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6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6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6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6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6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6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6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6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6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129">
      <c r="A94" s="51" t="n"/>
      <c r="B94" s="52" t="n">
        <v>35004</v>
      </c>
      <c r="C94" s="16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6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6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6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6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6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6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6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6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6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6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6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6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6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6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6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6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6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6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6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129">
      <c r="A95" s="51" t="n"/>
      <c r="B95" s="52" t="n">
        <v>35034</v>
      </c>
      <c r="C95" s="16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6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6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6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6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6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6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6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6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6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6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6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6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6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6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6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6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6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6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6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129">
      <c r="A96" s="51" t="n"/>
      <c r="B96" s="52" t="n">
        <v>35065</v>
      </c>
      <c r="C96" s="16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6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6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6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6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6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6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6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6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6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6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6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6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6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6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6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6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6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6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6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129">
      <c r="A97" s="51" t="n"/>
      <c r="B97" s="52" t="n">
        <v>35096</v>
      </c>
      <c r="C97" s="16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6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6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6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6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6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6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6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6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6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6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6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6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6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6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6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6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6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6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6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129">
      <c r="A98" s="51" t="n"/>
      <c r="B98" s="52" t="n">
        <v>35125</v>
      </c>
      <c r="C98" s="16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6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6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6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6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6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6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6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6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6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6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6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6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6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6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6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6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6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6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6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129">
      <c r="A99" s="51" t="n"/>
      <c r="B99" s="52" t="n">
        <v>35156</v>
      </c>
      <c r="C99" s="16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6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6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6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6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6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6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6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6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6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6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6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6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6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6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6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6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6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6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6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129">
      <c r="A100" s="51" t="n"/>
      <c r="B100" s="52" t="n">
        <v>35186</v>
      </c>
      <c r="C100" s="16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6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6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6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6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6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6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6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6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6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6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6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6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6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6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6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6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6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6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6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129">
      <c r="A101" s="51" t="n"/>
      <c r="B101" s="52" t="n">
        <v>35217</v>
      </c>
      <c r="C101" s="16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6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6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6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6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6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6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6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6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6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6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6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6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6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6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6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6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6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6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6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129">
      <c r="A102" s="51" t="n"/>
      <c r="B102" s="52" t="n">
        <v>35247</v>
      </c>
      <c r="C102" s="16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6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6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6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6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6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6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6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6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6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6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6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6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6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6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6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6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6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6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6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129">
      <c r="A103" s="51" t="n"/>
      <c r="B103" s="52" t="n">
        <v>35278</v>
      </c>
      <c r="C103" s="16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6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6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6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6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6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6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6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6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6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6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6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6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6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6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6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6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6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6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6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129">
      <c r="A104" s="51" t="n"/>
      <c r="B104" s="52" t="n">
        <v>35309</v>
      </c>
      <c r="C104" s="16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6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6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6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6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6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6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6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6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6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6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6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6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6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6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6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6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6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6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6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129">
      <c r="A105" s="51" t="n"/>
      <c r="B105" s="52" t="n">
        <v>35339</v>
      </c>
      <c r="C105" s="16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6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6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6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6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6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6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6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6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6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6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6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6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6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6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6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6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6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6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6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129">
      <c r="A106" s="51" t="n"/>
      <c r="B106" s="52" t="n">
        <v>35370</v>
      </c>
      <c r="C106" s="16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6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6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6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6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6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6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6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6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6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6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6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6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6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6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6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6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6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6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6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129">
      <c r="A107" s="51" t="n"/>
      <c r="B107" s="52" t="n">
        <v>35400</v>
      </c>
      <c r="C107" s="16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6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6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6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6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6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6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6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6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6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6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6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6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6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6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6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6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6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6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6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129">
      <c r="A108" s="51" t="n"/>
      <c r="B108" s="52" t="n">
        <v>35431</v>
      </c>
      <c r="C108" s="16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6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6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6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6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6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6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6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6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6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6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6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6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6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6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6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6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6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6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6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129">
      <c r="A109" s="51" t="n"/>
      <c r="B109" s="52" t="n">
        <v>35462</v>
      </c>
      <c r="C109" s="16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6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6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6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6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6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6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6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6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6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6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6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6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6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6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6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6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6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6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6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129">
      <c r="A110" s="51" t="n"/>
      <c r="B110" s="52" t="n">
        <v>35490</v>
      </c>
      <c r="C110" s="16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6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6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6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6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6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6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6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6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6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6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6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6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6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6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6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6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6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6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6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129">
      <c r="A111" s="51" t="n"/>
      <c r="B111" s="52" t="n">
        <v>35521</v>
      </c>
      <c r="C111" s="16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6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6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6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6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6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6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6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6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6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6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6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6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6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6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6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6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6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6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6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129">
      <c r="A112" s="51" t="n"/>
      <c r="B112" s="52" t="n">
        <v>35551</v>
      </c>
      <c r="C112" s="16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6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6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6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6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6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6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6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6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6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6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6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6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6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6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6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6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6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6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6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129">
      <c r="A113" s="51" t="n"/>
      <c r="B113" s="52" t="n">
        <v>35582</v>
      </c>
      <c r="C113" s="16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6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6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6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6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6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6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6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6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6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6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6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6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6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6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6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6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6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6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6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129">
      <c r="A114" s="51" t="n"/>
      <c r="B114" s="52" t="n">
        <v>35612</v>
      </c>
      <c r="C114" s="16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6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6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6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6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6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6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6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6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6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6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6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6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6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6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6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6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6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6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6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129">
      <c r="A115" s="51" t="n"/>
      <c r="B115" s="52" t="n">
        <v>35643</v>
      </c>
      <c r="C115" s="16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6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6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6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6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6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6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6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6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6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6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6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6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6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6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6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6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6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6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6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129">
      <c r="A116" s="51" t="n"/>
      <c r="B116" s="52" t="n">
        <v>35674</v>
      </c>
      <c r="C116" s="16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6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6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6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6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6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6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6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6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6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6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6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6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6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6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6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6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6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6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6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129">
      <c r="A117" s="51" t="n"/>
      <c r="B117" s="52" t="n">
        <v>35704</v>
      </c>
      <c r="C117" s="16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6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6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6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6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6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6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6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6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6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6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6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6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6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6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6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6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6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6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6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129">
      <c r="A118" s="51" t="n"/>
      <c r="B118" s="52" t="n">
        <v>35735</v>
      </c>
      <c r="C118" s="16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6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6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6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6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6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6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6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6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6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6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6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6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6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6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6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6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6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6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6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129">
      <c r="A119" s="51" t="n"/>
      <c r="B119" s="52" t="n">
        <v>35765</v>
      </c>
      <c r="C119" s="16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6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6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6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6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6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6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6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6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6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6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6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6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6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6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6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6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6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6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6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129">
      <c r="A120" s="51" t="n"/>
      <c r="B120" s="52" t="n">
        <v>35796</v>
      </c>
      <c r="C120" s="16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6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6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6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6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6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6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6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6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6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6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6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6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6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6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6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6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6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6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6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129">
      <c r="A121" s="51" t="n"/>
      <c r="B121" s="52" t="n">
        <v>35827</v>
      </c>
      <c r="C121" s="16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6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6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6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6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6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6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6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6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6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6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6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6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6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6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6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6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6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6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6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129">
      <c r="A122" s="51" t="n"/>
      <c r="B122" s="52" t="n">
        <v>35855</v>
      </c>
      <c r="C122" s="16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6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6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6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6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6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6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6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6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6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6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6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6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6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6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6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6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6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6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6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129">
      <c r="A123" s="51" t="n"/>
      <c r="B123" s="52" t="n">
        <v>35886</v>
      </c>
      <c r="C123" s="16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6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6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6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6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6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6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6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6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6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6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6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6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6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6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6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6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6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6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6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129">
      <c r="A124" s="51" t="n"/>
      <c r="B124" s="52" t="n">
        <v>35916</v>
      </c>
      <c r="C124" s="16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6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6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6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6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6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6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6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6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6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6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6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6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6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6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6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6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6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6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6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129">
      <c r="A125" s="51" t="n"/>
      <c r="B125" s="52" t="n">
        <v>35947</v>
      </c>
      <c r="C125" s="16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6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6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6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6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6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6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6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6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6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6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6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6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6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6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6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6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6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6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6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129">
      <c r="A126" s="51" t="n"/>
      <c r="B126" s="52" t="n">
        <v>35977</v>
      </c>
      <c r="C126" s="16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6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6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6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6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6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6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6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6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6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6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6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6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6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6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6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6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6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6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6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129">
      <c r="A127" s="51" t="n"/>
      <c r="B127" s="52" t="n">
        <v>36008</v>
      </c>
      <c r="C127" s="16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6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6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6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6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6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6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6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6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6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6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6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6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6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6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6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6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6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6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6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129">
      <c r="A128" s="51" t="n"/>
      <c r="B128" s="52" t="n">
        <v>36039</v>
      </c>
      <c r="C128" s="16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6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6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6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6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6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6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6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6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6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6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6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6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6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6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6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6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6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6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6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129">
      <c r="A129" s="51" t="n"/>
      <c r="B129" s="52" t="n">
        <v>36069</v>
      </c>
      <c r="C129" s="16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6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6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6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6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6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6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6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6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6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6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6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6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6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6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6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6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6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6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6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129">
      <c r="A130" s="51" t="n"/>
      <c r="B130" s="52" t="n">
        <v>36100</v>
      </c>
      <c r="C130" s="16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6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6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6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6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6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6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6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6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6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6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6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6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6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6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6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6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6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6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6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129">
      <c r="A131" s="51" t="n"/>
      <c r="B131" s="52" t="n">
        <v>36130</v>
      </c>
      <c r="C131" s="16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6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6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6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6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6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6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6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6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6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6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6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6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6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6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6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6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6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6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6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129">
      <c r="A132" s="51" t="n"/>
      <c r="B132" s="52" t="n">
        <v>36161</v>
      </c>
      <c r="C132" s="16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6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6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6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6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6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6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6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6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6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6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6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6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6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6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6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6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6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6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6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129">
      <c r="A133" s="51" t="n"/>
      <c r="B133" s="52" t="n">
        <v>36192</v>
      </c>
      <c r="C133" s="16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6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6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6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6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6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6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6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6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6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6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6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6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6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6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6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6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6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6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6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129">
      <c r="A134" s="51" t="n"/>
      <c r="B134" s="52" t="n">
        <v>36220</v>
      </c>
      <c r="C134" s="16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6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6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6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6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6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6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6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6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6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6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6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6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6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6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6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6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6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6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6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129">
      <c r="A135" s="51" t="n"/>
      <c r="B135" s="52" t="n">
        <v>36251</v>
      </c>
      <c r="C135" s="16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6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6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6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6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6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6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6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6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6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6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6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6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6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6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6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6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6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6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6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129">
      <c r="A136" s="51" t="n"/>
      <c r="B136" s="52" t="n">
        <v>36281</v>
      </c>
      <c r="C136" s="16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6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6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6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6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6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6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6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6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6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6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6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6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6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6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6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6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6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6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6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129">
      <c r="A137" s="51" t="n"/>
      <c r="B137" s="52" t="n">
        <v>36312</v>
      </c>
      <c r="C137" s="16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6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6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6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6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6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6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6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6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6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6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6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6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6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6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6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6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6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6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6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129">
      <c r="A138" s="51" t="n"/>
      <c r="B138" s="52" t="n">
        <v>36342</v>
      </c>
      <c r="C138" s="16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6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6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6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6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6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6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6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6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6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6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6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6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6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6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6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6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6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6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6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129">
      <c r="A139" s="51" t="n"/>
      <c r="B139" s="52" t="n">
        <v>36373</v>
      </c>
      <c r="C139" s="16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6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6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6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6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6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6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6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6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6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6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6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6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6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6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6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6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6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6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6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129">
      <c r="A140" s="51" t="n"/>
      <c r="B140" s="52" t="n">
        <v>36404</v>
      </c>
      <c r="C140" s="16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6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6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6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6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6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6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6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6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6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6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6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6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6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6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6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6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6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6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6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129">
      <c r="A141" s="51" t="n"/>
      <c r="B141" s="52" t="n">
        <v>36434</v>
      </c>
      <c r="C141" s="16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6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6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6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6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6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6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6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6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6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6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6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6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6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6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6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6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6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6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6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129">
      <c r="A142" s="51" t="n"/>
      <c r="B142" s="52" t="n">
        <v>36465</v>
      </c>
      <c r="C142" s="16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6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6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6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6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6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6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6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6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6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6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6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6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6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6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6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6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6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6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6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129">
      <c r="A143" s="51" t="n"/>
      <c r="B143" s="52" t="n">
        <v>36495</v>
      </c>
      <c r="C143" s="16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6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6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6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6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6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6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6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6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6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6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6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6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6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6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6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6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6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6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6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129">
      <c r="A144" s="51" t="n"/>
      <c r="B144" s="52" t="n">
        <v>36526</v>
      </c>
      <c r="C144" s="16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6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6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6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6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6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6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6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6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6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6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6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6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6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6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6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6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6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6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6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129">
      <c r="A145" s="51" t="n"/>
      <c r="B145" s="52" t="n">
        <v>36557</v>
      </c>
      <c r="C145" s="16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6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6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6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6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6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6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6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6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6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6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6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6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6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6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6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6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6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6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6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129">
      <c r="A146" s="51" t="n"/>
      <c r="B146" s="52" t="n">
        <v>36586</v>
      </c>
      <c r="C146" s="16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6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6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6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6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6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6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6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6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6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6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6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6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6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6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6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6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6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6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6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129">
      <c r="A147" s="51" t="n"/>
      <c r="B147" s="52" t="n">
        <v>36617</v>
      </c>
      <c r="C147" s="16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6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6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6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6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6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6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6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6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6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6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6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6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6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6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6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6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6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6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6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129">
      <c r="A148" s="51" t="n"/>
      <c r="B148" s="52" t="n">
        <v>36647</v>
      </c>
      <c r="C148" s="16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6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6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6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6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6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6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6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6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6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6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6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6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6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6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6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6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6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6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6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129">
      <c r="A149" s="51" t="n"/>
      <c r="B149" s="52" t="n">
        <v>36678</v>
      </c>
      <c r="C149" s="16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6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6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6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6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6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6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6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6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6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6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6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6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6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6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6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6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6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6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6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129">
      <c r="A150" s="51" t="n"/>
      <c r="B150" s="52" t="n">
        <v>36708</v>
      </c>
      <c r="C150" s="16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6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6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6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6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6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6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6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6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6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6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6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6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6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6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6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6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6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6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6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129">
      <c r="A151" s="51" t="n"/>
      <c r="B151" s="52" t="n">
        <v>36739</v>
      </c>
      <c r="C151" s="16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6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6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6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6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6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6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6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6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6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6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6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6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6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6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6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6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6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6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6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129">
      <c r="A152" s="51" t="n"/>
      <c r="B152" s="52" t="n">
        <v>36770</v>
      </c>
      <c r="C152" s="16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6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6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6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6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6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6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6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6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6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6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6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6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6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6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6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6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6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6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6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129">
      <c r="A153" s="51" t="n"/>
      <c r="B153" s="52" t="n">
        <v>36800</v>
      </c>
      <c r="C153" s="16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6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6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6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6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6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6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6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6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6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6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6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6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6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6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6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6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6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6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6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129">
      <c r="A154" s="51" t="n"/>
      <c r="B154" s="52" t="n">
        <v>36831</v>
      </c>
      <c r="C154" s="16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6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6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6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6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6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6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6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6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6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6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6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6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6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6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6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6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6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6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6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129">
      <c r="A155" s="51" t="n"/>
      <c r="B155" s="52" t="n">
        <v>36861</v>
      </c>
      <c r="C155" s="16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6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6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6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6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6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6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6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6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6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6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6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6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6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6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6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6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6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6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6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129">
      <c r="A156" s="51" t="n"/>
      <c r="B156" s="52" t="n">
        <v>36892</v>
      </c>
      <c r="C156" s="16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6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6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6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6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6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6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6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6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6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6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6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6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6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6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6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6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6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6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6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129">
      <c r="A157" s="51" t="n"/>
      <c r="B157" s="52" t="n">
        <v>36923</v>
      </c>
      <c r="C157" s="16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6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6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6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6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6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6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6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6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6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6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6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6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6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6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6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6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6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6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6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129">
      <c r="A158" s="51" t="n"/>
      <c r="B158" s="52" t="n">
        <v>36951</v>
      </c>
      <c r="C158" s="16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6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6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6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6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6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6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6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6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6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6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6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6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6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6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6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6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6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6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6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129">
      <c r="A159" s="51" t="n"/>
      <c r="B159" s="52" t="n">
        <v>36982</v>
      </c>
      <c r="C159" s="16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6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6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6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6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6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6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6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6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6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6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6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6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6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6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6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6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6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6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6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129">
      <c r="A160" s="51" t="n"/>
      <c r="B160" s="52" t="n">
        <v>37012</v>
      </c>
      <c r="C160" s="16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6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6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6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6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6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6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6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6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6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6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6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6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6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6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6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6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6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6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6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129">
      <c r="A161" s="51" t="n"/>
      <c r="B161" s="52" t="n">
        <v>37043</v>
      </c>
      <c r="C161" s="16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6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6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6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6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6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6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6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6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6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6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6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6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6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6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6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6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6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6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6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129">
      <c r="A162" s="51" t="n"/>
      <c r="B162" s="52" t="n">
        <v>37073</v>
      </c>
      <c r="C162" s="16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6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6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6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6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6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6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6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6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6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6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6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6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6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6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6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6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6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6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6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129">
      <c r="A163" s="51" t="n"/>
      <c r="B163" s="52" t="n">
        <v>37104</v>
      </c>
      <c r="C163" s="16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6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6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6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6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6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6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6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6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6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6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6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6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6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6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6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6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6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6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6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129">
      <c r="A164" s="51" t="n"/>
      <c r="B164" s="52" t="n">
        <v>37135</v>
      </c>
      <c r="C164" s="16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6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6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6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6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6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6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6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6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6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6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6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6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6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6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6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6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6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6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6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129">
      <c r="A165" s="51" t="n"/>
      <c r="B165" s="52" t="n">
        <v>37165</v>
      </c>
      <c r="C165" s="16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6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6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6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6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6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6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6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6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6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6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6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6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6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6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6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6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6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6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6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129">
      <c r="A166" s="51" t="n"/>
      <c r="B166" s="52" t="n">
        <v>37196</v>
      </c>
      <c r="C166" s="16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6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6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6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6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6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6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6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6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6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6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6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6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6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6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6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6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6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6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6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129">
      <c r="A167" s="51" t="n"/>
      <c r="B167" s="52" t="n">
        <v>37226</v>
      </c>
      <c r="C167" s="16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6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6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6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6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6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6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6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6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6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6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6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6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6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6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6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6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6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6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6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129">
      <c r="A168" s="51" t="n"/>
      <c r="B168" s="52" t="n">
        <v>37257</v>
      </c>
      <c r="C168" s="16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6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6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6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6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6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6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6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6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6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6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6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6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6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6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6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6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6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6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6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129">
      <c r="A169" s="51" t="n"/>
      <c r="B169" s="52" t="n">
        <v>37288</v>
      </c>
      <c r="C169" s="16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6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6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6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6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6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6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6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6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6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6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6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6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6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6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6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6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6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6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6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129">
      <c r="A170" s="51" t="n"/>
      <c r="B170" s="52" t="n">
        <v>37316</v>
      </c>
      <c r="C170" s="16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6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6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6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6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6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6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6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6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6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6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6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6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6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6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6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6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6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6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6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129">
      <c r="A171" s="51" t="n"/>
      <c r="B171" s="52" t="n">
        <v>37347</v>
      </c>
      <c r="C171" s="16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6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6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6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6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6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6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6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6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6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6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6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6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6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6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6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6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6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6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6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129">
      <c r="A172" s="51" t="n"/>
      <c r="B172" s="52" t="n">
        <v>37377</v>
      </c>
      <c r="C172" s="16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6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6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6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6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6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6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6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6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6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6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6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6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6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6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6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6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6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6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6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129">
      <c r="A173" s="51" t="n"/>
      <c r="B173" s="52" t="n">
        <v>37408</v>
      </c>
      <c r="C173" s="16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6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6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6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6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6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6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6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6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6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6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6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6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6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6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6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6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6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6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6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129">
      <c r="A174" s="51" t="n"/>
      <c r="B174" s="52" t="n">
        <v>37438</v>
      </c>
      <c r="C174" s="16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6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6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6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6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6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6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6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6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6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6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6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6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6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6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6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6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6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6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6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129">
      <c r="A175" s="51" t="n"/>
      <c r="B175" s="52" t="n">
        <v>37469</v>
      </c>
      <c r="C175" s="16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6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6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6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6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6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6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6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6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6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6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6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6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6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6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6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6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6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6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6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129">
      <c r="A176" s="51" t="n"/>
      <c r="B176" s="52" t="n">
        <v>37500</v>
      </c>
      <c r="C176" s="16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6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6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6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6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6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6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6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6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6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6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6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6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6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6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6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6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6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6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6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129">
      <c r="A177" s="51" t="n"/>
      <c r="B177" s="52" t="n">
        <v>37530</v>
      </c>
      <c r="C177" s="16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6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6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6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6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6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6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6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6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6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6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6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6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6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6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6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6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6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6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6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129">
      <c r="A178" s="51" t="n"/>
      <c r="B178" s="52" t="n">
        <v>37561</v>
      </c>
      <c r="C178" s="16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6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6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6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6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6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6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6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6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6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6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6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6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6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6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6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6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6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6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6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129">
      <c r="A179" s="51" t="n"/>
      <c r="B179" s="52" t="n">
        <v>37591</v>
      </c>
      <c r="C179" s="16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6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6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6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6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6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6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6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6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6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6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6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6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6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6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6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6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6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6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6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129">
      <c r="A180" s="51" t="n"/>
      <c r="B180" s="52" t="n">
        <v>37622</v>
      </c>
      <c r="C180" s="16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6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6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6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6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6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6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6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6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6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6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6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6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6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6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6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6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6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6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6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129">
      <c r="A181" s="51" t="n"/>
      <c r="B181" s="52" t="n">
        <v>37653</v>
      </c>
      <c r="C181" s="16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6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6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6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6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6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6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6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6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6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6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6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6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6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6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6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6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6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6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6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129">
      <c r="A182" s="51" t="n"/>
      <c r="B182" s="52" t="n">
        <v>37681</v>
      </c>
      <c r="C182" s="16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6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6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6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6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6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6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6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6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6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6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6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6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6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6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6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6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6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6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6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129">
      <c r="A183" s="51" t="n"/>
      <c r="B183" s="52" t="n">
        <v>37712</v>
      </c>
      <c r="C183" s="16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6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6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6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6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6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6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6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6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6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6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6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6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6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6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6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6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6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6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6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129">
      <c r="A184" s="51" t="n"/>
      <c r="B184" s="52" t="n">
        <v>37742</v>
      </c>
      <c r="C184" s="16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6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6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6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6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6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6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6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6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6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6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6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6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6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6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6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6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6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6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6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129">
      <c r="A185" s="51" t="n"/>
      <c r="B185" s="52" t="n">
        <v>37773</v>
      </c>
      <c r="C185" s="16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6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6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6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6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6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6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6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6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6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6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6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6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6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6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6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6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6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6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6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129">
      <c r="A186" s="51" t="n"/>
      <c r="B186" s="52" t="n">
        <v>37803</v>
      </c>
      <c r="C186" s="16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6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6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6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6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6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6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6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6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6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6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6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6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6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6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6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6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6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6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6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129">
      <c r="A187" s="51" t="n"/>
      <c r="B187" s="52" t="n">
        <v>37834</v>
      </c>
      <c r="C187" s="16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6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6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6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6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6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6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6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6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6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6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6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6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6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6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6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6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6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6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6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129">
      <c r="A188" s="51" t="n"/>
      <c r="B188" s="52" t="n">
        <v>37865</v>
      </c>
      <c r="C188" s="16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6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6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6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6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6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6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6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6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6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6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6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6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6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6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6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6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6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6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6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129">
      <c r="A189" s="51" t="n"/>
      <c r="B189" s="52" t="n">
        <v>37895</v>
      </c>
      <c r="C189" s="16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6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6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6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6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6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6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6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6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6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6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6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6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6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6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6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6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6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6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6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129">
      <c r="A190" s="51" t="n"/>
      <c r="B190" s="52" t="n">
        <v>37926</v>
      </c>
      <c r="C190" s="16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6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6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6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6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6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6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6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6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6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6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6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6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6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6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6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6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6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6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6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129">
      <c r="A191" s="51" t="n"/>
      <c r="B191" s="52" t="n">
        <v>37956</v>
      </c>
      <c r="C191" s="16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6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6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6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6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6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6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6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6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6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6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6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6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6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6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6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6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6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6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6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129">
      <c r="A192" s="51" t="n"/>
      <c r="B192" s="52" t="n">
        <v>37987</v>
      </c>
      <c r="C192" s="16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6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6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6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6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6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6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6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6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6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6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6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6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6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6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6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6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6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6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6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129">
      <c r="A193" s="51" t="n"/>
      <c r="B193" s="52" t="n">
        <v>38018</v>
      </c>
      <c r="C193" s="16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6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6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6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6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6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6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6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6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6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6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6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6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6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6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6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6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6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6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6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129">
      <c r="A194" s="51" t="n"/>
      <c r="B194" s="52" t="n">
        <v>38047</v>
      </c>
      <c r="C194" s="16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6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6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6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6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6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6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6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6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6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6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6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6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6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6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6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6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6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6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6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129">
      <c r="A195" s="51" t="n"/>
      <c r="B195" s="52" t="n">
        <v>38078</v>
      </c>
      <c r="C195" s="16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6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6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6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6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6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6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6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6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6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6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6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6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6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6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6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6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6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6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6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129">
      <c r="A196" s="51" t="n"/>
      <c r="B196" s="52" t="n">
        <v>38108</v>
      </c>
      <c r="C196" s="16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6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6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6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6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6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6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6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6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6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6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6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6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6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6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6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6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6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6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6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129">
      <c r="A197" s="51" t="n"/>
      <c r="B197" s="52" t="n">
        <v>38139</v>
      </c>
      <c r="C197" s="16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6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6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6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6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6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6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6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6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6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6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6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6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6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6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6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6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6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6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6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129">
      <c r="A198" s="51" t="n"/>
      <c r="B198" s="52" t="n">
        <v>38169</v>
      </c>
      <c r="C198" s="16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6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6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6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6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6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6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6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6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6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6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6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6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6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6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6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6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6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6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6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129">
      <c r="A199" s="51" t="n"/>
      <c r="B199" s="52" t="n">
        <v>38200</v>
      </c>
      <c r="C199" s="16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6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6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6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6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6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6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6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6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6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6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6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6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6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6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6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6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6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6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6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129">
      <c r="A200" s="51" t="n"/>
      <c r="B200" s="52" t="n">
        <v>38231</v>
      </c>
      <c r="C200" s="16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6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6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6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6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6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6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6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6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6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6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6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6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6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6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6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6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6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6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6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129">
      <c r="A201" s="51" t="n"/>
      <c r="B201" s="52" t="n">
        <v>38261</v>
      </c>
      <c r="C201" s="16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6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6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6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6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6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6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6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6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6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6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6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6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6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6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6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6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6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6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6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129">
      <c r="A202" s="51" t="n"/>
      <c r="B202" s="52" t="n">
        <v>38292</v>
      </c>
      <c r="C202" s="16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6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6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6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6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6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6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6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6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6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6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6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6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6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6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6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6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6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6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6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129">
      <c r="A203" s="51" t="n"/>
      <c r="B203" s="52" t="n">
        <v>38322</v>
      </c>
      <c r="C203" s="16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6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6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6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6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6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6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6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6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6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6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6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6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6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6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6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6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6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6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6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129">
      <c r="A204" s="51" t="n"/>
      <c r="B204" s="52" t="n">
        <v>38353</v>
      </c>
      <c r="C204" s="16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6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6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6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6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6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6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6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6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6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6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6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6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6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6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6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6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6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6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6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129">
      <c r="A205" s="51" t="n"/>
      <c r="B205" s="52" t="n">
        <v>38384</v>
      </c>
      <c r="C205" s="16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6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6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6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6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6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6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6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6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6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6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6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6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6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6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6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6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6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6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6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129">
      <c r="A206" s="51" t="n"/>
      <c r="B206" s="52" t="n">
        <v>38412</v>
      </c>
      <c r="C206" s="16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6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6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6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6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6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6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6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6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6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6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6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6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6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6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6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6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6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6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6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129">
      <c r="A207" s="51" t="n"/>
      <c r="B207" s="52" t="n">
        <v>38443</v>
      </c>
      <c r="C207" s="16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6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6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6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6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6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6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6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6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6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6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6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6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6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6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6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6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6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6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6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129">
      <c r="A208" s="51" t="n"/>
      <c r="B208" s="52" t="n">
        <v>38473</v>
      </c>
      <c r="C208" s="16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6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6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6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6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6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6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6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6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6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6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6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6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6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6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6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6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6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6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6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129">
      <c r="A209" s="51" t="n"/>
      <c r="B209" s="52" t="n">
        <v>38504</v>
      </c>
      <c r="C209" s="16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6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6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6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6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6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6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6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6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6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6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6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6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6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6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6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6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6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6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6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129">
      <c r="A210" s="51" t="n"/>
      <c r="B210" s="52" t="n">
        <v>38534</v>
      </c>
      <c r="C210" s="16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6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6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6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6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6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6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6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6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6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6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6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6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6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6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6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6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6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6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6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129">
      <c r="A211" s="51" t="n"/>
      <c r="B211" s="52" t="n">
        <v>38565</v>
      </c>
      <c r="C211" s="16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6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6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6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6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6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6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6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6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6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6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6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6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6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6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6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6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6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6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6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129">
      <c r="A212" s="51" t="n"/>
      <c r="B212" s="52" t="n">
        <v>38596</v>
      </c>
      <c r="C212" s="16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6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6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6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6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6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6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6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6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6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6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6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6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6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6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6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6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6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6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6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129">
      <c r="A213" s="51" t="n"/>
      <c r="B213" s="52" t="n">
        <v>38626</v>
      </c>
      <c r="C213" s="16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6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6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6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6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6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6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6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6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6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6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6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6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6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6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6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6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6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6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6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129">
      <c r="A214" s="51" t="n"/>
      <c r="B214" s="52" t="n">
        <v>38657</v>
      </c>
      <c r="C214" s="16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6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6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6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6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6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6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6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6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6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6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6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6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6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6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6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6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6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6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6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129">
      <c r="A215" s="51" t="n"/>
      <c r="B215" s="52" t="n">
        <v>38687</v>
      </c>
      <c r="C215" s="16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6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6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6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6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6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6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6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6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6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6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6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6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6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6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6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6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6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6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6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129">
      <c r="A216" s="51" t="n"/>
      <c r="B216" s="52" t="n">
        <v>38718</v>
      </c>
      <c r="C216" s="16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6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6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6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6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6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6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6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6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6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6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6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6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6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6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6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6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6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6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6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129">
      <c r="A217" s="51" t="n"/>
      <c r="B217" s="52" t="n">
        <v>38749</v>
      </c>
      <c r="C217" s="16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6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6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6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6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6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6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6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6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6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6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6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6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6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6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6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6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6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6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6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129">
      <c r="A218" s="51" t="n"/>
      <c r="B218" s="52" t="n">
        <v>38777</v>
      </c>
      <c r="C218" s="16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6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6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6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6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6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6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6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6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6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6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6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6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6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6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6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6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6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6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6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129">
      <c r="A219" s="51" t="n"/>
      <c r="B219" s="52" t="n">
        <v>38808</v>
      </c>
      <c r="C219" s="16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6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6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6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6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6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6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6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6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6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6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6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6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6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6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6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6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6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6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6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129">
      <c r="A220" s="51" t="n"/>
      <c r="B220" s="52" t="n">
        <v>38838</v>
      </c>
      <c r="C220" s="16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6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6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6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6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6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6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6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6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6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6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6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6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6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6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6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6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6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6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6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129">
      <c r="A221" s="51" t="n"/>
      <c r="B221" s="52" t="n">
        <v>38869</v>
      </c>
      <c r="C221" s="16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6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6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6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6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6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6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6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6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6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6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6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6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6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6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6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6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6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6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6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129">
      <c r="A222" s="51" t="n"/>
      <c r="B222" s="52" t="n">
        <v>38899</v>
      </c>
      <c r="C222" s="16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6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6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6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6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6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6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6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6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6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6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6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6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6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6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6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6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6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6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6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129">
      <c r="A223" s="51" t="n"/>
      <c r="B223" s="52" t="n">
        <v>38930</v>
      </c>
      <c r="C223" s="16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6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6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6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6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6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6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6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6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6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6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6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6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6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6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6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6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6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6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6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129">
      <c r="A224" s="51" t="n"/>
      <c r="B224" s="52" t="n">
        <v>38961</v>
      </c>
      <c r="C224" s="16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6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6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6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6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6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6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6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6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6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6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6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6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6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6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6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6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6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6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6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129">
      <c r="A225" s="51" t="n"/>
      <c r="B225" s="52" t="n">
        <v>38991</v>
      </c>
      <c r="C225" s="16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6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6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6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6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6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6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6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6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6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6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6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6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6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6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6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6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6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6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6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129">
      <c r="A226" s="51" t="n"/>
      <c r="B226" s="52" t="n">
        <v>39022</v>
      </c>
      <c r="C226" s="16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6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6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6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6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6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6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6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6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6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6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6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6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6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6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6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6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6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6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6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129">
      <c r="A227" s="51" t="n"/>
      <c r="B227" s="52" t="n">
        <v>39052</v>
      </c>
      <c r="C227" s="16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6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6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6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6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6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6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6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6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6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6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6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6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6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6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6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6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6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6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6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129">
      <c r="A228" s="51" t="n"/>
      <c r="B228" s="52" t="n">
        <v>39083</v>
      </c>
      <c r="C228" s="16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6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6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6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6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6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6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6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6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6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6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6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6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6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6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6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6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6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6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6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129">
      <c r="A229" s="51" t="n"/>
      <c r="B229" s="52" t="n">
        <v>39114</v>
      </c>
      <c r="C229" s="16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6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6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6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6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6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6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6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6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6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6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6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6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6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6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6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6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6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6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6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129">
      <c r="A230" s="51" t="n"/>
      <c r="B230" s="52" t="n">
        <v>39142</v>
      </c>
      <c r="C230" s="16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6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6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6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6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6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6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6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6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6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6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6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6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6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6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6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6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6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6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6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129">
      <c r="A231" s="51" t="n"/>
      <c r="B231" s="52" t="n">
        <v>39173</v>
      </c>
      <c r="C231" s="16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6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6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6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6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6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6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6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6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6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6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6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6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6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6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6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6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6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6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6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129">
      <c r="A232" s="51" t="n"/>
      <c r="B232" s="52" t="n">
        <v>39203</v>
      </c>
      <c r="C232" s="16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6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6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6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6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6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6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6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6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6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6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6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6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6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6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6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6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6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6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6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129">
      <c r="A233" s="51" t="n"/>
      <c r="B233" s="52" t="n">
        <v>39234</v>
      </c>
      <c r="C233" s="16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6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6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6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6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6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6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6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6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6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6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6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6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6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6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6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6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6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6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6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129">
      <c r="A234" s="51" t="n"/>
      <c r="B234" s="52" t="n">
        <v>39264</v>
      </c>
      <c r="C234" s="16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6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6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6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6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6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6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6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6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6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6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6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6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6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6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6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6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6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6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6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129">
      <c r="A235" s="51" t="n"/>
      <c r="B235" s="52" t="n">
        <v>39295</v>
      </c>
      <c r="C235" s="16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6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6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6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6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6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6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6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6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6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6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6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6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6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6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6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6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6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6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6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129">
      <c r="A236" s="51" t="n"/>
      <c r="B236" s="52" t="n">
        <v>39326</v>
      </c>
      <c r="C236" s="16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6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6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6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6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6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6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6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6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6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6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6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6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6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6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6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6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6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6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6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129">
      <c r="A237" s="51" t="n"/>
      <c r="B237" s="52" t="n">
        <v>39356</v>
      </c>
      <c r="C237" s="16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6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6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6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6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6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6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6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6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6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6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6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6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6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6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6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6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6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6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6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129">
      <c r="A238" s="51" t="n"/>
      <c r="B238" s="52" t="n">
        <v>39387</v>
      </c>
      <c r="C238" s="16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6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6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6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6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6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6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6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6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6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6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6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6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6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6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6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6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6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6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6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129">
      <c r="A239" s="51" t="n"/>
      <c r="B239" s="52" t="n">
        <v>39417</v>
      </c>
      <c r="C239" s="16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6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6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6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6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6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6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6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6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6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6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6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6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6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6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6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6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6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6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6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129">
      <c r="A240" s="51" t="n"/>
      <c r="B240" s="52" t="n">
        <v>39448</v>
      </c>
      <c r="C240" s="16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6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6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6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6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6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6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6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6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6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6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6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6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6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6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6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6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6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6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6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129">
      <c r="A241" s="51" t="n"/>
      <c r="B241" s="52" t="n">
        <v>39479</v>
      </c>
      <c r="C241" s="16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6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6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6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6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6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6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6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6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6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6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6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6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6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6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6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6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6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6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6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129">
      <c r="A242" s="51" t="n"/>
      <c r="B242" s="52" t="n">
        <v>39508</v>
      </c>
      <c r="C242" s="16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6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6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6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6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6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6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6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6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6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6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6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6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6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6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6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6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6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6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6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129">
      <c r="A243" s="51" t="n"/>
      <c r="B243" s="52" t="n">
        <v>39539</v>
      </c>
      <c r="C243" s="16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6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6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6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6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6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6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6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6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6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6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6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6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6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6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6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6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6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6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6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129">
      <c r="A244" s="51" t="n"/>
      <c r="B244" s="52" t="n">
        <v>39569</v>
      </c>
      <c r="C244" s="16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6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6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6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6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6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6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6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6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6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6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6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6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6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6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6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6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6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6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6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129">
      <c r="A245" s="51" t="n"/>
      <c r="B245" s="52" t="n">
        <v>39600</v>
      </c>
      <c r="C245" s="16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6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6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6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6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6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6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6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6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6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6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6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6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6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6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6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6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6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6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6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129">
      <c r="A246" s="51" t="n"/>
      <c r="B246" s="52" t="n">
        <v>39630</v>
      </c>
      <c r="C246" s="16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6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6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6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6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6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6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6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6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6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6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6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6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6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6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6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6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6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6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6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129">
      <c r="A247" s="51" t="n"/>
      <c r="B247" s="52" t="n">
        <v>39661</v>
      </c>
      <c r="C247" s="16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6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6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6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6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6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6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6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6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6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6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6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6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6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6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6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6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6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6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6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129">
      <c r="A248" s="51" t="n"/>
      <c r="B248" s="52" t="n">
        <v>39692</v>
      </c>
      <c r="C248" s="16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6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6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6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6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6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6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6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6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6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6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6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6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6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6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6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6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6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6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6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129">
      <c r="A249" s="51" t="n"/>
      <c r="B249" s="52" t="n">
        <v>39722</v>
      </c>
      <c r="C249" s="16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6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6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6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6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6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6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6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6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6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6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6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6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6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6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6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6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6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6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6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129">
      <c r="A250" s="51" t="n"/>
      <c r="B250" s="52" t="n">
        <v>39753</v>
      </c>
      <c r="C250" s="16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6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6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6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6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6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6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6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6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6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6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6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6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6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6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6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6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6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6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6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129">
      <c r="A251" s="51" t="n"/>
      <c r="B251" s="52" t="n">
        <v>39783</v>
      </c>
      <c r="C251" s="16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6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6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6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6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6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6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6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6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6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6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6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6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6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6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6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6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6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6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6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129">
      <c r="A252" s="51" t="n"/>
      <c r="B252" s="52" t="n">
        <v>39814</v>
      </c>
      <c r="C252" s="16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6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6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6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6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6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6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6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6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6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6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6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6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6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6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6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6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6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6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6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129">
      <c r="A253" s="51" t="n"/>
      <c r="B253" s="52" t="n">
        <v>39845</v>
      </c>
      <c r="C253" s="16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6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6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6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6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6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6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6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6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6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6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6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6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6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6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6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6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6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6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6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129">
      <c r="A254" s="51" t="n"/>
      <c r="B254" s="52" t="n">
        <v>39873</v>
      </c>
      <c r="C254" s="16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6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6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6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6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6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6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6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6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6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6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6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6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6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6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6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6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6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6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6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129">
      <c r="A255" s="51" t="n"/>
      <c r="B255" s="52" t="n">
        <v>39904</v>
      </c>
      <c r="C255" s="16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6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6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6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6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6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6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6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6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6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6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6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6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6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6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6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6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6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6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6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129">
      <c r="A256" s="51" t="n"/>
      <c r="B256" s="52" t="n">
        <v>39934</v>
      </c>
      <c r="C256" s="16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6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6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6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6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6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6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6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6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6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6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6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6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6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6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6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6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6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6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6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129">
      <c r="A257" s="51" t="n"/>
      <c r="B257" s="52" t="n">
        <v>39965</v>
      </c>
      <c r="C257" s="16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6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6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6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6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6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6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6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6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6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6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6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6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6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6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6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6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6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6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6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129">
      <c r="A258" s="51" t="n"/>
      <c r="B258" s="52" t="n">
        <v>39995</v>
      </c>
      <c r="C258" s="16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6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6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6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6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6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6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6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6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6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6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6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6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6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6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6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6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6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6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6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129">
      <c r="A259" s="51" t="n"/>
      <c r="B259" s="52" t="n">
        <v>40026</v>
      </c>
      <c r="C259" s="16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6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6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6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6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6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6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6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6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6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6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6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6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6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6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6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6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6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6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6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129">
      <c r="A260" s="51" t="n"/>
      <c r="B260" s="52" t="n">
        <v>40057</v>
      </c>
      <c r="C260" s="16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6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6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6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6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6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6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6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6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6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6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6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6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6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6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6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6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6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6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6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129">
      <c r="A261" s="51" t="n"/>
      <c r="B261" s="52" t="n">
        <v>40087</v>
      </c>
      <c r="C261" s="16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6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6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6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6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6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6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6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6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6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6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6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6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6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6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6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6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6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6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6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129">
      <c r="A262" s="51" t="n"/>
      <c r="B262" s="52" t="n">
        <v>40118</v>
      </c>
      <c r="C262" s="16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6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6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6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6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6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6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6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6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6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6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6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6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6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6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6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6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6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6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6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129">
      <c r="A263" s="51" t="n"/>
      <c r="B263" s="52" t="n">
        <v>40148</v>
      </c>
      <c r="C263" s="16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6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6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6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6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6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6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6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6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6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6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6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6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6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6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6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6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6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6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6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129">
      <c r="A264" s="51" t="n"/>
      <c r="B264" s="52" t="n">
        <v>40179</v>
      </c>
      <c r="C264" s="16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6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6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6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6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6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6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6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6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6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6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6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6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6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6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6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6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6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6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6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129">
      <c r="A265" s="51" t="n"/>
      <c r="B265" s="52" t="n">
        <v>40210</v>
      </c>
      <c r="C265" s="16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6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6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6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6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6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6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6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6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6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6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6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6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6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6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6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6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6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6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6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129">
      <c r="A266" s="51" t="n"/>
      <c r="B266" s="52" t="n">
        <v>40238</v>
      </c>
      <c r="C266" s="16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6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6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6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6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6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6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6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6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6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6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6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6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6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6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6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6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6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6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6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129">
      <c r="A267" s="51" t="n"/>
      <c r="B267" s="52" t="n">
        <v>40269</v>
      </c>
      <c r="C267" s="16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6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6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6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6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6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6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6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6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6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6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6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6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6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6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6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6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6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6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6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129">
      <c r="A268" s="51" t="n"/>
      <c r="B268" s="52" t="n">
        <v>40299</v>
      </c>
      <c r="C268" s="16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6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6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6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6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6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6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6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6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6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6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6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6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6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6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6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6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6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6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6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129">
      <c r="A269" s="51" t="n"/>
      <c r="B269" s="52" t="n">
        <v>40330</v>
      </c>
      <c r="C269" s="16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6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6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6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6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6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6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6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6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6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6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6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6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6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6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6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6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6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6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6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129">
      <c r="A270" s="51" t="n"/>
      <c r="B270" s="52" t="n">
        <v>40360</v>
      </c>
      <c r="C270" s="16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6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6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6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6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6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6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6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6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6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6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6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6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6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6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6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6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6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6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6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129">
      <c r="A271" s="51" t="n"/>
      <c r="B271" s="52" t="n">
        <v>40391</v>
      </c>
      <c r="C271" s="16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6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6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6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6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6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6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6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6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6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6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6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6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6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6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6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6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6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6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6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129">
      <c r="A272" s="51" t="n"/>
      <c r="B272" s="52" t="n">
        <v>40422</v>
      </c>
      <c r="C272" s="16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6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6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6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6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6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6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6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6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6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6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6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6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6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6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6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6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6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6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6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129">
      <c r="A273" s="51" t="n"/>
      <c r="B273" s="52" t="n">
        <v>40452</v>
      </c>
      <c r="C273" s="16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6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6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6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6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6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6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6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6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6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6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6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6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6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6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6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6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6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6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6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129">
      <c r="A274" s="51" t="n"/>
      <c r="B274" s="52" t="n">
        <v>40483</v>
      </c>
      <c r="C274" s="16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6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6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6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6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6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6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6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6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6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6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6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6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6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6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6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6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6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6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6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129">
      <c r="A275" s="51" t="n"/>
      <c r="B275" s="52" t="n">
        <v>40513</v>
      </c>
      <c r="C275" s="16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6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6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6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6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6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6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6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6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6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6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6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6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6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6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6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6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6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6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6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129">
      <c r="A276" s="51" t="n"/>
      <c r="B276" s="52" t="n">
        <v>40544</v>
      </c>
      <c r="C276" s="16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6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6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6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6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6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6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6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6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6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6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6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6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6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6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6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6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6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6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6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129">
      <c r="A277" s="51" t="n"/>
      <c r="B277" s="52" t="n">
        <v>40575</v>
      </c>
      <c r="C277" s="16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6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6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6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6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6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6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6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6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6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6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6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6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6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6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6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6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6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6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6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129">
      <c r="A278" s="51" t="n"/>
      <c r="B278" s="52" t="n">
        <v>40603</v>
      </c>
      <c r="C278" s="16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6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6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6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6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6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6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6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6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6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6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6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6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6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6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6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6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6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6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6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129">
      <c r="A279" s="51" t="n"/>
      <c r="B279" s="52" t="n">
        <v>40634</v>
      </c>
      <c r="C279" s="16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6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6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6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6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6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6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6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6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6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6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6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6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6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6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6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6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6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6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6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129">
      <c r="A280" s="51" t="n"/>
      <c r="B280" s="52" t="n">
        <v>40664</v>
      </c>
      <c r="C280" s="16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6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6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6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6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6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6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6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6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6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6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6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6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6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6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6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6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6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6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6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129">
      <c r="A281" s="51" t="n"/>
      <c r="B281" s="52" t="n">
        <v>40695</v>
      </c>
      <c r="C281" s="16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6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6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6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6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6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6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6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6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6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6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6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6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6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6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6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6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6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6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6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129">
      <c r="A282" s="51" t="n"/>
      <c r="B282" s="52" t="n">
        <v>40725</v>
      </c>
      <c r="C282" s="16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6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6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6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6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6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6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6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6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6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6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6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6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6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6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6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6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6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6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6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129">
      <c r="A283" s="51" t="n"/>
      <c r="B283" s="52" t="n">
        <v>40756</v>
      </c>
      <c r="C283" s="16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6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6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6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6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6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6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6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6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6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6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6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6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6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6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6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6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6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6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6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129">
      <c r="A284" s="51" t="n"/>
      <c r="B284" s="52" t="n">
        <v>40787</v>
      </c>
      <c r="C284" s="16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6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6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6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6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6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6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6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6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6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6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6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6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6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6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6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6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6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6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6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129">
      <c r="A285" s="51" t="n"/>
      <c r="B285" s="52" t="n">
        <v>40817</v>
      </c>
      <c r="C285" s="16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6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6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6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6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6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6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6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6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6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6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6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6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6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6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6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6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6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6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6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129">
      <c r="A286" s="51" t="n"/>
      <c r="B286" s="52" t="n">
        <v>40848</v>
      </c>
      <c r="C286" s="16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6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6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6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6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6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6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6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6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6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6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6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6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6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6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6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6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6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6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6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129">
      <c r="A287" s="51" t="n"/>
      <c r="B287" s="52" t="n">
        <v>40878</v>
      </c>
      <c r="C287" s="16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6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6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6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6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6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6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6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6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6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6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6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6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6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6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6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6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6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6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6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129">
      <c r="A288" s="51" t="n"/>
      <c r="B288" s="52" t="n">
        <v>40909</v>
      </c>
      <c r="C288" s="16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6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6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6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6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6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6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6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6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6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6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6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6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6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6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6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6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6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6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6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129">
      <c r="A289" s="51" t="n"/>
      <c r="B289" s="52" t="n">
        <v>40940</v>
      </c>
      <c r="C289" s="16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6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6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6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6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6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6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6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6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6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6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6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6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6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6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6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6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6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6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6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129">
      <c r="A290" s="51" t="n"/>
      <c r="B290" s="52" t="n">
        <v>40969</v>
      </c>
      <c r="C290" s="16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6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6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6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6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6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6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6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6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6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6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6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6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6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6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6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6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6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6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6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129">
      <c r="A291" s="51" t="n"/>
      <c r="B291" s="52" t="n">
        <v>41000</v>
      </c>
      <c r="C291" s="16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6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6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6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6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6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6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6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6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6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6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6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6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6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6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6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6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6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6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6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129">
      <c r="A292" s="51" t="n"/>
      <c r="B292" s="52" t="n">
        <v>41030</v>
      </c>
      <c r="C292" s="16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6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6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6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6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6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6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6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6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6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6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6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6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6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6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6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6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6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6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6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129">
      <c r="A293" s="51" t="n"/>
      <c r="B293" s="52" t="n">
        <v>41061</v>
      </c>
      <c r="C293" s="16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6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6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6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6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6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6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6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6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6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6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6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6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6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6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6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6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6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6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6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129">
      <c r="A294" s="51" t="n"/>
      <c r="B294" s="52" t="n">
        <v>41091</v>
      </c>
      <c r="C294" s="16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6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6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6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6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6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6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6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6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6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6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6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6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6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6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6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6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6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6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6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129">
      <c r="A295" s="51" t="n"/>
      <c r="B295" s="52" t="n">
        <v>41122</v>
      </c>
      <c r="C295" s="16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6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6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6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6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6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6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6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6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6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6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6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6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6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6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6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6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6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6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6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129">
      <c r="A296" s="51" t="n"/>
      <c r="B296" s="52" t="n">
        <v>41153</v>
      </c>
      <c r="C296" s="16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6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6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6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6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6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6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6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6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6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6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6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6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6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6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6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6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6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6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6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129">
      <c r="A297" s="51" t="n"/>
      <c r="B297" s="52" t="n">
        <v>41183</v>
      </c>
      <c r="C297" s="16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6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6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6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6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6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6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6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6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6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6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6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6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6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6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6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6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6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6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6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129">
      <c r="A298" s="51" t="n"/>
      <c r="B298" s="52" t="n">
        <v>41214</v>
      </c>
      <c r="C298" s="16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6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6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6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6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6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6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6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6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6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6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6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6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6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6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6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6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6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6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6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129">
      <c r="A299" s="51" t="n"/>
      <c r="B299" s="52" t="n">
        <v>41244</v>
      </c>
      <c r="C299" s="16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6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6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6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6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6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6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6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6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6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6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6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6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6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6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6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6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6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6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6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129">
      <c r="A300" s="51" t="n"/>
      <c r="B300" s="52" t="n">
        <v>41275</v>
      </c>
      <c r="C300" s="16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6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6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6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6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6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6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6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6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6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6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6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6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6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6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6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6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6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6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6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129">
      <c r="A301" s="51" t="n"/>
      <c r="B301" s="52" t="n">
        <v>41306</v>
      </c>
      <c r="C301" s="16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6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6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6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6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6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6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6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6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6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6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6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6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6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6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6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6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6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6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6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129">
      <c r="A302" s="51" t="n"/>
      <c r="B302" s="52" t="n">
        <v>41334</v>
      </c>
      <c r="C302" s="16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6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6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6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6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6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6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6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6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6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6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6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6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6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6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6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6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6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6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6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129">
      <c r="A303" s="51" t="n"/>
      <c r="B303" s="52" t="n">
        <v>41365</v>
      </c>
      <c r="C303" s="16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6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6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6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6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6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6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6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6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6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6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6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6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6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6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6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6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6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6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6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129">
      <c r="A304" s="51" t="n"/>
      <c r="B304" s="52" t="n">
        <v>41395</v>
      </c>
      <c r="C304" s="16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6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6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6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6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6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6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6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6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6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6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6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6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6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6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6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6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6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6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6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129">
      <c r="A305" s="51" t="n"/>
      <c r="B305" s="52" t="n">
        <v>41426</v>
      </c>
      <c r="C305" s="16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6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6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6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6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6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6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6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6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6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6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6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6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6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6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6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6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6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6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6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129">
      <c r="A306" s="51" t="n"/>
      <c r="B306" s="52" t="n">
        <v>41456</v>
      </c>
      <c r="C306" s="16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6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6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6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6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6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6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6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6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6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6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6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6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6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6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6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6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6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6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6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129">
      <c r="A307" s="51" t="n"/>
      <c r="B307" s="52" t="n">
        <v>41487</v>
      </c>
      <c r="C307" s="16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6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6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6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6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6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6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6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6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6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6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6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6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6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6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6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6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6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6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6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129">
      <c r="A308" s="51" t="n"/>
      <c r="B308" s="52" t="n">
        <v>41518</v>
      </c>
      <c r="C308" s="16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6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6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6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6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6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6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6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6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6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6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6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6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6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6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6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6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6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6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6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129">
      <c r="A309" s="51" t="n"/>
      <c r="B309" s="52" t="n">
        <v>41548</v>
      </c>
      <c r="C309" s="16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6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6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6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6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6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6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6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6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6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6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6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6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6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6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6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6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6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6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6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129">
      <c r="A310" s="51" t="n"/>
      <c r="B310" s="52" t="n">
        <v>41579</v>
      </c>
      <c r="C310" s="16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6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6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6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6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6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6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6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6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6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6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6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6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6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6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6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6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6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6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6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129">
      <c r="A311" s="51" t="n"/>
      <c r="B311" s="52" t="n">
        <v>41609</v>
      </c>
      <c r="C311" s="16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6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6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6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6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6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6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6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6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6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6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6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6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6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6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6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6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6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6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6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129">
      <c r="A312" s="51" t="n"/>
      <c r="B312" s="52" t="n">
        <v>41640</v>
      </c>
      <c r="C312" s="16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6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6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6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6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6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6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6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6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6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6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6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6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6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6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6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6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6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6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6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129">
      <c r="A313" s="51" t="n"/>
      <c r="B313" s="52" t="n">
        <v>41671</v>
      </c>
      <c r="C313" s="16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6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6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6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6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6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6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6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6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6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6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6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6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6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6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6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6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6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6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6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129">
      <c r="A314" s="51" t="n"/>
      <c r="B314" s="52" t="n">
        <v>41699</v>
      </c>
      <c r="C314" s="16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6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6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6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6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6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6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6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6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6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6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6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6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6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6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6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6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6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6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6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129">
      <c r="A315" s="51" t="n"/>
      <c r="B315" s="52" t="n">
        <v>41730</v>
      </c>
      <c r="C315" s="16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6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6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6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6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6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6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6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6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6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6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6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6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6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6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6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6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6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6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6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129">
      <c r="A316" s="51" t="n"/>
      <c r="B316" s="52" t="n">
        <v>41760</v>
      </c>
      <c r="C316" s="16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6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6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6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6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6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6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6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6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6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6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6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6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6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6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6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6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6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6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6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129">
      <c r="A317" s="51" t="n"/>
      <c r="B317" s="52" t="n">
        <v>41791</v>
      </c>
      <c r="C317" s="16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6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6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6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6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6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6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6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6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6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6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6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6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6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6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6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6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6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6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6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129">
      <c r="A318" s="51" t="n"/>
      <c r="B318" s="52" t="n">
        <v>41821</v>
      </c>
      <c r="C318" s="16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6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6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6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6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6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6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6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6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6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6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6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6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6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6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6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6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6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6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6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129">
      <c r="A319" s="51" t="n"/>
      <c r="B319" s="52" t="n">
        <v>41852</v>
      </c>
      <c r="C319" s="16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6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6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6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6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6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6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6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6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6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6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6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6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6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6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6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6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6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6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6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129">
      <c r="A320" s="51" t="n"/>
      <c r="B320" s="52" t="n">
        <v>41883</v>
      </c>
      <c r="C320" s="16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6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6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6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6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6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6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6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6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6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6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6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6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6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6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6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6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6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6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6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129">
      <c r="A321" s="51" t="n"/>
      <c r="B321" s="52" t="n">
        <v>41913</v>
      </c>
      <c r="C321" s="16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6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6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6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6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6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6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6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6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6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6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6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6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6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6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6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6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6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6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6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129">
      <c r="A322" s="51" t="n"/>
      <c r="B322" s="52" t="n">
        <v>41944</v>
      </c>
      <c r="C322" s="16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6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6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6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6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6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6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6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6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6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6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6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6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6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6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6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6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6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6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6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129">
      <c r="A323" s="51" t="n"/>
      <c r="B323" s="52" t="n">
        <v>41974</v>
      </c>
      <c r="C323" s="16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6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6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6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6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6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6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6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6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6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6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6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6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6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6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6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6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6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6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6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129">
      <c r="A324" s="51" t="n"/>
      <c r="B324" s="52" t="n">
        <v>42005</v>
      </c>
      <c r="C324" s="16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6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6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6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6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6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6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6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6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6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6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6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6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6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6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6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6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6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6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6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129">
      <c r="A325" s="51" t="n"/>
      <c r="B325" s="52" t="n">
        <v>42036</v>
      </c>
      <c r="C325" s="16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6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6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6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6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6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6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6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6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6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6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6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6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6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6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6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6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6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6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6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129">
      <c r="A326" s="51" t="n"/>
      <c r="B326" s="52" t="n">
        <v>42064</v>
      </c>
      <c r="C326" s="16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6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6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6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6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6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6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6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6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6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6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6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6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6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6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6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6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6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6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6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129">
      <c r="A327" s="51" t="n"/>
      <c r="B327" s="52" t="n">
        <v>42095</v>
      </c>
      <c r="C327" s="16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6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6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6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6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6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6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6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6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6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6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6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6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6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6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6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6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6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6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6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129">
      <c r="A328" s="51" t="n"/>
      <c r="B328" s="52" t="n">
        <v>42125</v>
      </c>
      <c r="C328" s="16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6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6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6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6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6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6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6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6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6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6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6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6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6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6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6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6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6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6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6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129">
      <c r="A329" s="51" t="n"/>
      <c r="B329" s="52" t="n">
        <v>42156</v>
      </c>
      <c r="C329" s="16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6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6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6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6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6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6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6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6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6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6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6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6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6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6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6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6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6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6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6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129">
      <c r="A330" s="51" t="n"/>
      <c r="B330" s="52" t="n">
        <v>42186</v>
      </c>
      <c r="C330" s="16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6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6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6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6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6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6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6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6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6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6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6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6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6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6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6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6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6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6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6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129">
      <c r="A331" s="51" t="n"/>
      <c r="B331" s="52" t="n">
        <v>42217</v>
      </c>
      <c r="C331" s="16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6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6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6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6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6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6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6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6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6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6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6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6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6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6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6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6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6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6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6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129">
      <c r="A332" s="51" t="n"/>
      <c r="B332" s="52" t="n">
        <v>42248</v>
      </c>
      <c r="C332" s="16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6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6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6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6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6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6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6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6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6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6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6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6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6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6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6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6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6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6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6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129">
      <c r="A333" s="51" t="n"/>
      <c r="B333" s="52" t="n">
        <v>42278</v>
      </c>
      <c r="C333" s="16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6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6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6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6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6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6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6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6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6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6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6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6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6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6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6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6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6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6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6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129">
      <c r="A334" s="51" t="n"/>
      <c r="B334" s="52" t="n">
        <v>42309</v>
      </c>
      <c r="C334" s="16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6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6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6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6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6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6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6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6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6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6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6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6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6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6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6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6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6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6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6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129">
      <c r="A335" s="51" t="n"/>
      <c r="B335" s="52" t="n">
        <v>42339</v>
      </c>
      <c r="C335" s="16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6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6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6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6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6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6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6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6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6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6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6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6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6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6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6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6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6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6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6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129">
      <c r="A336" s="51" t="n"/>
      <c r="B336" s="52" t="n">
        <v>42370</v>
      </c>
      <c r="C336" s="16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6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6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6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6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6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6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6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6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6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6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6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6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6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6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6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6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6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6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6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129">
      <c r="A337" s="51" t="n"/>
      <c r="B337" s="52" t="n">
        <v>42401</v>
      </c>
      <c r="C337" s="16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6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6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6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6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6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6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6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6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6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6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6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6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6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6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6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6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6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6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6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129">
      <c r="A338" s="51" t="n"/>
      <c r="B338" s="52" t="n">
        <v>42430</v>
      </c>
      <c r="C338" s="16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6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6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6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6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6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6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6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6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6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6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6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6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6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6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6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6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6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6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6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129">
      <c r="A339" s="51" t="n"/>
      <c r="B339" s="52" t="n">
        <v>42461</v>
      </c>
      <c r="C339" s="16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6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6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6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6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6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6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6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6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6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6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6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6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6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6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6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6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6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6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6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129">
      <c r="A340" s="51" t="n"/>
      <c r="B340" s="52" t="n">
        <v>42491</v>
      </c>
      <c r="C340" s="16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6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6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6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6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6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6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6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6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6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6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6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6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6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6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6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6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6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6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6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129">
      <c r="A341" s="51" t="n"/>
      <c r="B341" s="52" t="n">
        <v>42522</v>
      </c>
      <c r="C341" s="16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6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6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6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6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6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6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6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6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6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6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6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6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6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6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6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6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6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6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6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129">
      <c r="A342" s="51" t="n"/>
      <c r="B342" s="52" t="n">
        <v>42552</v>
      </c>
      <c r="C342" s="16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6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6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6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6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6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6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6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6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6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6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6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6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6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6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6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6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6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6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6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129">
      <c r="A343" s="51" t="n"/>
      <c r="B343" s="52" t="n">
        <v>42583</v>
      </c>
      <c r="C343" s="16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6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6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6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6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6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6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6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6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6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6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6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6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6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6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6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6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6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6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6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129">
      <c r="A344" s="51" t="n"/>
      <c r="B344" s="52" t="n">
        <v>42614</v>
      </c>
      <c r="C344" s="16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6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6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6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6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6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6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6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6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6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6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6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6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6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6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6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6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6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6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6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129">
      <c r="A345" s="51" t="n"/>
      <c r="B345" s="52" t="n">
        <v>42644</v>
      </c>
      <c r="C345" s="16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6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6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6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6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6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6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6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6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6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6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6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6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6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6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6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6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6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6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6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129">
      <c r="A346" s="51" t="n"/>
      <c r="B346" s="52" t="n">
        <v>42675</v>
      </c>
      <c r="C346" s="16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6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6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6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6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6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6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6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6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6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6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6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6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6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6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6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6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6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6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6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129">
      <c r="A347" s="51" t="n"/>
      <c r="B347" s="52" t="n">
        <v>42705</v>
      </c>
      <c r="C347" s="16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6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6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6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6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6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6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6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6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6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6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6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6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6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6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6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6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6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6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6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129">
      <c r="A348" s="51" t="n"/>
      <c r="B348" s="52" t="n">
        <v>42736</v>
      </c>
      <c r="C348" s="16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6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6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6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6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6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6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6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6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6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6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6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6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6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6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6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6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6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6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6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129">
      <c r="A349" s="51" t="n"/>
      <c r="B349" s="52" t="n">
        <v>42767</v>
      </c>
      <c r="C349" s="16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6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6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6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6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6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6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6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6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6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6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6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6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6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6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6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6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6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6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6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129">
      <c r="A350" s="51" t="n"/>
      <c r="B350" s="52" t="n">
        <v>42795</v>
      </c>
      <c r="C350" s="16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6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6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6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6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6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6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6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6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6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6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6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6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6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6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6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6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6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6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6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129">
      <c r="A351" s="51" t="n"/>
      <c r="B351" s="52" t="n">
        <v>42826</v>
      </c>
      <c r="C351" s="16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6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6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6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6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6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6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6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6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6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6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6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6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6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6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6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6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6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6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6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129">
      <c r="A352" s="51" t="n"/>
      <c r="B352" s="52" t="n">
        <v>42856</v>
      </c>
      <c r="C352" s="16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6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6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6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6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6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6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6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6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6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6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6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6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6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6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6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6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6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6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6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129">
      <c r="A353" s="51" t="n"/>
      <c r="B353" s="52" t="n">
        <v>42887</v>
      </c>
      <c r="C353" s="16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6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6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6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6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6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6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6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6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6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6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6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6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6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6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6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6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6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6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6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129">
      <c r="A354" s="51" t="n"/>
      <c r="B354" s="52" t="n">
        <v>42917</v>
      </c>
      <c r="C354" s="16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6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6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6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6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6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6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6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6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6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6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6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6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6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6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6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6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6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6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6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129">
      <c r="A355" s="51" t="n"/>
      <c r="B355" s="52" t="n">
        <v>42948</v>
      </c>
      <c r="C355" s="16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6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6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6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6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6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6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6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6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6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6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6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6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6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6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6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6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6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6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6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129">
      <c r="A356" s="51" t="n"/>
      <c r="B356" s="52" t="n">
        <v>42979</v>
      </c>
      <c r="C356" s="16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6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6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6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6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6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6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6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6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6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6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6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6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6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6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6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6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6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6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6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129">
      <c r="A357" s="51" t="n"/>
      <c r="B357" s="52" t="n">
        <v>43009</v>
      </c>
      <c r="C357" s="16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6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6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6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6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6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6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6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6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6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6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6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6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6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6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6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6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6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6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6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129">
      <c r="A358" s="51" t="n"/>
      <c r="B358" s="52" t="n">
        <v>43040</v>
      </c>
      <c r="C358" s="16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6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6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6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6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6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6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6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6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6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6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6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6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6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6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6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6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6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6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6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129">
      <c r="A359" s="51" t="n"/>
      <c r="B359" s="52" t="n">
        <v>43070</v>
      </c>
      <c r="C359" s="16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6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6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6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6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6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6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6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6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6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6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6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6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6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6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6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6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6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6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6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129">
      <c r="A360" s="51" t="n"/>
      <c r="B360" s="52" t="n">
        <v>43101</v>
      </c>
      <c r="C360" s="16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6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6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6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6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6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6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6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6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6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6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6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6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6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6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6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6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6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6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6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129">
      <c r="A361" s="51" t="n"/>
      <c r="B361" s="52" t="n">
        <v>43132</v>
      </c>
      <c r="C361" s="16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6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6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6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6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6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6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6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6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6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6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6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6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6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6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6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6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6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6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6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129">
      <c r="A362" s="51" t="n"/>
      <c r="B362" s="52" t="n">
        <v>43160</v>
      </c>
      <c r="C362" s="16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6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6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6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6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6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6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6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6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6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6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6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6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6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6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6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6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6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6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6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129">
      <c r="A363" s="51" t="n"/>
      <c r="B363" s="52" t="n">
        <v>43191</v>
      </c>
      <c r="C363" s="16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6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6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6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6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6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6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6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6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6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6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6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6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6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6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6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6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6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6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6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129">
      <c r="A364" s="51" t="n"/>
      <c r="B364" s="52" t="n">
        <v>43221</v>
      </c>
      <c r="C364" s="16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6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6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6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6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6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6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6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6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6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6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6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6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6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6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6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6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6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6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6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129">
      <c r="A365" s="51" t="n"/>
      <c r="B365" s="52" t="n">
        <v>43252</v>
      </c>
      <c r="C365" s="16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6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6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6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6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6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6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6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6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6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6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6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6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6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6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6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6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6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6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6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129">
      <c r="A366" s="51" t="n"/>
      <c r="B366" s="52" t="n">
        <v>43282</v>
      </c>
      <c r="C366" s="16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6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6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6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6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6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6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6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6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6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6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6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6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6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6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6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6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6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6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6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129">
      <c r="A367" s="51" t="n"/>
      <c r="B367" s="52" t="n">
        <v>43313</v>
      </c>
      <c r="C367" s="16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6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6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6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6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6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6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6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6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6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6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6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6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6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6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6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6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6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6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6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129">
      <c r="A368" s="51" t="n"/>
      <c r="B368" s="52" t="n">
        <v>43344</v>
      </c>
      <c r="C368" s="16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6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6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6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6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6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6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6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6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6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6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6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6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6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6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6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6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6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6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6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129">
      <c r="B369" s="52" t="n">
        <v>43374</v>
      </c>
      <c r="C369" s="16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6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6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6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6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6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6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6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6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6" t="n"/>
      <c r="M369" s="16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6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6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6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6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6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6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6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6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6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129">
      <c r="B370" s="52" t="n">
        <v>43405</v>
      </c>
      <c r="C370" s="16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6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6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6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6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6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6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6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6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6" t="n"/>
      <c r="M370" s="16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6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6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6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6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6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6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6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6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6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129">
      <c r="B371" s="52" t="n">
        <v>43435</v>
      </c>
      <c r="C371" s="16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6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6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6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6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6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6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6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6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6" t="n"/>
      <c r="M371" s="16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6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6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6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6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6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6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6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6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6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129">
      <c r="B372" s="52" t="n">
        <v>43466</v>
      </c>
      <c r="C372" s="16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6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6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6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6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6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6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6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6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6" t="n"/>
      <c r="M372" s="16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6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6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6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6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6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6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6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6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6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129">
      <c r="B373" s="52" t="n">
        <v>43497</v>
      </c>
      <c r="C373" s="16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6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6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6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6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6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6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6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6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6" t="n"/>
      <c r="M373" s="16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6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6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6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6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6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6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6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6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6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129">
      <c r="B374" s="52" t="n">
        <v>43525</v>
      </c>
      <c r="C374" s="16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6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6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6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6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6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6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6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6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6" t="n"/>
      <c r="M374" s="16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6" t="n"/>
      <c r="O374" s="16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6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6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6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6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6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6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6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129">
      <c r="B375" s="52" t="n">
        <v>43556</v>
      </c>
      <c r="C375" s="16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6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6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6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6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6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6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6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6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6" t="n"/>
      <c r="M375" s="16" t="n"/>
      <c r="N375" s="16" t="n"/>
      <c r="O375" s="16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6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6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6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6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6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6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6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129">
      <c r="B376" s="52" t="n">
        <v>43586</v>
      </c>
      <c r="C376" s="16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6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6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6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6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6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6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6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6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6" t="n"/>
      <c r="M376" s="16" t="n"/>
      <c r="N376" s="16" t="n"/>
      <c r="O376" s="16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6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6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6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6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6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6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6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129">
      <c r="B377" s="52" t="n">
        <v>43617</v>
      </c>
      <c r="C377" s="16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6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6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6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6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6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6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6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6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6" t="n"/>
      <c r="M377" s="16" t="n"/>
      <c r="N377" s="16" t="n"/>
      <c r="O377" s="16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6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6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6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6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6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6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6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129">
      <c r="B378" s="52" t="n">
        <v>43647</v>
      </c>
      <c r="C378" s="16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6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6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6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6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6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6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6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6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6" t="n"/>
      <c r="M378" s="16" t="n"/>
      <c r="N378" s="16" t="n"/>
      <c r="O378" s="16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6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6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6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6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6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6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6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129">
      <c r="B379" s="52" t="n">
        <v>43678</v>
      </c>
      <c r="C379" s="16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6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6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6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6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6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6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6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6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6" t="n"/>
      <c r="M379" s="16" t="n"/>
      <c r="N379" s="16" t="n"/>
      <c r="O379" s="16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6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6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6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6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6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6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6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129">
      <c r="B380" s="52" t="n">
        <v>43709</v>
      </c>
      <c r="C380" s="16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6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6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6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6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6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6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6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6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6" t="n"/>
      <c r="M380" s="16" t="n"/>
      <c r="N380" s="16" t="n"/>
      <c r="O380" s="16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6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6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6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6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6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6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6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129">
      <c r="B381" s="52" t="n">
        <v>43739</v>
      </c>
      <c r="C381" s="16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6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6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6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6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6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6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6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6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6" t="n"/>
      <c r="M381" s="16" t="n"/>
      <c r="N381" s="16" t="n"/>
      <c r="O381" s="16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6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6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6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6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6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6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6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129">
      <c r="B382" s="52" t="n">
        <v>43770</v>
      </c>
      <c r="C382" s="16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6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6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6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6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6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6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6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6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6" t="n"/>
      <c r="M382" s="16" t="n"/>
      <c r="N382" s="16" t="n"/>
      <c r="O382" s="16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6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6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6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6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6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6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6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129">
      <c r="B383" s="52" t="n">
        <v>43800</v>
      </c>
      <c r="C383" s="16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6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6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6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6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6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6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6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6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6" t="n"/>
      <c r="M383" s="16" t="n"/>
      <c r="N383" s="16" t="n"/>
      <c r="O383" s="16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6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6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6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6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6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6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6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129">
      <c r="B384" s="52" t="n">
        <v>43831</v>
      </c>
      <c r="C384" s="16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6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6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6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6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6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6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6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6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6" t="n"/>
      <c r="M384" s="16" t="n"/>
      <c r="N384" s="16" t="n"/>
      <c r="O384" s="16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6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6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6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6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6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6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6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129">
      <c r="B385" s="52" t="n">
        <v>43862</v>
      </c>
      <c r="C385" s="16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6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6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6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6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6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6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6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6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6" t="n"/>
      <c r="M385" s="16" t="n"/>
      <c r="N385" s="16" t="n"/>
      <c r="O385" s="16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6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6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6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6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6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6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6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129">
      <c r="B386" s="52" t="n">
        <v>43891</v>
      </c>
      <c r="C386" s="16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6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6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6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6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6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6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6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6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6" t="n"/>
      <c r="M386" s="16" t="n"/>
      <c r="N386" s="16" t="n"/>
      <c r="O386" s="16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6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6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6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6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6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6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6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129">
      <c r="B387" s="52" t="n">
        <v>43922</v>
      </c>
      <c r="C387" s="16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6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6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6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6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6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6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6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6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6" t="n"/>
      <c r="M387" s="16" t="n"/>
      <c r="N387" s="16" t="n"/>
      <c r="O387" s="16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6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6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6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6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6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6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6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129">
      <c r="B388" s="52" t="n">
        <v>43952</v>
      </c>
      <c r="C388" s="16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6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6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6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6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6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6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6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6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6" t="n"/>
      <c r="M388" s="16" t="n"/>
      <c r="N388" s="16" t="n"/>
      <c r="O388" s="16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6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6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6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6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6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6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6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129">
      <c r="B389" s="52" t="n">
        <v>43983</v>
      </c>
      <c r="C389" s="16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6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6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6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6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6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6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6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6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6" t="n"/>
      <c r="M389" s="16" t="n"/>
      <c r="N389" s="16" t="n"/>
      <c r="O389" s="16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6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6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6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6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6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6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6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129">
      <c r="B390" s="52" t="n">
        <v>44013</v>
      </c>
      <c r="C390" s="16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6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6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6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6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6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6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6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6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6" t="n"/>
      <c r="M390" s="16" t="n"/>
      <c r="N390" s="16" t="n"/>
      <c r="O390" s="16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6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6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6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6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6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6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6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129">
      <c r="B391" s="52" t="n">
        <v>44044</v>
      </c>
      <c r="C391" s="16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6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6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6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6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6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6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6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6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6" t="n"/>
      <c r="M391" s="16" t="n"/>
      <c r="N391" s="16" t="n"/>
      <c r="O391" s="16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6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6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6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6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6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6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6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129">
      <c r="B392" s="52" t="n">
        <v>44075</v>
      </c>
      <c r="C392" s="16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6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6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6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6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6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6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6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6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6" t="n"/>
      <c r="M392" s="16" t="n"/>
      <c r="N392" s="16" t="n"/>
      <c r="O392" s="16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6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6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6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6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6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6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6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129">
      <c r="B393" s="52" t="n">
        <v>44105</v>
      </c>
      <c r="C393" s="16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6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6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6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6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6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6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6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6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6" t="n"/>
      <c r="M393" s="16" t="n"/>
      <c r="N393" s="16" t="n"/>
      <c r="O393" s="16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6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6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6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6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6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6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6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129">
      <c r="B394" s="129" t="n"/>
    </row>
    <row r="395" customFormat="1" s="129">
      <c r="B395" s="129" t="n"/>
    </row>
    <row r="396" customFormat="1" s="129">
      <c r="B396" s="129" t="n"/>
    </row>
    <row r="397" customFormat="1" s="129">
      <c r="B397" s="129" t="n"/>
    </row>
    <row r="398" customFormat="1" s="129">
      <c r="B398" s="129" t="n"/>
    </row>
    <row r="399" customFormat="1" s="129">
      <c r="B399" s="129" t="n"/>
    </row>
    <row r="400" customFormat="1" s="129">
      <c r="B400" s="129" t="n"/>
    </row>
    <row r="401" customFormat="1" s="129">
      <c r="B401" s="129" t="n"/>
    </row>
    <row r="402" customFormat="1" s="129">
      <c r="B402" s="129" t="n"/>
    </row>
    <row r="403" customFormat="1" s="129">
      <c r="B403" s="129" t="n"/>
    </row>
    <row r="404" customFormat="1" s="129">
      <c r="B404" s="129" t="n"/>
    </row>
    <row r="405" customFormat="1" s="129">
      <c r="B405" s="129" t="n"/>
    </row>
    <row r="406" customFormat="1" s="129">
      <c r="B406" s="129" t="n"/>
    </row>
    <row r="407" customFormat="1" s="129">
      <c r="B407" s="129" t="n"/>
    </row>
    <row r="408" customFormat="1" s="129">
      <c r="B408" s="129" t="n"/>
    </row>
    <row r="409" customFormat="1" s="129">
      <c r="B409" s="129" t="n"/>
    </row>
    <row r="410" customFormat="1" s="129">
      <c r="B410" s="129" t="n"/>
    </row>
    <row r="411" customFormat="1" s="129">
      <c r="B411" s="129" t="n"/>
    </row>
    <row r="412" customFormat="1" s="129">
      <c r="B412" s="129" t="n"/>
    </row>
    <row r="413" customFormat="1" s="129">
      <c r="B413" s="129" t="n"/>
    </row>
    <row r="414" customFormat="1" s="129">
      <c r="B414" s="129" t="n"/>
    </row>
    <row r="415" customFormat="1" s="129">
      <c r="B415" s="129" t="n"/>
    </row>
    <row r="416" customFormat="1" s="129">
      <c r="B416" s="129" t="n"/>
    </row>
    <row r="417" customFormat="1" s="129">
      <c r="B417" s="129" t="n"/>
    </row>
    <row r="418" customFormat="1" s="129">
      <c r="B418" s="129" t="n"/>
    </row>
    <row r="419" customFormat="1" s="129">
      <c r="B419" s="129" t="n"/>
    </row>
    <row r="420" customFormat="1" s="129">
      <c r="B420" s="129" t="n"/>
    </row>
    <row r="421" customFormat="1" s="129">
      <c r="B421" s="129" t="n"/>
    </row>
    <row r="422" customFormat="1" s="129">
      <c r="B422" s="129" t="n"/>
    </row>
    <row r="423" customFormat="1" s="129">
      <c r="B423" s="129" t="n"/>
    </row>
    <row r="424" customFormat="1" s="129">
      <c r="B424" s="129" t="n"/>
    </row>
    <row r="425" customFormat="1" s="129">
      <c r="B425" s="129" t="n"/>
    </row>
    <row r="426" customFormat="1" s="129">
      <c r="B426" s="129" t="n"/>
    </row>
    <row r="427" customFormat="1" s="129">
      <c r="B427" s="129" t="n"/>
    </row>
    <row r="428" customFormat="1" s="129">
      <c r="B428" s="129" t="n"/>
    </row>
    <row r="429" customFormat="1" s="129">
      <c r="B429" s="129" t="n"/>
    </row>
    <row r="430" customFormat="1" s="129">
      <c r="B430" s="129" t="n"/>
    </row>
    <row r="431" customFormat="1" s="129">
      <c r="B431" s="129" t="n"/>
    </row>
    <row r="432" customFormat="1" s="129">
      <c r="B432" s="129" t="n"/>
    </row>
    <row r="433" customFormat="1" s="129">
      <c r="B433" s="129" t="n"/>
    </row>
    <row r="434" customFormat="1" s="129">
      <c r="B434" s="129" t="n"/>
    </row>
    <row r="435" customFormat="1" s="129">
      <c r="B435" s="129" t="n"/>
    </row>
    <row r="436" customFormat="1" s="129">
      <c r="B436" s="129" t="n"/>
    </row>
    <row r="437" customFormat="1" s="129">
      <c r="B437" s="129" t="n"/>
    </row>
    <row r="438" customFormat="1" s="129">
      <c r="B438" s="129" t="n"/>
    </row>
    <row r="439" customFormat="1" s="129">
      <c r="B439" s="129" t="n"/>
    </row>
    <row r="440" customFormat="1" s="129">
      <c r="B440" s="129" t="n"/>
    </row>
    <row r="441" customFormat="1" s="129">
      <c r="B441" s="129" t="n"/>
    </row>
    <row r="442" customFormat="1" s="129">
      <c r="B442" s="129" t="n"/>
    </row>
    <row r="443" customFormat="1" s="129">
      <c r="B443" s="129" t="n"/>
    </row>
    <row r="444" customFormat="1" s="129">
      <c r="B444" s="129" t="n"/>
    </row>
    <row r="445" customFormat="1" s="129">
      <c r="B445" s="129" t="n"/>
    </row>
    <row r="446" customFormat="1" s="129">
      <c r="B446" s="129" t="n"/>
    </row>
    <row r="447" customFormat="1" s="129">
      <c r="B447" s="129" t="n"/>
    </row>
    <row r="448" customFormat="1" s="129">
      <c r="B448" s="129" t="n"/>
    </row>
    <row r="449" customFormat="1" s="129">
      <c r="B449" s="129" t="n"/>
    </row>
    <row r="450" customFormat="1" s="129">
      <c r="B450" s="129" t="n"/>
    </row>
    <row r="451" customFormat="1" s="129">
      <c r="B451" s="129" t="n"/>
    </row>
    <row r="452" customFormat="1" s="129">
      <c r="B452" s="129" t="n"/>
    </row>
    <row r="453" customFormat="1" s="129">
      <c r="B453" s="129" t="n"/>
    </row>
    <row r="454" customFormat="1" s="129">
      <c r="B454" s="129" t="n"/>
    </row>
    <row r="455" customFormat="1" s="129">
      <c r="B455" s="129" t="n"/>
    </row>
    <row r="456" customFormat="1" s="129">
      <c r="B456" s="129" t="n"/>
    </row>
    <row r="457" customFormat="1" s="129">
      <c r="B457" s="129" t="n"/>
    </row>
    <row r="458" customFormat="1" s="129">
      <c r="B458" s="129" t="n"/>
    </row>
    <row r="459" customFormat="1" s="129">
      <c r="B459" s="129" t="n"/>
    </row>
    <row r="460" customFormat="1" s="129">
      <c r="B460" s="129" t="n"/>
    </row>
    <row r="461" customFormat="1" s="129">
      <c r="B461" s="129" t="n"/>
    </row>
    <row r="462" customFormat="1" s="129">
      <c r="B462" s="129" t="n"/>
    </row>
    <row r="463" customFormat="1" s="129">
      <c r="B463" s="129" t="n"/>
    </row>
    <row r="464" customFormat="1" s="129">
      <c r="B464" s="129" t="n"/>
    </row>
    <row r="465" customFormat="1" s="129">
      <c r="B465" s="129" t="n"/>
    </row>
    <row r="466" customFormat="1" s="129">
      <c r="B466" s="129" t="n"/>
    </row>
    <row r="467" customFormat="1" s="129">
      <c r="B467" s="129" t="n"/>
    </row>
    <row r="468" customFormat="1" s="129">
      <c r="B468" s="129" t="n"/>
    </row>
    <row r="469" customFormat="1" s="129">
      <c r="B469" s="129" t="n"/>
    </row>
    <row r="470" customFormat="1" s="129">
      <c r="B470" s="129" t="n"/>
    </row>
    <row r="471" customFormat="1" s="129">
      <c r="B471" s="129" t="n"/>
    </row>
    <row r="472" customFormat="1" s="129">
      <c r="B472" s="129" t="n"/>
    </row>
    <row r="473" customFormat="1" s="129">
      <c r="B473" s="129" t="n"/>
    </row>
    <row r="474" customFormat="1" s="129">
      <c r="B474" s="129" t="n"/>
    </row>
    <row r="475" customFormat="1" s="129">
      <c r="B475" s="129" t="n"/>
    </row>
    <row r="476" customFormat="1" s="129">
      <c r="B476" s="129" t="n"/>
    </row>
    <row r="477" customFormat="1" s="129">
      <c r="B477" s="129" t="n"/>
    </row>
    <row r="478" customFormat="1" s="129">
      <c r="B478" s="129" t="n"/>
    </row>
    <row r="479" customFormat="1" s="129">
      <c r="B479" s="129" t="n"/>
    </row>
    <row r="480" customFormat="1" s="129">
      <c r="B480" s="129" t="n"/>
    </row>
    <row r="481" customFormat="1" s="129">
      <c r="B481" s="129" t="n"/>
    </row>
    <row r="482" customFormat="1" s="129">
      <c r="B482" s="129" t="n"/>
    </row>
    <row r="483" customFormat="1" s="129">
      <c r="B483" s="129" t="n"/>
    </row>
    <row r="484" customFormat="1" s="129">
      <c r="B484" s="129" t="n"/>
    </row>
    <row r="485" customFormat="1" s="129">
      <c r="B485" s="129" t="n"/>
    </row>
    <row r="486" customFormat="1" s="129">
      <c r="B486" s="129" t="n"/>
    </row>
    <row r="487" customFormat="1" s="129">
      <c r="B487" s="129" t="n"/>
    </row>
    <row r="488" customFormat="1" s="129">
      <c r="B488" s="129" t="n"/>
    </row>
    <row r="489" customFormat="1" s="129">
      <c r="B489" s="129" t="n"/>
    </row>
    <row r="490" customFormat="1" s="129">
      <c r="B490" s="129" t="n"/>
    </row>
    <row r="491" customFormat="1" s="129">
      <c r="B491" s="129" t="n"/>
    </row>
    <row r="492" customFormat="1" s="129">
      <c r="B492" s="129" t="n"/>
    </row>
    <row r="493" customFormat="1" s="129">
      <c r="B493" s="129" t="n"/>
    </row>
    <row r="494" customFormat="1" s="129">
      <c r="B494" s="129" t="n"/>
    </row>
    <row r="495" customFormat="1" s="129">
      <c r="B495" s="129" t="n"/>
    </row>
    <row r="496" customFormat="1" s="129">
      <c r="B496" s="129" t="n"/>
    </row>
    <row r="497" customFormat="1" s="129">
      <c r="B497" s="129" t="n"/>
    </row>
    <row r="498" customFormat="1" s="129">
      <c r="B498" s="129" t="n"/>
    </row>
    <row r="499" customFormat="1" s="129">
      <c r="B499" s="129" t="n"/>
    </row>
    <row r="500" customFormat="1" s="129">
      <c r="B500" s="129" t="n"/>
    </row>
    <row r="501" customFormat="1" s="129">
      <c r="B501" s="129" t="n"/>
    </row>
    <row r="502" customFormat="1" s="129">
      <c r="B502" s="129" t="n"/>
    </row>
    <row r="503" customFormat="1" s="129">
      <c r="B503" s="129" t="n"/>
    </row>
    <row r="504" customFormat="1" s="129">
      <c r="B504" s="129" t="n"/>
    </row>
    <row r="505" customFormat="1" s="129">
      <c r="B505" s="129" t="n"/>
    </row>
    <row r="506" customFormat="1" s="129">
      <c r="B506" s="129" t="n"/>
    </row>
    <row r="507" customFormat="1" s="129">
      <c r="B507" s="129" t="n"/>
    </row>
    <row r="508" customFormat="1" s="129">
      <c r="B508" s="129" t="n"/>
    </row>
    <row r="509" customFormat="1" s="129">
      <c r="B509" s="129" t="n"/>
    </row>
    <row r="510" customFormat="1" s="129">
      <c r="B510" s="129" t="n"/>
    </row>
    <row r="511" customFormat="1" s="129">
      <c r="B511" s="129" t="n"/>
    </row>
    <row r="512" customFormat="1" s="129">
      <c r="B512" s="129" t="n"/>
    </row>
    <row r="513" customFormat="1" s="129">
      <c r="B513" s="129" t="n"/>
    </row>
    <row r="514" customFormat="1" s="129">
      <c r="B514" s="129" t="n"/>
    </row>
    <row r="515" customFormat="1" s="129">
      <c r="B515" s="129" t="n"/>
    </row>
    <row r="516" customFormat="1" s="129">
      <c r="B516" s="129" t="n"/>
    </row>
    <row r="517" customFormat="1" s="129">
      <c r="B517" s="129" t="n"/>
    </row>
    <row r="518" customFormat="1" s="129">
      <c r="B518" s="129" t="n"/>
    </row>
    <row r="519" customFormat="1" s="129">
      <c r="B519" s="129" t="n"/>
    </row>
    <row r="520" customFormat="1" s="129">
      <c r="B520" s="129" t="n"/>
    </row>
    <row r="521" customFormat="1" s="129">
      <c r="B521" s="129" t="n"/>
    </row>
    <row r="522" customFormat="1" s="129">
      <c r="B522" s="129" t="n"/>
    </row>
    <row r="523" customFormat="1" s="129">
      <c r="B523" s="129" t="n"/>
    </row>
    <row r="524" customFormat="1" s="129">
      <c r="B524" s="129" t="n"/>
    </row>
    <row r="525" customFormat="1" s="129">
      <c r="B525" s="129" t="n"/>
    </row>
    <row r="526" customFormat="1" s="129">
      <c r="B526" s="129" t="n"/>
    </row>
    <row r="527" customFormat="1" s="129">
      <c r="B527" s="129" t="n"/>
    </row>
    <row r="528" customFormat="1" s="129">
      <c r="B528" s="129" t="n"/>
    </row>
    <row r="529" customFormat="1" s="129">
      <c r="B529" s="129" t="n"/>
    </row>
    <row r="530" customFormat="1" s="129">
      <c r="B530" s="129" t="n"/>
    </row>
    <row r="531" customFormat="1" s="129">
      <c r="B531" s="129" t="n"/>
    </row>
    <row r="532" customFormat="1" s="129">
      <c r="B532" s="129" t="n"/>
    </row>
    <row r="533" customFormat="1" s="129">
      <c r="B533" s="129" t="n"/>
    </row>
    <row r="534" customFormat="1" s="129">
      <c r="B534" s="129" t="n"/>
    </row>
    <row r="535" customFormat="1" s="129">
      <c r="B535" s="129" t="n"/>
    </row>
    <row r="536" customFormat="1" s="129">
      <c r="B536" s="129" t="n"/>
    </row>
    <row r="537" customFormat="1" s="129">
      <c r="B537" s="129" t="n"/>
    </row>
    <row r="538" customFormat="1" s="129">
      <c r="B538" s="129" t="n"/>
    </row>
    <row r="539" customFormat="1" s="129">
      <c r="B539" s="129" t="n"/>
    </row>
    <row r="540" customFormat="1" s="129">
      <c r="B540" s="129" t="n"/>
    </row>
    <row r="541" customFormat="1" s="129">
      <c r="B541" s="129" t="n"/>
    </row>
    <row r="542" customFormat="1" s="129">
      <c r="B542" s="129" t="n"/>
    </row>
    <row r="543" customFormat="1" s="129">
      <c r="B543" s="129" t="n"/>
    </row>
    <row r="544" customFormat="1" s="129">
      <c r="B544" s="129" t="n"/>
    </row>
    <row r="545" customFormat="1" s="129">
      <c r="B545" s="129" t="n"/>
    </row>
    <row r="546" customFormat="1" s="129">
      <c r="B546" s="129" t="n"/>
    </row>
    <row r="547" customFormat="1" s="129">
      <c r="B547" s="129" t="n"/>
    </row>
    <row r="548" customFormat="1" s="129">
      <c r="B548" s="129" t="n"/>
    </row>
    <row r="549" customFormat="1" s="129">
      <c r="B549" s="129" t="n"/>
    </row>
    <row r="550" customFormat="1" s="129">
      <c r="B550" s="129" t="n"/>
    </row>
    <row r="551" customFormat="1" s="129">
      <c r="B551" s="129" t="n"/>
    </row>
    <row r="552" customFormat="1" s="129">
      <c r="B552" s="129" t="n"/>
    </row>
    <row r="553" customFormat="1" s="129">
      <c r="B553" s="129" t="n"/>
    </row>
    <row r="554" customFormat="1" s="129">
      <c r="B554" s="129" t="n"/>
    </row>
    <row r="555" customFormat="1" s="129">
      <c r="B555" s="129" t="n"/>
    </row>
    <row r="556" customFormat="1" s="129">
      <c r="B556" s="129" t="n"/>
    </row>
    <row r="557" customFormat="1" s="129">
      <c r="B557" s="129" t="n"/>
    </row>
    <row r="558" customFormat="1" s="129">
      <c r="B558" s="129" t="n"/>
    </row>
    <row r="559" customFormat="1" s="129">
      <c r="B559" s="129" t="n"/>
    </row>
    <row r="560" customFormat="1" s="129">
      <c r="B560" s="129" t="n"/>
    </row>
    <row r="561" customFormat="1" s="129">
      <c r="B561" s="129" t="n"/>
    </row>
    <row r="562" customFormat="1" s="129">
      <c r="B562" s="129" t="n"/>
    </row>
    <row r="563" customFormat="1" s="129">
      <c r="B563" s="129" t="n"/>
    </row>
    <row r="564" customFormat="1" s="129">
      <c r="B564" s="129" t="n"/>
    </row>
    <row r="565" customFormat="1" s="129">
      <c r="B565" s="129" t="n"/>
    </row>
    <row r="566" customFormat="1" s="129">
      <c r="B566" s="129" t="n"/>
    </row>
    <row r="567" customFormat="1" s="129">
      <c r="B567" s="129" t="n"/>
    </row>
    <row r="568" customFormat="1" s="129">
      <c r="B568" s="129" t="n"/>
    </row>
    <row r="569" customFormat="1" s="129">
      <c r="B569" s="129" t="n"/>
    </row>
    <row r="570" customFormat="1" s="129">
      <c r="B570" s="129" t="n"/>
    </row>
    <row r="571" customFormat="1" s="129">
      <c r="B571" s="129" t="n"/>
    </row>
    <row r="572" customFormat="1" s="129">
      <c r="B572" s="129" t="n"/>
    </row>
    <row r="573" customFormat="1" s="129">
      <c r="B573" s="129" t="n"/>
    </row>
    <row r="574" customFormat="1" s="129">
      <c r="B574" s="129" t="n"/>
    </row>
    <row r="575" customFormat="1" s="129">
      <c r="B575" s="129" t="n"/>
    </row>
    <row r="576" customFormat="1" s="129">
      <c r="B576" s="129" t="n"/>
    </row>
    <row r="577" customFormat="1" s="129">
      <c r="B577" s="129" t="n"/>
    </row>
    <row r="578" customFormat="1" s="129">
      <c r="B578" s="129" t="n"/>
    </row>
    <row r="579" customFormat="1" s="129">
      <c r="B579" s="129" t="n"/>
    </row>
    <row r="580" customFormat="1" s="129">
      <c r="B580" s="129" t="n"/>
    </row>
    <row r="581" customFormat="1" s="129">
      <c r="B581" s="129" t="n"/>
    </row>
    <row r="582" customFormat="1" s="129">
      <c r="B582" s="129" t="n"/>
    </row>
    <row r="583" customFormat="1" s="129">
      <c r="B583" s="129" t="n"/>
    </row>
    <row r="584" customFormat="1" s="129">
      <c r="B584" s="129" t="n"/>
    </row>
    <row r="585" customFormat="1" s="129">
      <c r="B585" s="129" t="n"/>
    </row>
    <row r="586" customFormat="1" s="129">
      <c r="B586" s="129" t="n"/>
    </row>
    <row r="587" customFormat="1" s="129">
      <c r="B587" s="129" t="n"/>
    </row>
    <row r="588" customFormat="1" s="129">
      <c r="B588" s="129" t="n"/>
    </row>
    <row r="589" customFormat="1" s="129">
      <c r="B589" s="129" t="n"/>
    </row>
    <row r="590" customFormat="1" s="129">
      <c r="B590" s="129" t="n"/>
    </row>
    <row r="591" customFormat="1" s="129">
      <c r="B591" s="129" t="n"/>
    </row>
    <row r="592" customFormat="1" s="129">
      <c r="B592" s="129" t="n"/>
    </row>
    <row r="593" customFormat="1" s="129">
      <c r="B593" s="129" t="n"/>
    </row>
    <row r="594" customFormat="1" s="129">
      <c r="B594" s="129" t="n"/>
    </row>
    <row r="595" customFormat="1" s="129">
      <c r="B595" s="129" t="n"/>
    </row>
    <row r="596" customFormat="1" s="129">
      <c r="B596" s="129" t="n"/>
    </row>
    <row r="597" customFormat="1" s="129">
      <c r="B597" s="129" t="n"/>
    </row>
    <row r="598" customFormat="1" s="129">
      <c r="B598" s="129" t="n"/>
    </row>
    <row r="599" customFormat="1" s="129">
      <c r="B599" s="129" t="n"/>
    </row>
    <row r="600" customFormat="1" s="129">
      <c r="B600" s="129" t="n"/>
    </row>
    <row r="601" customFormat="1" s="129">
      <c r="B601" s="129" t="n"/>
    </row>
    <row r="602" customFormat="1" s="129">
      <c r="B602" s="129" t="n"/>
    </row>
    <row r="603" customFormat="1" s="129">
      <c r="B603" s="129" t="n"/>
    </row>
    <row r="604" customFormat="1" s="129">
      <c r="B604" s="129" t="n"/>
    </row>
    <row r="605" customFormat="1" s="129">
      <c r="B605" s="129" t="n"/>
    </row>
    <row r="606" customFormat="1" s="129">
      <c r="B606" s="129" t="n"/>
    </row>
    <row r="607" customFormat="1" s="129">
      <c r="B607" s="129" t="n"/>
    </row>
    <row r="608" customFormat="1" s="129">
      <c r="B608" s="129" t="n"/>
    </row>
    <row r="609" customFormat="1" s="129">
      <c r="B609" s="129" t="n"/>
    </row>
    <row r="610" customFormat="1" s="129">
      <c r="B610" s="129" t="n"/>
    </row>
    <row r="611" customFormat="1" s="129">
      <c r="B611" s="129" t="n"/>
    </row>
    <row r="612" customFormat="1" s="129">
      <c r="B612" s="129" t="n"/>
    </row>
    <row r="613" customFormat="1" s="129">
      <c r="B613" s="129" t="n"/>
    </row>
    <row r="614" customFormat="1" s="129">
      <c r="B614" s="129" t="n"/>
    </row>
    <row r="615" customFormat="1" s="129">
      <c r="B615" s="129" t="n"/>
    </row>
    <row r="616" customFormat="1" s="129">
      <c r="B616" s="129" t="n"/>
    </row>
    <row r="617" customFormat="1" s="129">
      <c r="B617" s="129" t="n"/>
    </row>
    <row r="618" customFormat="1" s="129">
      <c r="B618" s="129" t="n"/>
    </row>
    <row r="619" customFormat="1" s="129">
      <c r="B619" s="129" t="n"/>
    </row>
    <row r="620" customFormat="1" s="129">
      <c r="B620" s="129" t="n"/>
    </row>
    <row r="621" customFormat="1" s="129">
      <c r="B621" s="129" t="n"/>
    </row>
    <row r="622" customFormat="1" s="129">
      <c r="B622" s="129" t="n"/>
    </row>
    <row r="623" customFormat="1" s="129">
      <c r="B623" s="129" t="n"/>
    </row>
    <row r="624" customFormat="1" s="129">
      <c r="B624" s="129" t="n"/>
    </row>
    <row r="625" customFormat="1" s="129">
      <c r="B625" s="129" t="n"/>
    </row>
    <row r="626" customFormat="1" s="129">
      <c r="B626" s="129" t="n"/>
    </row>
    <row r="627" customFormat="1" s="129">
      <c r="B627" s="129" t="n"/>
    </row>
    <row r="628" customFormat="1" s="129">
      <c r="B628" s="129" t="n"/>
    </row>
    <row r="629" customFormat="1" s="129">
      <c r="B629" s="129" t="n"/>
    </row>
    <row r="630" customFormat="1" s="129">
      <c r="B630" s="129" t="n"/>
    </row>
    <row r="631" customFormat="1" s="129">
      <c r="B631" s="129" t="n"/>
    </row>
    <row r="632" customFormat="1" s="129">
      <c r="B632" s="129" t="n"/>
    </row>
    <row r="633" customFormat="1" s="129">
      <c r="B633" s="129" t="n"/>
    </row>
    <row r="634" customFormat="1" s="129">
      <c r="B634" s="129" t="n"/>
    </row>
    <row r="635" customFormat="1" s="129">
      <c r="B635" s="129" t="n"/>
    </row>
    <row r="636" customFormat="1" s="129">
      <c r="B636" s="129" t="n"/>
    </row>
    <row r="637" customFormat="1" s="129">
      <c r="B637" s="129" t="n"/>
    </row>
    <row r="638" customFormat="1" s="129">
      <c r="B638" s="129" t="n"/>
    </row>
    <row r="639" customFormat="1" s="129">
      <c r="B639" s="129" t="n"/>
    </row>
    <row r="640" customFormat="1" s="129">
      <c r="B640" s="129" t="n"/>
    </row>
    <row r="641" customFormat="1" s="129">
      <c r="B641" s="129" t="n"/>
    </row>
    <row r="642" customFormat="1" s="129">
      <c r="B642" s="129" t="n"/>
    </row>
    <row r="643" customFormat="1" s="129">
      <c r="B643" s="129" t="n"/>
    </row>
    <row r="644" customFormat="1" s="129">
      <c r="B644" s="129" t="n"/>
    </row>
    <row r="645" customFormat="1" s="129">
      <c r="B645" s="129" t="n"/>
    </row>
    <row r="646" customFormat="1" s="129">
      <c r="B646" s="129" t="n"/>
    </row>
    <row r="647" customFormat="1" s="129">
      <c r="B647" s="129" t="n"/>
    </row>
    <row r="648" customFormat="1" s="129">
      <c r="B648" s="129" t="n"/>
    </row>
    <row r="649" customFormat="1" s="129">
      <c r="B649" s="129" t="n"/>
    </row>
    <row r="650" customFormat="1" s="129">
      <c r="B650" s="129" t="n"/>
    </row>
    <row r="651" customFormat="1" s="129">
      <c r="B651" s="129" t="n"/>
    </row>
    <row r="652" customFormat="1" s="129">
      <c r="B652" s="129" t="n"/>
    </row>
    <row r="653" customFormat="1" s="129">
      <c r="B653" s="129" t="n"/>
    </row>
    <row r="654" customFormat="1" s="129">
      <c r="B654" s="129" t="n"/>
    </row>
    <row r="655" customFormat="1" s="129">
      <c r="B655" s="129" t="n"/>
    </row>
    <row r="656" customFormat="1" s="129">
      <c r="B656" s="129" t="n"/>
    </row>
    <row r="657" customFormat="1" s="129">
      <c r="B657" s="129" t="n"/>
    </row>
    <row r="658" customFormat="1" s="129">
      <c r="B658" s="129" t="n"/>
    </row>
    <row r="659" customFormat="1" s="129">
      <c r="B659" s="129" t="n"/>
    </row>
    <row r="660" customFormat="1" s="129">
      <c r="B660" s="129" t="n"/>
    </row>
    <row r="661" customFormat="1" s="129">
      <c r="B661" s="129" t="n"/>
    </row>
    <row r="662" customFormat="1" s="129">
      <c r="B662" s="129" t="n"/>
    </row>
    <row r="663" customFormat="1" s="129">
      <c r="B663" s="129" t="n"/>
    </row>
    <row r="664" customFormat="1" s="129">
      <c r="B664" s="129" t="n"/>
    </row>
    <row r="665" customFormat="1" s="129">
      <c r="B665" s="129" t="n"/>
    </row>
    <row r="666" customFormat="1" s="129">
      <c r="B666" s="129" t="n"/>
    </row>
    <row r="667" customFormat="1" s="129">
      <c r="B667" s="129" t="n"/>
    </row>
    <row r="668" customFormat="1" s="129">
      <c r="B668" s="129" t="n"/>
    </row>
    <row r="669" customFormat="1" s="129">
      <c r="B669" s="129" t="n"/>
    </row>
    <row r="670" customFormat="1" s="129">
      <c r="B670" s="129" t="n"/>
    </row>
    <row r="671" customFormat="1" s="129">
      <c r="B671" s="129" t="n"/>
    </row>
    <row r="672" customFormat="1" s="129">
      <c r="B672" s="129" t="n"/>
    </row>
    <row r="673" customFormat="1" s="129">
      <c r="B673" s="129" t="n"/>
    </row>
    <row r="674" customFormat="1" s="129">
      <c r="B674" s="129" t="n"/>
    </row>
    <row r="675" customFormat="1" s="129">
      <c r="B675" s="129" t="n"/>
    </row>
    <row r="676" customFormat="1" s="129">
      <c r="B676" s="129" t="n"/>
    </row>
    <row r="677" customFormat="1" s="129">
      <c r="B677" s="129" t="n"/>
    </row>
    <row r="678" customFormat="1" s="129">
      <c r="B678" s="129" t="n"/>
    </row>
    <row r="679" customFormat="1" s="129">
      <c r="B679" s="129" t="n"/>
    </row>
    <row r="680" customFormat="1" s="129">
      <c r="B680" s="129" t="n"/>
    </row>
    <row r="681" customFormat="1" s="129">
      <c r="B681" s="129" t="n"/>
    </row>
    <row r="682" customFormat="1" s="129">
      <c r="B682" s="129" t="n"/>
    </row>
    <row r="683" customFormat="1" s="129">
      <c r="B683" s="129" t="n"/>
    </row>
    <row r="684" customFormat="1" s="129">
      <c r="B684" s="129" t="n"/>
    </row>
    <row r="685" customFormat="1" s="129">
      <c r="B685" s="129" t="n"/>
    </row>
    <row r="686" customFormat="1" s="129">
      <c r="B686" s="129" t="n"/>
    </row>
    <row r="687" customFormat="1" s="129">
      <c r="B687" s="129" t="n"/>
    </row>
    <row r="688" customFormat="1" s="129">
      <c r="B688" s="129" t="n"/>
    </row>
    <row r="689" customFormat="1" s="129">
      <c r="B689" s="129" t="n"/>
    </row>
    <row r="690" customFormat="1" s="129">
      <c r="B690" s="129" t="n"/>
    </row>
    <row r="691" customFormat="1" s="129">
      <c r="B691" s="129" t="n"/>
    </row>
    <row r="692" customFormat="1" s="129">
      <c r="B692" s="129" t="n"/>
    </row>
    <row r="693" customFormat="1" s="129">
      <c r="B693" s="129" t="n"/>
    </row>
    <row r="694" customFormat="1" s="129">
      <c r="B694" s="129" t="n"/>
    </row>
    <row r="695" customFormat="1" s="129">
      <c r="B695" s="129" t="n"/>
    </row>
    <row r="696" customFormat="1" s="129">
      <c r="B696" s="129" t="n"/>
    </row>
    <row r="697" customFormat="1" s="129">
      <c r="B697" s="129" t="n"/>
    </row>
    <row r="698" customFormat="1" s="129">
      <c r="B698" s="129" t="n"/>
    </row>
    <row r="699" customFormat="1" s="129">
      <c r="B699" s="129" t="n"/>
    </row>
    <row r="700" customFormat="1" s="129">
      <c r="B700" s="129" t="n"/>
    </row>
    <row r="701" customFormat="1" s="129">
      <c r="B701" s="129" t="n"/>
    </row>
    <row r="702" customFormat="1" s="129">
      <c r="B702" s="129" t="n"/>
    </row>
    <row r="703" customFormat="1" s="129">
      <c r="B703" s="129" t="n"/>
    </row>
    <row r="704" customFormat="1" s="129">
      <c r="B704" s="129" t="n"/>
    </row>
    <row r="705" customFormat="1" s="129">
      <c r="B705" s="129" t="n"/>
    </row>
    <row r="706" customFormat="1" s="129">
      <c r="B706" s="129" t="n"/>
    </row>
    <row r="707" customFormat="1" s="129">
      <c r="B707" s="129" t="n"/>
    </row>
    <row r="708" customFormat="1" s="129">
      <c r="B708" s="129" t="n"/>
    </row>
    <row r="709" customFormat="1" s="129">
      <c r="B709" s="129" t="n"/>
    </row>
    <row r="710" customFormat="1" s="129">
      <c r="B710" s="129" t="n"/>
    </row>
    <row r="711" customFormat="1" s="129">
      <c r="B711" s="129" t="n"/>
    </row>
    <row r="712" customFormat="1" s="129">
      <c r="B712" s="129" t="n"/>
    </row>
    <row r="713" customFormat="1" s="129">
      <c r="B713" s="129" t="n"/>
    </row>
    <row r="714" customFormat="1" s="129">
      <c r="B714" s="129" t="n"/>
    </row>
    <row r="715" customFormat="1" s="129">
      <c r="B715" s="129" t="n"/>
    </row>
    <row r="716" customFormat="1" s="129">
      <c r="B716" s="129" t="n"/>
    </row>
    <row r="717" customFormat="1" s="129">
      <c r="B717" s="129" t="n"/>
    </row>
    <row r="718" customFormat="1" s="129">
      <c r="B718" s="129" t="n"/>
    </row>
    <row r="719" customFormat="1" s="129">
      <c r="B719" s="129" t="n"/>
    </row>
    <row r="720" customFormat="1" s="129">
      <c r="B720" s="129" t="n"/>
    </row>
    <row r="721" customFormat="1" s="129">
      <c r="B721" s="129" t="n"/>
    </row>
    <row r="722" customFormat="1" s="129">
      <c r="B722" s="129" t="n"/>
    </row>
    <row r="723" customFormat="1" s="129">
      <c r="B723" s="129" t="n"/>
    </row>
    <row r="724" customFormat="1" s="129">
      <c r="B724" s="129" t="n"/>
    </row>
    <row r="725" customFormat="1" s="129">
      <c r="B725" s="129" t="n"/>
    </row>
    <row r="726" customFormat="1" s="129">
      <c r="B726" s="129" t="n"/>
    </row>
    <row r="727" customFormat="1" s="129">
      <c r="B727" s="129" t="n"/>
    </row>
    <row r="728" customFormat="1" s="129">
      <c r="B728" s="129" t="n"/>
    </row>
    <row r="729" customFormat="1" s="129">
      <c r="B729" s="129" t="n"/>
    </row>
    <row r="730" customFormat="1" s="129">
      <c r="B730" s="129" t="n"/>
    </row>
    <row r="731" customFormat="1" s="129">
      <c r="B731" s="129" t="n"/>
    </row>
    <row r="732" customFormat="1" s="129">
      <c r="B732" s="129" t="n"/>
    </row>
    <row r="733" customFormat="1" s="129">
      <c r="B733" s="129" t="n"/>
    </row>
    <row r="734" customFormat="1" s="129">
      <c r="B734" s="129" t="n"/>
    </row>
    <row r="735" customFormat="1" s="129">
      <c r="B735" s="129" t="n"/>
    </row>
    <row r="736" customFormat="1" s="129">
      <c r="B736" s="129" t="n"/>
    </row>
    <row r="737" customFormat="1" s="129">
      <c r="B737" s="129" t="n"/>
    </row>
    <row r="738" customFormat="1" s="129">
      <c r="B738" s="129" t="n"/>
    </row>
    <row r="739" customFormat="1" s="129">
      <c r="B739" s="129" t="n"/>
    </row>
    <row r="740" customFormat="1" s="129">
      <c r="B740" s="129" t="n"/>
    </row>
    <row r="741" customFormat="1" s="129">
      <c r="B741" s="129" t="n"/>
    </row>
    <row r="742" customFormat="1" s="129">
      <c r="B742" s="129" t="n"/>
    </row>
    <row r="743" customFormat="1" s="129">
      <c r="B743" s="129" t="n"/>
    </row>
    <row r="744" customFormat="1" s="129">
      <c r="B744" s="129" t="n"/>
    </row>
    <row r="745" customFormat="1" s="129">
      <c r="B745" s="129" t="n"/>
    </row>
    <row r="746" customFormat="1" s="129">
      <c r="B746" s="129" t="n"/>
    </row>
    <row r="747" customFormat="1" s="129">
      <c r="B747" s="129" t="n"/>
    </row>
    <row r="748" customFormat="1" s="129">
      <c r="B748" s="129" t="n"/>
    </row>
    <row r="749" customFormat="1" s="129">
      <c r="B749" s="129" t="n"/>
    </row>
    <row r="750" customFormat="1" s="129">
      <c r="B750" s="129" t="n"/>
    </row>
    <row r="751" customFormat="1" s="129">
      <c r="B751" s="129" t="n"/>
    </row>
    <row r="752" customFormat="1" s="129">
      <c r="B752" s="129" t="n"/>
    </row>
    <row r="753" customFormat="1" s="129">
      <c r="B753" s="129" t="n"/>
    </row>
    <row r="754" customFormat="1" s="129">
      <c r="B754" s="129" t="n"/>
    </row>
    <row r="755" customFormat="1" s="129">
      <c r="B755" s="129" t="n"/>
    </row>
    <row r="756" customFormat="1" s="129">
      <c r="B756" s="129" t="n"/>
    </row>
    <row r="757" customFormat="1" s="129">
      <c r="B757" s="129" t="n"/>
    </row>
    <row r="758" customFormat="1" s="129">
      <c r="B758" s="129" t="n"/>
    </row>
    <row r="759" customFormat="1" s="129">
      <c r="B759" s="129" t="n"/>
    </row>
    <row r="760" customFormat="1" s="129">
      <c r="B760" s="129" t="n"/>
    </row>
    <row r="761" customFormat="1" s="129">
      <c r="B761" s="129" t="n"/>
    </row>
    <row r="762" customFormat="1" s="129">
      <c r="B762" s="129" t="n"/>
    </row>
    <row r="763" customFormat="1" s="129">
      <c r="B763" s="129" t="n"/>
    </row>
    <row r="764" customFormat="1" s="129">
      <c r="B764" s="129" t="n"/>
    </row>
    <row r="765" customFormat="1" s="129">
      <c r="B765" s="129" t="n"/>
    </row>
    <row r="766" customFormat="1" s="129">
      <c r="B766" s="129" t="n"/>
    </row>
    <row r="767" customFormat="1" s="129">
      <c r="B767" s="129" t="n"/>
    </row>
    <row r="768" customFormat="1" s="129">
      <c r="B768" s="129" t="n"/>
    </row>
    <row r="769" customFormat="1" s="129">
      <c r="B769" s="129" t="n"/>
    </row>
    <row r="770" customFormat="1" s="129">
      <c r="B770" s="129" t="n"/>
    </row>
    <row r="771" customFormat="1" s="129">
      <c r="B771" s="129" t="n"/>
    </row>
    <row r="772" customFormat="1" s="129">
      <c r="B772" s="129" t="n"/>
    </row>
    <row r="773" customFormat="1" s="129">
      <c r="B773" s="129" t="n"/>
    </row>
    <row r="774" customFormat="1" s="129">
      <c r="B774" s="129" t="n"/>
    </row>
    <row r="775" customFormat="1" s="129">
      <c r="B775" s="129" t="n"/>
    </row>
    <row r="776" customFormat="1" s="129">
      <c r="B776" s="129" t="n"/>
    </row>
    <row r="777" customFormat="1" s="129">
      <c r="B777" s="129" t="n"/>
    </row>
    <row r="778" customFormat="1" s="129">
      <c r="B778" s="129" t="n"/>
    </row>
    <row r="779" customFormat="1" s="129">
      <c r="B779" s="129" t="n"/>
    </row>
    <row r="780" customFormat="1" s="129">
      <c r="B780" s="129" t="n"/>
    </row>
    <row r="781" customFormat="1" s="129">
      <c r="B781" s="129" t="n"/>
    </row>
    <row r="782" customFormat="1" s="129">
      <c r="B782" s="129" t="n"/>
    </row>
    <row r="783" customFormat="1" s="129">
      <c r="B783" s="129" t="n"/>
    </row>
    <row r="784" customFormat="1" s="129">
      <c r="B784" s="129" t="n"/>
    </row>
    <row r="785" customFormat="1" s="129">
      <c r="B785" s="129" t="n"/>
    </row>
    <row r="786" customFormat="1" s="129">
      <c r="B786" s="129" t="n"/>
    </row>
    <row r="787" customFormat="1" s="129">
      <c r="B787" s="129" t="n"/>
    </row>
    <row r="788" customFormat="1" s="129">
      <c r="B788" s="129" t="n"/>
    </row>
    <row r="789" customFormat="1" s="129">
      <c r="B789" s="129" t="n"/>
    </row>
    <row r="790" customFormat="1" s="129">
      <c r="B790" s="129" t="n"/>
    </row>
    <row r="791" customFormat="1" s="129">
      <c r="B791" s="129" t="n"/>
    </row>
    <row r="792" customFormat="1" s="129">
      <c r="B792" s="129" t="n"/>
    </row>
    <row r="793" customFormat="1" s="129">
      <c r="B793" s="129" t="n"/>
    </row>
    <row r="794" customFormat="1" s="129">
      <c r="B794" s="129" t="n"/>
    </row>
    <row r="795" customFormat="1" s="129">
      <c r="B795" s="129" t="n"/>
    </row>
    <row r="796" customFormat="1" s="129">
      <c r="B796" s="129" t="n"/>
    </row>
    <row r="797" customFormat="1" s="129">
      <c r="B797" s="129" t="n"/>
    </row>
    <row r="798" customFormat="1" s="129">
      <c r="B798" s="129" t="n"/>
    </row>
    <row r="799" customFormat="1" s="129">
      <c r="B799" s="129" t="n"/>
    </row>
    <row r="800" customFormat="1" s="129">
      <c r="B800" s="129" t="n"/>
    </row>
    <row r="801" customFormat="1" s="129">
      <c r="B801" s="129" t="n"/>
    </row>
    <row r="802" customFormat="1" s="129">
      <c r="B802" s="129" t="n"/>
    </row>
    <row r="803" customFormat="1" s="129">
      <c r="B803" s="129" t="n"/>
    </row>
    <row r="804" customFormat="1" s="129">
      <c r="B804" s="129" t="n"/>
    </row>
    <row r="805" customFormat="1" s="129">
      <c r="B805" s="129" t="n"/>
    </row>
    <row r="806" customFormat="1" s="129">
      <c r="B806" s="129" t="n"/>
    </row>
    <row r="807" customFormat="1" s="129">
      <c r="B807" s="129" t="n"/>
    </row>
    <row r="808" customFormat="1" s="129">
      <c r="B808" s="129" t="n"/>
    </row>
    <row r="809" customFormat="1" s="129">
      <c r="B809" s="129" t="n"/>
    </row>
    <row r="810" customFormat="1" s="129">
      <c r="B810" s="129" t="n"/>
    </row>
    <row r="811" customFormat="1" s="129">
      <c r="B811" s="129" t="n"/>
    </row>
    <row r="812" customFormat="1" s="129">
      <c r="B812" s="129" t="n"/>
    </row>
    <row r="813" customFormat="1" s="129">
      <c r="B813" s="129" t="n"/>
    </row>
    <row r="814" customFormat="1" s="129">
      <c r="B814" s="129" t="n"/>
    </row>
    <row r="815" customFormat="1" s="129">
      <c r="B815" s="129" t="n"/>
    </row>
    <row r="816" customFormat="1" s="129">
      <c r="B816" s="129" t="n"/>
    </row>
    <row r="817" customFormat="1" s="129">
      <c r="B817" s="129" t="n"/>
    </row>
    <row r="818" customFormat="1" s="129">
      <c r="B818" s="129" t="n"/>
    </row>
    <row r="819" customFormat="1" s="129">
      <c r="B819" s="129" t="n"/>
    </row>
    <row r="820" customFormat="1" s="129">
      <c r="B820" s="129" t="n"/>
    </row>
    <row r="821" customFormat="1" s="129">
      <c r="B821" s="129" t="n"/>
    </row>
    <row r="822" customFormat="1" s="129">
      <c r="B822" s="129" t="n"/>
    </row>
    <row r="823" customFormat="1" s="129">
      <c r="B823" s="129" t="n"/>
    </row>
    <row r="824" customFormat="1" s="129">
      <c r="B824" s="129" t="n"/>
    </row>
    <row r="825" customFormat="1" s="129">
      <c r="B825" s="129" t="n"/>
    </row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318" activePane="bottomLeft" state="frozen"/>
      <selection pane="bottomLeft" activeCell="F357" sqref="F357"/>
    </sheetView>
  </sheetViews>
  <sheetFormatPr baseColWidth="10" defaultColWidth="8.83203125" defaultRowHeight="15"/>
  <cols>
    <col width="9.1640625" customWidth="1" style="2" min="1" max="1"/>
    <col width="12.6640625" bestFit="1" customWidth="1" style="135" min="2" max="2"/>
    <col width="11.6640625" customWidth="1" style="9" min="3" max="3"/>
    <col width="11.6640625" customWidth="1" style="8" min="4" max="4"/>
    <col width="12.83203125" customWidth="1" style="135" min="18" max="18"/>
    <col width="10.6640625" bestFit="1" customWidth="1" style="135" min="19" max="19"/>
    <col width="14.6640625" customWidth="1" style="135" min="20" max="20"/>
    <col width="31.33203125" customWidth="1" style="135" min="21" max="21"/>
  </cols>
  <sheetData>
    <row r="1">
      <c r="A1" s="45" t="inlineStr">
        <is>
          <t>Data</t>
        </is>
      </c>
      <c r="B1" s="46" t="inlineStr">
        <is>
          <t>ITA</t>
        </is>
      </c>
      <c r="C1" s="47" t="inlineStr">
        <is>
          <t>FRA</t>
        </is>
      </c>
      <c r="D1" s="48" t="inlineStr">
        <is>
          <t>DEU</t>
        </is>
      </c>
      <c r="E1" s="46" t="inlineStr">
        <is>
          <t>ESP</t>
        </is>
      </c>
      <c r="F1" s="46" t="inlineStr">
        <is>
          <t>EA19</t>
        </is>
      </c>
      <c r="G1" s="46" t="inlineStr">
        <is>
          <t>GBR</t>
        </is>
      </c>
      <c r="H1" s="46" t="inlineStr">
        <is>
          <t>Italy</t>
        </is>
      </c>
      <c r="I1" s="46" t="inlineStr">
        <is>
          <t>France</t>
        </is>
      </c>
      <c r="J1" s="46" t="inlineStr">
        <is>
          <t>Germany</t>
        </is>
      </c>
      <c r="K1" s="46" t="inlineStr">
        <is>
          <t>Spain</t>
        </is>
      </c>
      <c r="L1" s="46" t="inlineStr">
        <is>
          <t>Eurozone</t>
        </is>
      </c>
      <c r="M1" s="46" t="inlineStr">
        <is>
          <t>United Kingdom</t>
        </is>
      </c>
      <c r="N1" s="46" t="inlineStr">
        <is>
          <t>USA</t>
        </is>
      </c>
      <c r="O1" s="46" t="inlineStr">
        <is>
          <t xml:space="preserve">USA </t>
        </is>
      </c>
      <c r="P1" s="46" t="inlineStr">
        <is>
          <t>JPN</t>
        </is>
      </c>
      <c r="Q1" s="49" t="inlineStr">
        <is>
          <t xml:space="preserve">JPN </t>
        </is>
      </c>
      <c r="T1" s="10" t="inlineStr">
        <is>
          <t>Base Month</t>
        </is>
      </c>
      <c r="U1" s="3" t="n">
        <v>36161</v>
      </c>
      <c r="W1" t="inlineStr">
        <is>
          <t>AUS</t>
        </is>
      </c>
    </row>
    <row r="2" customFormat="1" s="129">
      <c r="A2" s="28" t="n">
        <v>32874</v>
      </c>
      <c r="B2" s="29">
        <f>VLOOKUP(A2,Database!$E:$AY,MATCH($B$1,Database!$E$1:$AY$1,0),FALSE)</f>
        <v/>
      </c>
      <c r="C2" s="29">
        <f>VLOOKUP(A2,Database!$E:$AY,MATCH($C$1,Database!$E$1:$AY$1,0),FALSE)</f>
        <v/>
      </c>
      <c r="D2" s="29">
        <f>VLOOKUP(A2,Database!$E:$AY,MATCH($D$1,Database!$E$1:$AY$1,0),FALSE)</f>
        <v/>
      </c>
      <c r="E2" s="29">
        <f>VLOOKUP(A2,Database!$E:$AY,MATCH($E$1,Database!$E$1:$AY$1,0),FALSE)</f>
        <v/>
      </c>
      <c r="F2" s="29">
        <f>VLOOKUP(A2,Database!$E:$AY,MATCH($F$1,Database!$E$1:$AY$1,0),FALSE)</f>
        <v/>
      </c>
      <c r="G2" s="29">
        <f>VLOOKUP(A2,Database!$E:$AY,MATCH($G$1,Database!$E$1:$AY$1,0),FALSE)</f>
        <v/>
      </c>
      <c r="H2" s="29">
        <f>(((Table134567891011121314151617343[[#This Row],[ITA]]-VLOOKUP($U$1,A:B,2,))/VLOOKUP($U$1,A:B,2,))*100)+100</f>
        <v/>
      </c>
      <c r="I2" s="29">
        <f>(((Table134567891011121314151617343[[#This Row],[FRA]]-VLOOKUP($U$1,A:C,3,))/VLOOKUP($U$1,A:C,3,))*100)+100</f>
        <v/>
      </c>
      <c r="J2" s="29">
        <f>(((Table134567891011121314151617343[[#This Row],[DEU]]-VLOOKUP($U$1,A:D,4,))/VLOOKUP($U$1,A:D,4,))*100)+100</f>
        <v/>
      </c>
      <c r="K2" s="29">
        <f>(((Table134567891011121314151617343[[#This Row],[ESP]]-VLOOKUP($U$1,A:E,5,))/VLOOKUP($U$1,A:E,5,))*100)+100</f>
        <v/>
      </c>
      <c r="L2" s="29">
        <f>(((Table134567891011121314151617343[[#This Row],[EA19]]-VLOOKUP($U$1,A:F,6,))/VLOOKUP($U$1,A:F,6,))*100)+100</f>
        <v/>
      </c>
      <c r="M2" s="29">
        <f>(((Table134567891011121314151617343[[#This Row],[GBR]]-VLOOKUP($U$1,A:G,7,))/VLOOKUP($U$1,A:G,7,))*100)+100</f>
        <v/>
      </c>
      <c r="N2" s="29">
        <f>VLOOKUP(A2,Database!$E:$AY,MATCH($N$1,Database!$E$1:$AY$1,0),FALSE)</f>
        <v/>
      </c>
      <c r="O2" s="29">
        <f>(((Table134567891011121314151617343[[#This Row],[USA]]-VLOOKUP($U$1,A:N,14,))/VLOOKUP($U$1,A:N,14,))*100)+100</f>
        <v/>
      </c>
      <c r="P2" s="29">
        <f>VLOOKUP(A2,Database!$E:$AY,MATCH($P$1,Database!$E$1:$AY$1,0),FALSE)</f>
        <v/>
      </c>
      <c r="Q2" s="29">
        <f>(((Table134567891011121314151617343[[#This Row],[JPN]]-VLOOKUP($U$1,A:Q,16,))/VLOOKUP($U$1,A:Q,16,))*100)+100</f>
        <v/>
      </c>
      <c r="W2" s="129" t="inlineStr">
        <is>
          <t>AUT</t>
        </is>
      </c>
    </row>
    <row r="3" customFormat="1" s="129">
      <c r="A3" s="28" t="n">
        <v>32905</v>
      </c>
      <c r="B3" s="29">
        <f>VLOOKUP(A3,Database!$E:$AY,MATCH($B$1,Database!$E$1:$AY$1,0),FALSE)</f>
        <v/>
      </c>
      <c r="C3" s="29">
        <f>VLOOKUP(A3,Database!$E:$AY,MATCH($C$1,Database!$E$1:$AY$1,0),FALSE)</f>
        <v/>
      </c>
      <c r="D3" s="29">
        <f>VLOOKUP(A3,Database!$E:$AY,MATCH($D$1,Database!$E$1:$AY$1,0),FALSE)</f>
        <v/>
      </c>
      <c r="E3" s="29">
        <f>VLOOKUP(A3,Database!$E:$AY,MATCH($E$1,Database!$E$1:$AY$1,0),FALSE)</f>
        <v/>
      </c>
      <c r="F3" s="29">
        <f>VLOOKUP(A3,Database!$E:$AY,MATCH($F$1,Database!$E$1:$AY$1,0),FALSE)</f>
        <v/>
      </c>
      <c r="G3" s="29">
        <f>VLOOKUP(A3,Database!$E:$AY,MATCH($G$1,Database!$E$1:$AY$1,0),FALSE)</f>
        <v/>
      </c>
      <c r="H3" s="29">
        <f>(((Table134567891011121314151617343[[#This Row],[ITA]]-VLOOKUP($U$1,A:B,2,))/VLOOKUP($U$1,A:B,2,))*100)+100</f>
        <v/>
      </c>
      <c r="I3" s="29">
        <f>(((Table134567891011121314151617343[[#This Row],[FRA]]-VLOOKUP($U$1,A:C,3,))/VLOOKUP($U$1,A:C,3,))*100)+100</f>
        <v/>
      </c>
      <c r="J3" s="29">
        <f>(((Table134567891011121314151617343[[#This Row],[DEU]]-VLOOKUP($U$1,A:D,4,))/VLOOKUP($U$1,A:D,4,))*100)+100</f>
        <v/>
      </c>
      <c r="K3" s="29">
        <f>(((Table134567891011121314151617343[[#This Row],[ESP]]-VLOOKUP($U$1,A:E,5,))/VLOOKUP($U$1,A:E,5,))*100)+100</f>
        <v/>
      </c>
      <c r="L3" s="29">
        <f>(((Table134567891011121314151617343[[#This Row],[EA19]]-VLOOKUP($U$1,A:F,6,))/VLOOKUP($U$1,A:F,6,))*100)+100</f>
        <v/>
      </c>
      <c r="M3" s="29">
        <f>(((Table134567891011121314151617343[[#This Row],[GBR]]-VLOOKUP($U$1,A:G,7,))/VLOOKUP($U$1,A:G,7,))*100)+100</f>
        <v/>
      </c>
      <c r="N3" s="29">
        <f>VLOOKUP(A3,Database!$E:$AY,MATCH($N$1,Database!$E$1:$AY$1,0),FALSE)</f>
        <v/>
      </c>
      <c r="O3" s="29">
        <f>(((Table134567891011121314151617343[[#This Row],[USA]]-VLOOKUP($U$1,A:N,14,))/VLOOKUP($U$1,A:N,14,))*100)+100</f>
        <v/>
      </c>
      <c r="P3" s="29">
        <f>VLOOKUP(A3,Database!$E:$AY,MATCH($P$1,Database!$E$1:$AY$1,0),FALSE)</f>
        <v/>
      </c>
      <c r="Q3" s="29">
        <f>(((Table134567891011121314151617343[[#This Row],[JPN]]-VLOOKUP($U$1,A:Q,16,))/VLOOKUP($U$1,A:Q,16,))*100)+100</f>
        <v/>
      </c>
      <c r="W3" s="129" t="inlineStr">
        <is>
          <t>BEL</t>
        </is>
      </c>
    </row>
    <row r="4" customFormat="1" s="129">
      <c r="A4" s="28" t="n">
        <v>32933</v>
      </c>
      <c r="B4" s="29">
        <f>VLOOKUP(A4,Database!$E:$AY,MATCH($B$1,Database!$E$1:$AY$1,0),FALSE)</f>
        <v/>
      </c>
      <c r="C4" s="29">
        <f>VLOOKUP(A4,Database!$E:$AY,MATCH($C$1,Database!$E$1:$AY$1,0),FALSE)</f>
        <v/>
      </c>
      <c r="D4" s="29">
        <f>VLOOKUP(A4,Database!$E:$AY,MATCH($D$1,Database!$E$1:$AY$1,0),FALSE)</f>
        <v/>
      </c>
      <c r="E4" s="29">
        <f>VLOOKUP(A4,Database!$E:$AY,MATCH($E$1,Database!$E$1:$AY$1,0),FALSE)</f>
        <v/>
      </c>
      <c r="F4" s="29">
        <f>VLOOKUP(A4,Database!$E:$AY,MATCH($F$1,Database!$E$1:$AY$1,0),FALSE)</f>
        <v/>
      </c>
      <c r="G4" s="29">
        <f>VLOOKUP(A4,Database!$E:$AY,MATCH($G$1,Database!$E$1:$AY$1,0),FALSE)</f>
        <v/>
      </c>
      <c r="H4" s="29">
        <f>(((Table134567891011121314151617343[[#This Row],[ITA]]-VLOOKUP($U$1,A:B,2,))/VLOOKUP($U$1,A:B,2,))*100)+100</f>
        <v/>
      </c>
      <c r="I4" s="29">
        <f>(((Table134567891011121314151617343[[#This Row],[FRA]]-VLOOKUP($U$1,A:C,3,))/VLOOKUP($U$1,A:C,3,))*100)+100</f>
        <v/>
      </c>
      <c r="J4" s="29">
        <f>(((Table134567891011121314151617343[[#This Row],[DEU]]-VLOOKUP($U$1,A:D,4,))/VLOOKUP($U$1,A:D,4,))*100)+100</f>
        <v/>
      </c>
      <c r="K4" s="29">
        <f>(((Table134567891011121314151617343[[#This Row],[ESP]]-VLOOKUP($U$1,A:E,5,))/VLOOKUP($U$1,A:E,5,))*100)+100</f>
        <v/>
      </c>
      <c r="L4" s="29">
        <f>(((Table134567891011121314151617343[[#This Row],[EA19]]-VLOOKUP($U$1,A:F,6,))/VLOOKUP($U$1,A:F,6,))*100)+100</f>
        <v/>
      </c>
      <c r="M4" s="29">
        <f>(((Table134567891011121314151617343[[#This Row],[GBR]]-VLOOKUP($U$1,A:G,7,))/VLOOKUP($U$1,A:G,7,))*100)+100</f>
        <v/>
      </c>
      <c r="N4" s="29">
        <f>VLOOKUP(A4,Database!$E:$AY,MATCH($N$1,Database!$E$1:$AY$1,0),FALSE)</f>
        <v/>
      </c>
      <c r="O4" s="29">
        <f>(((Table134567891011121314151617343[[#This Row],[USA]]-VLOOKUP($U$1,A:N,14,))/VLOOKUP($U$1,A:N,14,))*100)+100</f>
        <v/>
      </c>
      <c r="P4" s="29">
        <f>VLOOKUP(A4,Database!$E:$AY,MATCH($P$1,Database!$E$1:$AY$1,0),FALSE)</f>
        <v/>
      </c>
      <c r="Q4" s="29">
        <f>(((Table134567891011121314151617343[[#This Row],[JPN]]-VLOOKUP($U$1,A:Q,16,))/VLOOKUP($U$1,A:Q,16,))*100)+100</f>
        <v/>
      </c>
      <c r="W4" s="129" t="inlineStr">
        <is>
          <t>CAN</t>
        </is>
      </c>
    </row>
    <row r="5" customFormat="1" s="129">
      <c r="A5" s="28" t="n">
        <v>32964</v>
      </c>
      <c r="B5" s="29">
        <f>VLOOKUP(A5,Database!$E:$AY,MATCH($B$1,Database!$E$1:$AY$1,0),FALSE)</f>
        <v/>
      </c>
      <c r="C5" s="29">
        <f>VLOOKUP(A5,Database!$E:$AY,MATCH($C$1,Database!$E$1:$AY$1,0),FALSE)</f>
        <v/>
      </c>
      <c r="D5" s="29">
        <f>VLOOKUP(A5,Database!$E:$AY,MATCH($D$1,Database!$E$1:$AY$1,0),FALSE)</f>
        <v/>
      </c>
      <c r="E5" s="29">
        <f>VLOOKUP(A5,Database!$E:$AY,MATCH($E$1,Database!$E$1:$AY$1,0),FALSE)</f>
        <v/>
      </c>
      <c r="F5" s="29">
        <f>VLOOKUP(A5,Database!$E:$AY,MATCH($F$1,Database!$E$1:$AY$1,0),FALSE)</f>
        <v/>
      </c>
      <c r="G5" s="29">
        <f>VLOOKUP(A5,Database!$E:$AY,MATCH($G$1,Database!$E$1:$AY$1,0),FALSE)</f>
        <v/>
      </c>
      <c r="H5" s="29">
        <f>(((Table134567891011121314151617343[[#This Row],[ITA]]-VLOOKUP($U$1,A:B,2,))/VLOOKUP($U$1,A:B,2,))*100)+100</f>
        <v/>
      </c>
      <c r="I5" s="29">
        <f>(((Table134567891011121314151617343[[#This Row],[FRA]]-VLOOKUP($U$1,A:C,3,))/VLOOKUP($U$1,A:C,3,))*100)+100</f>
        <v/>
      </c>
      <c r="J5" s="29">
        <f>(((Table134567891011121314151617343[[#This Row],[DEU]]-VLOOKUP($U$1,A:D,4,))/VLOOKUP($U$1,A:D,4,))*100)+100</f>
        <v/>
      </c>
      <c r="K5" s="29">
        <f>(((Table134567891011121314151617343[[#This Row],[ESP]]-VLOOKUP($U$1,A:E,5,))/VLOOKUP($U$1,A:E,5,))*100)+100</f>
        <v/>
      </c>
      <c r="L5" s="29">
        <f>(((Table134567891011121314151617343[[#This Row],[EA19]]-VLOOKUP($U$1,A:F,6,))/VLOOKUP($U$1,A:F,6,))*100)+100</f>
        <v/>
      </c>
      <c r="M5" s="29">
        <f>(((Table134567891011121314151617343[[#This Row],[GBR]]-VLOOKUP($U$1,A:G,7,))/VLOOKUP($U$1,A:G,7,))*100)+100</f>
        <v/>
      </c>
      <c r="N5" s="29">
        <f>VLOOKUP(A5,Database!$E:$AY,MATCH($N$1,Database!$E$1:$AY$1,0),FALSE)</f>
        <v/>
      </c>
      <c r="O5" s="29">
        <f>(((Table134567891011121314151617343[[#This Row],[USA]]-VLOOKUP($U$1,A:N,14,))/VLOOKUP($U$1,A:N,14,))*100)+100</f>
        <v/>
      </c>
      <c r="P5" s="29">
        <f>VLOOKUP(A5,Database!$E:$AY,MATCH($P$1,Database!$E$1:$AY$1,0),FALSE)</f>
        <v/>
      </c>
      <c r="Q5" s="29">
        <f>(((Table134567891011121314151617343[[#This Row],[JPN]]-VLOOKUP($U$1,A:Q,16,))/VLOOKUP($U$1,A:Q,16,))*100)+100</f>
        <v/>
      </c>
      <c r="W5" s="129" t="inlineStr">
        <is>
          <t>CHL</t>
        </is>
      </c>
    </row>
    <row r="6" customFormat="1" s="129">
      <c r="A6" s="28" t="n">
        <v>32994</v>
      </c>
      <c r="B6" s="29">
        <f>VLOOKUP(A6,Database!$E:$AY,MATCH($B$1,Database!$E$1:$AY$1,0),FALSE)</f>
        <v/>
      </c>
      <c r="C6" s="29">
        <f>VLOOKUP(A6,Database!$E:$AY,MATCH($C$1,Database!$E$1:$AY$1,0),FALSE)</f>
        <v/>
      </c>
      <c r="D6" s="29">
        <f>VLOOKUP(A6,Database!$E:$AY,MATCH($D$1,Database!$E$1:$AY$1,0),FALSE)</f>
        <v/>
      </c>
      <c r="E6" s="29">
        <f>VLOOKUP(A6,Database!$E:$AY,MATCH($E$1,Database!$E$1:$AY$1,0),FALSE)</f>
        <v/>
      </c>
      <c r="F6" s="29">
        <f>VLOOKUP(A6,Database!$E:$AY,MATCH($F$1,Database!$E$1:$AY$1,0),FALSE)</f>
        <v/>
      </c>
      <c r="G6" s="29">
        <f>VLOOKUP(A6,Database!$E:$AY,MATCH($G$1,Database!$E$1:$AY$1,0),FALSE)</f>
        <v/>
      </c>
      <c r="H6" s="29">
        <f>(((Table134567891011121314151617343[[#This Row],[ITA]]-VLOOKUP($U$1,A:B,2,))/VLOOKUP($U$1,A:B,2,))*100)+100</f>
        <v/>
      </c>
      <c r="I6" s="29">
        <f>(((Table134567891011121314151617343[[#This Row],[FRA]]-VLOOKUP($U$1,A:C,3,))/VLOOKUP($U$1,A:C,3,))*100)+100</f>
        <v/>
      </c>
      <c r="J6" s="29">
        <f>(((Table134567891011121314151617343[[#This Row],[DEU]]-VLOOKUP($U$1,A:D,4,))/VLOOKUP($U$1,A:D,4,))*100)+100</f>
        <v/>
      </c>
      <c r="K6" s="29">
        <f>(((Table134567891011121314151617343[[#This Row],[ESP]]-VLOOKUP($U$1,A:E,5,))/VLOOKUP($U$1,A:E,5,))*100)+100</f>
        <v/>
      </c>
      <c r="L6" s="29">
        <f>(((Table134567891011121314151617343[[#This Row],[EA19]]-VLOOKUP($U$1,A:F,6,))/VLOOKUP($U$1,A:F,6,))*100)+100</f>
        <v/>
      </c>
      <c r="M6" s="29">
        <f>(((Table134567891011121314151617343[[#This Row],[GBR]]-VLOOKUP($U$1,A:G,7,))/VLOOKUP($U$1,A:G,7,))*100)+100</f>
        <v/>
      </c>
      <c r="N6" s="29">
        <f>VLOOKUP(A6,Database!$E:$AY,MATCH($N$1,Database!$E$1:$AY$1,0),FALSE)</f>
        <v/>
      </c>
      <c r="O6" s="29">
        <f>(((Table134567891011121314151617343[[#This Row],[USA]]-VLOOKUP($U$1,A:N,14,))/VLOOKUP($U$1,A:N,14,))*100)+100</f>
        <v/>
      </c>
      <c r="P6" s="29">
        <f>VLOOKUP(A6,Database!$E:$AY,MATCH($P$1,Database!$E$1:$AY$1,0),FALSE)</f>
        <v/>
      </c>
      <c r="Q6" s="29">
        <f>(((Table134567891011121314151617343[[#This Row],[JPN]]-VLOOKUP($U$1,A:Q,16,))/VLOOKUP($U$1,A:Q,16,))*100)+100</f>
        <v/>
      </c>
      <c r="W6" s="129" t="inlineStr">
        <is>
          <t>CZE</t>
        </is>
      </c>
    </row>
    <row r="7" customFormat="1" s="129">
      <c r="A7" s="28" t="n">
        <v>33025</v>
      </c>
      <c r="B7" s="29">
        <f>VLOOKUP(A7,Database!$E:$AY,MATCH($B$1,Database!$E$1:$AY$1,0),FALSE)</f>
        <v/>
      </c>
      <c r="C7" s="29">
        <f>VLOOKUP(A7,Database!$E:$AY,MATCH($C$1,Database!$E$1:$AY$1,0),FALSE)</f>
        <v/>
      </c>
      <c r="D7" s="29">
        <f>VLOOKUP(A7,Database!$E:$AY,MATCH($D$1,Database!$E$1:$AY$1,0),FALSE)</f>
        <v/>
      </c>
      <c r="E7" s="29">
        <f>VLOOKUP(A7,Database!$E:$AY,MATCH($E$1,Database!$E$1:$AY$1,0),FALSE)</f>
        <v/>
      </c>
      <c r="F7" s="29">
        <f>VLOOKUP(A7,Database!$E:$AY,MATCH($F$1,Database!$E$1:$AY$1,0),FALSE)</f>
        <v/>
      </c>
      <c r="G7" s="29">
        <f>VLOOKUP(A7,Database!$E:$AY,MATCH($G$1,Database!$E$1:$AY$1,0),FALSE)</f>
        <v/>
      </c>
      <c r="H7" s="29">
        <f>(((Table134567891011121314151617343[[#This Row],[ITA]]-VLOOKUP($U$1,A:B,2,))/VLOOKUP($U$1,A:B,2,))*100)+100</f>
        <v/>
      </c>
      <c r="I7" s="29">
        <f>(((Table134567891011121314151617343[[#This Row],[FRA]]-VLOOKUP($U$1,A:C,3,))/VLOOKUP($U$1,A:C,3,))*100)+100</f>
        <v/>
      </c>
      <c r="J7" s="29">
        <f>(((Table134567891011121314151617343[[#This Row],[DEU]]-VLOOKUP($U$1,A:D,4,))/VLOOKUP($U$1,A:D,4,))*100)+100</f>
        <v/>
      </c>
      <c r="K7" s="29">
        <f>(((Table134567891011121314151617343[[#This Row],[ESP]]-VLOOKUP($U$1,A:E,5,))/VLOOKUP($U$1,A:E,5,))*100)+100</f>
        <v/>
      </c>
      <c r="L7" s="29">
        <f>(((Table134567891011121314151617343[[#This Row],[EA19]]-VLOOKUP($U$1,A:F,6,))/VLOOKUP($U$1,A:F,6,))*100)+100</f>
        <v/>
      </c>
      <c r="M7" s="29">
        <f>(((Table134567891011121314151617343[[#This Row],[GBR]]-VLOOKUP($U$1,A:G,7,))/VLOOKUP($U$1,A:G,7,))*100)+100</f>
        <v/>
      </c>
      <c r="N7" s="29">
        <f>VLOOKUP(A7,Database!$E:$AY,MATCH($N$1,Database!$E$1:$AY$1,0),FALSE)</f>
        <v/>
      </c>
      <c r="O7" s="29">
        <f>(((Table134567891011121314151617343[[#This Row],[USA]]-VLOOKUP($U$1,A:N,14,))/VLOOKUP($U$1,A:N,14,))*100)+100</f>
        <v/>
      </c>
      <c r="P7" s="29">
        <f>VLOOKUP(A7,Database!$E:$AY,MATCH($P$1,Database!$E$1:$AY$1,0),FALSE)</f>
        <v/>
      </c>
      <c r="Q7" s="29">
        <f>(((Table134567891011121314151617343[[#This Row],[JPN]]-VLOOKUP($U$1,A:Q,16,))/VLOOKUP($U$1,A:Q,16,))*100)+100</f>
        <v/>
      </c>
      <c r="W7" s="129" t="inlineStr">
        <is>
          <t>DEU</t>
        </is>
      </c>
    </row>
    <row r="8" customFormat="1" s="129">
      <c r="A8" s="28" t="n">
        <v>33055</v>
      </c>
      <c r="B8" s="29">
        <f>VLOOKUP(A8,Database!$E:$AY,MATCH($B$1,Database!$E$1:$AY$1,0),FALSE)</f>
        <v/>
      </c>
      <c r="C8" s="29">
        <f>VLOOKUP(A8,Database!$E:$AY,MATCH($C$1,Database!$E$1:$AY$1,0),FALSE)</f>
        <v/>
      </c>
      <c r="D8" s="29">
        <f>VLOOKUP(A8,Database!$E:$AY,MATCH($D$1,Database!$E$1:$AY$1,0),FALSE)</f>
        <v/>
      </c>
      <c r="E8" s="29">
        <f>VLOOKUP(A8,Database!$E:$AY,MATCH($E$1,Database!$E$1:$AY$1,0),FALSE)</f>
        <v/>
      </c>
      <c r="F8" s="29">
        <f>VLOOKUP(A8,Database!$E:$AY,MATCH($F$1,Database!$E$1:$AY$1,0),FALSE)</f>
        <v/>
      </c>
      <c r="G8" s="29">
        <f>VLOOKUP(A8,Database!$E:$AY,MATCH($G$1,Database!$E$1:$AY$1,0),FALSE)</f>
        <v/>
      </c>
      <c r="H8" s="29">
        <f>(((Table134567891011121314151617343[[#This Row],[ITA]]-VLOOKUP($U$1,A:B,2,))/VLOOKUP($U$1,A:B,2,))*100)+100</f>
        <v/>
      </c>
      <c r="I8" s="29">
        <f>(((Table134567891011121314151617343[[#This Row],[FRA]]-VLOOKUP($U$1,A:C,3,))/VLOOKUP($U$1,A:C,3,))*100)+100</f>
        <v/>
      </c>
      <c r="J8" s="29">
        <f>(((Table134567891011121314151617343[[#This Row],[DEU]]-VLOOKUP($U$1,A:D,4,))/VLOOKUP($U$1,A:D,4,))*100)+100</f>
        <v/>
      </c>
      <c r="K8" s="29">
        <f>(((Table134567891011121314151617343[[#This Row],[ESP]]-VLOOKUP($U$1,A:E,5,))/VLOOKUP($U$1,A:E,5,))*100)+100</f>
        <v/>
      </c>
      <c r="L8" s="29">
        <f>(((Table134567891011121314151617343[[#This Row],[EA19]]-VLOOKUP($U$1,A:F,6,))/VLOOKUP($U$1,A:F,6,))*100)+100</f>
        <v/>
      </c>
      <c r="M8" s="29">
        <f>(((Table134567891011121314151617343[[#This Row],[GBR]]-VLOOKUP($U$1,A:G,7,))/VLOOKUP($U$1,A:G,7,))*100)+100</f>
        <v/>
      </c>
      <c r="N8" s="29">
        <f>VLOOKUP(A8,Database!$E:$AY,MATCH($N$1,Database!$E$1:$AY$1,0),FALSE)</f>
        <v/>
      </c>
      <c r="O8" s="29">
        <f>(((Table134567891011121314151617343[[#This Row],[USA]]-VLOOKUP($U$1,A:N,14,))/VLOOKUP($U$1,A:N,14,))*100)+100</f>
        <v/>
      </c>
      <c r="P8" s="29">
        <f>VLOOKUP(A8,Database!$E:$AY,MATCH($P$1,Database!$E$1:$AY$1,0),FALSE)</f>
        <v/>
      </c>
      <c r="Q8" s="29">
        <f>(((Table134567891011121314151617343[[#This Row],[JPN]]-VLOOKUP($U$1,A:Q,16,))/VLOOKUP($U$1,A:Q,16,))*100)+100</f>
        <v/>
      </c>
      <c r="W8" s="129" t="inlineStr">
        <is>
          <t>DNK</t>
        </is>
      </c>
    </row>
    <row r="9" customFormat="1" s="129">
      <c r="A9" s="28" t="n">
        <v>33086</v>
      </c>
      <c r="B9" s="29">
        <f>VLOOKUP(A9,Database!$E:$AY,MATCH($B$1,Database!$E$1:$AY$1,0),FALSE)</f>
        <v/>
      </c>
      <c r="C9" s="29">
        <f>VLOOKUP(A9,Database!$E:$AY,MATCH($C$1,Database!$E$1:$AY$1,0),FALSE)</f>
        <v/>
      </c>
      <c r="D9" s="29">
        <f>VLOOKUP(A9,Database!$E:$AY,MATCH($D$1,Database!$E$1:$AY$1,0),FALSE)</f>
        <v/>
      </c>
      <c r="E9" s="29">
        <f>VLOOKUP(A9,Database!$E:$AY,MATCH($E$1,Database!$E$1:$AY$1,0),FALSE)</f>
        <v/>
      </c>
      <c r="F9" s="29">
        <f>VLOOKUP(A9,Database!$E:$AY,MATCH($F$1,Database!$E$1:$AY$1,0),FALSE)</f>
        <v/>
      </c>
      <c r="G9" s="29">
        <f>VLOOKUP(A9,Database!$E:$AY,MATCH($G$1,Database!$E$1:$AY$1,0),FALSE)</f>
        <v/>
      </c>
      <c r="H9" s="29">
        <f>(((Table134567891011121314151617343[[#This Row],[ITA]]-VLOOKUP($U$1,A:B,2,))/VLOOKUP($U$1,A:B,2,))*100)+100</f>
        <v/>
      </c>
      <c r="I9" s="29">
        <f>(((Table134567891011121314151617343[[#This Row],[FRA]]-VLOOKUP($U$1,A:C,3,))/VLOOKUP($U$1,A:C,3,))*100)+100</f>
        <v/>
      </c>
      <c r="J9" s="29">
        <f>(((Table134567891011121314151617343[[#This Row],[DEU]]-VLOOKUP($U$1,A:D,4,))/VLOOKUP($U$1,A:D,4,))*100)+100</f>
        <v/>
      </c>
      <c r="K9" s="29">
        <f>(((Table134567891011121314151617343[[#This Row],[ESP]]-VLOOKUP($U$1,A:E,5,))/VLOOKUP($U$1,A:E,5,))*100)+100</f>
        <v/>
      </c>
      <c r="L9" s="29">
        <f>(((Table134567891011121314151617343[[#This Row],[EA19]]-VLOOKUP($U$1,A:F,6,))/VLOOKUP($U$1,A:F,6,))*100)+100</f>
        <v/>
      </c>
      <c r="M9" s="29">
        <f>(((Table134567891011121314151617343[[#This Row],[GBR]]-VLOOKUP($U$1,A:G,7,))/VLOOKUP($U$1,A:G,7,))*100)+100</f>
        <v/>
      </c>
      <c r="N9" s="29">
        <f>VLOOKUP(A9,Database!$E:$AY,MATCH($N$1,Database!$E$1:$AY$1,0),FALSE)</f>
        <v/>
      </c>
      <c r="O9" s="29">
        <f>(((Table134567891011121314151617343[[#This Row],[USA]]-VLOOKUP($U$1,A:N,14,))/VLOOKUP($U$1,A:N,14,))*100)+100</f>
        <v/>
      </c>
      <c r="P9" s="29">
        <f>VLOOKUP(A9,Database!$E:$AY,MATCH($P$1,Database!$E$1:$AY$1,0),FALSE)</f>
        <v/>
      </c>
      <c r="Q9" s="29">
        <f>(((Table134567891011121314151617343[[#This Row],[JPN]]-VLOOKUP($U$1,A:Q,16,))/VLOOKUP($U$1,A:Q,16,))*100)+100</f>
        <v/>
      </c>
      <c r="W9" s="129" t="inlineStr">
        <is>
          <t>ESP</t>
        </is>
      </c>
    </row>
    <row r="10" customFormat="1" s="129">
      <c r="A10" s="28" t="n">
        <v>33117</v>
      </c>
      <c r="B10" s="29">
        <f>VLOOKUP(A10,Database!$E:$AY,MATCH($B$1,Database!$E$1:$AY$1,0),FALSE)</f>
        <v/>
      </c>
      <c r="C10" s="29">
        <f>VLOOKUP(A10,Database!$E:$AY,MATCH($C$1,Database!$E$1:$AY$1,0),FALSE)</f>
        <v/>
      </c>
      <c r="D10" s="29">
        <f>VLOOKUP(A10,Database!$E:$AY,MATCH($D$1,Database!$E$1:$AY$1,0),FALSE)</f>
        <v/>
      </c>
      <c r="E10" s="29">
        <f>VLOOKUP(A10,Database!$E:$AY,MATCH($E$1,Database!$E$1:$AY$1,0),FALSE)</f>
        <v/>
      </c>
      <c r="F10" s="29">
        <f>VLOOKUP(A10,Database!$E:$AY,MATCH($F$1,Database!$E$1:$AY$1,0),FALSE)</f>
        <v/>
      </c>
      <c r="G10" s="29">
        <f>VLOOKUP(A10,Database!$E:$AY,MATCH($G$1,Database!$E$1:$AY$1,0),FALSE)</f>
        <v/>
      </c>
      <c r="H10" s="29">
        <f>(((Table134567891011121314151617343[[#This Row],[ITA]]-VLOOKUP($U$1,A:B,2,))/VLOOKUP($U$1,A:B,2,))*100)+100</f>
        <v/>
      </c>
      <c r="I10" s="29">
        <f>(((Table134567891011121314151617343[[#This Row],[FRA]]-VLOOKUP($U$1,A:C,3,))/VLOOKUP($U$1,A:C,3,))*100)+100</f>
        <v/>
      </c>
      <c r="J10" s="29">
        <f>(((Table134567891011121314151617343[[#This Row],[DEU]]-VLOOKUP($U$1,A:D,4,))/VLOOKUP($U$1,A:D,4,))*100)+100</f>
        <v/>
      </c>
      <c r="K10" s="29">
        <f>(((Table134567891011121314151617343[[#This Row],[ESP]]-VLOOKUP($U$1,A:E,5,))/VLOOKUP($U$1,A:E,5,))*100)+100</f>
        <v/>
      </c>
      <c r="L10" s="29">
        <f>(((Table134567891011121314151617343[[#This Row],[EA19]]-VLOOKUP($U$1,A:F,6,))/VLOOKUP($U$1,A:F,6,))*100)+100</f>
        <v/>
      </c>
      <c r="M10" s="29">
        <f>(((Table134567891011121314151617343[[#This Row],[GBR]]-VLOOKUP($U$1,A:G,7,))/VLOOKUP($U$1,A:G,7,))*100)+100</f>
        <v/>
      </c>
      <c r="N10" s="29">
        <f>VLOOKUP(A10,Database!$E:$AY,MATCH($N$1,Database!$E$1:$AY$1,0),FALSE)</f>
        <v/>
      </c>
      <c r="O10" s="29">
        <f>(((Table134567891011121314151617343[[#This Row],[USA]]-VLOOKUP($U$1,A:N,14,))/VLOOKUP($U$1,A:N,14,))*100)+100</f>
        <v/>
      </c>
      <c r="P10" s="29">
        <f>VLOOKUP(A10,Database!$E:$AY,MATCH($P$1,Database!$E$1:$AY$1,0),FALSE)</f>
        <v/>
      </c>
      <c r="Q10" s="29">
        <f>(((Table134567891011121314151617343[[#This Row],[JPN]]-VLOOKUP($U$1,A:Q,16,))/VLOOKUP($U$1,A:Q,16,))*100)+100</f>
        <v/>
      </c>
      <c r="W10" s="129" t="inlineStr">
        <is>
          <t>EST</t>
        </is>
      </c>
    </row>
    <row r="11" customFormat="1" s="129">
      <c r="A11" s="28" t="n">
        <v>33147</v>
      </c>
      <c r="B11" s="29">
        <f>VLOOKUP(A11,Database!$E:$AY,MATCH($B$1,Database!$E$1:$AY$1,0),FALSE)</f>
        <v/>
      </c>
      <c r="C11" s="29">
        <f>VLOOKUP(A11,Database!$E:$AY,MATCH($C$1,Database!$E$1:$AY$1,0),FALSE)</f>
        <v/>
      </c>
      <c r="D11" s="29">
        <f>VLOOKUP(A11,Database!$E:$AY,MATCH($D$1,Database!$E$1:$AY$1,0),FALSE)</f>
        <v/>
      </c>
      <c r="E11" s="29">
        <f>VLOOKUP(A11,Database!$E:$AY,MATCH($E$1,Database!$E$1:$AY$1,0),FALSE)</f>
        <v/>
      </c>
      <c r="F11" s="29">
        <f>VLOOKUP(A11,Database!$E:$AY,MATCH($F$1,Database!$E$1:$AY$1,0),FALSE)</f>
        <v/>
      </c>
      <c r="G11" s="29">
        <f>VLOOKUP(A11,Database!$E:$AY,MATCH($G$1,Database!$E$1:$AY$1,0),FALSE)</f>
        <v/>
      </c>
      <c r="H11" s="29">
        <f>(((Table134567891011121314151617343[[#This Row],[ITA]]-VLOOKUP($U$1,A:B,2,))/VLOOKUP($U$1,A:B,2,))*100)+100</f>
        <v/>
      </c>
      <c r="I11" s="29">
        <f>(((Table134567891011121314151617343[[#This Row],[FRA]]-VLOOKUP($U$1,A:C,3,))/VLOOKUP($U$1,A:C,3,))*100)+100</f>
        <v/>
      </c>
      <c r="J11" s="29">
        <f>(((Table134567891011121314151617343[[#This Row],[DEU]]-VLOOKUP($U$1,A:D,4,))/VLOOKUP($U$1,A:D,4,))*100)+100</f>
        <v/>
      </c>
      <c r="K11" s="29">
        <f>(((Table134567891011121314151617343[[#This Row],[ESP]]-VLOOKUP($U$1,A:E,5,))/VLOOKUP($U$1,A:E,5,))*100)+100</f>
        <v/>
      </c>
      <c r="L11" s="29">
        <f>(((Table134567891011121314151617343[[#This Row],[EA19]]-VLOOKUP($U$1,A:F,6,))/VLOOKUP($U$1,A:F,6,))*100)+100</f>
        <v/>
      </c>
      <c r="M11" s="29">
        <f>(((Table134567891011121314151617343[[#This Row],[GBR]]-VLOOKUP($U$1,A:G,7,))/VLOOKUP($U$1,A:G,7,))*100)+100</f>
        <v/>
      </c>
      <c r="N11" s="29">
        <f>VLOOKUP(A11,Database!$E:$AY,MATCH($N$1,Database!$E$1:$AY$1,0),FALSE)</f>
        <v/>
      </c>
      <c r="O11" s="29">
        <f>(((Table134567891011121314151617343[[#This Row],[USA]]-VLOOKUP($U$1,A:N,14,))/VLOOKUP($U$1,A:N,14,))*100)+100</f>
        <v/>
      </c>
      <c r="P11" s="29">
        <f>VLOOKUP(A11,Database!$E:$AY,MATCH($P$1,Database!$E$1:$AY$1,0),FALSE)</f>
        <v/>
      </c>
      <c r="Q11" s="29">
        <f>(((Table134567891011121314151617343[[#This Row],[JPN]]-VLOOKUP($U$1,A:Q,16,))/VLOOKUP($U$1,A:Q,16,))*100)+100</f>
        <v/>
      </c>
      <c r="W11" s="129" t="inlineStr">
        <is>
          <t>FIN</t>
        </is>
      </c>
    </row>
    <row r="12" customFormat="1" s="129">
      <c r="A12" s="28" t="n">
        <v>33178</v>
      </c>
      <c r="B12" s="29">
        <f>VLOOKUP(A12,Database!$E:$AY,MATCH($B$1,Database!$E$1:$AY$1,0),FALSE)</f>
        <v/>
      </c>
      <c r="C12" s="29">
        <f>VLOOKUP(A12,Database!$E:$AY,MATCH($C$1,Database!$E$1:$AY$1,0),FALSE)</f>
        <v/>
      </c>
      <c r="D12" s="29">
        <f>VLOOKUP(A12,Database!$E:$AY,MATCH($D$1,Database!$E$1:$AY$1,0),FALSE)</f>
        <v/>
      </c>
      <c r="E12" s="29">
        <f>VLOOKUP(A12,Database!$E:$AY,MATCH($E$1,Database!$E$1:$AY$1,0),FALSE)</f>
        <v/>
      </c>
      <c r="F12" s="29">
        <f>VLOOKUP(A12,Database!$E:$AY,MATCH($F$1,Database!$E$1:$AY$1,0),FALSE)</f>
        <v/>
      </c>
      <c r="G12" s="29">
        <f>VLOOKUP(A12,Database!$E:$AY,MATCH($G$1,Database!$E$1:$AY$1,0),FALSE)</f>
        <v/>
      </c>
      <c r="H12" s="29">
        <f>(((Table134567891011121314151617343[[#This Row],[ITA]]-VLOOKUP($U$1,A:B,2,))/VLOOKUP($U$1,A:B,2,))*100)+100</f>
        <v/>
      </c>
      <c r="I12" s="29">
        <f>(((Table134567891011121314151617343[[#This Row],[FRA]]-VLOOKUP($U$1,A:C,3,))/VLOOKUP($U$1,A:C,3,))*100)+100</f>
        <v/>
      </c>
      <c r="J12" s="29">
        <f>(((Table134567891011121314151617343[[#This Row],[DEU]]-VLOOKUP($U$1,A:D,4,))/VLOOKUP($U$1,A:D,4,))*100)+100</f>
        <v/>
      </c>
      <c r="K12" s="29">
        <f>(((Table134567891011121314151617343[[#This Row],[ESP]]-VLOOKUP($U$1,A:E,5,))/VLOOKUP($U$1,A:E,5,))*100)+100</f>
        <v/>
      </c>
      <c r="L12" s="29">
        <f>(((Table134567891011121314151617343[[#This Row],[EA19]]-VLOOKUP($U$1,A:F,6,))/VLOOKUP($U$1,A:F,6,))*100)+100</f>
        <v/>
      </c>
      <c r="M12" s="29">
        <f>(((Table134567891011121314151617343[[#This Row],[GBR]]-VLOOKUP($U$1,A:G,7,))/VLOOKUP($U$1,A:G,7,))*100)+100</f>
        <v/>
      </c>
      <c r="N12" s="29">
        <f>VLOOKUP(A12,Database!$E:$AY,MATCH($N$1,Database!$E$1:$AY$1,0),FALSE)</f>
        <v/>
      </c>
      <c r="O12" s="29">
        <f>(((Table134567891011121314151617343[[#This Row],[USA]]-VLOOKUP($U$1,A:N,14,))/VLOOKUP($U$1,A:N,14,))*100)+100</f>
        <v/>
      </c>
      <c r="P12" s="29">
        <f>VLOOKUP(A12,Database!$E:$AY,MATCH($P$1,Database!$E$1:$AY$1,0),FALSE)</f>
        <v/>
      </c>
      <c r="Q12" s="29">
        <f>(((Table134567891011121314151617343[[#This Row],[JPN]]-VLOOKUP($U$1,A:Q,16,))/VLOOKUP($U$1,A:Q,16,))*100)+100</f>
        <v/>
      </c>
      <c r="W12" s="129" t="inlineStr">
        <is>
          <t>FRA</t>
        </is>
      </c>
    </row>
    <row r="13" customFormat="1" s="129">
      <c r="A13" s="28" t="n">
        <v>33208</v>
      </c>
      <c r="B13" s="29">
        <f>VLOOKUP(A13,Database!$E:$AY,MATCH($B$1,Database!$E$1:$AY$1,0),FALSE)</f>
        <v/>
      </c>
      <c r="C13" s="29">
        <f>VLOOKUP(A13,Database!$E:$AY,MATCH($C$1,Database!$E$1:$AY$1,0),FALSE)</f>
        <v/>
      </c>
      <c r="D13" s="29">
        <f>VLOOKUP(A13,Database!$E:$AY,MATCH($D$1,Database!$E$1:$AY$1,0),FALSE)</f>
        <v/>
      </c>
      <c r="E13" s="29">
        <f>VLOOKUP(A13,Database!$E:$AY,MATCH($E$1,Database!$E$1:$AY$1,0),FALSE)</f>
        <v/>
      </c>
      <c r="F13" s="29">
        <f>VLOOKUP(A13,Database!$E:$AY,MATCH($F$1,Database!$E$1:$AY$1,0),FALSE)</f>
        <v/>
      </c>
      <c r="G13" s="29">
        <f>VLOOKUP(A13,Database!$E:$AY,MATCH($G$1,Database!$E$1:$AY$1,0),FALSE)</f>
        <v/>
      </c>
      <c r="H13" s="29">
        <f>(((Table134567891011121314151617343[[#This Row],[ITA]]-VLOOKUP($U$1,A:B,2,))/VLOOKUP($U$1,A:B,2,))*100)+100</f>
        <v/>
      </c>
      <c r="I13" s="29">
        <f>(((Table134567891011121314151617343[[#This Row],[FRA]]-VLOOKUP($U$1,A:C,3,))/VLOOKUP($U$1,A:C,3,))*100)+100</f>
        <v/>
      </c>
      <c r="J13" s="29">
        <f>(((Table134567891011121314151617343[[#This Row],[DEU]]-VLOOKUP($U$1,A:D,4,))/VLOOKUP($U$1,A:D,4,))*100)+100</f>
        <v/>
      </c>
      <c r="K13" s="29">
        <f>(((Table134567891011121314151617343[[#This Row],[ESP]]-VLOOKUP($U$1,A:E,5,))/VLOOKUP($U$1,A:E,5,))*100)+100</f>
        <v/>
      </c>
      <c r="L13" s="29">
        <f>(((Table134567891011121314151617343[[#This Row],[EA19]]-VLOOKUP($U$1,A:F,6,))/VLOOKUP($U$1,A:F,6,))*100)+100</f>
        <v/>
      </c>
      <c r="M13" s="29">
        <f>(((Table134567891011121314151617343[[#This Row],[GBR]]-VLOOKUP($U$1,A:G,7,))/VLOOKUP($U$1,A:G,7,))*100)+100</f>
        <v/>
      </c>
      <c r="N13" s="29">
        <f>VLOOKUP(A13,Database!$E:$AY,MATCH($N$1,Database!$E$1:$AY$1,0),FALSE)</f>
        <v/>
      </c>
      <c r="O13" s="29">
        <f>(((Table134567891011121314151617343[[#This Row],[USA]]-VLOOKUP($U$1,A:N,14,))/VLOOKUP($U$1,A:N,14,))*100)+100</f>
        <v/>
      </c>
      <c r="P13" s="29">
        <f>VLOOKUP(A13,Database!$E:$AY,MATCH($P$1,Database!$E$1:$AY$1,0),FALSE)</f>
        <v/>
      </c>
      <c r="Q13" s="29">
        <f>(((Table134567891011121314151617343[[#This Row],[JPN]]-VLOOKUP($U$1,A:Q,16,))/VLOOKUP($U$1,A:Q,16,))*100)+100</f>
        <v/>
      </c>
      <c r="W13" s="129" t="inlineStr">
        <is>
          <t>GBR</t>
        </is>
      </c>
    </row>
    <row r="14" customFormat="1" s="129">
      <c r="A14" s="28" t="n">
        <v>33239</v>
      </c>
      <c r="B14" s="29">
        <f>VLOOKUP(A14,Database!$E:$AY,MATCH($B$1,Database!$E$1:$AY$1,0),FALSE)</f>
        <v/>
      </c>
      <c r="C14" s="29">
        <f>VLOOKUP(A14,Database!$E:$AY,MATCH($C$1,Database!$E$1:$AY$1,0),FALSE)</f>
        <v/>
      </c>
      <c r="D14" s="29">
        <f>VLOOKUP(A14,Database!$E:$AY,MATCH($D$1,Database!$E$1:$AY$1,0),FALSE)</f>
        <v/>
      </c>
      <c r="E14" s="29">
        <f>VLOOKUP(A14,Database!$E:$AY,MATCH($E$1,Database!$E$1:$AY$1,0),FALSE)</f>
        <v/>
      </c>
      <c r="F14" s="29">
        <f>VLOOKUP(A14,Database!$E:$AY,MATCH($F$1,Database!$E$1:$AY$1,0),FALSE)</f>
        <v/>
      </c>
      <c r="G14" s="29">
        <f>VLOOKUP(A14,Database!$E:$AY,MATCH($G$1,Database!$E$1:$AY$1,0),FALSE)</f>
        <v/>
      </c>
      <c r="H14" s="29">
        <f>(((Table134567891011121314151617343[[#This Row],[ITA]]-VLOOKUP($U$1,A:B,2,))/VLOOKUP($U$1,A:B,2,))*100)+100</f>
        <v/>
      </c>
      <c r="I14" s="29">
        <f>(((Table134567891011121314151617343[[#This Row],[FRA]]-VLOOKUP($U$1,A:C,3,))/VLOOKUP($U$1,A:C,3,))*100)+100</f>
        <v/>
      </c>
      <c r="J14" s="29">
        <f>(((Table134567891011121314151617343[[#This Row],[DEU]]-VLOOKUP($U$1,A:D,4,))/VLOOKUP($U$1,A:D,4,))*100)+100</f>
        <v/>
      </c>
      <c r="K14" s="29">
        <f>(((Table134567891011121314151617343[[#This Row],[ESP]]-VLOOKUP($U$1,A:E,5,))/VLOOKUP($U$1,A:E,5,))*100)+100</f>
        <v/>
      </c>
      <c r="L14" s="29">
        <f>(((Table134567891011121314151617343[[#This Row],[EA19]]-VLOOKUP($U$1,A:F,6,))/VLOOKUP($U$1,A:F,6,))*100)+100</f>
        <v/>
      </c>
      <c r="M14" s="29">
        <f>(((Table134567891011121314151617343[[#This Row],[GBR]]-VLOOKUP($U$1,A:G,7,))/VLOOKUP($U$1,A:G,7,))*100)+100</f>
        <v/>
      </c>
      <c r="N14" s="29">
        <f>VLOOKUP(A14,Database!$E:$AY,MATCH($N$1,Database!$E$1:$AY$1,0),FALSE)</f>
        <v/>
      </c>
      <c r="O14" s="29">
        <f>(((Table134567891011121314151617343[[#This Row],[USA]]-VLOOKUP($U$1,A:N,14,))/VLOOKUP($U$1,A:N,14,))*100)+100</f>
        <v/>
      </c>
      <c r="P14" s="29">
        <f>VLOOKUP(A14,Database!$E:$AY,MATCH($P$1,Database!$E$1:$AY$1,0),FALSE)</f>
        <v/>
      </c>
      <c r="Q14" s="29">
        <f>(((Table134567891011121314151617343[[#This Row],[JPN]]-VLOOKUP($U$1,A:Q,16,))/VLOOKUP($U$1,A:Q,16,))*100)+100</f>
        <v/>
      </c>
      <c r="W14" s="129" t="inlineStr">
        <is>
          <t>GRC</t>
        </is>
      </c>
    </row>
    <row r="15" customFormat="1" s="129">
      <c r="A15" s="28" t="n">
        <v>33270</v>
      </c>
      <c r="B15" s="29">
        <f>VLOOKUP(A15,Database!$E:$AY,MATCH($B$1,Database!$E$1:$AY$1,0),FALSE)</f>
        <v/>
      </c>
      <c r="C15" s="29">
        <f>VLOOKUP(A15,Database!$E:$AY,MATCH($C$1,Database!$E$1:$AY$1,0),FALSE)</f>
        <v/>
      </c>
      <c r="D15" s="29">
        <f>VLOOKUP(A15,Database!$E:$AY,MATCH($D$1,Database!$E$1:$AY$1,0),FALSE)</f>
        <v/>
      </c>
      <c r="E15" s="29">
        <f>VLOOKUP(A15,Database!$E:$AY,MATCH($E$1,Database!$E$1:$AY$1,0),FALSE)</f>
        <v/>
      </c>
      <c r="F15" s="29">
        <f>VLOOKUP(A15,Database!$E:$AY,MATCH($F$1,Database!$E$1:$AY$1,0),FALSE)</f>
        <v/>
      </c>
      <c r="G15" s="29">
        <f>VLOOKUP(A15,Database!$E:$AY,MATCH($G$1,Database!$E$1:$AY$1,0),FALSE)</f>
        <v/>
      </c>
      <c r="H15" s="29">
        <f>(((Table134567891011121314151617343[[#This Row],[ITA]]-VLOOKUP($U$1,A:B,2,))/VLOOKUP($U$1,A:B,2,))*100)+100</f>
        <v/>
      </c>
      <c r="I15" s="29">
        <f>(((Table134567891011121314151617343[[#This Row],[FRA]]-VLOOKUP($U$1,A:C,3,))/VLOOKUP($U$1,A:C,3,))*100)+100</f>
        <v/>
      </c>
      <c r="J15" s="29">
        <f>(((Table134567891011121314151617343[[#This Row],[DEU]]-VLOOKUP($U$1,A:D,4,))/VLOOKUP($U$1,A:D,4,))*100)+100</f>
        <v/>
      </c>
      <c r="K15" s="29">
        <f>(((Table134567891011121314151617343[[#This Row],[ESP]]-VLOOKUP($U$1,A:E,5,))/VLOOKUP($U$1,A:E,5,))*100)+100</f>
        <v/>
      </c>
      <c r="L15" s="29">
        <f>(((Table134567891011121314151617343[[#This Row],[EA19]]-VLOOKUP($U$1,A:F,6,))/VLOOKUP($U$1,A:F,6,))*100)+100</f>
        <v/>
      </c>
      <c r="M15" s="29">
        <f>(((Table134567891011121314151617343[[#This Row],[GBR]]-VLOOKUP($U$1,A:G,7,))/VLOOKUP($U$1,A:G,7,))*100)+100</f>
        <v/>
      </c>
      <c r="N15" s="29">
        <f>VLOOKUP(A15,Database!$E:$AY,MATCH($N$1,Database!$E$1:$AY$1,0),FALSE)</f>
        <v/>
      </c>
      <c r="O15" s="29">
        <f>(((Table134567891011121314151617343[[#This Row],[USA]]-VLOOKUP($U$1,A:N,14,))/VLOOKUP($U$1,A:N,14,))*100)+100</f>
        <v/>
      </c>
      <c r="P15" s="29">
        <f>VLOOKUP(A15,Database!$E:$AY,MATCH($P$1,Database!$E$1:$AY$1,0),FALSE)</f>
        <v/>
      </c>
      <c r="Q15" s="29">
        <f>(((Table134567891011121314151617343[[#This Row],[JPN]]-VLOOKUP($U$1,A:Q,16,))/VLOOKUP($U$1,A:Q,16,))*100)+100</f>
        <v/>
      </c>
      <c r="W15" s="129" t="inlineStr">
        <is>
          <t>HUN</t>
        </is>
      </c>
    </row>
    <row r="16" customFormat="1" s="129">
      <c r="A16" s="28" t="n">
        <v>33298</v>
      </c>
      <c r="B16" s="29">
        <f>VLOOKUP(A16,Database!$E:$AY,MATCH($B$1,Database!$E$1:$AY$1,0),FALSE)</f>
        <v/>
      </c>
      <c r="C16" s="29">
        <f>VLOOKUP(A16,Database!$E:$AY,MATCH($C$1,Database!$E$1:$AY$1,0),FALSE)</f>
        <v/>
      </c>
      <c r="D16" s="29">
        <f>VLOOKUP(A16,Database!$E:$AY,MATCH($D$1,Database!$E$1:$AY$1,0),FALSE)</f>
        <v/>
      </c>
      <c r="E16" s="29">
        <f>VLOOKUP(A16,Database!$E:$AY,MATCH($E$1,Database!$E$1:$AY$1,0),FALSE)</f>
        <v/>
      </c>
      <c r="F16" s="29">
        <f>VLOOKUP(A16,Database!$E:$AY,MATCH($F$1,Database!$E$1:$AY$1,0),FALSE)</f>
        <v/>
      </c>
      <c r="G16" s="29">
        <f>VLOOKUP(A16,Database!$E:$AY,MATCH($G$1,Database!$E$1:$AY$1,0),FALSE)</f>
        <v/>
      </c>
      <c r="H16" s="29">
        <f>(((Table134567891011121314151617343[[#This Row],[ITA]]-VLOOKUP($U$1,A:B,2,))/VLOOKUP($U$1,A:B,2,))*100)+100</f>
        <v/>
      </c>
      <c r="I16" s="29">
        <f>(((Table134567891011121314151617343[[#This Row],[FRA]]-VLOOKUP($U$1,A:C,3,))/VLOOKUP($U$1,A:C,3,))*100)+100</f>
        <v/>
      </c>
      <c r="J16" s="29">
        <f>(((Table134567891011121314151617343[[#This Row],[DEU]]-VLOOKUP($U$1,A:D,4,))/VLOOKUP($U$1,A:D,4,))*100)+100</f>
        <v/>
      </c>
      <c r="K16" s="29">
        <f>(((Table134567891011121314151617343[[#This Row],[ESP]]-VLOOKUP($U$1,A:E,5,))/VLOOKUP($U$1,A:E,5,))*100)+100</f>
        <v/>
      </c>
      <c r="L16" s="29">
        <f>(((Table134567891011121314151617343[[#This Row],[EA19]]-VLOOKUP($U$1,A:F,6,))/VLOOKUP($U$1,A:F,6,))*100)+100</f>
        <v/>
      </c>
      <c r="M16" s="29">
        <f>(((Table134567891011121314151617343[[#This Row],[GBR]]-VLOOKUP($U$1,A:G,7,))/VLOOKUP($U$1,A:G,7,))*100)+100</f>
        <v/>
      </c>
      <c r="N16" s="29">
        <f>VLOOKUP(A16,Database!$E:$AY,MATCH($N$1,Database!$E$1:$AY$1,0),FALSE)</f>
        <v/>
      </c>
      <c r="O16" s="29">
        <f>(((Table134567891011121314151617343[[#This Row],[USA]]-VLOOKUP($U$1,A:N,14,))/VLOOKUP($U$1,A:N,14,))*100)+100</f>
        <v/>
      </c>
      <c r="P16" s="29">
        <f>VLOOKUP(A16,Database!$E:$AY,MATCH($P$1,Database!$E$1:$AY$1,0),FALSE)</f>
        <v/>
      </c>
      <c r="Q16" s="29">
        <f>(((Table134567891011121314151617343[[#This Row],[JPN]]-VLOOKUP($U$1,A:Q,16,))/VLOOKUP($U$1,A:Q,16,))*100)+100</f>
        <v/>
      </c>
      <c r="W16" s="129" t="inlineStr">
        <is>
          <t>IRL</t>
        </is>
      </c>
    </row>
    <row r="17" customFormat="1" s="129">
      <c r="A17" s="28" t="n">
        <v>33329</v>
      </c>
      <c r="B17" s="29">
        <f>VLOOKUP(A17,Database!$E:$AY,MATCH($B$1,Database!$E$1:$AY$1,0),FALSE)</f>
        <v/>
      </c>
      <c r="C17" s="29">
        <f>VLOOKUP(A17,Database!$E:$AY,MATCH($C$1,Database!$E$1:$AY$1,0),FALSE)</f>
        <v/>
      </c>
      <c r="D17" s="29">
        <f>VLOOKUP(A17,Database!$E:$AY,MATCH($D$1,Database!$E$1:$AY$1,0),FALSE)</f>
        <v/>
      </c>
      <c r="E17" s="29">
        <f>VLOOKUP(A17,Database!$E:$AY,MATCH($E$1,Database!$E$1:$AY$1,0),FALSE)</f>
        <v/>
      </c>
      <c r="F17" s="29">
        <f>VLOOKUP(A17,Database!$E:$AY,MATCH($F$1,Database!$E$1:$AY$1,0),FALSE)</f>
        <v/>
      </c>
      <c r="G17" s="29">
        <f>VLOOKUP(A17,Database!$E:$AY,MATCH($G$1,Database!$E$1:$AY$1,0),FALSE)</f>
        <v/>
      </c>
      <c r="H17" s="29">
        <f>(((Table134567891011121314151617343[[#This Row],[ITA]]-VLOOKUP($U$1,A:B,2,))/VLOOKUP($U$1,A:B,2,))*100)+100</f>
        <v/>
      </c>
      <c r="I17" s="29">
        <f>(((Table134567891011121314151617343[[#This Row],[FRA]]-VLOOKUP($U$1,A:C,3,))/VLOOKUP($U$1,A:C,3,))*100)+100</f>
        <v/>
      </c>
      <c r="J17" s="29">
        <f>(((Table134567891011121314151617343[[#This Row],[DEU]]-VLOOKUP($U$1,A:D,4,))/VLOOKUP($U$1,A:D,4,))*100)+100</f>
        <v/>
      </c>
      <c r="K17" s="29">
        <f>(((Table134567891011121314151617343[[#This Row],[ESP]]-VLOOKUP($U$1,A:E,5,))/VLOOKUP($U$1,A:E,5,))*100)+100</f>
        <v/>
      </c>
      <c r="L17" s="29">
        <f>(((Table134567891011121314151617343[[#This Row],[EA19]]-VLOOKUP($U$1,A:F,6,))/VLOOKUP($U$1,A:F,6,))*100)+100</f>
        <v/>
      </c>
      <c r="M17" s="29">
        <f>(((Table134567891011121314151617343[[#This Row],[GBR]]-VLOOKUP($U$1,A:G,7,))/VLOOKUP($U$1,A:G,7,))*100)+100</f>
        <v/>
      </c>
      <c r="N17" s="29">
        <f>VLOOKUP(A17,Database!$E:$AY,MATCH($N$1,Database!$E$1:$AY$1,0),FALSE)</f>
        <v/>
      </c>
      <c r="O17" s="29">
        <f>(((Table134567891011121314151617343[[#This Row],[USA]]-VLOOKUP($U$1,A:N,14,))/VLOOKUP($U$1,A:N,14,))*100)+100</f>
        <v/>
      </c>
      <c r="P17" s="29">
        <f>VLOOKUP(A17,Database!$E:$AY,MATCH($P$1,Database!$E$1:$AY$1,0),FALSE)</f>
        <v/>
      </c>
      <c r="Q17" s="29">
        <f>(((Table134567891011121314151617343[[#This Row],[JPN]]-VLOOKUP($U$1,A:Q,16,))/VLOOKUP($U$1,A:Q,16,))*100)+100</f>
        <v/>
      </c>
      <c r="W17" s="129" t="inlineStr">
        <is>
          <t>ISL</t>
        </is>
      </c>
    </row>
    <row r="18" customFormat="1" s="129">
      <c r="A18" s="28" t="n">
        <v>33359</v>
      </c>
      <c r="B18" s="29">
        <f>VLOOKUP(A18,Database!$E:$AY,MATCH($B$1,Database!$E$1:$AY$1,0),FALSE)</f>
        <v/>
      </c>
      <c r="C18" s="29">
        <f>VLOOKUP(A18,Database!$E:$AY,MATCH($C$1,Database!$E$1:$AY$1,0),FALSE)</f>
        <v/>
      </c>
      <c r="D18" s="29">
        <f>VLOOKUP(A18,Database!$E:$AY,MATCH($D$1,Database!$E$1:$AY$1,0),FALSE)</f>
        <v/>
      </c>
      <c r="E18" s="29">
        <f>VLOOKUP(A18,Database!$E:$AY,MATCH($E$1,Database!$E$1:$AY$1,0),FALSE)</f>
        <v/>
      </c>
      <c r="F18" s="29">
        <f>VLOOKUP(A18,Database!$E:$AY,MATCH($F$1,Database!$E$1:$AY$1,0),FALSE)</f>
        <v/>
      </c>
      <c r="G18" s="29">
        <f>VLOOKUP(A18,Database!$E:$AY,MATCH($G$1,Database!$E$1:$AY$1,0),FALSE)</f>
        <v/>
      </c>
      <c r="H18" s="29">
        <f>(((Table134567891011121314151617343[[#This Row],[ITA]]-VLOOKUP($U$1,A:B,2,))/VLOOKUP($U$1,A:B,2,))*100)+100</f>
        <v/>
      </c>
      <c r="I18" s="29">
        <f>(((Table134567891011121314151617343[[#This Row],[FRA]]-VLOOKUP($U$1,A:C,3,))/VLOOKUP($U$1,A:C,3,))*100)+100</f>
        <v/>
      </c>
      <c r="J18" s="29">
        <f>(((Table134567891011121314151617343[[#This Row],[DEU]]-VLOOKUP($U$1,A:D,4,))/VLOOKUP($U$1,A:D,4,))*100)+100</f>
        <v/>
      </c>
      <c r="K18" s="29">
        <f>(((Table134567891011121314151617343[[#This Row],[ESP]]-VLOOKUP($U$1,A:E,5,))/VLOOKUP($U$1,A:E,5,))*100)+100</f>
        <v/>
      </c>
      <c r="L18" s="29">
        <f>(((Table134567891011121314151617343[[#This Row],[EA19]]-VLOOKUP($U$1,A:F,6,))/VLOOKUP($U$1,A:F,6,))*100)+100</f>
        <v/>
      </c>
      <c r="M18" s="29">
        <f>(((Table134567891011121314151617343[[#This Row],[GBR]]-VLOOKUP($U$1,A:G,7,))/VLOOKUP($U$1,A:G,7,))*100)+100</f>
        <v/>
      </c>
      <c r="N18" s="29">
        <f>VLOOKUP(A18,Database!$E:$AY,MATCH($N$1,Database!$E$1:$AY$1,0),FALSE)</f>
        <v/>
      </c>
      <c r="O18" s="29">
        <f>(((Table134567891011121314151617343[[#This Row],[USA]]-VLOOKUP($U$1,A:N,14,))/VLOOKUP($U$1,A:N,14,))*100)+100</f>
        <v/>
      </c>
      <c r="P18" s="29">
        <f>VLOOKUP(A18,Database!$E:$AY,MATCH($P$1,Database!$E$1:$AY$1,0),FALSE)</f>
        <v/>
      </c>
      <c r="Q18" s="29">
        <f>(((Table134567891011121314151617343[[#This Row],[JPN]]-VLOOKUP($U$1,A:Q,16,))/VLOOKUP($U$1,A:Q,16,))*100)+100</f>
        <v/>
      </c>
      <c r="W18" s="129" t="inlineStr">
        <is>
          <t>ISR</t>
        </is>
      </c>
    </row>
    <row r="19" customFormat="1" s="129">
      <c r="A19" s="28" t="n">
        <v>33390</v>
      </c>
      <c r="B19" s="29">
        <f>VLOOKUP(A19,Database!$E:$AY,MATCH($B$1,Database!$E$1:$AY$1,0),FALSE)</f>
        <v/>
      </c>
      <c r="C19" s="29">
        <f>VLOOKUP(A19,Database!$E:$AY,MATCH($C$1,Database!$E$1:$AY$1,0),FALSE)</f>
        <v/>
      </c>
      <c r="D19" s="29">
        <f>VLOOKUP(A19,Database!$E:$AY,MATCH($D$1,Database!$E$1:$AY$1,0),FALSE)</f>
        <v/>
      </c>
      <c r="E19" s="29">
        <f>VLOOKUP(A19,Database!$E:$AY,MATCH($E$1,Database!$E$1:$AY$1,0),FALSE)</f>
        <v/>
      </c>
      <c r="F19" s="29">
        <f>VLOOKUP(A19,Database!$E:$AY,MATCH($F$1,Database!$E$1:$AY$1,0),FALSE)</f>
        <v/>
      </c>
      <c r="G19" s="29">
        <f>VLOOKUP(A19,Database!$E:$AY,MATCH($G$1,Database!$E$1:$AY$1,0),FALSE)</f>
        <v/>
      </c>
      <c r="H19" s="29">
        <f>(((Table134567891011121314151617343[[#This Row],[ITA]]-VLOOKUP($U$1,A:B,2,))/VLOOKUP($U$1,A:B,2,))*100)+100</f>
        <v/>
      </c>
      <c r="I19" s="29">
        <f>(((Table134567891011121314151617343[[#This Row],[FRA]]-VLOOKUP($U$1,A:C,3,))/VLOOKUP($U$1,A:C,3,))*100)+100</f>
        <v/>
      </c>
      <c r="J19" s="29">
        <f>(((Table134567891011121314151617343[[#This Row],[DEU]]-VLOOKUP($U$1,A:D,4,))/VLOOKUP($U$1,A:D,4,))*100)+100</f>
        <v/>
      </c>
      <c r="K19" s="29">
        <f>(((Table134567891011121314151617343[[#This Row],[ESP]]-VLOOKUP($U$1,A:E,5,))/VLOOKUP($U$1,A:E,5,))*100)+100</f>
        <v/>
      </c>
      <c r="L19" s="29">
        <f>(((Table134567891011121314151617343[[#This Row],[EA19]]-VLOOKUP($U$1,A:F,6,))/VLOOKUP($U$1,A:F,6,))*100)+100</f>
        <v/>
      </c>
      <c r="M19" s="29">
        <f>(((Table134567891011121314151617343[[#This Row],[GBR]]-VLOOKUP($U$1,A:G,7,))/VLOOKUP($U$1,A:G,7,))*100)+100</f>
        <v/>
      </c>
      <c r="N19" s="29">
        <f>VLOOKUP(A19,Database!$E:$AY,MATCH($N$1,Database!$E$1:$AY$1,0),FALSE)</f>
        <v/>
      </c>
      <c r="O19" s="29">
        <f>(((Table134567891011121314151617343[[#This Row],[USA]]-VLOOKUP($U$1,A:N,14,))/VLOOKUP($U$1,A:N,14,))*100)+100</f>
        <v/>
      </c>
      <c r="P19" s="29">
        <f>VLOOKUP(A19,Database!$E:$AY,MATCH($P$1,Database!$E$1:$AY$1,0),FALSE)</f>
        <v/>
      </c>
      <c r="Q19" s="29">
        <f>(((Table134567891011121314151617343[[#This Row],[JPN]]-VLOOKUP($U$1,A:Q,16,))/VLOOKUP($U$1,A:Q,16,))*100)+100</f>
        <v/>
      </c>
      <c r="W19" s="129" t="inlineStr">
        <is>
          <t>ITA</t>
        </is>
      </c>
    </row>
    <row r="20" customFormat="1" s="129">
      <c r="A20" s="28" t="n">
        <v>33420</v>
      </c>
      <c r="B20" s="29">
        <f>VLOOKUP(A20,Database!$E:$AY,MATCH($B$1,Database!$E$1:$AY$1,0),FALSE)</f>
        <v/>
      </c>
      <c r="C20" s="29">
        <f>VLOOKUP(A20,Database!$E:$AY,MATCH($C$1,Database!$E$1:$AY$1,0),FALSE)</f>
        <v/>
      </c>
      <c r="D20" s="29">
        <f>VLOOKUP(A20,Database!$E:$AY,MATCH($D$1,Database!$E$1:$AY$1,0),FALSE)</f>
        <v/>
      </c>
      <c r="E20" s="29">
        <f>VLOOKUP(A20,Database!$E:$AY,MATCH($E$1,Database!$E$1:$AY$1,0),FALSE)</f>
        <v/>
      </c>
      <c r="F20" s="29">
        <f>VLOOKUP(A20,Database!$E:$AY,MATCH($F$1,Database!$E$1:$AY$1,0),FALSE)</f>
        <v/>
      </c>
      <c r="G20" s="29">
        <f>VLOOKUP(A20,Database!$E:$AY,MATCH($G$1,Database!$E$1:$AY$1,0),FALSE)</f>
        <v/>
      </c>
      <c r="H20" s="29">
        <f>(((Table134567891011121314151617343[[#This Row],[ITA]]-VLOOKUP($U$1,A:B,2,))/VLOOKUP($U$1,A:B,2,))*100)+100</f>
        <v/>
      </c>
      <c r="I20" s="29">
        <f>(((Table134567891011121314151617343[[#This Row],[FRA]]-VLOOKUP($U$1,A:C,3,))/VLOOKUP($U$1,A:C,3,))*100)+100</f>
        <v/>
      </c>
      <c r="J20" s="29">
        <f>(((Table134567891011121314151617343[[#This Row],[DEU]]-VLOOKUP($U$1,A:D,4,))/VLOOKUP($U$1,A:D,4,))*100)+100</f>
        <v/>
      </c>
      <c r="K20" s="29">
        <f>(((Table134567891011121314151617343[[#This Row],[ESP]]-VLOOKUP($U$1,A:E,5,))/VLOOKUP($U$1,A:E,5,))*100)+100</f>
        <v/>
      </c>
      <c r="L20" s="29">
        <f>(((Table134567891011121314151617343[[#This Row],[EA19]]-VLOOKUP($U$1,A:F,6,))/VLOOKUP($U$1,A:F,6,))*100)+100</f>
        <v/>
      </c>
      <c r="M20" s="29">
        <f>(((Table134567891011121314151617343[[#This Row],[GBR]]-VLOOKUP($U$1,A:G,7,))/VLOOKUP($U$1,A:G,7,))*100)+100</f>
        <v/>
      </c>
      <c r="N20" s="29">
        <f>VLOOKUP(A20,Database!$E:$AY,MATCH($N$1,Database!$E$1:$AY$1,0),FALSE)</f>
        <v/>
      </c>
      <c r="O20" s="29">
        <f>(((Table134567891011121314151617343[[#This Row],[USA]]-VLOOKUP($U$1,A:N,14,))/VLOOKUP($U$1,A:N,14,))*100)+100</f>
        <v/>
      </c>
      <c r="P20" s="29">
        <f>VLOOKUP(A20,Database!$E:$AY,MATCH($P$1,Database!$E$1:$AY$1,0),FALSE)</f>
        <v/>
      </c>
      <c r="Q20" s="29">
        <f>(((Table134567891011121314151617343[[#This Row],[JPN]]-VLOOKUP($U$1,A:Q,16,))/VLOOKUP($U$1,A:Q,16,))*100)+100</f>
        <v/>
      </c>
      <c r="W20" s="129" t="inlineStr">
        <is>
          <t>JPN</t>
        </is>
      </c>
    </row>
    <row r="21" customFormat="1" s="129">
      <c r="A21" s="28" t="n">
        <v>33451</v>
      </c>
      <c r="B21" s="29">
        <f>VLOOKUP(A21,Database!$E:$AY,MATCH($B$1,Database!$E$1:$AY$1,0),FALSE)</f>
        <v/>
      </c>
      <c r="C21" s="29">
        <f>VLOOKUP(A21,Database!$E:$AY,MATCH($C$1,Database!$E$1:$AY$1,0),FALSE)</f>
        <v/>
      </c>
      <c r="D21" s="29">
        <f>VLOOKUP(A21,Database!$E:$AY,MATCH($D$1,Database!$E$1:$AY$1,0),FALSE)</f>
        <v/>
      </c>
      <c r="E21" s="29">
        <f>VLOOKUP(A21,Database!$E:$AY,MATCH($E$1,Database!$E$1:$AY$1,0),FALSE)</f>
        <v/>
      </c>
      <c r="F21" s="29">
        <f>VLOOKUP(A21,Database!$E:$AY,MATCH($F$1,Database!$E$1:$AY$1,0),FALSE)</f>
        <v/>
      </c>
      <c r="G21" s="29">
        <f>VLOOKUP(A21,Database!$E:$AY,MATCH($G$1,Database!$E$1:$AY$1,0),FALSE)</f>
        <v/>
      </c>
      <c r="H21" s="29">
        <f>(((Table134567891011121314151617343[[#This Row],[ITA]]-VLOOKUP($U$1,A:B,2,))/VLOOKUP($U$1,A:B,2,))*100)+100</f>
        <v/>
      </c>
      <c r="I21" s="29">
        <f>(((Table134567891011121314151617343[[#This Row],[FRA]]-VLOOKUP($U$1,A:C,3,))/VLOOKUP($U$1,A:C,3,))*100)+100</f>
        <v/>
      </c>
      <c r="J21" s="29">
        <f>(((Table134567891011121314151617343[[#This Row],[DEU]]-VLOOKUP($U$1,A:D,4,))/VLOOKUP($U$1,A:D,4,))*100)+100</f>
        <v/>
      </c>
      <c r="K21" s="29">
        <f>(((Table134567891011121314151617343[[#This Row],[ESP]]-VLOOKUP($U$1,A:E,5,))/VLOOKUP($U$1,A:E,5,))*100)+100</f>
        <v/>
      </c>
      <c r="L21" s="29">
        <f>(((Table134567891011121314151617343[[#This Row],[EA19]]-VLOOKUP($U$1,A:F,6,))/VLOOKUP($U$1,A:F,6,))*100)+100</f>
        <v/>
      </c>
      <c r="M21" s="29">
        <f>(((Table134567891011121314151617343[[#This Row],[GBR]]-VLOOKUP($U$1,A:G,7,))/VLOOKUP($U$1,A:G,7,))*100)+100</f>
        <v/>
      </c>
      <c r="N21" s="29">
        <f>VLOOKUP(A21,Database!$E:$AY,MATCH($N$1,Database!$E$1:$AY$1,0),FALSE)</f>
        <v/>
      </c>
      <c r="O21" s="29">
        <f>(((Table134567891011121314151617343[[#This Row],[USA]]-VLOOKUP($U$1,A:N,14,))/VLOOKUP($U$1,A:N,14,))*100)+100</f>
        <v/>
      </c>
      <c r="P21" s="29">
        <f>VLOOKUP(A21,Database!$E:$AY,MATCH($P$1,Database!$E$1:$AY$1,0),FALSE)</f>
        <v/>
      </c>
      <c r="Q21" s="29">
        <f>(((Table134567891011121314151617343[[#This Row],[JPN]]-VLOOKUP($U$1,A:Q,16,))/VLOOKUP($U$1,A:Q,16,))*100)+100</f>
        <v/>
      </c>
      <c r="W21" s="129" t="inlineStr">
        <is>
          <t>KOR</t>
        </is>
      </c>
    </row>
    <row r="22" customFormat="1" s="129">
      <c r="A22" s="28" t="n">
        <v>33482</v>
      </c>
      <c r="B22" s="29">
        <f>VLOOKUP(A22,Database!$E:$AY,MATCH($B$1,Database!$E$1:$AY$1,0),FALSE)</f>
        <v/>
      </c>
      <c r="C22" s="29">
        <f>VLOOKUP(A22,Database!$E:$AY,MATCH($C$1,Database!$E$1:$AY$1,0),FALSE)</f>
        <v/>
      </c>
      <c r="D22" s="29">
        <f>VLOOKUP(A22,Database!$E:$AY,MATCH($D$1,Database!$E$1:$AY$1,0),FALSE)</f>
        <v/>
      </c>
      <c r="E22" s="29">
        <f>VLOOKUP(A22,Database!$E:$AY,MATCH($E$1,Database!$E$1:$AY$1,0),FALSE)</f>
        <v/>
      </c>
      <c r="F22" s="29">
        <f>VLOOKUP(A22,Database!$E:$AY,MATCH($F$1,Database!$E$1:$AY$1,0),FALSE)</f>
        <v/>
      </c>
      <c r="G22" s="29">
        <f>VLOOKUP(A22,Database!$E:$AY,MATCH($G$1,Database!$E$1:$AY$1,0),FALSE)</f>
        <v/>
      </c>
      <c r="H22" s="29">
        <f>(((Table134567891011121314151617343[[#This Row],[ITA]]-VLOOKUP($U$1,A:B,2,))/VLOOKUP($U$1,A:B,2,))*100)+100</f>
        <v/>
      </c>
      <c r="I22" s="29">
        <f>(((Table134567891011121314151617343[[#This Row],[FRA]]-VLOOKUP($U$1,A:C,3,))/VLOOKUP($U$1,A:C,3,))*100)+100</f>
        <v/>
      </c>
      <c r="J22" s="29">
        <f>(((Table134567891011121314151617343[[#This Row],[DEU]]-VLOOKUP($U$1,A:D,4,))/VLOOKUP($U$1,A:D,4,))*100)+100</f>
        <v/>
      </c>
      <c r="K22" s="29">
        <f>(((Table134567891011121314151617343[[#This Row],[ESP]]-VLOOKUP($U$1,A:E,5,))/VLOOKUP($U$1,A:E,5,))*100)+100</f>
        <v/>
      </c>
      <c r="L22" s="29">
        <f>(((Table134567891011121314151617343[[#This Row],[EA19]]-VLOOKUP($U$1,A:F,6,))/VLOOKUP($U$1,A:F,6,))*100)+100</f>
        <v/>
      </c>
      <c r="M22" s="29">
        <f>(((Table134567891011121314151617343[[#This Row],[GBR]]-VLOOKUP($U$1,A:G,7,))/VLOOKUP($U$1,A:G,7,))*100)+100</f>
        <v/>
      </c>
      <c r="N22" s="29">
        <f>VLOOKUP(A22,Database!$E:$AY,MATCH($N$1,Database!$E$1:$AY$1,0),FALSE)</f>
        <v/>
      </c>
      <c r="O22" s="29">
        <f>(((Table134567891011121314151617343[[#This Row],[USA]]-VLOOKUP($U$1,A:N,14,))/VLOOKUP($U$1,A:N,14,))*100)+100</f>
        <v/>
      </c>
      <c r="P22" s="29">
        <f>VLOOKUP(A22,Database!$E:$AY,MATCH($P$1,Database!$E$1:$AY$1,0),FALSE)</f>
        <v/>
      </c>
      <c r="Q22" s="29">
        <f>(((Table134567891011121314151617343[[#This Row],[JPN]]-VLOOKUP($U$1,A:Q,16,))/VLOOKUP($U$1,A:Q,16,))*100)+100</f>
        <v/>
      </c>
      <c r="W22" s="129" t="inlineStr">
        <is>
          <t>LUX</t>
        </is>
      </c>
    </row>
    <row r="23" customFormat="1" s="129">
      <c r="A23" s="28" t="n">
        <v>33512</v>
      </c>
      <c r="B23" s="29">
        <f>VLOOKUP(A23,Database!$E:$AY,MATCH($B$1,Database!$E$1:$AY$1,0),FALSE)</f>
        <v/>
      </c>
      <c r="C23" s="29">
        <f>VLOOKUP(A23,Database!$E:$AY,MATCH($C$1,Database!$E$1:$AY$1,0),FALSE)</f>
        <v/>
      </c>
      <c r="D23" s="29">
        <f>VLOOKUP(A23,Database!$E:$AY,MATCH($D$1,Database!$E$1:$AY$1,0),FALSE)</f>
        <v/>
      </c>
      <c r="E23" s="29">
        <f>VLOOKUP(A23,Database!$E:$AY,MATCH($E$1,Database!$E$1:$AY$1,0),FALSE)</f>
        <v/>
      </c>
      <c r="F23" s="29">
        <f>VLOOKUP(A23,Database!$E:$AY,MATCH($F$1,Database!$E$1:$AY$1,0),FALSE)</f>
        <v/>
      </c>
      <c r="G23" s="29">
        <f>VLOOKUP(A23,Database!$E:$AY,MATCH($G$1,Database!$E$1:$AY$1,0),FALSE)</f>
        <v/>
      </c>
      <c r="H23" s="29">
        <f>(((Table134567891011121314151617343[[#This Row],[ITA]]-VLOOKUP($U$1,A:B,2,))/VLOOKUP($U$1,A:B,2,))*100)+100</f>
        <v/>
      </c>
      <c r="I23" s="29">
        <f>(((Table134567891011121314151617343[[#This Row],[FRA]]-VLOOKUP($U$1,A:C,3,))/VLOOKUP($U$1,A:C,3,))*100)+100</f>
        <v/>
      </c>
      <c r="J23" s="29">
        <f>(((Table134567891011121314151617343[[#This Row],[DEU]]-VLOOKUP($U$1,A:D,4,))/VLOOKUP($U$1,A:D,4,))*100)+100</f>
        <v/>
      </c>
      <c r="K23" s="29">
        <f>(((Table134567891011121314151617343[[#This Row],[ESP]]-VLOOKUP($U$1,A:E,5,))/VLOOKUP($U$1,A:E,5,))*100)+100</f>
        <v/>
      </c>
      <c r="L23" s="29">
        <f>(((Table134567891011121314151617343[[#This Row],[EA19]]-VLOOKUP($U$1,A:F,6,))/VLOOKUP($U$1,A:F,6,))*100)+100</f>
        <v/>
      </c>
      <c r="M23" s="29">
        <f>(((Table134567891011121314151617343[[#This Row],[GBR]]-VLOOKUP($U$1,A:G,7,))/VLOOKUP($U$1,A:G,7,))*100)+100</f>
        <v/>
      </c>
      <c r="N23" s="29">
        <f>VLOOKUP(A23,Database!$E:$AY,MATCH($N$1,Database!$E$1:$AY$1,0),FALSE)</f>
        <v/>
      </c>
      <c r="O23" s="29">
        <f>(((Table134567891011121314151617343[[#This Row],[USA]]-VLOOKUP($U$1,A:N,14,))/VLOOKUP($U$1,A:N,14,))*100)+100</f>
        <v/>
      </c>
      <c r="P23" s="29">
        <f>VLOOKUP(A23,Database!$E:$AY,MATCH($P$1,Database!$E$1:$AY$1,0),FALSE)</f>
        <v/>
      </c>
      <c r="Q23" s="29">
        <f>(((Table134567891011121314151617343[[#This Row],[JPN]]-VLOOKUP($U$1,A:Q,16,))/VLOOKUP($U$1,A:Q,16,))*100)+100</f>
        <v/>
      </c>
      <c r="W23" s="129" t="inlineStr">
        <is>
          <t>LVA</t>
        </is>
      </c>
    </row>
    <row r="24" customFormat="1" s="129">
      <c r="A24" s="28" t="n">
        <v>33543</v>
      </c>
      <c r="B24" s="29">
        <f>VLOOKUP(A24,Database!$E:$AY,MATCH($B$1,Database!$E$1:$AY$1,0),FALSE)</f>
        <v/>
      </c>
      <c r="C24" s="29">
        <f>VLOOKUP(A24,Database!$E:$AY,MATCH($C$1,Database!$E$1:$AY$1,0),FALSE)</f>
        <v/>
      </c>
      <c r="D24" s="29">
        <f>VLOOKUP(A24,Database!$E:$AY,MATCH($D$1,Database!$E$1:$AY$1,0),FALSE)</f>
        <v/>
      </c>
      <c r="E24" s="29">
        <f>VLOOKUP(A24,Database!$E:$AY,MATCH($E$1,Database!$E$1:$AY$1,0),FALSE)</f>
        <v/>
      </c>
      <c r="F24" s="29">
        <f>VLOOKUP(A24,Database!$E:$AY,MATCH($F$1,Database!$E$1:$AY$1,0),FALSE)</f>
        <v/>
      </c>
      <c r="G24" s="29">
        <f>VLOOKUP(A24,Database!$E:$AY,MATCH($G$1,Database!$E$1:$AY$1,0),FALSE)</f>
        <v/>
      </c>
      <c r="H24" s="29">
        <f>(((Table134567891011121314151617343[[#This Row],[ITA]]-VLOOKUP($U$1,A:B,2,))/VLOOKUP($U$1,A:B,2,))*100)+100</f>
        <v/>
      </c>
      <c r="I24" s="29">
        <f>(((Table134567891011121314151617343[[#This Row],[FRA]]-VLOOKUP($U$1,A:C,3,))/VLOOKUP($U$1,A:C,3,))*100)+100</f>
        <v/>
      </c>
      <c r="J24" s="29">
        <f>(((Table134567891011121314151617343[[#This Row],[DEU]]-VLOOKUP($U$1,A:D,4,))/VLOOKUP($U$1,A:D,4,))*100)+100</f>
        <v/>
      </c>
      <c r="K24" s="29">
        <f>(((Table134567891011121314151617343[[#This Row],[ESP]]-VLOOKUP($U$1,A:E,5,))/VLOOKUP($U$1,A:E,5,))*100)+100</f>
        <v/>
      </c>
      <c r="L24" s="29">
        <f>(((Table134567891011121314151617343[[#This Row],[EA19]]-VLOOKUP($U$1,A:F,6,))/VLOOKUP($U$1,A:F,6,))*100)+100</f>
        <v/>
      </c>
      <c r="M24" s="29">
        <f>(((Table134567891011121314151617343[[#This Row],[GBR]]-VLOOKUP($U$1,A:G,7,))/VLOOKUP($U$1,A:G,7,))*100)+100</f>
        <v/>
      </c>
      <c r="N24" s="29">
        <f>VLOOKUP(A24,Database!$E:$AY,MATCH($N$1,Database!$E$1:$AY$1,0),FALSE)</f>
        <v/>
      </c>
      <c r="O24" s="29">
        <f>(((Table134567891011121314151617343[[#This Row],[USA]]-VLOOKUP($U$1,A:N,14,))/VLOOKUP($U$1,A:N,14,))*100)+100</f>
        <v/>
      </c>
      <c r="P24" s="29">
        <f>VLOOKUP(A24,Database!$E:$AY,MATCH($P$1,Database!$E$1:$AY$1,0),FALSE)</f>
        <v/>
      </c>
      <c r="Q24" s="29">
        <f>(((Table134567891011121314151617343[[#This Row],[JPN]]-VLOOKUP($U$1,A:Q,16,))/VLOOKUP($U$1,A:Q,16,))*100)+100</f>
        <v/>
      </c>
      <c r="W24" s="129" t="inlineStr">
        <is>
          <t>MEX</t>
        </is>
      </c>
    </row>
    <row r="25" customFormat="1" s="129">
      <c r="A25" s="28" t="n">
        <v>33573</v>
      </c>
      <c r="B25" s="29">
        <f>VLOOKUP(A25,Database!$E:$AY,MATCH($B$1,Database!$E$1:$AY$1,0),FALSE)</f>
        <v/>
      </c>
      <c r="C25" s="29">
        <f>VLOOKUP(A25,Database!$E:$AY,MATCH($C$1,Database!$E$1:$AY$1,0),FALSE)</f>
        <v/>
      </c>
      <c r="D25" s="29">
        <f>VLOOKUP(A25,Database!$E:$AY,MATCH($D$1,Database!$E$1:$AY$1,0),FALSE)</f>
        <v/>
      </c>
      <c r="E25" s="29">
        <f>VLOOKUP(A25,Database!$E:$AY,MATCH($E$1,Database!$E$1:$AY$1,0),FALSE)</f>
        <v/>
      </c>
      <c r="F25" s="29">
        <f>VLOOKUP(A25,Database!$E:$AY,MATCH($F$1,Database!$E$1:$AY$1,0),FALSE)</f>
        <v/>
      </c>
      <c r="G25" s="29">
        <f>VLOOKUP(A25,Database!$E:$AY,MATCH($G$1,Database!$E$1:$AY$1,0),FALSE)</f>
        <v/>
      </c>
      <c r="H25" s="29">
        <f>(((Table134567891011121314151617343[[#This Row],[ITA]]-VLOOKUP($U$1,A:B,2,))/VLOOKUP($U$1,A:B,2,))*100)+100</f>
        <v/>
      </c>
      <c r="I25" s="29">
        <f>(((Table134567891011121314151617343[[#This Row],[FRA]]-VLOOKUP($U$1,A:C,3,))/VLOOKUP($U$1,A:C,3,))*100)+100</f>
        <v/>
      </c>
      <c r="J25" s="29">
        <f>(((Table134567891011121314151617343[[#This Row],[DEU]]-VLOOKUP($U$1,A:D,4,))/VLOOKUP($U$1,A:D,4,))*100)+100</f>
        <v/>
      </c>
      <c r="K25" s="29">
        <f>(((Table134567891011121314151617343[[#This Row],[ESP]]-VLOOKUP($U$1,A:E,5,))/VLOOKUP($U$1,A:E,5,))*100)+100</f>
        <v/>
      </c>
      <c r="L25" s="29">
        <f>(((Table134567891011121314151617343[[#This Row],[EA19]]-VLOOKUP($U$1,A:F,6,))/VLOOKUP($U$1,A:F,6,))*100)+100</f>
        <v/>
      </c>
      <c r="M25" s="29">
        <f>(((Table134567891011121314151617343[[#This Row],[GBR]]-VLOOKUP($U$1,A:G,7,))/VLOOKUP($U$1,A:G,7,))*100)+100</f>
        <v/>
      </c>
      <c r="N25" s="29">
        <f>VLOOKUP(A25,Database!$E:$AY,MATCH($N$1,Database!$E$1:$AY$1,0),FALSE)</f>
        <v/>
      </c>
      <c r="O25" s="29">
        <f>(((Table134567891011121314151617343[[#This Row],[USA]]-VLOOKUP($U$1,A:N,14,))/VLOOKUP($U$1,A:N,14,))*100)+100</f>
        <v/>
      </c>
      <c r="P25" s="29">
        <f>VLOOKUP(A25,Database!$E:$AY,MATCH($P$1,Database!$E$1:$AY$1,0),FALSE)</f>
        <v/>
      </c>
      <c r="Q25" s="29">
        <f>(((Table134567891011121314151617343[[#This Row],[JPN]]-VLOOKUP($U$1,A:Q,16,))/VLOOKUP($U$1,A:Q,16,))*100)+100</f>
        <v/>
      </c>
      <c r="W25" s="129" t="inlineStr">
        <is>
          <t>NLD</t>
        </is>
      </c>
    </row>
    <row r="26" customFormat="1" s="129">
      <c r="A26" s="28" t="n">
        <v>33604</v>
      </c>
      <c r="B26" s="29">
        <f>VLOOKUP(A26,Database!$E:$AY,MATCH($B$1,Database!$E$1:$AY$1,0),FALSE)</f>
        <v/>
      </c>
      <c r="C26" s="29">
        <f>VLOOKUP(A26,Database!$E:$AY,MATCH($C$1,Database!$E$1:$AY$1,0),FALSE)</f>
        <v/>
      </c>
      <c r="D26" s="29">
        <f>VLOOKUP(A26,Database!$E:$AY,MATCH($D$1,Database!$E$1:$AY$1,0),FALSE)</f>
        <v/>
      </c>
      <c r="E26" s="29">
        <f>VLOOKUP(A26,Database!$E:$AY,MATCH($E$1,Database!$E$1:$AY$1,0),FALSE)</f>
        <v/>
      </c>
      <c r="F26" s="29">
        <f>VLOOKUP(A26,Database!$E:$AY,MATCH($F$1,Database!$E$1:$AY$1,0),FALSE)</f>
        <v/>
      </c>
      <c r="G26" s="29">
        <f>VLOOKUP(A26,Database!$E:$AY,MATCH($G$1,Database!$E$1:$AY$1,0),FALSE)</f>
        <v/>
      </c>
      <c r="H26" s="29">
        <f>(((Table134567891011121314151617343[[#This Row],[ITA]]-VLOOKUP($U$1,A:B,2,))/VLOOKUP($U$1,A:B,2,))*100)+100</f>
        <v/>
      </c>
      <c r="I26" s="29">
        <f>(((Table134567891011121314151617343[[#This Row],[FRA]]-VLOOKUP($U$1,A:C,3,))/VLOOKUP($U$1,A:C,3,))*100)+100</f>
        <v/>
      </c>
      <c r="J26" s="29">
        <f>(((Table134567891011121314151617343[[#This Row],[DEU]]-VLOOKUP($U$1,A:D,4,))/VLOOKUP($U$1,A:D,4,))*100)+100</f>
        <v/>
      </c>
      <c r="K26" s="29">
        <f>(((Table134567891011121314151617343[[#This Row],[ESP]]-VLOOKUP($U$1,A:E,5,))/VLOOKUP($U$1,A:E,5,))*100)+100</f>
        <v/>
      </c>
      <c r="L26" s="29">
        <f>(((Table134567891011121314151617343[[#This Row],[EA19]]-VLOOKUP($U$1,A:F,6,))/VLOOKUP($U$1,A:F,6,))*100)+100</f>
        <v/>
      </c>
      <c r="M26" s="29">
        <f>(((Table134567891011121314151617343[[#This Row],[GBR]]-VLOOKUP($U$1,A:G,7,))/VLOOKUP($U$1,A:G,7,))*100)+100</f>
        <v/>
      </c>
      <c r="N26" s="29">
        <f>VLOOKUP(A26,Database!$E:$AY,MATCH($N$1,Database!$E$1:$AY$1,0),FALSE)</f>
        <v/>
      </c>
      <c r="O26" s="29">
        <f>(((Table134567891011121314151617343[[#This Row],[USA]]-VLOOKUP($U$1,A:N,14,))/VLOOKUP($U$1,A:N,14,))*100)+100</f>
        <v/>
      </c>
      <c r="P26" s="29">
        <f>VLOOKUP(A26,Database!$E:$AY,MATCH($P$1,Database!$E$1:$AY$1,0),FALSE)</f>
        <v/>
      </c>
      <c r="Q26" s="29">
        <f>(((Table134567891011121314151617343[[#This Row],[JPN]]-VLOOKUP($U$1,A:Q,16,))/VLOOKUP($U$1,A:Q,16,))*100)+100</f>
        <v/>
      </c>
      <c r="W26" s="129" t="inlineStr">
        <is>
          <t>NOR</t>
        </is>
      </c>
    </row>
    <row r="27" customFormat="1" s="129">
      <c r="A27" s="28" t="n">
        <v>33635</v>
      </c>
      <c r="B27" s="29">
        <f>VLOOKUP(A27,Database!$E:$AY,MATCH($B$1,Database!$E$1:$AY$1,0),FALSE)</f>
        <v/>
      </c>
      <c r="C27" s="29">
        <f>VLOOKUP(A27,Database!$E:$AY,MATCH($C$1,Database!$E$1:$AY$1,0),FALSE)</f>
        <v/>
      </c>
      <c r="D27" s="29">
        <f>VLOOKUP(A27,Database!$E:$AY,MATCH($D$1,Database!$E$1:$AY$1,0),FALSE)</f>
        <v/>
      </c>
      <c r="E27" s="29">
        <f>VLOOKUP(A27,Database!$E:$AY,MATCH($E$1,Database!$E$1:$AY$1,0),FALSE)</f>
        <v/>
      </c>
      <c r="F27" s="29">
        <f>VLOOKUP(A27,Database!$E:$AY,MATCH($F$1,Database!$E$1:$AY$1,0),FALSE)</f>
        <v/>
      </c>
      <c r="G27" s="29">
        <f>VLOOKUP(A27,Database!$E:$AY,MATCH($G$1,Database!$E$1:$AY$1,0),FALSE)</f>
        <v/>
      </c>
      <c r="H27" s="29">
        <f>(((Table134567891011121314151617343[[#This Row],[ITA]]-VLOOKUP($U$1,A:B,2,))/VLOOKUP($U$1,A:B,2,))*100)+100</f>
        <v/>
      </c>
      <c r="I27" s="29">
        <f>(((Table134567891011121314151617343[[#This Row],[FRA]]-VLOOKUP($U$1,A:C,3,))/VLOOKUP($U$1,A:C,3,))*100)+100</f>
        <v/>
      </c>
      <c r="J27" s="29">
        <f>(((Table134567891011121314151617343[[#This Row],[DEU]]-VLOOKUP($U$1,A:D,4,))/VLOOKUP($U$1,A:D,4,))*100)+100</f>
        <v/>
      </c>
      <c r="K27" s="29">
        <f>(((Table134567891011121314151617343[[#This Row],[ESP]]-VLOOKUP($U$1,A:E,5,))/VLOOKUP($U$1,A:E,5,))*100)+100</f>
        <v/>
      </c>
      <c r="L27" s="29">
        <f>(((Table134567891011121314151617343[[#This Row],[EA19]]-VLOOKUP($U$1,A:F,6,))/VLOOKUP($U$1,A:F,6,))*100)+100</f>
        <v/>
      </c>
      <c r="M27" s="29">
        <f>(((Table134567891011121314151617343[[#This Row],[GBR]]-VLOOKUP($U$1,A:G,7,))/VLOOKUP($U$1,A:G,7,))*100)+100</f>
        <v/>
      </c>
      <c r="N27" s="29">
        <f>VLOOKUP(A27,Database!$E:$AY,MATCH($N$1,Database!$E$1:$AY$1,0),FALSE)</f>
        <v/>
      </c>
      <c r="O27" s="29">
        <f>(((Table134567891011121314151617343[[#This Row],[USA]]-VLOOKUP($U$1,A:N,14,))/VLOOKUP($U$1,A:N,14,))*100)+100</f>
        <v/>
      </c>
      <c r="P27" s="29">
        <f>VLOOKUP(A27,Database!$E:$AY,MATCH($P$1,Database!$E$1:$AY$1,0),FALSE)</f>
        <v/>
      </c>
      <c r="Q27" s="29">
        <f>(((Table134567891011121314151617343[[#This Row],[JPN]]-VLOOKUP($U$1,A:Q,16,))/VLOOKUP($U$1,A:Q,16,))*100)+100</f>
        <v/>
      </c>
      <c r="W27" s="129" t="inlineStr">
        <is>
          <t>OECD</t>
        </is>
      </c>
    </row>
    <row r="28" customFormat="1" s="129">
      <c r="A28" s="28" t="n">
        <v>33664</v>
      </c>
      <c r="B28" s="29">
        <f>VLOOKUP(A28,Database!$E:$AY,MATCH($B$1,Database!$E$1:$AY$1,0),FALSE)</f>
        <v/>
      </c>
      <c r="C28" s="29">
        <f>VLOOKUP(A28,Database!$E:$AY,MATCH($C$1,Database!$E$1:$AY$1,0),FALSE)</f>
        <v/>
      </c>
      <c r="D28" s="29">
        <f>VLOOKUP(A28,Database!$E:$AY,MATCH($D$1,Database!$E$1:$AY$1,0),FALSE)</f>
        <v/>
      </c>
      <c r="E28" s="29">
        <f>VLOOKUP(A28,Database!$E:$AY,MATCH($E$1,Database!$E$1:$AY$1,0),FALSE)</f>
        <v/>
      </c>
      <c r="F28" s="29">
        <f>VLOOKUP(A28,Database!$E:$AY,MATCH($F$1,Database!$E$1:$AY$1,0),FALSE)</f>
        <v/>
      </c>
      <c r="G28" s="29">
        <f>VLOOKUP(A28,Database!$E:$AY,MATCH($G$1,Database!$E$1:$AY$1,0),FALSE)</f>
        <v/>
      </c>
      <c r="H28" s="29">
        <f>(((Table134567891011121314151617343[[#This Row],[ITA]]-VLOOKUP($U$1,A:B,2,))/VLOOKUP($U$1,A:B,2,))*100)+100</f>
        <v/>
      </c>
      <c r="I28" s="29">
        <f>(((Table134567891011121314151617343[[#This Row],[FRA]]-VLOOKUP($U$1,A:C,3,))/VLOOKUP($U$1,A:C,3,))*100)+100</f>
        <v/>
      </c>
      <c r="J28" s="29">
        <f>(((Table134567891011121314151617343[[#This Row],[DEU]]-VLOOKUP($U$1,A:D,4,))/VLOOKUP($U$1,A:D,4,))*100)+100</f>
        <v/>
      </c>
      <c r="K28" s="29">
        <f>(((Table134567891011121314151617343[[#This Row],[ESP]]-VLOOKUP($U$1,A:E,5,))/VLOOKUP($U$1,A:E,5,))*100)+100</f>
        <v/>
      </c>
      <c r="L28" s="29">
        <f>(((Table134567891011121314151617343[[#This Row],[EA19]]-VLOOKUP($U$1,A:F,6,))/VLOOKUP($U$1,A:F,6,))*100)+100</f>
        <v/>
      </c>
      <c r="M28" s="29">
        <f>(((Table134567891011121314151617343[[#This Row],[GBR]]-VLOOKUP($U$1,A:G,7,))/VLOOKUP($U$1,A:G,7,))*100)+100</f>
        <v/>
      </c>
      <c r="N28" s="29">
        <f>VLOOKUP(A28,Database!$E:$AY,MATCH($N$1,Database!$E$1:$AY$1,0),FALSE)</f>
        <v/>
      </c>
      <c r="O28" s="29">
        <f>(((Table134567891011121314151617343[[#This Row],[USA]]-VLOOKUP($U$1,A:N,14,))/VLOOKUP($U$1,A:N,14,))*100)+100</f>
        <v/>
      </c>
      <c r="P28" s="29">
        <f>VLOOKUP(A28,Database!$E:$AY,MATCH($P$1,Database!$E$1:$AY$1,0),FALSE)</f>
        <v/>
      </c>
      <c r="Q28" s="29">
        <f>(((Table134567891011121314151617343[[#This Row],[JPN]]-VLOOKUP($U$1,A:Q,16,))/VLOOKUP($U$1,A:Q,16,))*100)+100</f>
        <v/>
      </c>
      <c r="W28" s="129" t="inlineStr">
        <is>
          <t>POL</t>
        </is>
      </c>
    </row>
    <row r="29" customFormat="1" s="129">
      <c r="A29" s="28" t="n">
        <v>33695</v>
      </c>
      <c r="B29" s="29">
        <f>VLOOKUP(A29,Database!$E:$AY,MATCH($B$1,Database!$E$1:$AY$1,0),FALSE)</f>
        <v/>
      </c>
      <c r="C29" s="29">
        <f>VLOOKUP(A29,Database!$E:$AY,MATCH($C$1,Database!$E$1:$AY$1,0),FALSE)</f>
        <v/>
      </c>
      <c r="D29" s="29">
        <f>VLOOKUP(A29,Database!$E:$AY,MATCH($D$1,Database!$E$1:$AY$1,0),FALSE)</f>
        <v/>
      </c>
      <c r="E29" s="29">
        <f>VLOOKUP(A29,Database!$E:$AY,MATCH($E$1,Database!$E$1:$AY$1,0),FALSE)</f>
        <v/>
      </c>
      <c r="F29" s="29">
        <f>VLOOKUP(A29,Database!$E:$AY,MATCH($F$1,Database!$E$1:$AY$1,0),FALSE)</f>
        <v/>
      </c>
      <c r="G29" s="29">
        <f>VLOOKUP(A29,Database!$E:$AY,MATCH($G$1,Database!$E$1:$AY$1,0),FALSE)</f>
        <v/>
      </c>
      <c r="H29" s="29">
        <f>(((Table134567891011121314151617343[[#This Row],[ITA]]-VLOOKUP($U$1,A:B,2,))/VLOOKUP($U$1,A:B,2,))*100)+100</f>
        <v/>
      </c>
      <c r="I29" s="29">
        <f>(((Table134567891011121314151617343[[#This Row],[FRA]]-VLOOKUP($U$1,A:C,3,))/VLOOKUP($U$1,A:C,3,))*100)+100</f>
        <v/>
      </c>
      <c r="J29" s="29">
        <f>(((Table134567891011121314151617343[[#This Row],[DEU]]-VLOOKUP($U$1,A:D,4,))/VLOOKUP($U$1,A:D,4,))*100)+100</f>
        <v/>
      </c>
      <c r="K29" s="29">
        <f>(((Table134567891011121314151617343[[#This Row],[ESP]]-VLOOKUP($U$1,A:E,5,))/VLOOKUP($U$1,A:E,5,))*100)+100</f>
        <v/>
      </c>
      <c r="L29" s="29">
        <f>(((Table134567891011121314151617343[[#This Row],[EA19]]-VLOOKUP($U$1,A:F,6,))/VLOOKUP($U$1,A:F,6,))*100)+100</f>
        <v/>
      </c>
      <c r="M29" s="29">
        <f>(((Table134567891011121314151617343[[#This Row],[GBR]]-VLOOKUP($U$1,A:G,7,))/VLOOKUP($U$1,A:G,7,))*100)+100</f>
        <v/>
      </c>
      <c r="N29" s="29">
        <f>VLOOKUP(A29,Database!$E:$AY,MATCH($N$1,Database!$E$1:$AY$1,0),FALSE)</f>
        <v/>
      </c>
      <c r="O29" s="29">
        <f>(((Table134567891011121314151617343[[#This Row],[USA]]-VLOOKUP($U$1,A:N,14,))/VLOOKUP($U$1,A:N,14,))*100)+100</f>
        <v/>
      </c>
      <c r="P29" s="29">
        <f>VLOOKUP(A29,Database!$E:$AY,MATCH($P$1,Database!$E$1:$AY$1,0),FALSE)</f>
        <v/>
      </c>
      <c r="Q29" s="29">
        <f>(((Table134567891011121314151617343[[#This Row],[JPN]]-VLOOKUP($U$1,A:Q,16,))/VLOOKUP($U$1,A:Q,16,))*100)+100</f>
        <v/>
      </c>
      <c r="W29" s="129" t="inlineStr">
        <is>
          <t>PRT</t>
        </is>
      </c>
    </row>
    <row r="30" customFormat="1" s="129">
      <c r="A30" s="28" t="n">
        <v>33725</v>
      </c>
      <c r="B30" s="29">
        <f>VLOOKUP(A30,Database!$E:$AY,MATCH($B$1,Database!$E$1:$AY$1,0),FALSE)</f>
        <v/>
      </c>
      <c r="C30" s="29">
        <f>VLOOKUP(A30,Database!$E:$AY,MATCH($C$1,Database!$E$1:$AY$1,0),FALSE)</f>
        <v/>
      </c>
      <c r="D30" s="29">
        <f>VLOOKUP(A30,Database!$E:$AY,MATCH($D$1,Database!$E$1:$AY$1,0),FALSE)</f>
        <v/>
      </c>
      <c r="E30" s="29">
        <f>VLOOKUP(A30,Database!$E:$AY,MATCH($E$1,Database!$E$1:$AY$1,0),FALSE)</f>
        <v/>
      </c>
      <c r="F30" s="29">
        <f>VLOOKUP(A30,Database!$E:$AY,MATCH($F$1,Database!$E$1:$AY$1,0),FALSE)</f>
        <v/>
      </c>
      <c r="G30" s="29">
        <f>VLOOKUP(A30,Database!$E:$AY,MATCH($G$1,Database!$E$1:$AY$1,0),FALSE)</f>
        <v/>
      </c>
      <c r="H30" s="29">
        <f>(((Table134567891011121314151617343[[#This Row],[ITA]]-VLOOKUP($U$1,A:B,2,))/VLOOKUP($U$1,A:B,2,))*100)+100</f>
        <v/>
      </c>
      <c r="I30" s="29">
        <f>(((Table134567891011121314151617343[[#This Row],[FRA]]-VLOOKUP($U$1,A:C,3,))/VLOOKUP($U$1,A:C,3,))*100)+100</f>
        <v/>
      </c>
      <c r="J30" s="29">
        <f>(((Table134567891011121314151617343[[#This Row],[DEU]]-VLOOKUP($U$1,A:D,4,))/VLOOKUP($U$1,A:D,4,))*100)+100</f>
        <v/>
      </c>
      <c r="K30" s="29">
        <f>(((Table134567891011121314151617343[[#This Row],[ESP]]-VLOOKUP($U$1,A:E,5,))/VLOOKUP($U$1,A:E,5,))*100)+100</f>
        <v/>
      </c>
      <c r="L30" s="29">
        <f>(((Table134567891011121314151617343[[#This Row],[EA19]]-VLOOKUP($U$1,A:F,6,))/VLOOKUP($U$1,A:F,6,))*100)+100</f>
        <v/>
      </c>
      <c r="M30" s="29">
        <f>(((Table134567891011121314151617343[[#This Row],[GBR]]-VLOOKUP($U$1,A:G,7,))/VLOOKUP($U$1,A:G,7,))*100)+100</f>
        <v/>
      </c>
      <c r="N30" s="29">
        <f>VLOOKUP(A30,Database!$E:$AY,MATCH($N$1,Database!$E$1:$AY$1,0),FALSE)</f>
        <v/>
      </c>
      <c r="O30" s="29">
        <f>(((Table134567891011121314151617343[[#This Row],[USA]]-VLOOKUP($U$1,A:N,14,))/VLOOKUP($U$1,A:N,14,))*100)+100</f>
        <v/>
      </c>
      <c r="P30" s="29">
        <f>VLOOKUP(A30,Database!$E:$AY,MATCH($P$1,Database!$E$1:$AY$1,0),FALSE)</f>
        <v/>
      </c>
      <c r="Q30" s="29">
        <f>(((Table134567891011121314151617343[[#This Row],[JPN]]-VLOOKUP($U$1,A:Q,16,))/VLOOKUP($U$1,A:Q,16,))*100)+100</f>
        <v/>
      </c>
      <c r="W30" s="129" t="inlineStr">
        <is>
          <t>SVK</t>
        </is>
      </c>
    </row>
    <row r="31" customFormat="1" s="129">
      <c r="A31" s="28" t="n">
        <v>33756</v>
      </c>
      <c r="B31" s="29">
        <f>VLOOKUP(A31,Database!$E:$AY,MATCH($B$1,Database!$E$1:$AY$1,0),FALSE)</f>
        <v/>
      </c>
      <c r="C31" s="29">
        <f>VLOOKUP(A31,Database!$E:$AY,MATCH($C$1,Database!$E$1:$AY$1,0),FALSE)</f>
        <v/>
      </c>
      <c r="D31" s="29">
        <f>VLOOKUP(A31,Database!$E:$AY,MATCH($D$1,Database!$E$1:$AY$1,0),FALSE)</f>
        <v/>
      </c>
      <c r="E31" s="29">
        <f>VLOOKUP(A31,Database!$E:$AY,MATCH($E$1,Database!$E$1:$AY$1,0),FALSE)</f>
        <v/>
      </c>
      <c r="F31" s="29">
        <f>VLOOKUP(A31,Database!$E:$AY,MATCH($F$1,Database!$E$1:$AY$1,0),FALSE)</f>
        <v/>
      </c>
      <c r="G31" s="29">
        <f>VLOOKUP(A31,Database!$E:$AY,MATCH($G$1,Database!$E$1:$AY$1,0),FALSE)</f>
        <v/>
      </c>
      <c r="H31" s="29">
        <f>(((Table134567891011121314151617343[[#This Row],[ITA]]-VLOOKUP($U$1,A:B,2,))/VLOOKUP($U$1,A:B,2,))*100)+100</f>
        <v/>
      </c>
      <c r="I31" s="29">
        <f>(((Table134567891011121314151617343[[#This Row],[FRA]]-VLOOKUP($U$1,A:C,3,))/VLOOKUP($U$1,A:C,3,))*100)+100</f>
        <v/>
      </c>
      <c r="J31" s="29">
        <f>(((Table134567891011121314151617343[[#This Row],[DEU]]-VLOOKUP($U$1,A:D,4,))/VLOOKUP($U$1,A:D,4,))*100)+100</f>
        <v/>
      </c>
      <c r="K31" s="29">
        <f>(((Table134567891011121314151617343[[#This Row],[ESP]]-VLOOKUP($U$1,A:E,5,))/VLOOKUP($U$1,A:E,5,))*100)+100</f>
        <v/>
      </c>
      <c r="L31" s="29">
        <f>(((Table134567891011121314151617343[[#This Row],[EA19]]-VLOOKUP($U$1,A:F,6,))/VLOOKUP($U$1,A:F,6,))*100)+100</f>
        <v/>
      </c>
      <c r="M31" s="29">
        <f>(((Table134567891011121314151617343[[#This Row],[GBR]]-VLOOKUP($U$1,A:G,7,))/VLOOKUP($U$1,A:G,7,))*100)+100</f>
        <v/>
      </c>
      <c r="N31" s="29">
        <f>VLOOKUP(A31,Database!$E:$AY,MATCH($N$1,Database!$E$1:$AY$1,0),FALSE)</f>
        <v/>
      </c>
      <c r="O31" s="29">
        <f>(((Table134567891011121314151617343[[#This Row],[USA]]-VLOOKUP($U$1,A:N,14,))/VLOOKUP($U$1,A:N,14,))*100)+100</f>
        <v/>
      </c>
      <c r="P31" s="29">
        <f>VLOOKUP(A31,Database!$E:$AY,MATCH($P$1,Database!$E$1:$AY$1,0),FALSE)</f>
        <v/>
      </c>
      <c r="Q31" s="29">
        <f>(((Table134567891011121314151617343[[#This Row],[JPN]]-VLOOKUP($U$1,A:Q,16,))/VLOOKUP($U$1,A:Q,16,))*100)+100</f>
        <v/>
      </c>
      <c r="W31" s="129" t="inlineStr">
        <is>
          <t>SVN</t>
        </is>
      </c>
    </row>
    <row r="32" customFormat="1" s="129">
      <c r="A32" s="28" t="n">
        <v>33786</v>
      </c>
      <c r="B32" s="29">
        <f>VLOOKUP(A32,Database!$E:$AY,MATCH($B$1,Database!$E$1:$AY$1,0),FALSE)</f>
        <v/>
      </c>
      <c r="C32" s="29">
        <f>VLOOKUP(A32,Database!$E:$AY,MATCH($C$1,Database!$E$1:$AY$1,0),FALSE)</f>
        <v/>
      </c>
      <c r="D32" s="29">
        <f>VLOOKUP(A32,Database!$E:$AY,MATCH($D$1,Database!$E$1:$AY$1,0),FALSE)</f>
        <v/>
      </c>
      <c r="E32" s="29">
        <f>VLOOKUP(A32,Database!$E:$AY,MATCH($E$1,Database!$E$1:$AY$1,0),FALSE)</f>
        <v/>
      </c>
      <c r="F32" s="29">
        <f>VLOOKUP(A32,Database!$E:$AY,MATCH($F$1,Database!$E$1:$AY$1,0),FALSE)</f>
        <v/>
      </c>
      <c r="G32" s="29">
        <f>VLOOKUP(A32,Database!$E:$AY,MATCH($G$1,Database!$E$1:$AY$1,0),FALSE)</f>
        <v/>
      </c>
      <c r="H32" s="29">
        <f>(((Table134567891011121314151617343[[#This Row],[ITA]]-VLOOKUP($U$1,A:B,2,))/VLOOKUP($U$1,A:B,2,))*100)+100</f>
        <v/>
      </c>
      <c r="I32" s="29">
        <f>(((Table134567891011121314151617343[[#This Row],[FRA]]-VLOOKUP($U$1,A:C,3,))/VLOOKUP($U$1,A:C,3,))*100)+100</f>
        <v/>
      </c>
      <c r="J32" s="29">
        <f>(((Table134567891011121314151617343[[#This Row],[DEU]]-VLOOKUP($U$1,A:D,4,))/VLOOKUP($U$1,A:D,4,))*100)+100</f>
        <v/>
      </c>
      <c r="K32" s="29">
        <f>(((Table134567891011121314151617343[[#This Row],[ESP]]-VLOOKUP($U$1,A:E,5,))/VLOOKUP($U$1,A:E,5,))*100)+100</f>
        <v/>
      </c>
      <c r="L32" s="29">
        <f>(((Table134567891011121314151617343[[#This Row],[EA19]]-VLOOKUP($U$1,A:F,6,))/VLOOKUP($U$1,A:F,6,))*100)+100</f>
        <v/>
      </c>
      <c r="M32" s="29">
        <f>(((Table134567891011121314151617343[[#This Row],[GBR]]-VLOOKUP($U$1,A:G,7,))/VLOOKUP($U$1,A:G,7,))*100)+100</f>
        <v/>
      </c>
      <c r="N32" s="29">
        <f>VLOOKUP(A32,Database!$E:$AY,MATCH($N$1,Database!$E$1:$AY$1,0),FALSE)</f>
        <v/>
      </c>
      <c r="O32" s="29">
        <f>(((Table134567891011121314151617343[[#This Row],[USA]]-VLOOKUP($U$1,A:N,14,))/VLOOKUP($U$1,A:N,14,))*100)+100</f>
        <v/>
      </c>
      <c r="P32" s="29">
        <f>VLOOKUP(A32,Database!$E:$AY,MATCH($P$1,Database!$E$1:$AY$1,0),FALSE)</f>
        <v/>
      </c>
      <c r="Q32" s="29">
        <f>(((Table134567891011121314151617343[[#This Row],[JPN]]-VLOOKUP($U$1,A:Q,16,))/VLOOKUP($U$1,A:Q,16,))*100)+100</f>
        <v/>
      </c>
      <c r="W32" s="129" t="inlineStr">
        <is>
          <t>SWE</t>
        </is>
      </c>
    </row>
    <row r="33" customFormat="1" s="129">
      <c r="A33" s="28" t="n">
        <v>33817</v>
      </c>
      <c r="B33" s="29">
        <f>VLOOKUP(A33,Database!$E:$AY,MATCH($B$1,Database!$E$1:$AY$1,0),FALSE)</f>
        <v/>
      </c>
      <c r="C33" s="29">
        <f>VLOOKUP(A33,Database!$E:$AY,MATCH($C$1,Database!$E$1:$AY$1,0),FALSE)</f>
        <v/>
      </c>
      <c r="D33" s="29">
        <f>VLOOKUP(A33,Database!$E:$AY,MATCH($D$1,Database!$E$1:$AY$1,0),FALSE)</f>
        <v/>
      </c>
      <c r="E33" s="29">
        <f>VLOOKUP(A33,Database!$E:$AY,MATCH($E$1,Database!$E$1:$AY$1,0),FALSE)</f>
        <v/>
      </c>
      <c r="F33" s="29">
        <f>VLOOKUP(A33,Database!$E:$AY,MATCH($F$1,Database!$E$1:$AY$1,0),FALSE)</f>
        <v/>
      </c>
      <c r="G33" s="29">
        <f>VLOOKUP(A33,Database!$E:$AY,MATCH($G$1,Database!$E$1:$AY$1,0),FALSE)</f>
        <v/>
      </c>
      <c r="H33" s="29">
        <f>(((Table134567891011121314151617343[[#This Row],[ITA]]-VLOOKUP($U$1,A:B,2,))/VLOOKUP($U$1,A:B,2,))*100)+100</f>
        <v/>
      </c>
      <c r="I33" s="29">
        <f>(((Table134567891011121314151617343[[#This Row],[FRA]]-VLOOKUP($U$1,A:C,3,))/VLOOKUP($U$1,A:C,3,))*100)+100</f>
        <v/>
      </c>
      <c r="J33" s="29">
        <f>(((Table134567891011121314151617343[[#This Row],[DEU]]-VLOOKUP($U$1,A:D,4,))/VLOOKUP($U$1,A:D,4,))*100)+100</f>
        <v/>
      </c>
      <c r="K33" s="29">
        <f>(((Table134567891011121314151617343[[#This Row],[ESP]]-VLOOKUP($U$1,A:E,5,))/VLOOKUP($U$1,A:E,5,))*100)+100</f>
        <v/>
      </c>
      <c r="L33" s="29">
        <f>(((Table134567891011121314151617343[[#This Row],[EA19]]-VLOOKUP($U$1,A:F,6,))/VLOOKUP($U$1,A:F,6,))*100)+100</f>
        <v/>
      </c>
      <c r="M33" s="29">
        <f>(((Table134567891011121314151617343[[#This Row],[GBR]]-VLOOKUP($U$1,A:G,7,))/VLOOKUP($U$1,A:G,7,))*100)+100</f>
        <v/>
      </c>
      <c r="N33" s="29">
        <f>VLOOKUP(A33,Database!$E:$AY,MATCH($N$1,Database!$E$1:$AY$1,0),FALSE)</f>
        <v/>
      </c>
      <c r="O33" s="29">
        <f>(((Table134567891011121314151617343[[#This Row],[USA]]-VLOOKUP($U$1,A:N,14,))/VLOOKUP($U$1,A:N,14,))*100)+100</f>
        <v/>
      </c>
      <c r="P33" s="29">
        <f>VLOOKUP(A33,Database!$E:$AY,MATCH($P$1,Database!$E$1:$AY$1,0),FALSE)</f>
        <v/>
      </c>
      <c r="Q33" s="29">
        <f>(((Table134567891011121314151617343[[#This Row],[JPN]]-VLOOKUP($U$1,A:Q,16,))/VLOOKUP($U$1,A:Q,16,))*100)+100</f>
        <v/>
      </c>
      <c r="W33" s="129" t="inlineStr">
        <is>
          <t>TUR</t>
        </is>
      </c>
    </row>
    <row r="34" customFormat="1" s="129">
      <c r="A34" s="28" t="n">
        <v>33848</v>
      </c>
      <c r="B34" s="29">
        <f>VLOOKUP(A34,Database!$E:$AY,MATCH($B$1,Database!$E$1:$AY$1,0),FALSE)</f>
        <v/>
      </c>
      <c r="C34" s="29">
        <f>VLOOKUP(A34,Database!$E:$AY,MATCH($C$1,Database!$E$1:$AY$1,0),FALSE)</f>
        <v/>
      </c>
      <c r="D34" s="29">
        <f>VLOOKUP(A34,Database!$E:$AY,MATCH($D$1,Database!$E$1:$AY$1,0),FALSE)</f>
        <v/>
      </c>
      <c r="E34" s="29">
        <f>VLOOKUP(A34,Database!$E:$AY,MATCH($E$1,Database!$E$1:$AY$1,0),FALSE)</f>
        <v/>
      </c>
      <c r="F34" s="29">
        <f>VLOOKUP(A34,Database!$E:$AY,MATCH($F$1,Database!$E$1:$AY$1,0),FALSE)</f>
        <v/>
      </c>
      <c r="G34" s="29">
        <f>VLOOKUP(A34,Database!$E:$AY,MATCH($G$1,Database!$E$1:$AY$1,0),FALSE)</f>
        <v/>
      </c>
      <c r="H34" s="29">
        <f>(((Table134567891011121314151617343[[#This Row],[ITA]]-VLOOKUP($U$1,A:B,2,))/VLOOKUP($U$1,A:B,2,))*100)+100</f>
        <v/>
      </c>
      <c r="I34" s="29">
        <f>(((Table134567891011121314151617343[[#This Row],[FRA]]-VLOOKUP($U$1,A:C,3,))/VLOOKUP($U$1,A:C,3,))*100)+100</f>
        <v/>
      </c>
      <c r="J34" s="29">
        <f>(((Table134567891011121314151617343[[#This Row],[DEU]]-VLOOKUP($U$1,A:D,4,))/VLOOKUP($U$1,A:D,4,))*100)+100</f>
        <v/>
      </c>
      <c r="K34" s="29">
        <f>(((Table134567891011121314151617343[[#This Row],[ESP]]-VLOOKUP($U$1,A:E,5,))/VLOOKUP($U$1,A:E,5,))*100)+100</f>
        <v/>
      </c>
      <c r="L34" s="29">
        <f>(((Table134567891011121314151617343[[#This Row],[EA19]]-VLOOKUP($U$1,A:F,6,))/VLOOKUP($U$1,A:F,6,))*100)+100</f>
        <v/>
      </c>
      <c r="M34" s="29">
        <f>(((Table134567891011121314151617343[[#This Row],[GBR]]-VLOOKUP($U$1,A:G,7,))/VLOOKUP($U$1,A:G,7,))*100)+100</f>
        <v/>
      </c>
      <c r="N34" s="29">
        <f>VLOOKUP(A34,Database!$E:$AY,MATCH($N$1,Database!$E$1:$AY$1,0),FALSE)</f>
        <v/>
      </c>
      <c r="O34" s="29">
        <f>(((Table134567891011121314151617343[[#This Row],[USA]]-VLOOKUP($U$1,A:N,14,))/VLOOKUP($U$1,A:N,14,))*100)+100</f>
        <v/>
      </c>
      <c r="P34" s="29">
        <f>VLOOKUP(A34,Database!$E:$AY,MATCH($P$1,Database!$E$1:$AY$1,0),FALSE)</f>
        <v/>
      </c>
      <c r="Q34" s="29">
        <f>(((Table134567891011121314151617343[[#This Row],[JPN]]-VLOOKUP($U$1,A:Q,16,))/VLOOKUP($U$1,A:Q,16,))*100)+100</f>
        <v/>
      </c>
      <c r="W34" s="129" t="inlineStr">
        <is>
          <t>USA</t>
        </is>
      </c>
    </row>
    <row r="35" customFormat="1" s="129">
      <c r="A35" s="28" t="n">
        <v>33878</v>
      </c>
      <c r="B35" s="29">
        <f>VLOOKUP(A35,Database!$E:$AY,MATCH($B$1,Database!$E$1:$AY$1,0),FALSE)</f>
        <v/>
      </c>
      <c r="C35" s="29">
        <f>VLOOKUP(A35,Database!$E:$AY,MATCH($C$1,Database!$E$1:$AY$1,0),FALSE)</f>
        <v/>
      </c>
      <c r="D35" s="29">
        <f>VLOOKUP(A35,Database!$E:$AY,MATCH($D$1,Database!$E$1:$AY$1,0),FALSE)</f>
        <v/>
      </c>
      <c r="E35" s="29">
        <f>VLOOKUP(A35,Database!$E:$AY,MATCH($E$1,Database!$E$1:$AY$1,0),FALSE)</f>
        <v/>
      </c>
      <c r="F35" s="29">
        <f>VLOOKUP(A35,Database!$E:$AY,MATCH($F$1,Database!$E$1:$AY$1,0),FALSE)</f>
        <v/>
      </c>
      <c r="G35" s="29">
        <f>VLOOKUP(A35,Database!$E:$AY,MATCH($G$1,Database!$E$1:$AY$1,0),FALSE)</f>
        <v/>
      </c>
      <c r="H35" s="29">
        <f>(((Table134567891011121314151617343[[#This Row],[ITA]]-VLOOKUP($U$1,A:B,2,))/VLOOKUP($U$1,A:B,2,))*100)+100</f>
        <v/>
      </c>
      <c r="I35" s="29">
        <f>(((Table134567891011121314151617343[[#This Row],[FRA]]-VLOOKUP($U$1,A:C,3,))/VLOOKUP($U$1,A:C,3,))*100)+100</f>
        <v/>
      </c>
      <c r="J35" s="29">
        <f>(((Table134567891011121314151617343[[#This Row],[DEU]]-VLOOKUP($U$1,A:D,4,))/VLOOKUP($U$1,A:D,4,))*100)+100</f>
        <v/>
      </c>
      <c r="K35" s="29">
        <f>(((Table134567891011121314151617343[[#This Row],[ESP]]-VLOOKUP($U$1,A:E,5,))/VLOOKUP($U$1,A:E,5,))*100)+100</f>
        <v/>
      </c>
      <c r="L35" s="29">
        <f>(((Table134567891011121314151617343[[#This Row],[EA19]]-VLOOKUP($U$1,A:F,6,))/VLOOKUP($U$1,A:F,6,))*100)+100</f>
        <v/>
      </c>
      <c r="M35" s="29">
        <f>(((Table134567891011121314151617343[[#This Row],[GBR]]-VLOOKUP($U$1,A:G,7,))/VLOOKUP($U$1,A:G,7,))*100)+100</f>
        <v/>
      </c>
      <c r="N35" s="29">
        <f>VLOOKUP(A35,Database!$E:$AY,MATCH($N$1,Database!$E$1:$AY$1,0),FALSE)</f>
        <v/>
      </c>
      <c r="O35" s="29">
        <f>(((Table134567891011121314151617343[[#This Row],[USA]]-VLOOKUP($U$1,A:N,14,))/VLOOKUP($U$1,A:N,14,))*100)+100</f>
        <v/>
      </c>
      <c r="P35" s="29">
        <f>VLOOKUP(A35,Database!$E:$AY,MATCH($P$1,Database!$E$1:$AY$1,0),FALSE)</f>
        <v/>
      </c>
      <c r="Q35" s="29">
        <f>(((Table134567891011121314151617343[[#This Row],[JPN]]-VLOOKUP($U$1,A:Q,16,))/VLOOKUP($U$1,A:Q,16,))*100)+100</f>
        <v/>
      </c>
      <c r="W35" s="129" t="inlineStr">
        <is>
          <t>EA19</t>
        </is>
      </c>
    </row>
    <row r="36" customFormat="1" s="129">
      <c r="A36" s="28" t="n">
        <v>33909</v>
      </c>
      <c r="B36" s="29">
        <f>VLOOKUP(A36,Database!$E:$AY,MATCH($B$1,Database!$E$1:$AY$1,0),FALSE)</f>
        <v/>
      </c>
      <c r="C36" s="29">
        <f>VLOOKUP(A36,Database!$E:$AY,MATCH($C$1,Database!$E$1:$AY$1,0),FALSE)</f>
        <v/>
      </c>
      <c r="D36" s="29">
        <f>VLOOKUP(A36,Database!$E:$AY,MATCH($D$1,Database!$E$1:$AY$1,0),FALSE)</f>
        <v/>
      </c>
      <c r="E36" s="29">
        <f>VLOOKUP(A36,Database!$E:$AY,MATCH($E$1,Database!$E$1:$AY$1,0),FALSE)</f>
        <v/>
      </c>
      <c r="F36" s="29">
        <f>VLOOKUP(A36,Database!$E:$AY,MATCH($F$1,Database!$E$1:$AY$1,0),FALSE)</f>
        <v/>
      </c>
      <c r="G36" s="29">
        <f>VLOOKUP(A36,Database!$E:$AY,MATCH($G$1,Database!$E$1:$AY$1,0),FALSE)</f>
        <v/>
      </c>
      <c r="H36" s="29">
        <f>(((Table134567891011121314151617343[[#This Row],[ITA]]-VLOOKUP($U$1,A:B,2,))/VLOOKUP($U$1,A:B,2,))*100)+100</f>
        <v/>
      </c>
      <c r="I36" s="29">
        <f>(((Table134567891011121314151617343[[#This Row],[FRA]]-VLOOKUP($U$1,A:C,3,))/VLOOKUP($U$1,A:C,3,))*100)+100</f>
        <v/>
      </c>
      <c r="J36" s="29">
        <f>(((Table134567891011121314151617343[[#This Row],[DEU]]-VLOOKUP($U$1,A:D,4,))/VLOOKUP($U$1,A:D,4,))*100)+100</f>
        <v/>
      </c>
      <c r="K36" s="29">
        <f>(((Table134567891011121314151617343[[#This Row],[ESP]]-VLOOKUP($U$1,A:E,5,))/VLOOKUP($U$1,A:E,5,))*100)+100</f>
        <v/>
      </c>
      <c r="L36" s="29">
        <f>(((Table134567891011121314151617343[[#This Row],[EA19]]-VLOOKUP($U$1,A:F,6,))/VLOOKUP($U$1,A:F,6,))*100)+100</f>
        <v/>
      </c>
      <c r="M36" s="29">
        <f>(((Table134567891011121314151617343[[#This Row],[GBR]]-VLOOKUP($U$1,A:G,7,))/VLOOKUP($U$1,A:G,7,))*100)+100</f>
        <v/>
      </c>
      <c r="N36" s="29">
        <f>VLOOKUP(A36,Database!$E:$AY,MATCH($N$1,Database!$E$1:$AY$1,0),FALSE)</f>
        <v/>
      </c>
      <c r="O36" s="29">
        <f>(((Table134567891011121314151617343[[#This Row],[USA]]-VLOOKUP($U$1,A:N,14,))/VLOOKUP($U$1,A:N,14,))*100)+100</f>
        <v/>
      </c>
      <c r="P36" s="29">
        <f>VLOOKUP(A36,Database!$E:$AY,MATCH($P$1,Database!$E$1:$AY$1,0),FALSE)</f>
        <v/>
      </c>
      <c r="Q36" s="29">
        <f>(((Table134567891011121314151617343[[#This Row],[JPN]]-VLOOKUP($U$1,A:Q,16,))/VLOOKUP($U$1,A:Q,16,))*100)+100</f>
        <v/>
      </c>
      <c r="W36" s="129" t="inlineStr">
        <is>
          <t>EU28</t>
        </is>
      </c>
    </row>
    <row r="37" customFormat="1" s="129">
      <c r="A37" s="28" t="n">
        <v>33939</v>
      </c>
      <c r="B37" s="29">
        <f>VLOOKUP(A37,Database!$E:$AY,MATCH($B$1,Database!$E$1:$AY$1,0),FALSE)</f>
        <v/>
      </c>
      <c r="C37" s="29">
        <f>VLOOKUP(A37,Database!$E:$AY,MATCH($C$1,Database!$E$1:$AY$1,0),FALSE)</f>
        <v/>
      </c>
      <c r="D37" s="29">
        <f>VLOOKUP(A37,Database!$E:$AY,MATCH($D$1,Database!$E$1:$AY$1,0),FALSE)</f>
        <v/>
      </c>
      <c r="E37" s="29">
        <f>VLOOKUP(A37,Database!$E:$AY,MATCH($E$1,Database!$E$1:$AY$1,0),FALSE)</f>
        <v/>
      </c>
      <c r="F37" s="29">
        <f>VLOOKUP(A37,Database!$E:$AY,MATCH($F$1,Database!$E$1:$AY$1,0),FALSE)</f>
        <v/>
      </c>
      <c r="G37" s="29">
        <f>VLOOKUP(A37,Database!$E:$AY,MATCH($G$1,Database!$E$1:$AY$1,0),FALSE)</f>
        <v/>
      </c>
      <c r="H37" s="29">
        <f>(((Table134567891011121314151617343[[#This Row],[ITA]]-VLOOKUP($U$1,A:B,2,))/VLOOKUP($U$1,A:B,2,))*100)+100</f>
        <v/>
      </c>
      <c r="I37" s="29">
        <f>(((Table134567891011121314151617343[[#This Row],[FRA]]-VLOOKUP($U$1,A:C,3,))/VLOOKUP($U$1,A:C,3,))*100)+100</f>
        <v/>
      </c>
      <c r="J37" s="29">
        <f>(((Table134567891011121314151617343[[#This Row],[DEU]]-VLOOKUP($U$1,A:D,4,))/VLOOKUP($U$1,A:D,4,))*100)+100</f>
        <v/>
      </c>
      <c r="K37" s="29">
        <f>(((Table134567891011121314151617343[[#This Row],[ESP]]-VLOOKUP($U$1,A:E,5,))/VLOOKUP($U$1,A:E,5,))*100)+100</f>
        <v/>
      </c>
      <c r="L37" s="29">
        <f>(((Table134567891011121314151617343[[#This Row],[EA19]]-VLOOKUP($U$1,A:F,6,))/VLOOKUP($U$1,A:F,6,))*100)+100</f>
        <v/>
      </c>
      <c r="M37" s="29">
        <f>(((Table134567891011121314151617343[[#This Row],[GBR]]-VLOOKUP($U$1,A:G,7,))/VLOOKUP($U$1,A:G,7,))*100)+100</f>
        <v/>
      </c>
      <c r="N37" s="29">
        <f>VLOOKUP(A37,Database!$E:$AY,MATCH($N$1,Database!$E$1:$AY$1,0),FALSE)</f>
        <v/>
      </c>
      <c r="O37" s="29">
        <f>(((Table134567891011121314151617343[[#This Row],[USA]]-VLOOKUP($U$1,A:N,14,))/VLOOKUP($U$1,A:N,14,))*100)+100</f>
        <v/>
      </c>
      <c r="P37" s="29">
        <f>VLOOKUP(A37,Database!$E:$AY,MATCH($P$1,Database!$E$1:$AY$1,0),FALSE)</f>
        <v/>
      </c>
      <c r="Q37" s="29">
        <f>(((Table134567891011121314151617343[[#This Row],[JPN]]-VLOOKUP($U$1,A:Q,16,))/VLOOKUP($U$1,A:Q,16,))*100)+100</f>
        <v/>
      </c>
      <c r="W37" s="129" t="inlineStr">
        <is>
          <t>G7</t>
        </is>
      </c>
    </row>
    <row r="38" customFormat="1" s="129">
      <c r="A38" s="28" t="n">
        <v>33970</v>
      </c>
      <c r="B38" s="29">
        <f>VLOOKUP(A38,Database!$E:$AY,MATCH($B$1,Database!$E$1:$AY$1,0),FALSE)</f>
        <v/>
      </c>
      <c r="C38" s="29">
        <f>VLOOKUP(A38,Database!$E:$AY,MATCH($C$1,Database!$E$1:$AY$1,0),FALSE)</f>
        <v/>
      </c>
      <c r="D38" s="29">
        <f>VLOOKUP(A38,Database!$E:$AY,MATCH($D$1,Database!$E$1:$AY$1,0),FALSE)</f>
        <v/>
      </c>
      <c r="E38" s="29">
        <f>VLOOKUP(A38,Database!$E:$AY,MATCH($E$1,Database!$E$1:$AY$1,0),FALSE)</f>
        <v/>
      </c>
      <c r="F38" s="29">
        <f>VLOOKUP(A38,Database!$E:$AY,MATCH($F$1,Database!$E$1:$AY$1,0),FALSE)</f>
        <v/>
      </c>
      <c r="G38" s="29">
        <f>VLOOKUP(A38,Database!$E:$AY,MATCH($G$1,Database!$E$1:$AY$1,0),FALSE)</f>
        <v/>
      </c>
      <c r="H38" s="29">
        <f>(((Table134567891011121314151617343[[#This Row],[ITA]]-VLOOKUP($U$1,A:B,2,))/VLOOKUP($U$1,A:B,2,))*100)+100</f>
        <v/>
      </c>
      <c r="I38" s="29">
        <f>(((Table134567891011121314151617343[[#This Row],[FRA]]-VLOOKUP($U$1,A:C,3,))/VLOOKUP($U$1,A:C,3,))*100)+100</f>
        <v/>
      </c>
      <c r="J38" s="29">
        <f>(((Table134567891011121314151617343[[#This Row],[DEU]]-VLOOKUP($U$1,A:D,4,))/VLOOKUP($U$1,A:D,4,))*100)+100</f>
        <v/>
      </c>
      <c r="K38" s="29">
        <f>(((Table134567891011121314151617343[[#This Row],[ESP]]-VLOOKUP($U$1,A:E,5,))/VLOOKUP($U$1,A:E,5,))*100)+100</f>
        <v/>
      </c>
      <c r="L38" s="29">
        <f>(((Table134567891011121314151617343[[#This Row],[EA19]]-VLOOKUP($U$1,A:F,6,))/VLOOKUP($U$1,A:F,6,))*100)+100</f>
        <v/>
      </c>
      <c r="M38" s="29">
        <f>(((Table134567891011121314151617343[[#This Row],[GBR]]-VLOOKUP($U$1,A:G,7,))/VLOOKUP($U$1,A:G,7,))*100)+100</f>
        <v/>
      </c>
      <c r="N38" s="29">
        <f>VLOOKUP(A38,Database!$E:$AY,MATCH($N$1,Database!$E$1:$AY$1,0),FALSE)</f>
        <v/>
      </c>
      <c r="O38" s="29">
        <f>(((Table134567891011121314151617343[[#This Row],[USA]]-VLOOKUP($U$1,A:N,14,))/VLOOKUP($U$1,A:N,14,))*100)+100</f>
        <v/>
      </c>
      <c r="P38" s="29">
        <f>VLOOKUP(A38,Database!$E:$AY,MATCH($P$1,Database!$E$1:$AY$1,0),FALSE)</f>
        <v/>
      </c>
      <c r="Q38" s="29">
        <f>(((Table134567891011121314151617343[[#This Row],[JPN]]-VLOOKUP($U$1,A:Q,16,))/VLOOKUP($U$1,A:Q,16,))*100)+100</f>
        <v/>
      </c>
      <c r="W38" s="129" t="inlineStr">
        <is>
          <t>CHE</t>
        </is>
      </c>
    </row>
    <row r="39" customFormat="1" s="129">
      <c r="A39" s="28" t="n">
        <v>34001</v>
      </c>
      <c r="B39" s="29">
        <f>VLOOKUP(A39,Database!$E:$AY,MATCH($B$1,Database!$E$1:$AY$1,0),FALSE)</f>
        <v/>
      </c>
      <c r="C39" s="29">
        <f>VLOOKUP(A39,Database!$E:$AY,MATCH($C$1,Database!$E$1:$AY$1,0),FALSE)</f>
        <v/>
      </c>
      <c r="D39" s="29">
        <f>VLOOKUP(A39,Database!$E:$AY,MATCH($D$1,Database!$E$1:$AY$1,0),FALSE)</f>
        <v/>
      </c>
      <c r="E39" s="29">
        <f>VLOOKUP(A39,Database!$E:$AY,MATCH($E$1,Database!$E$1:$AY$1,0),FALSE)</f>
        <v/>
      </c>
      <c r="F39" s="29">
        <f>VLOOKUP(A39,Database!$E:$AY,MATCH($F$1,Database!$E$1:$AY$1,0),FALSE)</f>
        <v/>
      </c>
      <c r="G39" s="29">
        <f>VLOOKUP(A39,Database!$E:$AY,MATCH($G$1,Database!$E$1:$AY$1,0),FALSE)</f>
        <v/>
      </c>
      <c r="H39" s="29">
        <f>(((Table134567891011121314151617343[[#This Row],[ITA]]-VLOOKUP($U$1,A:B,2,))/VLOOKUP($U$1,A:B,2,))*100)+100</f>
        <v/>
      </c>
      <c r="I39" s="29">
        <f>(((Table134567891011121314151617343[[#This Row],[FRA]]-VLOOKUP($U$1,A:C,3,))/VLOOKUP($U$1,A:C,3,))*100)+100</f>
        <v/>
      </c>
      <c r="J39" s="29">
        <f>(((Table134567891011121314151617343[[#This Row],[DEU]]-VLOOKUP($U$1,A:D,4,))/VLOOKUP($U$1,A:D,4,))*100)+100</f>
        <v/>
      </c>
      <c r="K39" s="29">
        <f>(((Table134567891011121314151617343[[#This Row],[ESP]]-VLOOKUP($U$1,A:E,5,))/VLOOKUP($U$1,A:E,5,))*100)+100</f>
        <v/>
      </c>
      <c r="L39" s="29">
        <f>(((Table134567891011121314151617343[[#This Row],[EA19]]-VLOOKUP($U$1,A:F,6,))/VLOOKUP($U$1,A:F,6,))*100)+100</f>
        <v/>
      </c>
      <c r="M39" s="29">
        <f>(((Table134567891011121314151617343[[#This Row],[GBR]]-VLOOKUP($U$1,A:G,7,))/VLOOKUP($U$1,A:G,7,))*100)+100</f>
        <v/>
      </c>
      <c r="N39" s="29">
        <f>VLOOKUP(A39,Database!$E:$AY,MATCH($N$1,Database!$E$1:$AY$1,0),FALSE)</f>
        <v/>
      </c>
      <c r="O39" s="29">
        <f>(((Table134567891011121314151617343[[#This Row],[USA]]-VLOOKUP($U$1,A:N,14,))/VLOOKUP($U$1,A:N,14,))*100)+100</f>
        <v/>
      </c>
      <c r="P39" s="29">
        <f>VLOOKUP(A39,Database!$E:$AY,MATCH($P$1,Database!$E$1:$AY$1,0),FALSE)</f>
        <v/>
      </c>
      <c r="Q39" s="29">
        <f>(((Table134567891011121314151617343[[#This Row],[JPN]]-VLOOKUP($U$1,A:Q,16,))/VLOOKUP($U$1,A:Q,16,))*100)+100</f>
        <v/>
      </c>
      <c r="W39" s="129" t="inlineStr">
        <is>
          <t>IND</t>
        </is>
      </c>
    </row>
    <row r="40" customFormat="1" s="129">
      <c r="A40" s="28" t="n">
        <v>34029</v>
      </c>
      <c r="B40" s="29">
        <f>VLOOKUP(A40,Database!$E:$AY,MATCH($B$1,Database!$E$1:$AY$1,0),FALSE)</f>
        <v/>
      </c>
      <c r="C40" s="29">
        <f>VLOOKUP(A40,Database!$E:$AY,MATCH($C$1,Database!$E$1:$AY$1,0),FALSE)</f>
        <v/>
      </c>
      <c r="D40" s="29">
        <f>VLOOKUP(A40,Database!$E:$AY,MATCH($D$1,Database!$E$1:$AY$1,0),FALSE)</f>
        <v/>
      </c>
      <c r="E40" s="29">
        <f>VLOOKUP(A40,Database!$E:$AY,MATCH($E$1,Database!$E$1:$AY$1,0),FALSE)</f>
        <v/>
      </c>
      <c r="F40" s="29">
        <f>VLOOKUP(A40,Database!$E:$AY,MATCH($F$1,Database!$E$1:$AY$1,0),FALSE)</f>
        <v/>
      </c>
      <c r="G40" s="29">
        <f>VLOOKUP(A40,Database!$E:$AY,MATCH($G$1,Database!$E$1:$AY$1,0),FALSE)</f>
        <v/>
      </c>
      <c r="H40" s="29">
        <f>(((Table134567891011121314151617343[[#This Row],[ITA]]-VLOOKUP($U$1,A:B,2,))/VLOOKUP($U$1,A:B,2,))*100)+100</f>
        <v/>
      </c>
      <c r="I40" s="29">
        <f>(((Table134567891011121314151617343[[#This Row],[FRA]]-VLOOKUP($U$1,A:C,3,))/VLOOKUP($U$1,A:C,3,))*100)+100</f>
        <v/>
      </c>
      <c r="J40" s="29">
        <f>(((Table134567891011121314151617343[[#This Row],[DEU]]-VLOOKUP($U$1,A:D,4,))/VLOOKUP($U$1,A:D,4,))*100)+100</f>
        <v/>
      </c>
      <c r="K40" s="29">
        <f>(((Table134567891011121314151617343[[#This Row],[ESP]]-VLOOKUP($U$1,A:E,5,))/VLOOKUP($U$1,A:E,5,))*100)+100</f>
        <v/>
      </c>
      <c r="L40" s="29">
        <f>(((Table134567891011121314151617343[[#This Row],[EA19]]-VLOOKUP($U$1,A:F,6,))/VLOOKUP($U$1,A:F,6,))*100)+100</f>
        <v/>
      </c>
      <c r="M40" s="29">
        <f>(((Table134567891011121314151617343[[#This Row],[GBR]]-VLOOKUP($U$1,A:G,7,))/VLOOKUP($U$1,A:G,7,))*100)+100</f>
        <v/>
      </c>
      <c r="N40" s="29">
        <f>VLOOKUP(A40,Database!$E:$AY,MATCH($N$1,Database!$E$1:$AY$1,0),FALSE)</f>
        <v/>
      </c>
      <c r="O40" s="29">
        <f>(((Table134567891011121314151617343[[#This Row],[USA]]-VLOOKUP($U$1,A:N,14,))/VLOOKUP($U$1,A:N,14,))*100)+100</f>
        <v/>
      </c>
      <c r="P40" s="29">
        <f>VLOOKUP(A40,Database!$E:$AY,MATCH($P$1,Database!$E$1:$AY$1,0),FALSE)</f>
        <v/>
      </c>
      <c r="Q40" s="29">
        <f>(((Table134567891011121314151617343[[#This Row],[JPN]]-VLOOKUP($U$1,A:Q,16,))/VLOOKUP($U$1,A:Q,16,))*100)+100</f>
        <v/>
      </c>
      <c r="W40" s="129" t="inlineStr">
        <is>
          <t>ZAF</t>
        </is>
      </c>
    </row>
    <row r="41" customFormat="1" s="129">
      <c r="A41" s="28" t="n">
        <v>34060</v>
      </c>
      <c r="B41" s="29">
        <f>VLOOKUP(A41,Database!$E:$AY,MATCH($B$1,Database!$E$1:$AY$1,0),FALSE)</f>
        <v/>
      </c>
      <c r="C41" s="29">
        <f>VLOOKUP(A41,Database!$E:$AY,MATCH($C$1,Database!$E$1:$AY$1,0),FALSE)</f>
        <v/>
      </c>
      <c r="D41" s="29">
        <f>VLOOKUP(A41,Database!$E:$AY,MATCH($D$1,Database!$E$1:$AY$1,0),FALSE)</f>
        <v/>
      </c>
      <c r="E41" s="29">
        <f>VLOOKUP(A41,Database!$E:$AY,MATCH($E$1,Database!$E$1:$AY$1,0),FALSE)</f>
        <v/>
      </c>
      <c r="F41" s="29">
        <f>VLOOKUP(A41,Database!$E:$AY,MATCH($F$1,Database!$E$1:$AY$1,0),FALSE)</f>
        <v/>
      </c>
      <c r="G41" s="29">
        <f>VLOOKUP(A41,Database!$E:$AY,MATCH($G$1,Database!$E$1:$AY$1,0),FALSE)</f>
        <v/>
      </c>
      <c r="H41" s="29">
        <f>(((Table134567891011121314151617343[[#This Row],[ITA]]-VLOOKUP($U$1,A:B,2,))/VLOOKUP($U$1,A:B,2,))*100)+100</f>
        <v/>
      </c>
      <c r="I41" s="29">
        <f>(((Table134567891011121314151617343[[#This Row],[FRA]]-VLOOKUP($U$1,A:C,3,))/VLOOKUP($U$1,A:C,3,))*100)+100</f>
        <v/>
      </c>
      <c r="J41" s="29">
        <f>(((Table134567891011121314151617343[[#This Row],[DEU]]-VLOOKUP($U$1,A:D,4,))/VLOOKUP($U$1,A:D,4,))*100)+100</f>
        <v/>
      </c>
      <c r="K41" s="29">
        <f>(((Table134567891011121314151617343[[#This Row],[ESP]]-VLOOKUP($U$1,A:E,5,))/VLOOKUP($U$1,A:E,5,))*100)+100</f>
        <v/>
      </c>
      <c r="L41" s="29">
        <f>(((Table134567891011121314151617343[[#This Row],[EA19]]-VLOOKUP($U$1,A:F,6,))/VLOOKUP($U$1,A:F,6,))*100)+100</f>
        <v/>
      </c>
      <c r="M41" s="29">
        <f>(((Table134567891011121314151617343[[#This Row],[GBR]]-VLOOKUP($U$1,A:G,7,))/VLOOKUP($U$1,A:G,7,))*100)+100</f>
        <v/>
      </c>
      <c r="N41" s="29">
        <f>VLOOKUP(A41,Database!$E:$AY,MATCH($N$1,Database!$E$1:$AY$1,0),FALSE)</f>
        <v/>
      </c>
      <c r="O41" s="29">
        <f>(((Table134567891011121314151617343[[#This Row],[USA]]-VLOOKUP($U$1,A:N,14,))/VLOOKUP($U$1,A:N,14,))*100)+100</f>
        <v/>
      </c>
      <c r="P41" s="29">
        <f>VLOOKUP(A41,Database!$E:$AY,MATCH($P$1,Database!$E$1:$AY$1,0),FALSE)</f>
        <v/>
      </c>
      <c r="Q41" s="29">
        <f>(((Table134567891011121314151617343[[#This Row],[JPN]]-VLOOKUP($U$1,A:Q,16,))/VLOOKUP($U$1,A:Q,16,))*100)+100</f>
        <v/>
      </c>
      <c r="W41" s="129" t="inlineStr">
        <is>
          <t>RUS</t>
        </is>
      </c>
    </row>
    <row r="42" customFormat="1" s="129">
      <c r="A42" s="28" t="n">
        <v>34090</v>
      </c>
      <c r="B42" s="29">
        <f>VLOOKUP(A42,Database!$E:$AY,MATCH($B$1,Database!$E$1:$AY$1,0),FALSE)</f>
        <v/>
      </c>
      <c r="C42" s="29">
        <f>VLOOKUP(A42,Database!$E:$AY,MATCH($C$1,Database!$E$1:$AY$1,0),FALSE)</f>
        <v/>
      </c>
      <c r="D42" s="29">
        <f>VLOOKUP(A42,Database!$E:$AY,MATCH($D$1,Database!$E$1:$AY$1,0),FALSE)</f>
        <v/>
      </c>
      <c r="E42" s="29">
        <f>VLOOKUP(A42,Database!$E:$AY,MATCH($E$1,Database!$E$1:$AY$1,0),FALSE)</f>
        <v/>
      </c>
      <c r="F42" s="29">
        <f>VLOOKUP(A42,Database!$E:$AY,MATCH($F$1,Database!$E$1:$AY$1,0),FALSE)</f>
        <v/>
      </c>
      <c r="G42" s="29">
        <f>VLOOKUP(A42,Database!$E:$AY,MATCH($G$1,Database!$E$1:$AY$1,0),FALSE)</f>
        <v/>
      </c>
      <c r="H42" s="29">
        <f>(((Table134567891011121314151617343[[#This Row],[ITA]]-VLOOKUP($U$1,A:B,2,))/VLOOKUP($U$1,A:B,2,))*100)+100</f>
        <v/>
      </c>
      <c r="I42" s="29">
        <f>(((Table134567891011121314151617343[[#This Row],[FRA]]-VLOOKUP($U$1,A:C,3,))/VLOOKUP($U$1,A:C,3,))*100)+100</f>
        <v/>
      </c>
      <c r="J42" s="29">
        <f>(((Table134567891011121314151617343[[#This Row],[DEU]]-VLOOKUP($U$1,A:D,4,))/VLOOKUP($U$1,A:D,4,))*100)+100</f>
        <v/>
      </c>
      <c r="K42" s="29">
        <f>(((Table134567891011121314151617343[[#This Row],[ESP]]-VLOOKUP($U$1,A:E,5,))/VLOOKUP($U$1,A:E,5,))*100)+100</f>
        <v/>
      </c>
      <c r="L42" s="29">
        <f>(((Table134567891011121314151617343[[#This Row],[EA19]]-VLOOKUP($U$1,A:F,6,))/VLOOKUP($U$1,A:F,6,))*100)+100</f>
        <v/>
      </c>
      <c r="M42" s="29">
        <f>(((Table134567891011121314151617343[[#This Row],[GBR]]-VLOOKUP($U$1,A:G,7,))/VLOOKUP($U$1,A:G,7,))*100)+100</f>
        <v/>
      </c>
      <c r="N42" s="29">
        <f>VLOOKUP(A42,Database!$E:$AY,MATCH($N$1,Database!$E$1:$AY$1,0),FALSE)</f>
        <v/>
      </c>
      <c r="O42" s="29">
        <f>(((Table134567891011121314151617343[[#This Row],[USA]]-VLOOKUP($U$1,A:N,14,))/VLOOKUP($U$1,A:N,14,))*100)+100</f>
        <v/>
      </c>
      <c r="P42" s="29">
        <f>VLOOKUP(A42,Database!$E:$AY,MATCH($P$1,Database!$E$1:$AY$1,0),FALSE)</f>
        <v/>
      </c>
      <c r="Q42" s="29">
        <f>(((Table134567891011121314151617343[[#This Row],[JPN]]-VLOOKUP($U$1,A:Q,16,))/VLOOKUP($U$1,A:Q,16,))*100)+100</f>
        <v/>
      </c>
    </row>
    <row r="43" customFormat="1" s="129">
      <c r="A43" s="28" t="n">
        <v>34121</v>
      </c>
      <c r="B43" s="29">
        <f>VLOOKUP(A43,Database!$E:$AY,MATCH($B$1,Database!$E$1:$AY$1,0),FALSE)</f>
        <v/>
      </c>
      <c r="C43" s="29">
        <f>VLOOKUP(A43,Database!$E:$AY,MATCH($C$1,Database!$E$1:$AY$1,0),FALSE)</f>
        <v/>
      </c>
      <c r="D43" s="29">
        <f>VLOOKUP(A43,Database!$E:$AY,MATCH($D$1,Database!$E$1:$AY$1,0),FALSE)</f>
        <v/>
      </c>
      <c r="E43" s="29">
        <f>VLOOKUP(A43,Database!$E:$AY,MATCH($E$1,Database!$E$1:$AY$1,0),FALSE)</f>
        <v/>
      </c>
      <c r="F43" s="29">
        <f>VLOOKUP(A43,Database!$E:$AY,MATCH($F$1,Database!$E$1:$AY$1,0),FALSE)</f>
        <v/>
      </c>
      <c r="G43" s="29">
        <f>VLOOKUP(A43,Database!$E:$AY,MATCH($G$1,Database!$E$1:$AY$1,0),FALSE)</f>
        <v/>
      </c>
      <c r="H43" s="29">
        <f>(((Table134567891011121314151617343[[#This Row],[ITA]]-VLOOKUP($U$1,A:B,2,))/VLOOKUP($U$1,A:B,2,))*100)+100</f>
        <v/>
      </c>
      <c r="I43" s="29">
        <f>(((Table134567891011121314151617343[[#This Row],[FRA]]-VLOOKUP($U$1,A:C,3,))/VLOOKUP($U$1,A:C,3,))*100)+100</f>
        <v/>
      </c>
      <c r="J43" s="29">
        <f>(((Table134567891011121314151617343[[#This Row],[DEU]]-VLOOKUP($U$1,A:D,4,))/VLOOKUP($U$1,A:D,4,))*100)+100</f>
        <v/>
      </c>
      <c r="K43" s="29">
        <f>(((Table134567891011121314151617343[[#This Row],[ESP]]-VLOOKUP($U$1,A:E,5,))/VLOOKUP($U$1,A:E,5,))*100)+100</f>
        <v/>
      </c>
      <c r="L43" s="29">
        <f>(((Table134567891011121314151617343[[#This Row],[EA19]]-VLOOKUP($U$1,A:F,6,))/VLOOKUP($U$1,A:F,6,))*100)+100</f>
        <v/>
      </c>
      <c r="M43" s="29">
        <f>(((Table134567891011121314151617343[[#This Row],[GBR]]-VLOOKUP($U$1,A:G,7,))/VLOOKUP($U$1,A:G,7,))*100)+100</f>
        <v/>
      </c>
      <c r="N43" s="29">
        <f>VLOOKUP(A43,Database!$E:$AY,MATCH($N$1,Database!$E$1:$AY$1,0),FALSE)</f>
        <v/>
      </c>
      <c r="O43" s="29">
        <f>(((Table134567891011121314151617343[[#This Row],[USA]]-VLOOKUP($U$1,A:N,14,))/VLOOKUP($U$1,A:N,14,))*100)+100</f>
        <v/>
      </c>
      <c r="P43" s="29">
        <f>VLOOKUP(A43,Database!$E:$AY,MATCH($P$1,Database!$E$1:$AY$1,0),FALSE)</f>
        <v/>
      </c>
      <c r="Q43" s="29">
        <f>(((Table134567891011121314151617343[[#This Row],[JPN]]-VLOOKUP($U$1,A:Q,16,))/VLOOKUP($U$1,A:Q,16,))*100)+100</f>
        <v/>
      </c>
    </row>
    <row r="44" customFormat="1" s="129">
      <c r="A44" s="28" t="n">
        <v>34151</v>
      </c>
      <c r="B44" s="29">
        <f>VLOOKUP(A44,Database!$E:$AY,MATCH($B$1,Database!$E$1:$AY$1,0),FALSE)</f>
        <v/>
      </c>
      <c r="C44" s="29">
        <f>VLOOKUP(A44,Database!$E:$AY,MATCH($C$1,Database!$E$1:$AY$1,0),FALSE)</f>
        <v/>
      </c>
      <c r="D44" s="29">
        <f>VLOOKUP(A44,Database!$E:$AY,MATCH($D$1,Database!$E$1:$AY$1,0),FALSE)</f>
        <v/>
      </c>
      <c r="E44" s="29">
        <f>VLOOKUP(A44,Database!$E:$AY,MATCH($E$1,Database!$E$1:$AY$1,0),FALSE)</f>
        <v/>
      </c>
      <c r="F44" s="29">
        <f>VLOOKUP(A44,Database!$E:$AY,MATCH($F$1,Database!$E$1:$AY$1,0),FALSE)</f>
        <v/>
      </c>
      <c r="G44" s="29">
        <f>VLOOKUP(A44,Database!$E:$AY,MATCH($G$1,Database!$E$1:$AY$1,0),FALSE)</f>
        <v/>
      </c>
      <c r="H44" s="29">
        <f>(((Table134567891011121314151617343[[#This Row],[ITA]]-VLOOKUP($U$1,A:B,2,))/VLOOKUP($U$1,A:B,2,))*100)+100</f>
        <v/>
      </c>
      <c r="I44" s="29">
        <f>(((Table134567891011121314151617343[[#This Row],[FRA]]-VLOOKUP($U$1,A:C,3,))/VLOOKUP($U$1,A:C,3,))*100)+100</f>
        <v/>
      </c>
      <c r="J44" s="29">
        <f>(((Table134567891011121314151617343[[#This Row],[DEU]]-VLOOKUP($U$1,A:D,4,))/VLOOKUP($U$1,A:D,4,))*100)+100</f>
        <v/>
      </c>
      <c r="K44" s="29">
        <f>(((Table134567891011121314151617343[[#This Row],[ESP]]-VLOOKUP($U$1,A:E,5,))/VLOOKUP($U$1,A:E,5,))*100)+100</f>
        <v/>
      </c>
      <c r="L44" s="29">
        <f>(((Table134567891011121314151617343[[#This Row],[EA19]]-VLOOKUP($U$1,A:F,6,))/VLOOKUP($U$1,A:F,6,))*100)+100</f>
        <v/>
      </c>
      <c r="M44" s="29">
        <f>(((Table134567891011121314151617343[[#This Row],[GBR]]-VLOOKUP($U$1,A:G,7,))/VLOOKUP($U$1,A:G,7,))*100)+100</f>
        <v/>
      </c>
      <c r="N44" s="29">
        <f>VLOOKUP(A44,Database!$E:$AY,MATCH($N$1,Database!$E$1:$AY$1,0),FALSE)</f>
        <v/>
      </c>
      <c r="O44" s="29">
        <f>(((Table134567891011121314151617343[[#This Row],[USA]]-VLOOKUP($U$1,A:N,14,))/VLOOKUP($U$1,A:N,14,))*100)+100</f>
        <v/>
      </c>
      <c r="P44" s="29">
        <f>VLOOKUP(A44,Database!$E:$AY,MATCH($P$1,Database!$E$1:$AY$1,0),FALSE)</f>
        <v/>
      </c>
      <c r="Q44" s="29">
        <f>(((Table134567891011121314151617343[[#This Row],[JPN]]-VLOOKUP($U$1,A:Q,16,))/VLOOKUP($U$1,A:Q,16,))*100)+100</f>
        <v/>
      </c>
    </row>
    <row r="45" customFormat="1" s="129">
      <c r="A45" s="28" t="n">
        <v>34182</v>
      </c>
      <c r="B45" s="29">
        <f>VLOOKUP(A45,Database!$E:$AY,MATCH($B$1,Database!$E$1:$AY$1,0),FALSE)</f>
        <v/>
      </c>
      <c r="C45" s="29">
        <f>VLOOKUP(A45,Database!$E:$AY,MATCH($C$1,Database!$E$1:$AY$1,0),FALSE)</f>
        <v/>
      </c>
      <c r="D45" s="29">
        <f>VLOOKUP(A45,Database!$E:$AY,MATCH($D$1,Database!$E$1:$AY$1,0),FALSE)</f>
        <v/>
      </c>
      <c r="E45" s="29">
        <f>VLOOKUP(A45,Database!$E:$AY,MATCH($E$1,Database!$E$1:$AY$1,0),FALSE)</f>
        <v/>
      </c>
      <c r="F45" s="29">
        <f>VLOOKUP(A45,Database!$E:$AY,MATCH($F$1,Database!$E$1:$AY$1,0),FALSE)</f>
        <v/>
      </c>
      <c r="G45" s="29">
        <f>VLOOKUP(A45,Database!$E:$AY,MATCH($G$1,Database!$E$1:$AY$1,0),FALSE)</f>
        <v/>
      </c>
      <c r="H45" s="29">
        <f>(((Table134567891011121314151617343[[#This Row],[ITA]]-VLOOKUP($U$1,A:B,2,))/VLOOKUP($U$1,A:B,2,))*100)+100</f>
        <v/>
      </c>
      <c r="I45" s="29">
        <f>(((Table134567891011121314151617343[[#This Row],[FRA]]-VLOOKUP($U$1,A:C,3,))/VLOOKUP($U$1,A:C,3,))*100)+100</f>
        <v/>
      </c>
      <c r="J45" s="29">
        <f>(((Table134567891011121314151617343[[#This Row],[DEU]]-VLOOKUP($U$1,A:D,4,))/VLOOKUP($U$1,A:D,4,))*100)+100</f>
        <v/>
      </c>
      <c r="K45" s="29">
        <f>(((Table134567891011121314151617343[[#This Row],[ESP]]-VLOOKUP($U$1,A:E,5,))/VLOOKUP($U$1,A:E,5,))*100)+100</f>
        <v/>
      </c>
      <c r="L45" s="29">
        <f>(((Table134567891011121314151617343[[#This Row],[EA19]]-VLOOKUP($U$1,A:F,6,))/VLOOKUP($U$1,A:F,6,))*100)+100</f>
        <v/>
      </c>
      <c r="M45" s="29">
        <f>(((Table134567891011121314151617343[[#This Row],[GBR]]-VLOOKUP($U$1,A:G,7,))/VLOOKUP($U$1,A:G,7,))*100)+100</f>
        <v/>
      </c>
      <c r="N45" s="29">
        <f>VLOOKUP(A45,Database!$E:$AY,MATCH($N$1,Database!$E$1:$AY$1,0),FALSE)</f>
        <v/>
      </c>
      <c r="O45" s="29">
        <f>(((Table134567891011121314151617343[[#This Row],[USA]]-VLOOKUP($U$1,A:N,14,))/VLOOKUP($U$1,A:N,14,))*100)+100</f>
        <v/>
      </c>
      <c r="P45" s="29">
        <f>VLOOKUP(A45,Database!$E:$AY,MATCH($P$1,Database!$E$1:$AY$1,0),FALSE)</f>
        <v/>
      </c>
      <c r="Q45" s="29">
        <f>(((Table134567891011121314151617343[[#This Row],[JPN]]-VLOOKUP($U$1,A:Q,16,))/VLOOKUP($U$1,A:Q,16,))*100)+100</f>
        <v/>
      </c>
    </row>
    <row r="46" customFormat="1" s="129">
      <c r="A46" s="28" t="n">
        <v>34213</v>
      </c>
      <c r="B46" s="29">
        <f>VLOOKUP(A46,Database!$E:$AY,MATCH($B$1,Database!$E$1:$AY$1,0),FALSE)</f>
        <v/>
      </c>
      <c r="C46" s="29">
        <f>VLOOKUP(A46,Database!$E:$AY,MATCH($C$1,Database!$E$1:$AY$1,0),FALSE)</f>
        <v/>
      </c>
      <c r="D46" s="29">
        <f>VLOOKUP(A46,Database!$E:$AY,MATCH($D$1,Database!$E$1:$AY$1,0),FALSE)</f>
        <v/>
      </c>
      <c r="E46" s="29">
        <f>VLOOKUP(A46,Database!$E:$AY,MATCH($E$1,Database!$E$1:$AY$1,0),FALSE)</f>
        <v/>
      </c>
      <c r="F46" s="29">
        <f>VLOOKUP(A46,Database!$E:$AY,MATCH($F$1,Database!$E$1:$AY$1,0),FALSE)</f>
        <v/>
      </c>
      <c r="G46" s="29">
        <f>VLOOKUP(A46,Database!$E:$AY,MATCH($G$1,Database!$E$1:$AY$1,0),FALSE)</f>
        <v/>
      </c>
      <c r="H46" s="29">
        <f>(((Table134567891011121314151617343[[#This Row],[ITA]]-VLOOKUP($U$1,A:B,2,))/VLOOKUP($U$1,A:B,2,))*100)+100</f>
        <v/>
      </c>
      <c r="I46" s="29">
        <f>(((Table134567891011121314151617343[[#This Row],[FRA]]-VLOOKUP($U$1,A:C,3,))/VLOOKUP($U$1,A:C,3,))*100)+100</f>
        <v/>
      </c>
      <c r="J46" s="29">
        <f>(((Table134567891011121314151617343[[#This Row],[DEU]]-VLOOKUP($U$1,A:D,4,))/VLOOKUP($U$1,A:D,4,))*100)+100</f>
        <v/>
      </c>
      <c r="K46" s="29">
        <f>(((Table134567891011121314151617343[[#This Row],[ESP]]-VLOOKUP($U$1,A:E,5,))/VLOOKUP($U$1,A:E,5,))*100)+100</f>
        <v/>
      </c>
      <c r="L46" s="29">
        <f>(((Table134567891011121314151617343[[#This Row],[EA19]]-VLOOKUP($U$1,A:F,6,))/VLOOKUP($U$1,A:F,6,))*100)+100</f>
        <v/>
      </c>
      <c r="M46" s="29">
        <f>(((Table134567891011121314151617343[[#This Row],[GBR]]-VLOOKUP($U$1,A:G,7,))/VLOOKUP($U$1,A:G,7,))*100)+100</f>
        <v/>
      </c>
      <c r="N46" s="29">
        <f>VLOOKUP(A46,Database!$E:$AY,MATCH($N$1,Database!$E$1:$AY$1,0),FALSE)</f>
        <v/>
      </c>
      <c r="O46" s="29">
        <f>(((Table134567891011121314151617343[[#This Row],[USA]]-VLOOKUP($U$1,A:N,14,))/VLOOKUP($U$1,A:N,14,))*100)+100</f>
        <v/>
      </c>
      <c r="P46" s="29">
        <f>VLOOKUP(A46,Database!$E:$AY,MATCH($P$1,Database!$E$1:$AY$1,0),FALSE)</f>
        <v/>
      </c>
      <c r="Q46" s="29">
        <f>(((Table134567891011121314151617343[[#This Row],[JPN]]-VLOOKUP($U$1,A:Q,16,))/VLOOKUP($U$1,A:Q,16,))*100)+100</f>
        <v/>
      </c>
    </row>
    <row r="47" customFormat="1" s="129">
      <c r="A47" s="28" t="n">
        <v>34243</v>
      </c>
      <c r="B47" s="29">
        <f>VLOOKUP(A47,Database!$E:$AY,MATCH($B$1,Database!$E$1:$AY$1,0),FALSE)</f>
        <v/>
      </c>
      <c r="C47" s="29">
        <f>VLOOKUP(A47,Database!$E:$AY,MATCH($C$1,Database!$E$1:$AY$1,0),FALSE)</f>
        <v/>
      </c>
      <c r="D47" s="29">
        <f>VLOOKUP(A47,Database!$E:$AY,MATCH($D$1,Database!$E$1:$AY$1,0),FALSE)</f>
        <v/>
      </c>
      <c r="E47" s="29">
        <f>VLOOKUP(A47,Database!$E:$AY,MATCH($E$1,Database!$E$1:$AY$1,0),FALSE)</f>
        <v/>
      </c>
      <c r="F47" s="29">
        <f>VLOOKUP(A47,Database!$E:$AY,MATCH($F$1,Database!$E$1:$AY$1,0),FALSE)</f>
        <v/>
      </c>
      <c r="G47" s="29">
        <f>VLOOKUP(A47,Database!$E:$AY,MATCH($G$1,Database!$E$1:$AY$1,0),FALSE)</f>
        <v/>
      </c>
      <c r="H47" s="29">
        <f>(((Table134567891011121314151617343[[#This Row],[ITA]]-VLOOKUP($U$1,A:B,2,))/VLOOKUP($U$1,A:B,2,))*100)+100</f>
        <v/>
      </c>
      <c r="I47" s="29">
        <f>(((Table134567891011121314151617343[[#This Row],[FRA]]-VLOOKUP($U$1,A:C,3,))/VLOOKUP($U$1,A:C,3,))*100)+100</f>
        <v/>
      </c>
      <c r="J47" s="29">
        <f>(((Table134567891011121314151617343[[#This Row],[DEU]]-VLOOKUP($U$1,A:D,4,))/VLOOKUP($U$1,A:D,4,))*100)+100</f>
        <v/>
      </c>
      <c r="K47" s="29">
        <f>(((Table134567891011121314151617343[[#This Row],[ESP]]-VLOOKUP($U$1,A:E,5,))/VLOOKUP($U$1,A:E,5,))*100)+100</f>
        <v/>
      </c>
      <c r="L47" s="29">
        <f>(((Table134567891011121314151617343[[#This Row],[EA19]]-VLOOKUP($U$1,A:F,6,))/VLOOKUP($U$1,A:F,6,))*100)+100</f>
        <v/>
      </c>
      <c r="M47" s="29">
        <f>(((Table134567891011121314151617343[[#This Row],[GBR]]-VLOOKUP($U$1,A:G,7,))/VLOOKUP($U$1,A:G,7,))*100)+100</f>
        <v/>
      </c>
      <c r="N47" s="29">
        <f>VLOOKUP(A47,Database!$E:$AY,MATCH($N$1,Database!$E$1:$AY$1,0),FALSE)</f>
        <v/>
      </c>
      <c r="O47" s="29">
        <f>(((Table134567891011121314151617343[[#This Row],[USA]]-VLOOKUP($U$1,A:N,14,))/VLOOKUP($U$1,A:N,14,))*100)+100</f>
        <v/>
      </c>
      <c r="P47" s="29">
        <f>VLOOKUP(A47,Database!$E:$AY,MATCH($P$1,Database!$E$1:$AY$1,0),FALSE)</f>
        <v/>
      </c>
      <c r="Q47" s="29">
        <f>(((Table134567891011121314151617343[[#This Row],[JPN]]-VLOOKUP($U$1,A:Q,16,))/VLOOKUP($U$1,A:Q,16,))*100)+100</f>
        <v/>
      </c>
    </row>
    <row r="48" customFormat="1" s="129">
      <c r="A48" s="28" t="n">
        <v>34274</v>
      </c>
      <c r="B48" s="29">
        <f>VLOOKUP(A48,Database!$E:$AY,MATCH($B$1,Database!$E$1:$AY$1,0),FALSE)</f>
        <v/>
      </c>
      <c r="C48" s="29">
        <f>VLOOKUP(A48,Database!$E:$AY,MATCH($C$1,Database!$E$1:$AY$1,0),FALSE)</f>
        <v/>
      </c>
      <c r="D48" s="29">
        <f>VLOOKUP(A48,Database!$E:$AY,MATCH($D$1,Database!$E$1:$AY$1,0),FALSE)</f>
        <v/>
      </c>
      <c r="E48" s="29">
        <f>VLOOKUP(A48,Database!$E:$AY,MATCH($E$1,Database!$E$1:$AY$1,0),FALSE)</f>
        <v/>
      </c>
      <c r="F48" s="29">
        <f>VLOOKUP(A48,Database!$E:$AY,MATCH($F$1,Database!$E$1:$AY$1,0),FALSE)</f>
        <v/>
      </c>
      <c r="G48" s="29">
        <f>VLOOKUP(A48,Database!$E:$AY,MATCH($G$1,Database!$E$1:$AY$1,0),FALSE)</f>
        <v/>
      </c>
      <c r="H48" s="29">
        <f>(((Table134567891011121314151617343[[#This Row],[ITA]]-VLOOKUP($U$1,A:B,2,))/VLOOKUP($U$1,A:B,2,))*100)+100</f>
        <v/>
      </c>
      <c r="I48" s="29">
        <f>(((Table134567891011121314151617343[[#This Row],[FRA]]-VLOOKUP($U$1,A:C,3,))/VLOOKUP($U$1,A:C,3,))*100)+100</f>
        <v/>
      </c>
      <c r="J48" s="29">
        <f>(((Table134567891011121314151617343[[#This Row],[DEU]]-VLOOKUP($U$1,A:D,4,))/VLOOKUP($U$1,A:D,4,))*100)+100</f>
        <v/>
      </c>
      <c r="K48" s="29">
        <f>(((Table134567891011121314151617343[[#This Row],[ESP]]-VLOOKUP($U$1,A:E,5,))/VLOOKUP($U$1,A:E,5,))*100)+100</f>
        <v/>
      </c>
      <c r="L48" s="29">
        <f>(((Table134567891011121314151617343[[#This Row],[EA19]]-VLOOKUP($U$1,A:F,6,))/VLOOKUP($U$1,A:F,6,))*100)+100</f>
        <v/>
      </c>
      <c r="M48" s="29">
        <f>(((Table134567891011121314151617343[[#This Row],[GBR]]-VLOOKUP($U$1,A:G,7,))/VLOOKUP($U$1,A:G,7,))*100)+100</f>
        <v/>
      </c>
      <c r="N48" s="29">
        <f>VLOOKUP(A48,Database!$E:$AY,MATCH($N$1,Database!$E$1:$AY$1,0),FALSE)</f>
        <v/>
      </c>
      <c r="O48" s="29">
        <f>(((Table134567891011121314151617343[[#This Row],[USA]]-VLOOKUP($U$1,A:N,14,))/VLOOKUP($U$1,A:N,14,))*100)+100</f>
        <v/>
      </c>
      <c r="P48" s="29">
        <f>VLOOKUP(A48,Database!$E:$AY,MATCH($P$1,Database!$E$1:$AY$1,0),FALSE)</f>
        <v/>
      </c>
      <c r="Q48" s="29">
        <f>(((Table134567891011121314151617343[[#This Row],[JPN]]-VLOOKUP($U$1,A:Q,16,))/VLOOKUP($U$1,A:Q,16,))*100)+100</f>
        <v/>
      </c>
    </row>
    <row r="49" customFormat="1" s="129">
      <c r="A49" s="28" t="n">
        <v>34304</v>
      </c>
      <c r="B49" s="29">
        <f>VLOOKUP(A49,Database!$E:$AY,MATCH($B$1,Database!$E$1:$AY$1,0),FALSE)</f>
        <v/>
      </c>
      <c r="C49" s="29">
        <f>VLOOKUP(A49,Database!$E:$AY,MATCH($C$1,Database!$E$1:$AY$1,0),FALSE)</f>
        <v/>
      </c>
      <c r="D49" s="29">
        <f>VLOOKUP(A49,Database!$E:$AY,MATCH($D$1,Database!$E$1:$AY$1,0),FALSE)</f>
        <v/>
      </c>
      <c r="E49" s="29">
        <f>VLOOKUP(A49,Database!$E:$AY,MATCH($E$1,Database!$E$1:$AY$1,0),FALSE)</f>
        <v/>
      </c>
      <c r="F49" s="29">
        <f>VLOOKUP(A49,Database!$E:$AY,MATCH($F$1,Database!$E$1:$AY$1,0),FALSE)</f>
        <v/>
      </c>
      <c r="G49" s="29">
        <f>VLOOKUP(A49,Database!$E:$AY,MATCH($G$1,Database!$E$1:$AY$1,0),FALSE)</f>
        <v/>
      </c>
      <c r="H49" s="29">
        <f>(((Table134567891011121314151617343[[#This Row],[ITA]]-VLOOKUP($U$1,A:B,2,))/VLOOKUP($U$1,A:B,2,))*100)+100</f>
        <v/>
      </c>
      <c r="I49" s="29">
        <f>(((Table134567891011121314151617343[[#This Row],[FRA]]-VLOOKUP($U$1,A:C,3,))/VLOOKUP($U$1,A:C,3,))*100)+100</f>
        <v/>
      </c>
      <c r="J49" s="29">
        <f>(((Table134567891011121314151617343[[#This Row],[DEU]]-VLOOKUP($U$1,A:D,4,))/VLOOKUP($U$1,A:D,4,))*100)+100</f>
        <v/>
      </c>
      <c r="K49" s="29">
        <f>(((Table134567891011121314151617343[[#This Row],[ESP]]-VLOOKUP($U$1,A:E,5,))/VLOOKUP($U$1,A:E,5,))*100)+100</f>
        <v/>
      </c>
      <c r="L49" s="29">
        <f>(((Table134567891011121314151617343[[#This Row],[EA19]]-VLOOKUP($U$1,A:F,6,))/VLOOKUP($U$1,A:F,6,))*100)+100</f>
        <v/>
      </c>
      <c r="M49" s="29">
        <f>(((Table134567891011121314151617343[[#This Row],[GBR]]-VLOOKUP($U$1,A:G,7,))/VLOOKUP($U$1,A:G,7,))*100)+100</f>
        <v/>
      </c>
      <c r="N49" s="29">
        <f>VLOOKUP(A49,Database!$E:$AY,MATCH($N$1,Database!$E$1:$AY$1,0),FALSE)</f>
        <v/>
      </c>
      <c r="O49" s="29">
        <f>(((Table134567891011121314151617343[[#This Row],[USA]]-VLOOKUP($U$1,A:N,14,))/VLOOKUP($U$1,A:N,14,))*100)+100</f>
        <v/>
      </c>
      <c r="P49" s="29">
        <f>VLOOKUP(A49,Database!$E:$AY,MATCH($P$1,Database!$E$1:$AY$1,0),FALSE)</f>
        <v/>
      </c>
      <c r="Q49" s="29">
        <f>(((Table134567891011121314151617343[[#This Row],[JPN]]-VLOOKUP($U$1,A:Q,16,))/VLOOKUP($U$1,A:Q,16,))*100)+100</f>
        <v/>
      </c>
    </row>
    <row r="50" customFormat="1" s="129">
      <c r="A50" s="28" t="n">
        <v>34335</v>
      </c>
      <c r="B50" s="29">
        <f>VLOOKUP(A50,Database!$E:$AY,MATCH($B$1,Database!$E$1:$AY$1,0),FALSE)</f>
        <v/>
      </c>
      <c r="C50" s="29">
        <f>VLOOKUP(A50,Database!$E:$AY,MATCH($C$1,Database!$E$1:$AY$1,0),FALSE)</f>
        <v/>
      </c>
      <c r="D50" s="29">
        <f>VLOOKUP(A50,Database!$E:$AY,MATCH($D$1,Database!$E$1:$AY$1,0),FALSE)</f>
        <v/>
      </c>
      <c r="E50" s="29">
        <f>VLOOKUP(A50,Database!$E:$AY,MATCH($E$1,Database!$E$1:$AY$1,0),FALSE)</f>
        <v/>
      </c>
      <c r="F50" s="29">
        <f>VLOOKUP(A50,Database!$E:$AY,MATCH($F$1,Database!$E$1:$AY$1,0),FALSE)</f>
        <v/>
      </c>
      <c r="G50" s="29">
        <f>VLOOKUP(A50,Database!$E:$AY,MATCH($G$1,Database!$E$1:$AY$1,0),FALSE)</f>
        <v/>
      </c>
      <c r="H50" s="29">
        <f>(((Table134567891011121314151617343[[#This Row],[ITA]]-VLOOKUP($U$1,A:B,2,))/VLOOKUP($U$1,A:B,2,))*100)+100</f>
        <v/>
      </c>
      <c r="I50" s="29">
        <f>(((Table134567891011121314151617343[[#This Row],[FRA]]-VLOOKUP($U$1,A:C,3,))/VLOOKUP($U$1,A:C,3,))*100)+100</f>
        <v/>
      </c>
      <c r="J50" s="29">
        <f>(((Table134567891011121314151617343[[#This Row],[DEU]]-VLOOKUP($U$1,A:D,4,))/VLOOKUP($U$1,A:D,4,))*100)+100</f>
        <v/>
      </c>
      <c r="K50" s="29">
        <f>(((Table134567891011121314151617343[[#This Row],[ESP]]-VLOOKUP($U$1,A:E,5,))/VLOOKUP($U$1,A:E,5,))*100)+100</f>
        <v/>
      </c>
      <c r="L50" s="29">
        <f>(((Table134567891011121314151617343[[#This Row],[EA19]]-VLOOKUP($U$1,A:F,6,))/VLOOKUP($U$1,A:F,6,))*100)+100</f>
        <v/>
      </c>
      <c r="M50" s="29">
        <f>(((Table134567891011121314151617343[[#This Row],[GBR]]-VLOOKUP($U$1,A:G,7,))/VLOOKUP($U$1,A:G,7,))*100)+100</f>
        <v/>
      </c>
      <c r="N50" s="29">
        <f>VLOOKUP(A50,Database!$E:$AY,MATCH($N$1,Database!$E$1:$AY$1,0),FALSE)</f>
        <v/>
      </c>
      <c r="O50" s="29">
        <f>(((Table134567891011121314151617343[[#This Row],[USA]]-VLOOKUP($U$1,A:N,14,))/VLOOKUP($U$1,A:N,14,))*100)+100</f>
        <v/>
      </c>
      <c r="P50" s="29">
        <f>VLOOKUP(A50,Database!$E:$AY,MATCH($P$1,Database!$E$1:$AY$1,0),FALSE)</f>
        <v/>
      </c>
      <c r="Q50" s="29">
        <f>(((Table134567891011121314151617343[[#This Row],[JPN]]-VLOOKUP($U$1,A:Q,16,))/VLOOKUP($U$1,A:Q,16,))*100)+100</f>
        <v/>
      </c>
    </row>
    <row r="51" customFormat="1" s="129">
      <c r="A51" s="28" t="n">
        <v>34366</v>
      </c>
      <c r="B51" s="29">
        <f>VLOOKUP(A51,Database!$E:$AY,MATCH($B$1,Database!$E$1:$AY$1,0),FALSE)</f>
        <v/>
      </c>
      <c r="C51" s="29">
        <f>VLOOKUP(A51,Database!$E:$AY,MATCH($C$1,Database!$E$1:$AY$1,0),FALSE)</f>
        <v/>
      </c>
      <c r="D51" s="29">
        <f>VLOOKUP(A51,Database!$E:$AY,MATCH($D$1,Database!$E$1:$AY$1,0),FALSE)</f>
        <v/>
      </c>
      <c r="E51" s="29">
        <f>VLOOKUP(A51,Database!$E:$AY,MATCH($E$1,Database!$E$1:$AY$1,0),FALSE)</f>
        <v/>
      </c>
      <c r="F51" s="29">
        <f>VLOOKUP(A51,Database!$E:$AY,MATCH($F$1,Database!$E$1:$AY$1,0),FALSE)</f>
        <v/>
      </c>
      <c r="G51" s="29">
        <f>VLOOKUP(A51,Database!$E:$AY,MATCH($G$1,Database!$E$1:$AY$1,0),FALSE)</f>
        <v/>
      </c>
      <c r="H51" s="29">
        <f>(((Table134567891011121314151617343[[#This Row],[ITA]]-VLOOKUP($U$1,A:B,2,))/VLOOKUP($U$1,A:B,2,))*100)+100</f>
        <v/>
      </c>
      <c r="I51" s="29">
        <f>(((Table134567891011121314151617343[[#This Row],[FRA]]-VLOOKUP($U$1,A:C,3,))/VLOOKUP($U$1,A:C,3,))*100)+100</f>
        <v/>
      </c>
      <c r="J51" s="29">
        <f>(((Table134567891011121314151617343[[#This Row],[DEU]]-VLOOKUP($U$1,A:D,4,))/VLOOKUP($U$1,A:D,4,))*100)+100</f>
        <v/>
      </c>
      <c r="K51" s="29">
        <f>(((Table134567891011121314151617343[[#This Row],[ESP]]-VLOOKUP($U$1,A:E,5,))/VLOOKUP($U$1,A:E,5,))*100)+100</f>
        <v/>
      </c>
      <c r="L51" s="29">
        <f>(((Table134567891011121314151617343[[#This Row],[EA19]]-VLOOKUP($U$1,A:F,6,))/VLOOKUP($U$1,A:F,6,))*100)+100</f>
        <v/>
      </c>
      <c r="M51" s="29">
        <f>(((Table134567891011121314151617343[[#This Row],[GBR]]-VLOOKUP($U$1,A:G,7,))/VLOOKUP($U$1,A:G,7,))*100)+100</f>
        <v/>
      </c>
      <c r="N51" s="29">
        <f>VLOOKUP(A51,Database!$E:$AY,MATCH($N$1,Database!$E$1:$AY$1,0),FALSE)</f>
        <v/>
      </c>
      <c r="O51" s="29">
        <f>(((Table134567891011121314151617343[[#This Row],[USA]]-VLOOKUP($U$1,A:N,14,))/VLOOKUP($U$1,A:N,14,))*100)+100</f>
        <v/>
      </c>
      <c r="P51" s="29">
        <f>VLOOKUP(A51,Database!$E:$AY,MATCH($P$1,Database!$E$1:$AY$1,0),FALSE)</f>
        <v/>
      </c>
      <c r="Q51" s="29">
        <f>(((Table134567891011121314151617343[[#This Row],[JPN]]-VLOOKUP($U$1,A:Q,16,))/VLOOKUP($U$1,A:Q,16,))*100)+100</f>
        <v/>
      </c>
    </row>
    <row r="52" customFormat="1" s="129">
      <c r="A52" s="28" t="n">
        <v>34394</v>
      </c>
      <c r="B52" s="29">
        <f>VLOOKUP(A52,Database!$E:$AY,MATCH($B$1,Database!$E$1:$AY$1,0),FALSE)</f>
        <v/>
      </c>
      <c r="C52" s="29">
        <f>VLOOKUP(A52,Database!$E:$AY,MATCH($C$1,Database!$E$1:$AY$1,0),FALSE)</f>
        <v/>
      </c>
      <c r="D52" s="29">
        <f>VLOOKUP(A52,Database!$E:$AY,MATCH($D$1,Database!$E$1:$AY$1,0),FALSE)</f>
        <v/>
      </c>
      <c r="E52" s="29">
        <f>VLOOKUP(A52,Database!$E:$AY,MATCH($E$1,Database!$E$1:$AY$1,0),FALSE)</f>
        <v/>
      </c>
      <c r="F52" s="29">
        <f>VLOOKUP(A52,Database!$E:$AY,MATCH($F$1,Database!$E$1:$AY$1,0),FALSE)</f>
        <v/>
      </c>
      <c r="G52" s="29">
        <f>VLOOKUP(A52,Database!$E:$AY,MATCH($G$1,Database!$E$1:$AY$1,0),FALSE)</f>
        <v/>
      </c>
      <c r="H52" s="29">
        <f>(((Table134567891011121314151617343[[#This Row],[ITA]]-VLOOKUP($U$1,A:B,2,))/VLOOKUP($U$1,A:B,2,))*100)+100</f>
        <v/>
      </c>
      <c r="I52" s="29">
        <f>(((Table134567891011121314151617343[[#This Row],[FRA]]-VLOOKUP($U$1,A:C,3,))/VLOOKUP($U$1,A:C,3,))*100)+100</f>
        <v/>
      </c>
      <c r="J52" s="29">
        <f>(((Table134567891011121314151617343[[#This Row],[DEU]]-VLOOKUP($U$1,A:D,4,))/VLOOKUP($U$1,A:D,4,))*100)+100</f>
        <v/>
      </c>
      <c r="K52" s="29">
        <f>(((Table134567891011121314151617343[[#This Row],[ESP]]-VLOOKUP($U$1,A:E,5,))/VLOOKUP($U$1,A:E,5,))*100)+100</f>
        <v/>
      </c>
      <c r="L52" s="29">
        <f>(((Table134567891011121314151617343[[#This Row],[EA19]]-VLOOKUP($U$1,A:F,6,))/VLOOKUP($U$1,A:F,6,))*100)+100</f>
        <v/>
      </c>
      <c r="M52" s="29">
        <f>(((Table134567891011121314151617343[[#This Row],[GBR]]-VLOOKUP($U$1,A:G,7,))/VLOOKUP($U$1,A:G,7,))*100)+100</f>
        <v/>
      </c>
      <c r="N52" s="29">
        <f>VLOOKUP(A52,Database!$E:$AY,MATCH($N$1,Database!$E$1:$AY$1,0),FALSE)</f>
        <v/>
      </c>
      <c r="O52" s="29">
        <f>(((Table134567891011121314151617343[[#This Row],[USA]]-VLOOKUP($U$1,A:N,14,))/VLOOKUP($U$1,A:N,14,))*100)+100</f>
        <v/>
      </c>
      <c r="P52" s="29">
        <f>VLOOKUP(A52,Database!$E:$AY,MATCH($P$1,Database!$E$1:$AY$1,0),FALSE)</f>
        <v/>
      </c>
      <c r="Q52" s="29">
        <f>(((Table134567891011121314151617343[[#This Row],[JPN]]-VLOOKUP($U$1,A:Q,16,))/VLOOKUP($U$1,A:Q,16,))*100)+100</f>
        <v/>
      </c>
    </row>
    <row r="53" customFormat="1" s="129">
      <c r="A53" s="28" t="n">
        <v>34425</v>
      </c>
      <c r="B53" s="29">
        <f>VLOOKUP(A53,Database!$E:$AY,MATCH($B$1,Database!$E$1:$AY$1,0),FALSE)</f>
        <v/>
      </c>
      <c r="C53" s="29">
        <f>VLOOKUP(A53,Database!$E:$AY,MATCH($C$1,Database!$E$1:$AY$1,0),FALSE)</f>
        <v/>
      </c>
      <c r="D53" s="29">
        <f>VLOOKUP(A53,Database!$E:$AY,MATCH($D$1,Database!$E$1:$AY$1,0),FALSE)</f>
        <v/>
      </c>
      <c r="E53" s="29">
        <f>VLOOKUP(A53,Database!$E:$AY,MATCH($E$1,Database!$E$1:$AY$1,0),FALSE)</f>
        <v/>
      </c>
      <c r="F53" s="29">
        <f>VLOOKUP(A53,Database!$E:$AY,MATCH($F$1,Database!$E$1:$AY$1,0),FALSE)</f>
        <v/>
      </c>
      <c r="G53" s="29">
        <f>VLOOKUP(A53,Database!$E:$AY,MATCH($G$1,Database!$E$1:$AY$1,0),FALSE)</f>
        <v/>
      </c>
      <c r="H53" s="29">
        <f>(((Table134567891011121314151617343[[#This Row],[ITA]]-VLOOKUP($U$1,A:B,2,))/VLOOKUP($U$1,A:B,2,))*100)+100</f>
        <v/>
      </c>
      <c r="I53" s="29">
        <f>(((Table134567891011121314151617343[[#This Row],[FRA]]-VLOOKUP($U$1,A:C,3,))/VLOOKUP($U$1,A:C,3,))*100)+100</f>
        <v/>
      </c>
      <c r="J53" s="29">
        <f>(((Table134567891011121314151617343[[#This Row],[DEU]]-VLOOKUP($U$1,A:D,4,))/VLOOKUP($U$1,A:D,4,))*100)+100</f>
        <v/>
      </c>
      <c r="K53" s="29">
        <f>(((Table134567891011121314151617343[[#This Row],[ESP]]-VLOOKUP($U$1,A:E,5,))/VLOOKUP($U$1,A:E,5,))*100)+100</f>
        <v/>
      </c>
      <c r="L53" s="29">
        <f>(((Table134567891011121314151617343[[#This Row],[EA19]]-VLOOKUP($U$1,A:F,6,))/VLOOKUP($U$1,A:F,6,))*100)+100</f>
        <v/>
      </c>
      <c r="M53" s="29">
        <f>(((Table134567891011121314151617343[[#This Row],[GBR]]-VLOOKUP($U$1,A:G,7,))/VLOOKUP($U$1,A:G,7,))*100)+100</f>
        <v/>
      </c>
      <c r="N53" s="29">
        <f>VLOOKUP(A53,Database!$E:$AY,MATCH($N$1,Database!$E$1:$AY$1,0),FALSE)</f>
        <v/>
      </c>
      <c r="O53" s="29">
        <f>(((Table134567891011121314151617343[[#This Row],[USA]]-VLOOKUP($U$1,A:N,14,))/VLOOKUP($U$1,A:N,14,))*100)+100</f>
        <v/>
      </c>
      <c r="P53" s="29">
        <f>VLOOKUP(A53,Database!$E:$AY,MATCH($P$1,Database!$E$1:$AY$1,0),FALSE)</f>
        <v/>
      </c>
      <c r="Q53" s="29">
        <f>(((Table134567891011121314151617343[[#This Row],[JPN]]-VLOOKUP($U$1,A:Q,16,))/VLOOKUP($U$1,A:Q,16,))*100)+100</f>
        <v/>
      </c>
    </row>
    <row r="54" customFormat="1" s="129">
      <c r="A54" s="28" t="n">
        <v>34455</v>
      </c>
      <c r="B54" s="29">
        <f>VLOOKUP(A54,Database!$E:$AY,MATCH($B$1,Database!$E$1:$AY$1,0),FALSE)</f>
        <v/>
      </c>
      <c r="C54" s="29">
        <f>VLOOKUP(A54,Database!$E:$AY,MATCH($C$1,Database!$E$1:$AY$1,0),FALSE)</f>
        <v/>
      </c>
      <c r="D54" s="29">
        <f>VLOOKUP(A54,Database!$E:$AY,MATCH($D$1,Database!$E$1:$AY$1,0),FALSE)</f>
        <v/>
      </c>
      <c r="E54" s="29">
        <f>VLOOKUP(A54,Database!$E:$AY,MATCH($E$1,Database!$E$1:$AY$1,0),FALSE)</f>
        <v/>
      </c>
      <c r="F54" s="29">
        <f>VLOOKUP(A54,Database!$E:$AY,MATCH($F$1,Database!$E$1:$AY$1,0),FALSE)</f>
        <v/>
      </c>
      <c r="G54" s="29">
        <f>VLOOKUP(A54,Database!$E:$AY,MATCH($G$1,Database!$E$1:$AY$1,0),FALSE)</f>
        <v/>
      </c>
      <c r="H54" s="29">
        <f>(((Table134567891011121314151617343[[#This Row],[ITA]]-VLOOKUP($U$1,A:B,2,))/VLOOKUP($U$1,A:B,2,))*100)+100</f>
        <v/>
      </c>
      <c r="I54" s="29">
        <f>(((Table134567891011121314151617343[[#This Row],[FRA]]-VLOOKUP($U$1,A:C,3,))/VLOOKUP($U$1,A:C,3,))*100)+100</f>
        <v/>
      </c>
      <c r="J54" s="29">
        <f>(((Table134567891011121314151617343[[#This Row],[DEU]]-VLOOKUP($U$1,A:D,4,))/VLOOKUP($U$1,A:D,4,))*100)+100</f>
        <v/>
      </c>
      <c r="K54" s="29">
        <f>(((Table134567891011121314151617343[[#This Row],[ESP]]-VLOOKUP($U$1,A:E,5,))/VLOOKUP($U$1,A:E,5,))*100)+100</f>
        <v/>
      </c>
      <c r="L54" s="29">
        <f>(((Table134567891011121314151617343[[#This Row],[EA19]]-VLOOKUP($U$1,A:F,6,))/VLOOKUP($U$1,A:F,6,))*100)+100</f>
        <v/>
      </c>
      <c r="M54" s="29">
        <f>(((Table134567891011121314151617343[[#This Row],[GBR]]-VLOOKUP($U$1,A:G,7,))/VLOOKUP($U$1,A:G,7,))*100)+100</f>
        <v/>
      </c>
      <c r="N54" s="29">
        <f>VLOOKUP(A54,Database!$E:$AY,MATCH($N$1,Database!$E$1:$AY$1,0),FALSE)</f>
        <v/>
      </c>
      <c r="O54" s="29">
        <f>(((Table134567891011121314151617343[[#This Row],[USA]]-VLOOKUP($U$1,A:N,14,))/VLOOKUP($U$1,A:N,14,))*100)+100</f>
        <v/>
      </c>
      <c r="P54" s="29">
        <f>VLOOKUP(A54,Database!$E:$AY,MATCH($P$1,Database!$E$1:$AY$1,0),FALSE)</f>
        <v/>
      </c>
      <c r="Q54" s="29">
        <f>(((Table134567891011121314151617343[[#This Row],[JPN]]-VLOOKUP($U$1,A:Q,16,))/VLOOKUP($U$1,A:Q,16,))*100)+100</f>
        <v/>
      </c>
    </row>
    <row r="55" customFormat="1" s="129">
      <c r="A55" s="28" t="n">
        <v>34486</v>
      </c>
      <c r="B55" s="29">
        <f>VLOOKUP(A55,Database!$E:$AY,MATCH($B$1,Database!$E$1:$AY$1,0),FALSE)</f>
        <v/>
      </c>
      <c r="C55" s="29">
        <f>VLOOKUP(A55,Database!$E:$AY,MATCH($C$1,Database!$E$1:$AY$1,0),FALSE)</f>
        <v/>
      </c>
      <c r="D55" s="29">
        <f>VLOOKUP(A55,Database!$E:$AY,MATCH($D$1,Database!$E$1:$AY$1,0),FALSE)</f>
        <v/>
      </c>
      <c r="E55" s="29">
        <f>VLOOKUP(A55,Database!$E:$AY,MATCH($E$1,Database!$E$1:$AY$1,0),FALSE)</f>
        <v/>
      </c>
      <c r="F55" s="29">
        <f>VLOOKUP(A55,Database!$E:$AY,MATCH($F$1,Database!$E$1:$AY$1,0),FALSE)</f>
        <v/>
      </c>
      <c r="G55" s="29">
        <f>VLOOKUP(A55,Database!$E:$AY,MATCH($G$1,Database!$E$1:$AY$1,0),FALSE)</f>
        <v/>
      </c>
      <c r="H55" s="29">
        <f>(((Table134567891011121314151617343[[#This Row],[ITA]]-VLOOKUP($U$1,A:B,2,))/VLOOKUP($U$1,A:B,2,))*100)+100</f>
        <v/>
      </c>
      <c r="I55" s="29">
        <f>(((Table134567891011121314151617343[[#This Row],[FRA]]-VLOOKUP($U$1,A:C,3,))/VLOOKUP($U$1,A:C,3,))*100)+100</f>
        <v/>
      </c>
      <c r="J55" s="29">
        <f>(((Table134567891011121314151617343[[#This Row],[DEU]]-VLOOKUP($U$1,A:D,4,))/VLOOKUP($U$1,A:D,4,))*100)+100</f>
        <v/>
      </c>
      <c r="K55" s="29">
        <f>(((Table134567891011121314151617343[[#This Row],[ESP]]-VLOOKUP($U$1,A:E,5,))/VLOOKUP($U$1,A:E,5,))*100)+100</f>
        <v/>
      </c>
      <c r="L55" s="29">
        <f>(((Table134567891011121314151617343[[#This Row],[EA19]]-VLOOKUP($U$1,A:F,6,))/VLOOKUP($U$1,A:F,6,))*100)+100</f>
        <v/>
      </c>
      <c r="M55" s="29">
        <f>(((Table134567891011121314151617343[[#This Row],[GBR]]-VLOOKUP($U$1,A:G,7,))/VLOOKUP($U$1,A:G,7,))*100)+100</f>
        <v/>
      </c>
      <c r="N55" s="29">
        <f>VLOOKUP(A55,Database!$E:$AY,MATCH($N$1,Database!$E$1:$AY$1,0),FALSE)</f>
        <v/>
      </c>
      <c r="O55" s="29">
        <f>(((Table134567891011121314151617343[[#This Row],[USA]]-VLOOKUP($U$1,A:N,14,))/VLOOKUP($U$1,A:N,14,))*100)+100</f>
        <v/>
      </c>
      <c r="P55" s="29">
        <f>VLOOKUP(A55,Database!$E:$AY,MATCH($P$1,Database!$E$1:$AY$1,0),FALSE)</f>
        <v/>
      </c>
      <c r="Q55" s="29">
        <f>(((Table134567891011121314151617343[[#This Row],[JPN]]-VLOOKUP($U$1,A:Q,16,))/VLOOKUP($U$1,A:Q,16,))*100)+100</f>
        <v/>
      </c>
    </row>
    <row r="56" customFormat="1" s="129">
      <c r="A56" s="28" t="n">
        <v>34516</v>
      </c>
      <c r="B56" s="29">
        <f>VLOOKUP(A56,Database!$E:$AY,MATCH($B$1,Database!$E$1:$AY$1,0),FALSE)</f>
        <v/>
      </c>
      <c r="C56" s="29">
        <f>VLOOKUP(A56,Database!$E:$AY,MATCH($C$1,Database!$E$1:$AY$1,0),FALSE)</f>
        <v/>
      </c>
      <c r="D56" s="29">
        <f>VLOOKUP(A56,Database!$E:$AY,MATCH($D$1,Database!$E$1:$AY$1,0),FALSE)</f>
        <v/>
      </c>
      <c r="E56" s="29">
        <f>VLOOKUP(A56,Database!$E:$AY,MATCH($E$1,Database!$E$1:$AY$1,0),FALSE)</f>
        <v/>
      </c>
      <c r="F56" s="29">
        <f>VLOOKUP(A56,Database!$E:$AY,MATCH($F$1,Database!$E$1:$AY$1,0),FALSE)</f>
        <v/>
      </c>
      <c r="G56" s="29">
        <f>VLOOKUP(A56,Database!$E:$AY,MATCH($G$1,Database!$E$1:$AY$1,0),FALSE)</f>
        <v/>
      </c>
      <c r="H56" s="29">
        <f>(((Table134567891011121314151617343[[#This Row],[ITA]]-VLOOKUP($U$1,A:B,2,))/VLOOKUP($U$1,A:B,2,))*100)+100</f>
        <v/>
      </c>
      <c r="I56" s="29">
        <f>(((Table134567891011121314151617343[[#This Row],[FRA]]-VLOOKUP($U$1,A:C,3,))/VLOOKUP($U$1,A:C,3,))*100)+100</f>
        <v/>
      </c>
      <c r="J56" s="29">
        <f>(((Table134567891011121314151617343[[#This Row],[DEU]]-VLOOKUP($U$1,A:D,4,))/VLOOKUP($U$1,A:D,4,))*100)+100</f>
        <v/>
      </c>
      <c r="K56" s="29">
        <f>(((Table134567891011121314151617343[[#This Row],[ESP]]-VLOOKUP($U$1,A:E,5,))/VLOOKUP($U$1,A:E,5,))*100)+100</f>
        <v/>
      </c>
      <c r="L56" s="29">
        <f>(((Table134567891011121314151617343[[#This Row],[EA19]]-VLOOKUP($U$1,A:F,6,))/VLOOKUP($U$1,A:F,6,))*100)+100</f>
        <v/>
      </c>
      <c r="M56" s="29">
        <f>(((Table134567891011121314151617343[[#This Row],[GBR]]-VLOOKUP($U$1,A:G,7,))/VLOOKUP($U$1,A:G,7,))*100)+100</f>
        <v/>
      </c>
      <c r="N56" s="29">
        <f>VLOOKUP(A56,Database!$E:$AY,MATCH($N$1,Database!$E$1:$AY$1,0),FALSE)</f>
        <v/>
      </c>
      <c r="O56" s="29">
        <f>(((Table134567891011121314151617343[[#This Row],[USA]]-VLOOKUP($U$1,A:N,14,))/VLOOKUP($U$1,A:N,14,))*100)+100</f>
        <v/>
      </c>
      <c r="P56" s="29">
        <f>VLOOKUP(A56,Database!$E:$AY,MATCH($P$1,Database!$E$1:$AY$1,0),FALSE)</f>
        <v/>
      </c>
      <c r="Q56" s="29">
        <f>(((Table134567891011121314151617343[[#This Row],[JPN]]-VLOOKUP($U$1,A:Q,16,))/VLOOKUP($U$1,A:Q,16,))*100)+100</f>
        <v/>
      </c>
    </row>
    <row r="57" customFormat="1" s="129">
      <c r="A57" s="28" t="n">
        <v>34547</v>
      </c>
      <c r="B57" s="29">
        <f>VLOOKUP(A57,Database!$E:$AY,MATCH($B$1,Database!$E$1:$AY$1,0),FALSE)</f>
        <v/>
      </c>
      <c r="C57" s="29">
        <f>VLOOKUP(A57,Database!$E:$AY,MATCH($C$1,Database!$E$1:$AY$1,0),FALSE)</f>
        <v/>
      </c>
      <c r="D57" s="29">
        <f>VLOOKUP(A57,Database!$E:$AY,MATCH($D$1,Database!$E$1:$AY$1,0),FALSE)</f>
        <v/>
      </c>
      <c r="E57" s="29">
        <f>VLOOKUP(A57,Database!$E:$AY,MATCH($E$1,Database!$E$1:$AY$1,0),FALSE)</f>
        <v/>
      </c>
      <c r="F57" s="29">
        <f>VLOOKUP(A57,Database!$E:$AY,MATCH($F$1,Database!$E$1:$AY$1,0),FALSE)</f>
        <v/>
      </c>
      <c r="G57" s="29">
        <f>VLOOKUP(A57,Database!$E:$AY,MATCH($G$1,Database!$E$1:$AY$1,0),FALSE)</f>
        <v/>
      </c>
      <c r="H57" s="29">
        <f>(((Table134567891011121314151617343[[#This Row],[ITA]]-VLOOKUP($U$1,A:B,2,))/VLOOKUP($U$1,A:B,2,))*100)+100</f>
        <v/>
      </c>
      <c r="I57" s="29">
        <f>(((Table134567891011121314151617343[[#This Row],[FRA]]-VLOOKUP($U$1,A:C,3,))/VLOOKUP($U$1,A:C,3,))*100)+100</f>
        <v/>
      </c>
      <c r="J57" s="29">
        <f>(((Table134567891011121314151617343[[#This Row],[DEU]]-VLOOKUP($U$1,A:D,4,))/VLOOKUP($U$1,A:D,4,))*100)+100</f>
        <v/>
      </c>
      <c r="K57" s="29">
        <f>(((Table134567891011121314151617343[[#This Row],[ESP]]-VLOOKUP($U$1,A:E,5,))/VLOOKUP($U$1,A:E,5,))*100)+100</f>
        <v/>
      </c>
      <c r="L57" s="29">
        <f>(((Table134567891011121314151617343[[#This Row],[EA19]]-VLOOKUP($U$1,A:F,6,))/VLOOKUP($U$1,A:F,6,))*100)+100</f>
        <v/>
      </c>
      <c r="M57" s="29">
        <f>(((Table134567891011121314151617343[[#This Row],[GBR]]-VLOOKUP($U$1,A:G,7,))/VLOOKUP($U$1,A:G,7,))*100)+100</f>
        <v/>
      </c>
      <c r="N57" s="29">
        <f>VLOOKUP(A57,Database!$E:$AY,MATCH($N$1,Database!$E$1:$AY$1,0),FALSE)</f>
        <v/>
      </c>
      <c r="O57" s="29">
        <f>(((Table134567891011121314151617343[[#This Row],[USA]]-VLOOKUP($U$1,A:N,14,))/VLOOKUP($U$1,A:N,14,))*100)+100</f>
        <v/>
      </c>
      <c r="P57" s="29">
        <f>VLOOKUP(A57,Database!$E:$AY,MATCH($P$1,Database!$E$1:$AY$1,0),FALSE)</f>
        <v/>
      </c>
      <c r="Q57" s="29">
        <f>(((Table134567891011121314151617343[[#This Row],[JPN]]-VLOOKUP($U$1,A:Q,16,))/VLOOKUP($U$1,A:Q,16,))*100)+100</f>
        <v/>
      </c>
    </row>
    <row r="58" customFormat="1" s="129">
      <c r="A58" s="28" t="n">
        <v>34578</v>
      </c>
      <c r="B58" s="29">
        <f>VLOOKUP(A58,Database!$E:$AY,MATCH($B$1,Database!$E$1:$AY$1,0),FALSE)</f>
        <v/>
      </c>
      <c r="C58" s="29">
        <f>VLOOKUP(A58,Database!$E:$AY,MATCH($C$1,Database!$E$1:$AY$1,0),FALSE)</f>
        <v/>
      </c>
      <c r="D58" s="29">
        <f>VLOOKUP(A58,Database!$E:$AY,MATCH($D$1,Database!$E$1:$AY$1,0),FALSE)</f>
        <v/>
      </c>
      <c r="E58" s="29">
        <f>VLOOKUP(A58,Database!$E:$AY,MATCH($E$1,Database!$E$1:$AY$1,0),FALSE)</f>
        <v/>
      </c>
      <c r="F58" s="29">
        <f>VLOOKUP(A58,Database!$E:$AY,MATCH($F$1,Database!$E$1:$AY$1,0),FALSE)</f>
        <v/>
      </c>
      <c r="G58" s="29">
        <f>VLOOKUP(A58,Database!$E:$AY,MATCH($G$1,Database!$E$1:$AY$1,0),FALSE)</f>
        <v/>
      </c>
      <c r="H58" s="29">
        <f>(((Table134567891011121314151617343[[#This Row],[ITA]]-VLOOKUP($U$1,A:B,2,))/VLOOKUP($U$1,A:B,2,))*100)+100</f>
        <v/>
      </c>
      <c r="I58" s="29">
        <f>(((Table134567891011121314151617343[[#This Row],[FRA]]-VLOOKUP($U$1,A:C,3,))/VLOOKUP($U$1,A:C,3,))*100)+100</f>
        <v/>
      </c>
      <c r="J58" s="29">
        <f>(((Table134567891011121314151617343[[#This Row],[DEU]]-VLOOKUP($U$1,A:D,4,))/VLOOKUP($U$1,A:D,4,))*100)+100</f>
        <v/>
      </c>
      <c r="K58" s="29">
        <f>(((Table134567891011121314151617343[[#This Row],[ESP]]-VLOOKUP($U$1,A:E,5,))/VLOOKUP($U$1,A:E,5,))*100)+100</f>
        <v/>
      </c>
      <c r="L58" s="29">
        <f>(((Table134567891011121314151617343[[#This Row],[EA19]]-VLOOKUP($U$1,A:F,6,))/VLOOKUP($U$1,A:F,6,))*100)+100</f>
        <v/>
      </c>
      <c r="M58" s="29">
        <f>(((Table134567891011121314151617343[[#This Row],[GBR]]-VLOOKUP($U$1,A:G,7,))/VLOOKUP($U$1,A:G,7,))*100)+100</f>
        <v/>
      </c>
      <c r="N58" s="29">
        <f>VLOOKUP(A58,Database!$E:$AY,MATCH($N$1,Database!$E$1:$AY$1,0),FALSE)</f>
        <v/>
      </c>
      <c r="O58" s="29">
        <f>(((Table134567891011121314151617343[[#This Row],[USA]]-VLOOKUP($U$1,A:N,14,))/VLOOKUP($U$1,A:N,14,))*100)+100</f>
        <v/>
      </c>
      <c r="P58" s="29">
        <f>VLOOKUP(A58,Database!$E:$AY,MATCH($P$1,Database!$E$1:$AY$1,0),FALSE)</f>
        <v/>
      </c>
      <c r="Q58" s="29">
        <f>(((Table134567891011121314151617343[[#This Row],[JPN]]-VLOOKUP($U$1,A:Q,16,))/VLOOKUP($U$1,A:Q,16,))*100)+100</f>
        <v/>
      </c>
    </row>
    <row r="59" customFormat="1" s="129">
      <c r="A59" s="28" t="n">
        <v>34608</v>
      </c>
      <c r="B59" s="29">
        <f>VLOOKUP(A59,Database!$E:$AY,MATCH($B$1,Database!$E$1:$AY$1,0),FALSE)</f>
        <v/>
      </c>
      <c r="C59" s="29">
        <f>VLOOKUP(A59,Database!$E:$AY,MATCH($C$1,Database!$E$1:$AY$1,0),FALSE)</f>
        <v/>
      </c>
      <c r="D59" s="29">
        <f>VLOOKUP(A59,Database!$E:$AY,MATCH($D$1,Database!$E$1:$AY$1,0),FALSE)</f>
        <v/>
      </c>
      <c r="E59" s="29">
        <f>VLOOKUP(A59,Database!$E:$AY,MATCH($E$1,Database!$E$1:$AY$1,0),FALSE)</f>
        <v/>
      </c>
      <c r="F59" s="29">
        <f>VLOOKUP(A59,Database!$E:$AY,MATCH($F$1,Database!$E$1:$AY$1,0),FALSE)</f>
        <v/>
      </c>
      <c r="G59" s="29">
        <f>VLOOKUP(A59,Database!$E:$AY,MATCH($G$1,Database!$E$1:$AY$1,0),FALSE)</f>
        <v/>
      </c>
      <c r="H59" s="29">
        <f>(((Table134567891011121314151617343[[#This Row],[ITA]]-VLOOKUP($U$1,A:B,2,))/VLOOKUP($U$1,A:B,2,))*100)+100</f>
        <v/>
      </c>
      <c r="I59" s="29">
        <f>(((Table134567891011121314151617343[[#This Row],[FRA]]-VLOOKUP($U$1,A:C,3,))/VLOOKUP($U$1,A:C,3,))*100)+100</f>
        <v/>
      </c>
      <c r="J59" s="29">
        <f>(((Table134567891011121314151617343[[#This Row],[DEU]]-VLOOKUP($U$1,A:D,4,))/VLOOKUP($U$1,A:D,4,))*100)+100</f>
        <v/>
      </c>
      <c r="K59" s="29">
        <f>(((Table134567891011121314151617343[[#This Row],[ESP]]-VLOOKUP($U$1,A:E,5,))/VLOOKUP($U$1,A:E,5,))*100)+100</f>
        <v/>
      </c>
      <c r="L59" s="29">
        <f>(((Table134567891011121314151617343[[#This Row],[EA19]]-VLOOKUP($U$1,A:F,6,))/VLOOKUP($U$1,A:F,6,))*100)+100</f>
        <v/>
      </c>
      <c r="M59" s="29">
        <f>(((Table134567891011121314151617343[[#This Row],[GBR]]-VLOOKUP($U$1,A:G,7,))/VLOOKUP($U$1,A:G,7,))*100)+100</f>
        <v/>
      </c>
      <c r="N59" s="29">
        <f>VLOOKUP(A59,Database!$E:$AY,MATCH($N$1,Database!$E$1:$AY$1,0),FALSE)</f>
        <v/>
      </c>
      <c r="O59" s="29">
        <f>(((Table134567891011121314151617343[[#This Row],[USA]]-VLOOKUP($U$1,A:N,14,))/VLOOKUP($U$1,A:N,14,))*100)+100</f>
        <v/>
      </c>
      <c r="P59" s="29">
        <f>VLOOKUP(A59,Database!$E:$AY,MATCH($P$1,Database!$E$1:$AY$1,0),FALSE)</f>
        <v/>
      </c>
      <c r="Q59" s="29">
        <f>(((Table134567891011121314151617343[[#This Row],[JPN]]-VLOOKUP($U$1,A:Q,16,))/VLOOKUP($U$1,A:Q,16,))*100)+100</f>
        <v/>
      </c>
    </row>
    <row r="60" customFormat="1" s="129">
      <c r="A60" s="28" t="n">
        <v>34639</v>
      </c>
      <c r="B60" s="29">
        <f>VLOOKUP(A60,Database!$E:$AY,MATCH($B$1,Database!$E$1:$AY$1,0),FALSE)</f>
        <v/>
      </c>
      <c r="C60" s="29">
        <f>VLOOKUP(A60,Database!$E:$AY,MATCH($C$1,Database!$E$1:$AY$1,0),FALSE)</f>
        <v/>
      </c>
      <c r="D60" s="29">
        <f>VLOOKUP(A60,Database!$E:$AY,MATCH($D$1,Database!$E$1:$AY$1,0),FALSE)</f>
        <v/>
      </c>
      <c r="E60" s="29">
        <f>VLOOKUP(A60,Database!$E:$AY,MATCH($E$1,Database!$E$1:$AY$1,0),FALSE)</f>
        <v/>
      </c>
      <c r="F60" s="29">
        <f>VLOOKUP(A60,Database!$E:$AY,MATCH($F$1,Database!$E$1:$AY$1,0),FALSE)</f>
        <v/>
      </c>
      <c r="G60" s="29">
        <f>VLOOKUP(A60,Database!$E:$AY,MATCH($G$1,Database!$E$1:$AY$1,0),FALSE)</f>
        <v/>
      </c>
      <c r="H60" s="29">
        <f>(((Table134567891011121314151617343[[#This Row],[ITA]]-VLOOKUP($U$1,A:B,2,))/VLOOKUP($U$1,A:B,2,))*100)+100</f>
        <v/>
      </c>
      <c r="I60" s="29">
        <f>(((Table134567891011121314151617343[[#This Row],[FRA]]-VLOOKUP($U$1,A:C,3,))/VLOOKUP($U$1,A:C,3,))*100)+100</f>
        <v/>
      </c>
      <c r="J60" s="29">
        <f>(((Table134567891011121314151617343[[#This Row],[DEU]]-VLOOKUP($U$1,A:D,4,))/VLOOKUP($U$1,A:D,4,))*100)+100</f>
        <v/>
      </c>
      <c r="K60" s="29">
        <f>(((Table134567891011121314151617343[[#This Row],[ESP]]-VLOOKUP($U$1,A:E,5,))/VLOOKUP($U$1,A:E,5,))*100)+100</f>
        <v/>
      </c>
      <c r="L60" s="29">
        <f>(((Table134567891011121314151617343[[#This Row],[EA19]]-VLOOKUP($U$1,A:F,6,))/VLOOKUP($U$1,A:F,6,))*100)+100</f>
        <v/>
      </c>
      <c r="M60" s="29">
        <f>(((Table134567891011121314151617343[[#This Row],[GBR]]-VLOOKUP($U$1,A:G,7,))/VLOOKUP($U$1,A:G,7,))*100)+100</f>
        <v/>
      </c>
      <c r="N60" s="29">
        <f>VLOOKUP(A60,Database!$E:$AY,MATCH($N$1,Database!$E$1:$AY$1,0),FALSE)</f>
        <v/>
      </c>
      <c r="O60" s="29">
        <f>(((Table134567891011121314151617343[[#This Row],[USA]]-VLOOKUP($U$1,A:N,14,))/VLOOKUP($U$1,A:N,14,))*100)+100</f>
        <v/>
      </c>
      <c r="P60" s="29">
        <f>VLOOKUP(A60,Database!$E:$AY,MATCH($P$1,Database!$E$1:$AY$1,0),FALSE)</f>
        <v/>
      </c>
      <c r="Q60" s="29">
        <f>(((Table134567891011121314151617343[[#This Row],[JPN]]-VLOOKUP($U$1,A:Q,16,))/VLOOKUP($U$1,A:Q,16,))*100)+100</f>
        <v/>
      </c>
    </row>
    <row r="61" customFormat="1" s="129">
      <c r="A61" s="28" t="n">
        <v>34669</v>
      </c>
      <c r="B61" s="29">
        <f>VLOOKUP(A61,Database!$E:$AY,MATCH($B$1,Database!$E$1:$AY$1,0),FALSE)</f>
        <v/>
      </c>
      <c r="C61" s="29">
        <f>VLOOKUP(A61,Database!$E:$AY,MATCH($C$1,Database!$E$1:$AY$1,0),FALSE)</f>
        <v/>
      </c>
      <c r="D61" s="29">
        <f>VLOOKUP(A61,Database!$E:$AY,MATCH($D$1,Database!$E$1:$AY$1,0),FALSE)</f>
        <v/>
      </c>
      <c r="E61" s="29">
        <f>VLOOKUP(A61,Database!$E:$AY,MATCH($E$1,Database!$E$1:$AY$1,0),FALSE)</f>
        <v/>
      </c>
      <c r="F61" s="29">
        <f>VLOOKUP(A61,Database!$E:$AY,MATCH($F$1,Database!$E$1:$AY$1,0),FALSE)</f>
        <v/>
      </c>
      <c r="G61" s="29">
        <f>VLOOKUP(A61,Database!$E:$AY,MATCH($G$1,Database!$E$1:$AY$1,0),FALSE)</f>
        <v/>
      </c>
      <c r="H61" s="29">
        <f>(((Table134567891011121314151617343[[#This Row],[ITA]]-VLOOKUP($U$1,A:B,2,))/VLOOKUP($U$1,A:B,2,))*100)+100</f>
        <v/>
      </c>
      <c r="I61" s="29">
        <f>(((Table134567891011121314151617343[[#This Row],[FRA]]-VLOOKUP($U$1,A:C,3,))/VLOOKUP($U$1,A:C,3,))*100)+100</f>
        <v/>
      </c>
      <c r="J61" s="29">
        <f>(((Table134567891011121314151617343[[#This Row],[DEU]]-VLOOKUP($U$1,A:D,4,))/VLOOKUP($U$1,A:D,4,))*100)+100</f>
        <v/>
      </c>
      <c r="K61" s="29">
        <f>(((Table134567891011121314151617343[[#This Row],[ESP]]-VLOOKUP($U$1,A:E,5,))/VLOOKUP($U$1,A:E,5,))*100)+100</f>
        <v/>
      </c>
      <c r="L61" s="29">
        <f>(((Table134567891011121314151617343[[#This Row],[EA19]]-VLOOKUP($U$1,A:F,6,))/VLOOKUP($U$1,A:F,6,))*100)+100</f>
        <v/>
      </c>
      <c r="M61" s="29">
        <f>(((Table134567891011121314151617343[[#This Row],[GBR]]-VLOOKUP($U$1,A:G,7,))/VLOOKUP($U$1,A:G,7,))*100)+100</f>
        <v/>
      </c>
      <c r="N61" s="29">
        <f>VLOOKUP(A61,Database!$E:$AY,MATCH($N$1,Database!$E$1:$AY$1,0),FALSE)</f>
        <v/>
      </c>
      <c r="O61" s="29">
        <f>(((Table134567891011121314151617343[[#This Row],[USA]]-VLOOKUP($U$1,A:N,14,))/VLOOKUP($U$1,A:N,14,))*100)+100</f>
        <v/>
      </c>
      <c r="P61" s="29">
        <f>VLOOKUP(A61,Database!$E:$AY,MATCH($P$1,Database!$E$1:$AY$1,0),FALSE)</f>
        <v/>
      </c>
      <c r="Q61" s="29">
        <f>(((Table134567891011121314151617343[[#This Row],[JPN]]-VLOOKUP($U$1,A:Q,16,))/VLOOKUP($U$1,A:Q,16,))*100)+100</f>
        <v/>
      </c>
    </row>
    <row r="62" customFormat="1" s="129">
      <c r="A62" s="28" t="n">
        <v>34700</v>
      </c>
      <c r="B62" s="29">
        <f>VLOOKUP(A62,Database!$E:$AY,MATCH($B$1,Database!$E$1:$AY$1,0),FALSE)</f>
        <v/>
      </c>
      <c r="C62" s="29">
        <f>VLOOKUP(A62,Database!$E:$AY,MATCH($C$1,Database!$E$1:$AY$1,0),FALSE)</f>
        <v/>
      </c>
      <c r="D62" s="29">
        <f>VLOOKUP(A62,Database!$E:$AY,MATCH($D$1,Database!$E$1:$AY$1,0),FALSE)</f>
        <v/>
      </c>
      <c r="E62" s="29">
        <f>VLOOKUP(A62,Database!$E:$AY,MATCH($E$1,Database!$E$1:$AY$1,0),FALSE)</f>
        <v/>
      </c>
      <c r="F62" s="29">
        <f>VLOOKUP(A62,Database!$E:$AY,MATCH($F$1,Database!$E$1:$AY$1,0),FALSE)</f>
        <v/>
      </c>
      <c r="G62" s="29">
        <f>VLOOKUP(A62,Database!$E:$AY,MATCH($G$1,Database!$E$1:$AY$1,0),FALSE)</f>
        <v/>
      </c>
      <c r="H62" s="29">
        <f>(((Table134567891011121314151617343[[#This Row],[ITA]]-VLOOKUP($U$1,A:B,2,))/VLOOKUP($U$1,A:B,2,))*100)+100</f>
        <v/>
      </c>
      <c r="I62" s="29">
        <f>(((Table134567891011121314151617343[[#This Row],[FRA]]-VLOOKUP($U$1,A:C,3,))/VLOOKUP($U$1,A:C,3,))*100)+100</f>
        <v/>
      </c>
      <c r="J62" s="29">
        <f>(((Table134567891011121314151617343[[#This Row],[DEU]]-VLOOKUP($U$1,A:D,4,))/VLOOKUP($U$1,A:D,4,))*100)+100</f>
        <v/>
      </c>
      <c r="K62" s="29">
        <f>(((Table134567891011121314151617343[[#This Row],[ESP]]-VLOOKUP($U$1,A:E,5,))/VLOOKUP($U$1,A:E,5,))*100)+100</f>
        <v/>
      </c>
      <c r="L62" s="29">
        <f>(((Table134567891011121314151617343[[#This Row],[EA19]]-VLOOKUP($U$1,A:F,6,))/VLOOKUP($U$1,A:F,6,))*100)+100</f>
        <v/>
      </c>
      <c r="M62" s="29">
        <f>(((Table134567891011121314151617343[[#This Row],[GBR]]-VLOOKUP($U$1,A:G,7,))/VLOOKUP($U$1,A:G,7,))*100)+100</f>
        <v/>
      </c>
      <c r="N62" s="29">
        <f>VLOOKUP(A62,Database!$E:$AY,MATCH($N$1,Database!$E$1:$AY$1,0),FALSE)</f>
        <v/>
      </c>
      <c r="O62" s="29">
        <f>(((Table134567891011121314151617343[[#This Row],[USA]]-VLOOKUP($U$1,A:N,14,))/VLOOKUP($U$1,A:N,14,))*100)+100</f>
        <v/>
      </c>
      <c r="P62" s="29">
        <f>VLOOKUP(A62,Database!$E:$AY,MATCH($P$1,Database!$E$1:$AY$1,0),FALSE)</f>
        <v/>
      </c>
      <c r="Q62" s="29">
        <f>(((Table134567891011121314151617343[[#This Row],[JPN]]-VLOOKUP($U$1,A:Q,16,))/VLOOKUP($U$1,A:Q,16,))*100)+100</f>
        <v/>
      </c>
    </row>
    <row r="63" customFormat="1" s="129">
      <c r="A63" s="28" t="n">
        <v>34731</v>
      </c>
      <c r="B63" s="29">
        <f>VLOOKUP(A63,Database!$E:$AY,MATCH($B$1,Database!$E$1:$AY$1,0),FALSE)</f>
        <v/>
      </c>
      <c r="C63" s="29">
        <f>VLOOKUP(A63,Database!$E:$AY,MATCH($C$1,Database!$E$1:$AY$1,0),FALSE)</f>
        <v/>
      </c>
      <c r="D63" s="29">
        <f>VLOOKUP(A63,Database!$E:$AY,MATCH($D$1,Database!$E$1:$AY$1,0),FALSE)</f>
        <v/>
      </c>
      <c r="E63" s="29">
        <f>VLOOKUP(A63,Database!$E:$AY,MATCH($E$1,Database!$E$1:$AY$1,0),FALSE)</f>
        <v/>
      </c>
      <c r="F63" s="29">
        <f>VLOOKUP(A63,Database!$E:$AY,MATCH($F$1,Database!$E$1:$AY$1,0),FALSE)</f>
        <v/>
      </c>
      <c r="G63" s="29">
        <f>VLOOKUP(A63,Database!$E:$AY,MATCH($G$1,Database!$E$1:$AY$1,0),FALSE)</f>
        <v/>
      </c>
      <c r="H63" s="29">
        <f>(((Table134567891011121314151617343[[#This Row],[ITA]]-VLOOKUP($U$1,A:B,2,))/VLOOKUP($U$1,A:B,2,))*100)+100</f>
        <v/>
      </c>
      <c r="I63" s="29">
        <f>(((Table134567891011121314151617343[[#This Row],[FRA]]-VLOOKUP($U$1,A:C,3,))/VLOOKUP($U$1,A:C,3,))*100)+100</f>
        <v/>
      </c>
      <c r="J63" s="29">
        <f>(((Table134567891011121314151617343[[#This Row],[DEU]]-VLOOKUP($U$1,A:D,4,))/VLOOKUP($U$1,A:D,4,))*100)+100</f>
        <v/>
      </c>
      <c r="K63" s="29">
        <f>(((Table134567891011121314151617343[[#This Row],[ESP]]-VLOOKUP($U$1,A:E,5,))/VLOOKUP($U$1,A:E,5,))*100)+100</f>
        <v/>
      </c>
      <c r="L63" s="29">
        <f>(((Table134567891011121314151617343[[#This Row],[EA19]]-VLOOKUP($U$1,A:F,6,))/VLOOKUP($U$1,A:F,6,))*100)+100</f>
        <v/>
      </c>
      <c r="M63" s="29">
        <f>(((Table134567891011121314151617343[[#This Row],[GBR]]-VLOOKUP($U$1,A:G,7,))/VLOOKUP($U$1,A:G,7,))*100)+100</f>
        <v/>
      </c>
      <c r="N63" s="29">
        <f>VLOOKUP(A63,Database!$E:$AY,MATCH($N$1,Database!$E$1:$AY$1,0),FALSE)</f>
        <v/>
      </c>
      <c r="O63" s="29">
        <f>(((Table134567891011121314151617343[[#This Row],[USA]]-VLOOKUP($U$1,A:N,14,))/VLOOKUP($U$1,A:N,14,))*100)+100</f>
        <v/>
      </c>
      <c r="P63" s="29">
        <f>VLOOKUP(A63,Database!$E:$AY,MATCH($P$1,Database!$E$1:$AY$1,0),FALSE)</f>
        <v/>
      </c>
      <c r="Q63" s="29">
        <f>(((Table134567891011121314151617343[[#This Row],[JPN]]-VLOOKUP($U$1,A:Q,16,))/VLOOKUP($U$1,A:Q,16,))*100)+100</f>
        <v/>
      </c>
    </row>
    <row r="64" customFormat="1" s="129">
      <c r="A64" s="28" t="n">
        <v>34759</v>
      </c>
      <c r="B64" s="29">
        <f>VLOOKUP(A64,Database!$E:$AY,MATCH($B$1,Database!$E$1:$AY$1,0),FALSE)</f>
        <v/>
      </c>
      <c r="C64" s="29">
        <f>VLOOKUP(A64,Database!$E:$AY,MATCH($C$1,Database!$E$1:$AY$1,0),FALSE)</f>
        <v/>
      </c>
      <c r="D64" s="29">
        <f>VLOOKUP(A64,Database!$E:$AY,MATCH($D$1,Database!$E$1:$AY$1,0),FALSE)</f>
        <v/>
      </c>
      <c r="E64" s="29">
        <f>VLOOKUP(A64,Database!$E:$AY,MATCH($E$1,Database!$E$1:$AY$1,0),FALSE)</f>
        <v/>
      </c>
      <c r="F64" s="29">
        <f>VLOOKUP(A64,Database!$E:$AY,MATCH($F$1,Database!$E$1:$AY$1,0),FALSE)</f>
        <v/>
      </c>
      <c r="G64" s="29">
        <f>VLOOKUP(A64,Database!$E:$AY,MATCH($G$1,Database!$E$1:$AY$1,0),FALSE)</f>
        <v/>
      </c>
      <c r="H64" s="29">
        <f>(((Table134567891011121314151617343[[#This Row],[ITA]]-VLOOKUP($U$1,A:B,2,))/VLOOKUP($U$1,A:B,2,))*100)+100</f>
        <v/>
      </c>
      <c r="I64" s="29">
        <f>(((Table134567891011121314151617343[[#This Row],[FRA]]-VLOOKUP($U$1,A:C,3,))/VLOOKUP($U$1,A:C,3,))*100)+100</f>
        <v/>
      </c>
      <c r="J64" s="29">
        <f>(((Table134567891011121314151617343[[#This Row],[DEU]]-VLOOKUP($U$1,A:D,4,))/VLOOKUP($U$1,A:D,4,))*100)+100</f>
        <v/>
      </c>
      <c r="K64" s="29">
        <f>(((Table134567891011121314151617343[[#This Row],[ESP]]-VLOOKUP($U$1,A:E,5,))/VLOOKUP($U$1,A:E,5,))*100)+100</f>
        <v/>
      </c>
      <c r="L64" s="29">
        <f>(((Table134567891011121314151617343[[#This Row],[EA19]]-VLOOKUP($U$1,A:F,6,))/VLOOKUP($U$1,A:F,6,))*100)+100</f>
        <v/>
      </c>
      <c r="M64" s="29">
        <f>(((Table134567891011121314151617343[[#This Row],[GBR]]-VLOOKUP($U$1,A:G,7,))/VLOOKUP($U$1,A:G,7,))*100)+100</f>
        <v/>
      </c>
      <c r="N64" s="29">
        <f>VLOOKUP(A64,Database!$E:$AY,MATCH($N$1,Database!$E$1:$AY$1,0),FALSE)</f>
        <v/>
      </c>
      <c r="O64" s="29">
        <f>(((Table134567891011121314151617343[[#This Row],[USA]]-VLOOKUP($U$1,A:N,14,))/VLOOKUP($U$1,A:N,14,))*100)+100</f>
        <v/>
      </c>
      <c r="P64" s="29">
        <f>VLOOKUP(A64,Database!$E:$AY,MATCH($P$1,Database!$E$1:$AY$1,0),FALSE)</f>
        <v/>
      </c>
      <c r="Q64" s="29">
        <f>(((Table134567891011121314151617343[[#This Row],[JPN]]-VLOOKUP($U$1,A:Q,16,))/VLOOKUP($U$1,A:Q,16,))*100)+100</f>
        <v/>
      </c>
    </row>
    <row r="65" customFormat="1" s="129">
      <c r="A65" s="28" t="n">
        <v>34790</v>
      </c>
      <c r="B65" s="29">
        <f>VLOOKUP(A65,Database!$E:$AY,MATCH($B$1,Database!$E$1:$AY$1,0),FALSE)</f>
        <v/>
      </c>
      <c r="C65" s="29">
        <f>VLOOKUP(A65,Database!$E:$AY,MATCH($C$1,Database!$E$1:$AY$1,0),FALSE)</f>
        <v/>
      </c>
      <c r="D65" s="29">
        <f>VLOOKUP(A65,Database!$E:$AY,MATCH($D$1,Database!$E$1:$AY$1,0),FALSE)</f>
        <v/>
      </c>
      <c r="E65" s="29">
        <f>VLOOKUP(A65,Database!$E:$AY,MATCH($E$1,Database!$E$1:$AY$1,0),FALSE)</f>
        <v/>
      </c>
      <c r="F65" s="29">
        <f>VLOOKUP(A65,Database!$E:$AY,MATCH($F$1,Database!$E$1:$AY$1,0),FALSE)</f>
        <v/>
      </c>
      <c r="G65" s="29">
        <f>VLOOKUP(A65,Database!$E:$AY,MATCH($G$1,Database!$E$1:$AY$1,0),FALSE)</f>
        <v/>
      </c>
      <c r="H65" s="29">
        <f>(((Table134567891011121314151617343[[#This Row],[ITA]]-VLOOKUP($U$1,A:B,2,))/VLOOKUP($U$1,A:B,2,))*100)+100</f>
        <v/>
      </c>
      <c r="I65" s="29">
        <f>(((Table134567891011121314151617343[[#This Row],[FRA]]-VLOOKUP($U$1,A:C,3,))/VLOOKUP($U$1,A:C,3,))*100)+100</f>
        <v/>
      </c>
      <c r="J65" s="29">
        <f>(((Table134567891011121314151617343[[#This Row],[DEU]]-VLOOKUP($U$1,A:D,4,))/VLOOKUP($U$1,A:D,4,))*100)+100</f>
        <v/>
      </c>
      <c r="K65" s="29">
        <f>(((Table134567891011121314151617343[[#This Row],[ESP]]-VLOOKUP($U$1,A:E,5,))/VLOOKUP($U$1,A:E,5,))*100)+100</f>
        <v/>
      </c>
      <c r="L65" s="29">
        <f>(((Table134567891011121314151617343[[#This Row],[EA19]]-VLOOKUP($U$1,A:F,6,))/VLOOKUP($U$1,A:F,6,))*100)+100</f>
        <v/>
      </c>
      <c r="M65" s="29">
        <f>(((Table134567891011121314151617343[[#This Row],[GBR]]-VLOOKUP($U$1,A:G,7,))/VLOOKUP($U$1,A:G,7,))*100)+100</f>
        <v/>
      </c>
      <c r="N65" s="29">
        <f>VLOOKUP(A65,Database!$E:$AY,MATCH($N$1,Database!$E$1:$AY$1,0),FALSE)</f>
        <v/>
      </c>
      <c r="O65" s="29">
        <f>(((Table134567891011121314151617343[[#This Row],[USA]]-VLOOKUP($U$1,A:N,14,))/VLOOKUP($U$1,A:N,14,))*100)+100</f>
        <v/>
      </c>
      <c r="P65" s="29">
        <f>VLOOKUP(A65,Database!$E:$AY,MATCH($P$1,Database!$E$1:$AY$1,0),FALSE)</f>
        <v/>
      </c>
      <c r="Q65" s="29">
        <f>(((Table134567891011121314151617343[[#This Row],[JPN]]-VLOOKUP($U$1,A:Q,16,))/VLOOKUP($U$1,A:Q,16,))*100)+100</f>
        <v/>
      </c>
    </row>
    <row r="66" customFormat="1" s="129">
      <c r="A66" s="28" t="n">
        <v>34820</v>
      </c>
      <c r="B66" s="29">
        <f>VLOOKUP(A66,Database!$E:$AY,MATCH($B$1,Database!$E$1:$AY$1,0),FALSE)</f>
        <v/>
      </c>
      <c r="C66" s="29">
        <f>VLOOKUP(A66,Database!$E:$AY,MATCH($C$1,Database!$E$1:$AY$1,0),FALSE)</f>
        <v/>
      </c>
      <c r="D66" s="29">
        <f>VLOOKUP(A66,Database!$E:$AY,MATCH($D$1,Database!$E$1:$AY$1,0),FALSE)</f>
        <v/>
      </c>
      <c r="E66" s="29">
        <f>VLOOKUP(A66,Database!$E:$AY,MATCH($E$1,Database!$E$1:$AY$1,0),FALSE)</f>
        <v/>
      </c>
      <c r="F66" s="29">
        <f>VLOOKUP(A66,Database!$E:$AY,MATCH($F$1,Database!$E$1:$AY$1,0),FALSE)</f>
        <v/>
      </c>
      <c r="G66" s="29">
        <f>VLOOKUP(A66,Database!$E:$AY,MATCH($G$1,Database!$E$1:$AY$1,0),FALSE)</f>
        <v/>
      </c>
      <c r="H66" s="29">
        <f>(((Table134567891011121314151617343[[#This Row],[ITA]]-VLOOKUP($U$1,A:B,2,))/VLOOKUP($U$1,A:B,2,))*100)+100</f>
        <v/>
      </c>
      <c r="I66" s="29">
        <f>(((Table134567891011121314151617343[[#This Row],[FRA]]-VLOOKUP($U$1,A:C,3,))/VLOOKUP($U$1,A:C,3,))*100)+100</f>
        <v/>
      </c>
      <c r="J66" s="29">
        <f>(((Table134567891011121314151617343[[#This Row],[DEU]]-VLOOKUP($U$1,A:D,4,))/VLOOKUP($U$1,A:D,4,))*100)+100</f>
        <v/>
      </c>
      <c r="K66" s="29">
        <f>(((Table134567891011121314151617343[[#This Row],[ESP]]-VLOOKUP($U$1,A:E,5,))/VLOOKUP($U$1,A:E,5,))*100)+100</f>
        <v/>
      </c>
      <c r="L66" s="29">
        <f>(((Table134567891011121314151617343[[#This Row],[EA19]]-VLOOKUP($U$1,A:F,6,))/VLOOKUP($U$1,A:F,6,))*100)+100</f>
        <v/>
      </c>
      <c r="M66" s="29">
        <f>(((Table134567891011121314151617343[[#This Row],[GBR]]-VLOOKUP($U$1,A:G,7,))/VLOOKUP($U$1,A:G,7,))*100)+100</f>
        <v/>
      </c>
      <c r="N66" s="29">
        <f>VLOOKUP(A66,Database!$E:$AY,MATCH($N$1,Database!$E$1:$AY$1,0),FALSE)</f>
        <v/>
      </c>
      <c r="O66" s="29">
        <f>(((Table134567891011121314151617343[[#This Row],[USA]]-VLOOKUP($U$1,A:N,14,))/VLOOKUP($U$1,A:N,14,))*100)+100</f>
        <v/>
      </c>
      <c r="P66" s="29">
        <f>VLOOKUP(A66,Database!$E:$AY,MATCH($P$1,Database!$E$1:$AY$1,0),FALSE)</f>
        <v/>
      </c>
      <c r="Q66" s="29">
        <f>(((Table134567891011121314151617343[[#This Row],[JPN]]-VLOOKUP($U$1,A:Q,16,))/VLOOKUP($U$1,A:Q,16,))*100)+100</f>
        <v/>
      </c>
    </row>
    <row r="67" customFormat="1" s="129">
      <c r="A67" s="28" t="n">
        <v>34851</v>
      </c>
      <c r="B67" s="29">
        <f>VLOOKUP(A67,Database!$E:$AY,MATCH($B$1,Database!$E$1:$AY$1,0),FALSE)</f>
        <v/>
      </c>
      <c r="C67" s="29">
        <f>VLOOKUP(A67,Database!$E:$AY,MATCH($C$1,Database!$E$1:$AY$1,0),FALSE)</f>
        <v/>
      </c>
      <c r="D67" s="29">
        <f>VLOOKUP(A67,Database!$E:$AY,MATCH($D$1,Database!$E$1:$AY$1,0),FALSE)</f>
        <v/>
      </c>
      <c r="E67" s="29">
        <f>VLOOKUP(A67,Database!$E:$AY,MATCH($E$1,Database!$E$1:$AY$1,0),FALSE)</f>
        <v/>
      </c>
      <c r="F67" s="29">
        <f>VLOOKUP(A67,Database!$E:$AY,MATCH($F$1,Database!$E$1:$AY$1,0),FALSE)</f>
        <v/>
      </c>
      <c r="G67" s="29">
        <f>VLOOKUP(A67,Database!$E:$AY,MATCH($G$1,Database!$E$1:$AY$1,0),FALSE)</f>
        <v/>
      </c>
      <c r="H67" s="29">
        <f>(((Table134567891011121314151617343[[#This Row],[ITA]]-VLOOKUP($U$1,A:B,2,))/VLOOKUP($U$1,A:B,2,))*100)+100</f>
        <v/>
      </c>
      <c r="I67" s="29">
        <f>(((Table134567891011121314151617343[[#This Row],[FRA]]-VLOOKUP($U$1,A:C,3,))/VLOOKUP($U$1,A:C,3,))*100)+100</f>
        <v/>
      </c>
      <c r="J67" s="29">
        <f>(((Table134567891011121314151617343[[#This Row],[DEU]]-VLOOKUP($U$1,A:D,4,))/VLOOKUP($U$1,A:D,4,))*100)+100</f>
        <v/>
      </c>
      <c r="K67" s="29">
        <f>(((Table134567891011121314151617343[[#This Row],[ESP]]-VLOOKUP($U$1,A:E,5,))/VLOOKUP($U$1,A:E,5,))*100)+100</f>
        <v/>
      </c>
      <c r="L67" s="29">
        <f>(((Table134567891011121314151617343[[#This Row],[EA19]]-VLOOKUP($U$1,A:F,6,))/VLOOKUP($U$1,A:F,6,))*100)+100</f>
        <v/>
      </c>
      <c r="M67" s="29">
        <f>(((Table134567891011121314151617343[[#This Row],[GBR]]-VLOOKUP($U$1,A:G,7,))/VLOOKUP($U$1,A:G,7,))*100)+100</f>
        <v/>
      </c>
      <c r="N67" s="29">
        <f>VLOOKUP(A67,Database!$E:$AY,MATCH($N$1,Database!$E$1:$AY$1,0),FALSE)</f>
        <v/>
      </c>
      <c r="O67" s="29">
        <f>(((Table134567891011121314151617343[[#This Row],[USA]]-VLOOKUP($U$1,A:N,14,))/VLOOKUP($U$1,A:N,14,))*100)+100</f>
        <v/>
      </c>
      <c r="P67" s="29">
        <f>VLOOKUP(A67,Database!$E:$AY,MATCH($P$1,Database!$E$1:$AY$1,0),FALSE)</f>
        <v/>
      </c>
      <c r="Q67" s="29">
        <f>(((Table134567891011121314151617343[[#This Row],[JPN]]-VLOOKUP($U$1,A:Q,16,))/VLOOKUP($U$1,A:Q,16,))*100)+100</f>
        <v/>
      </c>
    </row>
    <row r="68" customFormat="1" s="129">
      <c r="A68" s="28" t="n">
        <v>34881</v>
      </c>
      <c r="B68" s="29">
        <f>VLOOKUP(A68,Database!$E:$AY,MATCH($B$1,Database!$E$1:$AY$1,0),FALSE)</f>
        <v/>
      </c>
      <c r="C68" s="29">
        <f>VLOOKUP(A68,Database!$E:$AY,MATCH($C$1,Database!$E$1:$AY$1,0),FALSE)</f>
        <v/>
      </c>
      <c r="D68" s="29">
        <f>VLOOKUP(A68,Database!$E:$AY,MATCH($D$1,Database!$E$1:$AY$1,0),FALSE)</f>
        <v/>
      </c>
      <c r="E68" s="29">
        <f>VLOOKUP(A68,Database!$E:$AY,MATCH($E$1,Database!$E$1:$AY$1,0),FALSE)</f>
        <v/>
      </c>
      <c r="F68" s="29">
        <f>VLOOKUP(A68,Database!$E:$AY,MATCH($F$1,Database!$E$1:$AY$1,0),FALSE)</f>
        <v/>
      </c>
      <c r="G68" s="29">
        <f>VLOOKUP(A68,Database!$E:$AY,MATCH($G$1,Database!$E$1:$AY$1,0),FALSE)</f>
        <v/>
      </c>
      <c r="H68" s="29">
        <f>(((Table134567891011121314151617343[[#This Row],[ITA]]-VLOOKUP($U$1,A:B,2,))/VLOOKUP($U$1,A:B,2,))*100)+100</f>
        <v/>
      </c>
      <c r="I68" s="29">
        <f>(((Table134567891011121314151617343[[#This Row],[FRA]]-VLOOKUP($U$1,A:C,3,))/VLOOKUP($U$1,A:C,3,))*100)+100</f>
        <v/>
      </c>
      <c r="J68" s="29">
        <f>(((Table134567891011121314151617343[[#This Row],[DEU]]-VLOOKUP($U$1,A:D,4,))/VLOOKUP($U$1,A:D,4,))*100)+100</f>
        <v/>
      </c>
      <c r="K68" s="29">
        <f>(((Table134567891011121314151617343[[#This Row],[ESP]]-VLOOKUP($U$1,A:E,5,))/VLOOKUP($U$1,A:E,5,))*100)+100</f>
        <v/>
      </c>
      <c r="L68" s="29">
        <f>(((Table134567891011121314151617343[[#This Row],[EA19]]-VLOOKUP($U$1,A:F,6,))/VLOOKUP($U$1,A:F,6,))*100)+100</f>
        <v/>
      </c>
      <c r="M68" s="29">
        <f>(((Table134567891011121314151617343[[#This Row],[GBR]]-VLOOKUP($U$1,A:G,7,))/VLOOKUP($U$1,A:G,7,))*100)+100</f>
        <v/>
      </c>
      <c r="N68" s="29">
        <f>VLOOKUP(A68,Database!$E:$AY,MATCH($N$1,Database!$E$1:$AY$1,0),FALSE)</f>
        <v/>
      </c>
      <c r="O68" s="29">
        <f>(((Table134567891011121314151617343[[#This Row],[USA]]-VLOOKUP($U$1,A:N,14,))/VLOOKUP($U$1,A:N,14,))*100)+100</f>
        <v/>
      </c>
      <c r="P68" s="29">
        <f>VLOOKUP(A68,Database!$E:$AY,MATCH($P$1,Database!$E$1:$AY$1,0),FALSE)</f>
        <v/>
      </c>
      <c r="Q68" s="29">
        <f>(((Table134567891011121314151617343[[#This Row],[JPN]]-VLOOKUP($U$1,A:Q,16,))/VLOOKUP($U$1,A:Q,16,))*100)+100</f>
        <v/>
      </c>
    </row>
    <row r="69" customFormat="1" s="129">
      <c r="A69" s="28" t="n">
        <v>34912</v>
      </c>
      <c r="B69" s="29">
        <f>VLOOKUP(A69,Database!$E:$AY,MATCH($B$1,Database!$E$1:$AY$1,0),FALSE)</f>
        <v/>
      </c>
      <c r="C69" s="29">
        <f>VLOOKUP(A69,Database!$E:$AY,MATCH($C$1,Database!$E$1:$AY$1,0),FALSE)</f>
        <v/>
      </c>
      <c r="D69" s="29">
        <f>VLOOKUP(A69,Database!$E:$AY,MATCH($D$1,Database!$E$1:$AY$1,0),FALSE)</f>
        <v/>
      </c>
      <c r="E69" s="29">
        <f>VLOOKUP(A69,Database!$E:$AY,MATCH($E$1,Database!$E$1:$AY$1,0),FALSE)</f>
        <v/>
      </c>
      <c r="F69" s="29">
        <f>VLOOKUP(A69,Database!$E:$AY,MATCH($F$1,Database!$E$1:$AY$1,0),FALSE)</f>
        <v/>
      </c>
      <c r="G69" s="29">
        <f>VLOOKUP(A69,Database!$E:$AY,MATCH($G$1,Database!$E$1:$AY$1,0),FALSE)</f>
        <v/>
      </c>
      <c r="H69" s="29">
        <f>(((Table134567891011121314151617343[[#This Row],[ITA]]-VLOOKUP($U$1,A:B,2,))/VLOOKUP($U$1,A:B,2,))*100)+100</f>
        <v/>
      </c>
      <c r="I69" s="29">
        <f>(((Table134567891011121314151617343[[#This Row],[FRA]]-VLOOKUP($U$1,A:C,3,))/VLOOKUP($U$1,A:C,3,))*100)+100</f>
        <v/>
      </c>
      <c r="J69" s="29">
        <f>(((Table134567891011121314151617343[[#This Row],[DEU]]-VLOOKUP($U$1,A:D,4,))/VLOOKUP($U$1,A:D,4,))*100)+100</f>
        <v/>
      </c>
      <c r="K69" s="29">
        <f>(((Table134567891011121314151617343[[#This Row],[ESP]]-VLOOKUP($U$1,A:E,5,))/VLOOKUP($U$1,A:E,5,))*100)+100</f>
        <v/>
      </c>
      <c r="L69" s="29">
        <f>(((Table134567891011121314151617343[[#This Row],[EA19]]-VLOOKUP($U$1,A:F,6,))/VLOOKUP($U$1,A:F,6,))*100)+100</f>
        <v/>
      </c>
      <c r="M69" s="29">
        <f>(((Table134567891011121314151617343[[#This Row],[GBR]]-VLOOKUP($U$1,A:G,7,))/VLOOKUP($U$1,A:G,7,))*100)+100</f>
        <v/>
      </c>
      <c r="N69" s="29">
        <f>VLOOKUP(A69,Database!$E:$AY,MATCH($N$1,Database!$E$1:$AY$1,0),FALSE)</f>
        <v/>
      </c>
      <c r="O69" s="29">
        <f>(((Table134567891011121314151617343[[#This Row],[USA]]-VLOOKUP($U$1,A:N,14,))/VLOOKUP($U$1,A:N,14,))*100)+100</f>
        <v/>
      </c>
      <c r="P69" s="29">
        <f>VLOOKUP(A69,Database!$E:$AY,MATCH($P$1,Database!$E$1:$AY$1,0),FALSE)</f>
        <v/>
      </c>
      <c r="Q69" s="29">
        <f>(((Table134567891011121314151617343[[#This Row],[JPN]]-VLOOKUP($U$1,A:Q,16,))/VLOOKUP($U$1,A:Q,16,))*100)+100</f>
        <v/>
      </c>
    </row>
    <row r="70" customFormat="1" s="129">
      <c r="A70" s="28" t="n">
        <v>34943</v>
      </c>
      <c r="B70" s="29">
        <f>VLOOKUP(A70,Database!$E:$AY,MATCH($B$1,Database!$E$1:$AY$1,0),FALSE)</f>
        <v/>
      </c>
      <c r="C70" s="29">
        <f>VLOOKUP(A70,Database!$E:$AY,MATCH($C$1,Database!$E$1:$AY$1,0),FALSE)</f>
        <v/>
      </c>
      <c r="D70" s="29">
        <f>VLOOKUP(A70,Database!$E:$AY,MATCH($D$1,Database!$E$1:$AY$1,0),FALSE)</f>
        <v/>
      </c>
      <c r="E70" s="29">
        <f>VLOOKUP(A70,Database!$E:$AY,MATCH($E$1,Database!$E$1:$AY$1,0),FALSE)</f>
        <v/>
      </c>
      <c r="F70" s="29">
        <f>VLOOKUP(A70,Database!$E:$AY,MATCH($F$1,Database!$E$1:$AY$1,0),FALSE)</f>
        <v/>
      </c>
      <c r="G70" s="29">
        <f>VLOOKUP(A70,Database!$E:$AY,MATCH($G$1,Database!$E$1:$AY$1,0),FALSE)</f>
        <v/>
      </c>
      <c r="H70" s="29">
        <f>(((Table134567891011121314151617343[[#This Row],[ITA]]-VLOOKUP($U$1,A:B,2,))/VLOOKUP($U$1,A:B,2,))*100)+100</f>
        <v/>
      </c>
      <c r="I70" s="29">
        <f>(((Table134567891011121314151617343[[#This Row],[FRA]]-VLOOKUP($U$1,A:C,3,))/VLOOKUP($U$1,A:C,3,))*100)+100</f>
        <v/>
      </c>
      <c r="J70" s="29">
        <f>(((Table134567891011121314151617343[[#This Row],[DEU]]-VLOOKUP($U$1,A:D,4,))/VLOOKUP($U$1,A:D,4,))*100)+100</f>
        <v/>
      </c>
      <c r="K70" s="29">
        <f>(((Table134567891011121314151617343[[#This Row],[ESP]]-VLOOKUP($U$1,A:E,5,))/VLOOKUP($U$1,A:E,5,))*100)+100</f>
        <v/>
      </c>
      <c r="L70" s="29">
        <f>(((Table134567891011121314151617343[[#This Row],[EA19]]-VLOOKUP($U$1,A:F,6,))/VLOOKUP($U$1,A:F,6,))*100)+100</f>
        <v/>
      </c>
      <c r="M70" s="29">
        <f>(((Table134567891011121314151617343[[#This Row],[GBR]]-VLOOKUP($U$1,A:G,7,))/VLOOKUP($U$1,A:G,7,))*100)+100</f>
        <v/>
      </c>
      <c r="N70" s="29">
        <f>VLOOKUP(A70,Database!$E:$AY,MATCH($N$1,Database!$E$1:$AY$1,0),FALSE)</f>
        <v/>
      </c>
      <c r="O70" s="29">
        <f>(((Table134567891011121314151617343[[#This Row],[USA]]-VLOOKUP($U$1,A:N,14,))/VLOOKUP($U$1,A:N,14,))*100)+100</f>
        <v/>
      </c>
      <c r="P70" s="29">
        <f>VLOOKUP(A70,Database!$E:$AY,MATCH($P$1,Database!$E$1:$AY$1,0),FALSE)</f>
        <v/>
      </c>
      <c r="Q70" s="29">
        <f>(((Table134567891011121314151617343[[#This Row],[JPN]]-VLOOKUP($U$1,A:Q,16,))/VLOOKUP($U$1,A:Q,16,))*100)+100</f>
        <v/>
      </c>
    </row>
    <row r="71" customFormat="1" s="129">
      <c r="A71" s="28" t="n">
        <v>34973</v>
      </c>
      <c r="B71" s="29">
        <f>VLOOKUP(A71,Database!$E:$AY,MATCH($B$1,Database!$E$1:$AY$1,0),FALSE)</f>
        <v/>
      </c>
      <c r="C71" s="29">
        <f>VLOOKUP(A71,Database!$E:$AY,MATCH($C$1,Database!$E$1:$AY$1,0),FALSE)</f>
        <v/>
      </c>
      <c r="D71" s="29">
        <f>VLOOKUP(A71,Database!$E:$AY,MATCH($D$1,Database!$E$1:$AY$1,0),FALSE)</f>
        <v/>
      </c>
      <c r="E71" s="29">
        <f>VLOOKUP(A71,Database!$E:$AY,MATCH($E$1,Database!$E$1:$AY$1,0),FALSE)</f>
        <v/>
      </c>
      <c r="F71" s="29">
        <f>VLOOKUP(A71,Database!$E:$AY,MATCH($F$1,Database!$E$1:$AY$1,0),FALSE)</f>
        <v/>
      </c>
      <c r="G71" s="29">
        <f>VLOOKUP(A71,Database!$E:$AY,MATCH($G$1,Database!$E$1:$AY$1,0),FALSE)</f>
        <v/>
      </c>
      <c r="H71" s="29">
        <f>(((Table134567891011121314151617343[[#This Row],[ITA]]-VLOOKUP($U$1,A:B,2,))/VLOOKUP($U$1,A:B,2,))*100)+100</f>
        <v/>
      </c>
      <c r="I71" s="29">
        <f>(((Table134567891011121314151617343[[#This Row],[FRA]]-VLOOKUP($U$1,A:C,3,))/VLOOKUP($U$1,A:C,3,))*100)+100</f>
        <v/>
      </c>
      <c r="J71" s="29">
        <f>(((Table134567891011121314151617343[[#This Row],[DEU]]-VLOOKUP($U$1,A:D,4,))/VLOOKUP($U$1,A:D,4,))*100)+100</f>
        <v/>
      </c>
      <c r="K71" s="29">
        <f>(((Table134567891011121314151617343[[#This Row],[ESP]]-VLOOKUP($U$1,A:E,5,))/VLOOKUP($U$1,A:E,5,))*100)+100</f>
        <v/>
      </c>
      <c r="L71" s="29">
        <f>(((Table134567891011121314151617343[[#This Row],[EA19]]-VLOOKUP($U$1,A:F,6,))/VLOOKUP($U$1,A:F,6,))*100)+100</f>
        <v/>
      </c>
      <c r="M71" s="29">
        <f>(((Table134567891011121314151617343[[#This Row],[GBR]]-VLOOKUP($U$1,A:G,7,))/VLOOKUP($U$1,A:G,7,))*100)+100</f>
        <v/>
      </c>
      <c r="N71" s="29">
        <f>VLOOKUP(A71,Database!$E:$AY,MATCH($N$1,Database!$E$1:$AY$1,0),FALSE)</f>
        <v/>
      </c>
      <c r="O71" s="29">
        <f>(((Table134567891011121314151617343[[#This Row],[USA]]-VLOOKUP($U$1,A:N,14,))/VLOOKUP($U$1,A:N,14,))*100)+100</f>
        <v/>
      </c>
      <c r="P71" s="29">
        <f>VLOOKUP(A71,Database!$E:$AY,MATCH($P$1,Database!$E$1:$AY$1,0),FALSE)</f>
        <v/>
      </c>
      <c r="Q71" s="29">
        <f>(((Table134567891011121314151617343[[#This Row],[JPN]]-VLOOKUP($U$1,A:Q,16,))/VLOOKUP($U$1,A:Q,16,))*100)+100</f>
        <v/>
      </c>
    </row>
    <row r="72" customFormat="1" s="129">
      <c r="A72" s="28" t="n">
        <v>35004</v>
      </c>
      <c r="B72" s="29">
        <f>VLOOKUP(A72,Database!$E:$AY,MATCH($B$1,Database!$E$1:$AY$1,0),FALSE)</f>
        <v/>
      </c>
      <c r="C72" s="29">
        <f>VLOOKUP(A72,Database!$E:$AY,MATCH($C$1,Database!$E$1:$AY$1,0),FALSE)</f>
        <v/>
      </c>
      <c r="D72" s="29">
        <f>VLOOKUP(A72,Database!$E:$AY,MATCH($D$1,Database!$E$1:$AY$1,0),FALSE)</f>
        <v/>
      </c>
      <c r="E72" s="29">
        <f>VLOOKUP(A72,Database!$E:$AY,MATCH($E$1,Database!$E$1:$AY$1,0),FALSE)</f>
        <v/>
      </c>
      <c r="F72" s="29">
        <f>VLOOKUP(A72,Database!$E:$AY,MATCH($F$1,Database!$E$1:$AY$1,0),FALSE)</f>
        <v/>
      </c>
      <c r="G72" s="29">
        <f>VLOOKUP(A72,Database!$E:$AY,MATCH($G$1,Database!$E$1:$AY$1,0),FALSE)</f>
        <v/>
      </c>
      <c r="H72" s="29">
        <f>(((Table134567891011121314151617343[[#This Row],[ITA]]-VLOOKUP($U$1,A:B,2,))/VLOOKUP($U$1,A:B,2,))*100)+100</f>
        <v/>
      </c>
      <c r="I72" s="29">
        <f>(((Table134567891011121314151617343[[#This Row],[FRA]]-VLOOKUP($U$1,A:C,3,))/VLOOKUP($U$1,A:C,3,))*100)+100</f>
        <v/>
      </c>
      <c r="J72" s="29">
        <f>(((Table134567891011121314151617343[[#This Row],[DEU]]-VLOOKUP($U$1,A:D,4,))/VLOOKUP($U$1,A:D,4,))*100)+100</f>
        <v/>
      </c>
      <c r="K72" s="29">
        <f>(((Table134567891011121314151617343[[#This Row],[ESP]]-VLOOKUP($U$1,A:E,5,))/VLOOKUP($U$1,A:E,5,))*100)+100</f>
        <v/>
      </c>
      <c r="L72" s="29">
        <f>(((Table134567891011121314151617343[[#This Row],[EA19]]-VLOOKUP($U$1,A:F,6,))/VLOOKUP($U$1,A:F,6,))*100)+100</f>
        <v/>
      </c>
      <c r="M72" s="29">
        <f>(((Table134567891011121314151617343[[#This Row],[GBR]]-VLOOKUP($U$1,A:G,7,))/VLOOKUP($U$1,A:G,7,))*100)+100</f>
        <v/>
      </c>
      <c r="N72" s="29">
        <f>VLOOKUP(A72,Database!$E:$AY,MATCH($N$1,Database!$E$1:$AY$1,0),FALSE)</f>
        <v/>
      </c>
      <c r="O72" s="29">
        <f>(((Table134567891011121314151617343[[#This Row],[USA]]-VLOOKUP($U$1,A:N,14,))/VLOOKUP($U$1,A:N,14,))*100)+100</f>
        <v/>
      </c>
      <c r="P72" s="29">
        <f>VLOOKUP(A72,Database!$E:$AY,MATCH($P$1,Database!$E$1:$AY$1,0),FALSE)</f>
        <v/>
      </c>
      <c r="Q72" s="29">
        <f>(((Table134567891011121314151617343[[#This Row],[JPN]]-VLOOKUP($U$1,A:Q,16,))/VLOOKUP($U$1,A:Q,16,))*100)+100</f>
        <v/>
      </c>
    </row>
    <row r="73" customFormat="1" s="129">
      <c r="A73" s="28" t="n">
        <v>35034</v>
      </c>
      <c r="B73" s="29">
        <f>VLOOKUP(A73,Database!$E:$AY,MATCH($B$1,Database!$E$1:$AY$1,0),FALSE)</f>
        <v/>
      </c>
      <c r="C73" s="29">
        <f>VLOOKUP(A73,Database!$E:$AY,MATCH($C$1,Database!$E$1:$AY$1,0),FALSE)</f>
        <v/>
      </c>
      <c r="D73" s="29">
        <f>VLOOKUP(A73,Database!$E:$AY,MATCH($D$1,Database!$E$1:$AY$1,0),FALSE)</f>
        <v/>
      </c>
      <c r="E73" s="29">
        <f>VLOOKUP(A73,Database!$E:$AY,MATCH($E$1,Database!$E$1:$AY$1,0),FALSE)</f>
        <v/>
      </c>
      <c r="F73" s="29">
        <f>VLOOKUP(A73,Database!$E:$AY,MATCH($F$1,Database!$E$1:$AY$1,0),FALSE)</f>
        <v/>
      </c>
      <c r="G73" s="29">
        <f>VLOOKUP(A73,Database!$E:$AY,MATCH($G$1,Database!$E$1:$AY$1,0),FALSE)</f>
        <v/>
      </c>
      <c r="H73" s="29">
        <f>(((Table134567891011121314151617343[[#This Row],[ITA]]-VLOOKUP($U$1,A:B,2,))/VLOOKUP($U$1,A:B,2,))*100)+100</f>
        <v/>
      </c>
      <c r="I73" s="29">
        <f>(((Table134567891011121314151617343[[#This Row],[FRA]]-VLOOKUP($U$1,A:C,3,))/VLOOKUP($U$1,A:C,3,))*100)+100</f>
        <v/>
      </c>
      <c r="J73" s="29">
        <f>(((Table134567891011121314151617343[[#This Row],[DEU]]-VLOOKUP($U$1,A:D,4,))/VLOOKUP($U$1,A:D,4,))*100)+100</f>
        <v/>
      </c>
      <c r="K73" s="29">
        <f>(((Table134567891011121314151617343[[#This Row],[ESP]]-VLOOKUP($U$1,A:E,5,))/VLOOKUP($U$1,A:E,5,))*100)+100</f>
        <v/>
      </c>
      <c r="L73" s="29">
        <f>(((Table134567891011121314151617343[[#This Row],[EA19]]-VLOOKUP($U$1,A:F,6,))/VLOOKUP($U$1,A:F,6,))*100)+100</f>
        <v/>
      </c>
      <c r="M73" s="29">
        <f>(((Table134567891011121314151617343[[#This Row],[GBR]]-VLOOKUP($U$1,A:G,7,))/VLOOKUP($U$1,A:G,7,))*100)+100</f>
        <v/>
      </c>
      <c r="N73" s="29">
        <f>VLOOKUP(A73,Database!$E:$AY,MATCH($N$1,Database!$E$1:$AY$1,0),FALSE)</f>
        <v/>
      </c>
      <c r="O73" s="29">
        <f>(((Table134567891011121314151617343[[#This Row],[USA]]-VLOOKUP($U$1,A:N,14,))/VLOOKUP($U$1,A:N,14,))*100)+100</f>
        <v/>
      </c>
      <c r="P73" s="29">
        <f>VLOOKUP(A73,Database!$E:$AY,MATCH($P$1,Database!$E$1:$AY$1,0),FALSE)</f>
        <v/>
      </c>
      <c r="Q73" s="29">
        <f>(((Table134567891011121314151617343[[#This Row],[JPN]]-VLOOKUP($U$1,A:Q,16,))/VLOOKUP($U$1,A:Q,16,))*100)+100</f>
        <v/>
      </c>
    </row>
    <row r="74" customFormat="1" s="129">
      <c r="A74" s="28" t="n">
        <v>35065</v>
      </c>
      <c r="B74" s="29">
        <f>VLOOKUP(A74,Database!$E:$AY,MATCH($B$1,Database!$E$1:$AY$1,0),FALSE)</f>
        <v/>
      </c>
      <c r="C74" s="29">
        <f>VLOOKUP(A74,Database!$E:$AY,MATCH($C$1,Database!$E$1:$AY$1,0),FALSE)</f>
        <v/>
      </c>
      <c r="D74" s="29">
        <f>VLOOKUP(A74,Database!$E:$AY,MATCH($D$1,Database!$E$1:$AY$1,0),FALSE)</f>
        <v/>
      </c>
      <c r="E74" s="29">
        <f>VLOOKUP(A74,Database!$E:$AY,MATCH($E$1,Database!$E$1:$AY$1,0),FALSE)</f>
        <v/>
      </c>
      <c r="F74" s="29">
        <f>VLOOKUP(A74,Database!$E:$AY,MATCH($F$1,Database!$E$1:$AY$1,0),FALSE)</f>
        <v/>
      </c>
      <c r="G74" s="29">
        <f>VLOOKUP(A74,Database!$E:$AY,MATCH($G$1,Database!$E$1:$AY$1,0),FALSE)</f>
        <v/>
      </c>
      <c r="H74" s="29">
        <f>(((Table134567891011121314151617343[[#This Row],[ITA]]-VLOOKUP($U$1,A:B,2,))/VLOOKUP($U$1,A:B,2,))*100)+100</f>
        <v/>
      </c>
      <c r="I74" s="29">
        <f>(((Table134567891011121314151617343[[#This Row],[FRA]]-VLOOKUP($U$1,A:C,3,))/VLOOKUP($U$1,A:C,3,))*100)+100</f>
        <v/>
      </c>
      <c r="J74" s="29">
        <f>(((Table134567891011121314151617343[[#This Row],[DEU]]-VLOOKUP($U$1,A:D,4,))/VLOOKUP($U$1,A:D,4,))*100)+100</f>
        <v/>
      </c>
      <c r="K74" s="29">
        <f>(((Table134567891011121314151617343[[#This Row],[ESP]]-VLOOKUP($U$1,A:E,5,))/VLOOKUP($U$1,A:E,5,))*100)+100</f>
        <v/>
      </c>
      <c r="L74" s="29">
        <f>(((Table134567891011121314151617343[[#This Row],[EA19]]-VLOOKUP($U$1,A:F,6,))/VLOOKUP($U$1,A:F,6,))*100)+100</f>
        <v/>
      </c>
      <c r="M74" s="29">
        <f>(((Table134567891011121314151617343[[#This Row],[GBR]]-VLOOKUP($U$1,A:G,7,))/VLOOKUP($U$1,A:G,7,))*100)+100</f>
        <v/>
      </c>
      <c r="N74" s="29">
        <f>VLOOKUP(A74,Database!$E:$AY,MATCH($N$1,Database!$E$1:$AY$1,0),FALSE)</f>
        <v/>
      </c>
      <c r="O74" s="29">
        <f>(((Table134567891011121314151617343[[#This Row],[USA]]-VLOOKUP($U$1,A:N,14,))/VLOOKUP($U$1,A:N,14,))*100)+100</f>
        <v/>
      </c>
      <c r="P74" s="29">
        <f>VLOOKUP(A74,Database!$E:$AY,MATCH($P$1,Database!$E$1:$AY$1,0),FALSE)</f>
        <v/>
      </c>
      <c r="Q74" s="29">
        <f>(((Table134567891011121314151617343[[#This Row],[JPN]]-VLOOKUP($U$1,A:Q,16,))/VLOOKUP($U$1,A:Q,16,))*100)+100</f>
        <v/>
      </c>
    </row>
    <row r="75" customFormat="1" s="129">
      <c r="A75" s="28" t="n">
        <v>35096</v>
      </c>
      <c r="B75" s="29">
        <f>VLOOKUP(A75,Database!$E:$AY,MATCH($B$1,Database!$E$1:$AY$1,0),FALSE)</f>
        <v/>
      </c>
      <c r="C75" s="29">
        <f>VLOOKUP(A75,Database!$E:$AY,MATCH($C$1,Database!$E$1:$AY$1,0),FALSE)</f>
        <v/>
      </c>
      <c r="D75" s="29">
        <f>VLOOKUP(A75,Database!$E:$AY,MATCH($D$1,Database!$E$1:$AY$1,0),FALSE)</f>
        <v/>
      </c>
      <c r="E75" s="29">
        <f>VLOOKUP(A75,Database!$E:$AY,MATCH($E$1,Database!$E$1:$AY$1,0),FALSE)</f>
        <v/>
      </c>
      <c r="F75" s="29">
        <f>VLOOKUP(A75,Database!$E:$AY,MATCH($F$1,Database!$E$1:$AY$1,0),FALSE)</f>
        <v/>
      </c>
      <c r="G75" s="29">
        <f>VLOOKUP(A75,Database!$E:$AY,MATCH($G$1,Database!$E$1:$AY$1,0),FALSE)</f>
        <v/>
      </c>
      <c r="H75" s="29">
        <f>(((Table134567891011121314151617343[[#This Row],[ITA]]-VLOOKUP($U$1,A:B,2,))/VLOOKUP($U$1,A:B,2,))*100)+100</f>
        <v/>
      </c>
      <c r="I75" s="29">
        <f>(((Table134567891011121314151617343[[#This Row],[FRA]]-VLOOKUP($U$1,A:C,3,))/VLOOKUP($U$1,A:C,3,))*100)+100</f>
        <v/>
      </c>
      <c r="J75" s="29">
        <f>(((Table134567891011121314151617343[[#This Row],[DEU]]-VLOOKUP($U$1,A:D,4,))/VLOOKUP($U$1,A:D,4,))*100)+100</f>
        <v/>
      </c>
      <c r="K75" s="29">
        <f>(((Table134567891011121314151617343[[#This Row],[ESP]]-VLOOKUP($U$1,A:E,5,))/VLOOKUP($U$1,A:E,5,))*100)+100</f>
        <v/>
      </c>
      <c r="L75" s="29">
        <f>(((Table134567891011121314151617343[[#This Row],[EA19]]-VLOOKUP($U$1,A:F,6,))/VLOOKUP($U$1,A:F,6,))*100)+100</f>
        <v/>
      </c>
      <c r="M75" s="29">
        <f>(((Table134567891011121314151617343[[#This Row],[GBR]]-VLOOKUP($U$1,A:G,7,))/VLOOKUP($U$1,A:G,7,))*100)+100</f>
        <v/>
      </c>
      <c r="N75" s="29">
        <f>VLOOKUP(A75,Database!$E:$AY,MATCH($N$1,Database!$E$1:$AY$1,0),FALSE)</f>
        <v/>
      </c>
      <c r="O75" s="29">
        <f>(((Table134567891011121314151617343[[#This Row],[USA]]-VLOOKUP($U$1,A:N,14,))/VLOOKUP($U$1,A:N,14,))*100)+100</f>
        <v/>
      </c>
      <c r="P75" s="29">
        <f>VLOOKUP(A75,Database!$E:$AY,MATCH($P$1,Database!$E$1:$AY$1,0),FALSE)</f>
        <v/>
      </c>
      <c r="Q75" s="29">
        <f>(((Table134567891011121314151617343[[#This Row],[JPN]]-VLOOKUP($U$1,A:Q,16,))/VLOOKUP($U$1,A:Q,16,))*100)+100</f>
        <v/>
      </c>
    </row>
    <row r="76" customFormat="1" s="129">
      <c r="A76" s="28" t="n">
        <v>35125</v>
      </c>
      <c r="B76" s="29">
        <f>VLOOKUP(A76,Database!$E:$AY,MATCH($B$1,Database!$E$1:$AY$1,0),FALSE)</f>
        <v/>
      </c>
      <c r="C76" s="29">
        <f>VLOOKUP(A76,Database!$E:$AY,MATCH($C$1,Database!$E$1:$AY$1,0),FALSE)</f>
        <v/>
      </c>
      <c r="D76" s="29">
        <f>VLOOKUP(A76,Database!$E:$AY,MATCH($D$1,Database!$E$1:$AY$1,0),FALSE)</f>
        <v/>
      </c>
      <c r="E76" s="29">
        <f>VLOOKUP(A76,Database!$E:$AY,MATCH($E$1,Database!$E$1:$AY$1,0),FALSE)</f>
        <v/>
      </c>
      <c r="F76" s="29">
        <f>VLOOKUP(A76,Database!$E:$AY,MATCH($F$1,Database!$E$1:$AY$1,0),FALSE)</f>
        <v/>
      </c>
      <c r="G76" s="29">
        <f>VLOOKUP(A76,Database!$E:$AY,MATCH($G$1,Database!$E$1:$AY$1,0),FALSE)</f>
        <v/>
      </c>
      <c r="H76" s="29">
        <f>(((Table134567891011121314151617343[[#This Row],[ITA]]-VLOOKUP($U$1,A:B,2,))/VLOOKUP($U$1,A:B,2,))*100)+100</f>
        <v/>
      </c>
      <c r="I76" s="29">
        <f>(((Table134567891011121314151617343[[#This Row],[FRA]]-VLOOKUP($U$1,A:C,3,))/VLOOKUP($U$1,A:C,3,))*100)+100</f>
        <v/>
      </c>
      <c r="J76" s="29">
        <f>(((Table134567891011121314151617343[[#This Row],[DEU]]-VLOOKUP($U$1,A:D,4,))/VLOOKUP($U$1,A:D,4,))*100)+100</f>
        <v/>
      </c>
      <c r="K76" s="29">
        <f>(((Table134567891011121314151617343[[#This Row],[ESP]]-VLOOKUP($U$1,A:E,5,))/VLOOKUP($U$1,A:E,5,))*100)+100</f>
        <v/>
      </c>
      <c r="L76" s="29">
        <f>(((Table134567891011121314151617343[[#This Row],[EA19]]-VLOOKUP($U$1,A:F,6,))/VLOOKUP($U$1,A:F,6,))*100)+100</f>
        <v/>
      </c>
      <c r="M76" s="29">
        <f>(((Table134567891011121314151617343[[#This Row],[GBR]]-VLOOKUP($U$1,A:G,7,))/VLOOKUP($U$1,A:G,7,))*100)+100</f>
        <v/>
      </c>
      <c r="N76" s="29">
        <f>VLOOKUP(A76,Database!$E:$AY,MATCH($N$1,Database!$E$1:$AY$1,0),FALSE)</f>
        <v/>
      </c>
      <c r="O76" s="29">
        <f>(((Table134567891011121314151617343[[#This Row],[USA]]-VLOOKUP($U$1,A:N,14,))/VLOOKUP($U$1,A:N,14,))*100)+100</f>
        <v/>
      </c>
      <c r="P76" s="29">
        <f>VLOOKUP(A76,Database!$E:$AY,MATCH($P$1,Database!$E$1:$AY$1,0),FALSE)</f>
        <v/>
      </c>
      <c r="Q76" s="29">
        <f>(((Table134567891011121314151617343[[#This Row],[JPN]]-VLOOKUP($U$1,A:Q,16,))/VLOOKUP($U$1,A:Q,16,))*100)+100</f>
        <v/>
      </c>
    </row>
    <row r="77" customFormat="1" s="129">
      <c r="A77" s="28" t="n">
        <v>35156</v>
      </c>
      <c r="B77" s="29">
        <f>VLOOKUP(A77,Database!$E:$AY,MATCH($B$1,Database!$E$1:$AY$1,0),FALSE)</f>
        <v/>
      </c>
      <c r="C77" s="29">
        <f>VLOOKUP(A77,Database!$E:$AY,MATCH($C$1,Database!$E$1:$AY$1,0),FALSE)</f>
        <v/>
      </c>
      <c r="D77" s="29">
        <f>VLOOKUP(A77,Database!$E:$AY,MATCH($D$1,Database!$E$1:$AY$1,0),FALSE)</f>
        <v/>
      </c>
      <c r="E77" s="29">
        <f>VLOOKUP(A77,Database!$E:$AY,MATCH($E$1,Database!$E$1:$AY$1,0),FALSE)</f>
        <v/>
      </c>
      <c r="F77" s="29">
        <f>VLOOKUP(A77,Database!$E:$AY,MATCH($F$1,Database!$E$1:$AY$1,0),FALSE)</f>
        <v/>
      </c>
      <c r="G77" s="29">
        <f>VLOOKUP(A77,Database!$E:$AY,MATCH($G$1,Database!$E$1:$AY$1,0),FALSE)</f>
        <v/>
      </c>
      <c r="H77" s="29">
        <f>(((Table134567891011121314151617343[[#This Row],[ITA]]-VLOOKUP($U$1,A:B,2,))/VLOOKUP($U$1,A:B,2,))*100)+100</f>
        <v/>
      </c>
      <c r="I77" s="29">
        <f>(((Table134567891011121314151617343[[#This Row],[FRA]]-VLOOKUP($U$1,A:C,3,))/VLOOKUP($U$1,A:C,3,))*100)+100</f>
        <v/>
      </c>
      <c r="J77" s="29">
        <f>(((Table134567891011121314151617343[[#This Row],[DEU]]-VLOOKUP($U$1,A:D,4,))/VLOOKUP($U$1,A:D,4,))*100)+100</f>
        <v/>
      </c>
      <c r="K77" s="29">
        <f>(((Table134567891011121314151617343[[#This Row],[ESP]]-VLOOKUP($U$1,A:E,5,))/VLOOKUP($U$1,A:E,5,))*100)+100</f>
        <v/>
      </c>
      <c r="L77" s="29">
        <f>(((Table134567891011121314151617343[[#This Row],[EA19]]-VLOOKUP($U$1,A:F,6,))/VLOOKUP($U$1,A:F,6,))*100)+100</f>
        <v/>
      </c>
      <c r="M77" s="29">
        <f>(((Table134567891011121314151617343[[#This Row],[GBR]]-VLOOKUP($U$1,A:G,7,))/VLOOKUP($U$1,A:G,7,))*100)+100</f>
        <v/>
      </c>
      <c r="N77" s="29">
        <f>VLOOKUP(A77,Database!$E:$AY,MATCH($N$1,Database!$E$1:$AY$1,0),FALSE)</f>
        <v/>
      </c>
      <c r="O77" s="29">
        <f>(((Table134567891011121314151617343[[#This Row],[USA]]-VLOOKUP($U$1,A:N,14,))/VLOOKUP($U$1,A:N,14,))*100)+100</f>
        <v/>
      </c>
      <c r="P77" s="29">
        <f>VLOOKUP(A77,Database!$E:$AY,MATCH($P$1,Database!$E$1:$AY$1,0),FALSE)</f>
        <v/>
      </c>
      <c r="Q77" s="29">
        <f>(((Table134567891011121314151617343[[#This Row],[JPN]]-VLOOKUP($U$1,A:Q,16,))/VLOOKUP($U$1,A:Q,16,))*100)+100</f>
        <v/>
      </c>
    </row>
    <row r="78" customFormat="1" s="129">
      <c r="A78" s="28" t="n">
        <v>35186</v>
      </c>
      <c r="B78" s="29">
        <f>VLOOKUP(A78,Database!$E:$AY,MATCH($B$1,Database!$E$1:$AY$1,0),FALSE)</f>
        <v/>
      </c>
      <c r="C78" s="29">
        <f>VLOOKUP(A78,Database!$E:$AY,MATCH($C$1,Database!$E$1:$AY$1,0),FALSE)</f>
        <v/>
      </c>
      <c r="D78" s="29">
        <f>VLOOKUP(A78,Database!$E:$AY,MATCH($D$1,Database!$E$1:$AY$1,0),FALSE)</f>
        <v/>
      </c>
      <c r="E78" s="29">
        <f>VLOOKUP(A78,Database!$E:$AY,MATCH($E$1,Database!$E$1:$AY$1,0),FALSE)</f>
        <v/>
      </c>
      <c r="F78" s="29">
        <f>VLOOKUP(A78,Database!$E:$AY,MATCH($F$1,Database!$E$1:$AY$1,0),FALSE)</f>
        <v/>
      </c>
      <c r="G78" s="29">
        <f>VLOOKUP(A78,Database!$E:$AY,MATCH($G$1,Database!$E$1:$AY$1,0),FALSE)</f>
        <v/>
      </c>
      <c r="H78" s="29">
        <f>(((Table134567891011121314151617343[[#This Row],[ITA]]-VLOOKUP($U$1,A:B,2,))/VLOOKUP($U$1,A:B,2,))*100)+100</f>
        <v/>
      </c>
      <c r="I78" s="29">
        <f>(((Table134567891011121314151617343[[#This Row],[FRA]]-VLOOKUP($U$1,A:C,3,))/VLOOKUP($U$1,A:C,3,))*100)+100</f>
        <v/>
      </c>
      <c r="J78" s="29">
        <f>(((Table134567891011121314151617343[[#This Row],[DEU]]-VLOOKUP($U$1,A:D,4,))/VLOOKUP($U$1,A:D,4,))*100)+100</f>
        <v/>
      </c>
      <c r="K78" s="29">
        <f>(((Table134567891011121314151617343[[#This Row],[ESP]]-VLOOKUP($U$1,A:E,5,))/VLOOKUP($U$1,A:E,5,))*100)+100</f>
        <v/>
      </c>
      <c r="L78" s="29">
        <f>(((Table134567891011121314151617343[[#This Row],[EA19]]-VLOOKUP($U$1,A:F,6,))/VLOOKUP($U$1,A:F,6,))*100)+100</f>
        <v/>
      </c>
      <c r="M78" s="29">
        <f>(((Table134567891011121314151617343[[#This Row],[GBR]]-VLOOKUP($U$1,A:G,7,))/VLOOKUP($U$1,A:G,7,))*100)+100</f>
        <v/>
      </c>
      <c r="N78" s="29">
        <f>VLOOKUP(A78,Database!$E:$AY,MATCH($N$1,Database!$E$1:$AY$1,0),FALSE)</f>
        <v/>
      </c>
      <c r="O78" s="29">
        <f>(((Table134567891011121314151617343[[#This Row],[USA]]-VLOOKUP($U$1,A:N,14,))/VLOOKUP($U$1,A:N,14,))*100)+100</f>
        <v/>
      </c>
      <c r="P78" s="29">
        <f>VLOOKUP(A78,Database!$E:$AY,MATCH($P$1,Database!$E$1:$AY$1,0),FALSE)</f>
        <v/>
      </c>
      <c r="Q78" s="29">
        <f>(((Table134567891011121314151617343[[#This Row],[JPN]]-VLOOKUP($U$1,A:Q,16,))/VLOOKUP($U$1,A:Q,16,))*100)+100</f>
        <v/>
      </c>
    </row>
    <row r="79" customFormat="1" s="129">
      <c r="A79" s="28" t="n">
        <v>35217</v>
      </c>
      <c r="B79" s="29">
        <f>VLOOKUP(A79,Database!$E:$AY,MATCH($B$1,Database!$E$1:$AY$1,0),FALSE)</f>
        <v/>
      </c>
      <c r="C79" s="29">
        <f>VLOOKUP(A79,Database!$E:$AY,MATCH($C$1,Database!$E$1:$AY$1,0),FALSE)</f>
        <v/>
      </c>
      <c r="D79" s="29">
        <f>VLOOKUP(A79,Database!$E:$AY,MATCH($D$1,Database!$E$1:$AY$1,0),FALSE)</f>
        <v/>
      </c>
      <c r="E79" s="29">
        <f>VLOOKUP(A79,Database!$E:$AY,MATCH($E$1,Database!$E$1:$AY$1,0),FALSE)</f>
        <v/>
      </c>
      <c r="F79" s="29">
        <f>VLOOKUP(A79,Database!$E:$AY,MATCH($F$1,Database!$E$1:$AY$1,0),FALSE)</f>
        <v/>
      </c>
      <c r="G79" s="29">
        <f>VLOOKUP(A79,Database!$E:$AY,MATCH($G$1,Database!$E$1:$AY$1,0),FALSE)</f>
        <v/>
      </c>
      <c r="H79" s="29">
        <f>(((Table134567891011121314151617343[[#This Row],[ITA]]-VLOOKUP($U$1,A:B,2,))/VLOOKUP($U$1,A:B,2,))*100)+100</f>
        <v/>
      </c>
      <c r="I79" s="29">
        <f>(((Table134567891011121314151617343[[#This Row],[FRA]]-VLOOKUP($U$1,A:C,3,))/VLOOKUP($U$1,A:C,3,))*100)+100</f>
        <v/>
      </c>
      <c r="J79" s="29">
        <f>(((Table134567891011121314151617343[[#This Row],[DEU]]-VLOOKUP($U$1,A:D,4,))/VLOOKUP($U$1,A:D,4,))*100)+100</f>
        <v/>
      </c>
      <c r="K79" s="29">
        <f>(((Table134567891011121314151617343[[#This Row],[ESP]]-VLOOKUP($U$1,A:E,5,))/VLOOKUP($U$1,A:E,5,))*100)+100</f>
        <v/>
      </c>
      <c r="L79" s="29">
        <f>(((Table134567891011121314151617343[[#This Row],[EA19]]-VLOOKUP($U$1,A:F,6,))/VLOOKUP($U$1,A:F,6,))*100)+100</f>
        <v/>
      </c>
      <c r="M79" s="29">
        <f>(((Table134567891011121314151617343[[#This Row],[GBR]]-VLOOKUP($U$1,A:G,7,))/VLOOKUP($U$1,A:G,7,))*100)+100</f>
        <v/>
      </c>
      <c r="N79" s="29">
        <f>VLOOKUP(A79,Database!$E:$AY,MATCH($N$1,Database!$E$1:$AY$1,0),FALSE)</f>
        <v/>
      </c>
      <c r="O79" s="29">
        <f>(((Table134567891011121314151617343[[#This Row],[USA]]-VLOOKUP($U$1,A:N,14,))/VLOOKUP($U$1,A:N,14,))*100)+100</f>
        <v/>
      </c>
      <c r="P79" s="29">
        <f>VLOOKUP(A79,Database!$E:$AY,MATCH($P$1,Database!$E$1:$AY$1,0),FALSE)</f>
        <v/>
      </c>
      <c r="Q79" s="29">
        <f>(((Table134567891011121314151617343[[#This Row],[JPN]]-VLOOKUP($U$1,A:Q,16,))/VLOOKUP($U$1,A:Q,16,))*100)+100</f>
        <v/>
      </c>
    </row>
    <row r="80" customFormat="1" s="129">
      <c r="A80" s="28" t="n">
        <v>35247</v>
      </c>
      <c r="B80" s="29">
        <f>VLOOKUP(A80,Database!$E:$AY,MATCH($B$1,Database!$E$1:$AY$1,0),FALSE)</f>
        <v/>
      </c>
      <c r="C80" s="29">
        <f>VLOOKUP(A80,Database!$E:$AY,MATCH($C$1,Database!$E$1:$AY$1,0),FALSE)</f>
        <v/>
      </c>
      <c r="D80" s="29">
        <f>VLOOKUP(A80,Database!$E:$AY,MATCH($D$1,Database!$E$1:$AY$1,0),FALSE)</f>
        <v/>
      </c>
      <c r="E80" s="29">
        <f>VLOOKUP(A80,Database!$E:$AY,MATCH($E$1,Database!$E$1:$AY$1,0),FALSE)</f>
        <v/>
      </c>
      <c r="F80" s="29">
        <f>VLOOKUP(A80,Database!$E:$AY,MATCH($F$1,Database!$E$1:$AY$1,0),FALSE)</f>
        <v/>
      </c>
      <c r="G80" s="29">
        <f>VLOOKUP(A80,Database!$E:$AY,MATCH($G$1,Database!$E$1:$AY$1,0),FALSE)</f>
        <v/>
      </c>
      <c r="H80" s="29">
        <f>(((Table134567891011121314151617343[[#This Row],[ITA]]-VLOOKUP($U$1,A:B,2,))/VLOOKUP($U$1,A:B,2,))*100)+100</f>
        <v/>
      </c>
      <c r="I80" s="29">
        <f>(((Table134567891011121314151617343[[#This Row],[FRA]]-VLOOKUP($U$1,A:C,3,))/VLOOKUP($U$1,A:C,3,))*100)+100</f>
        <v/>
      </c>
      <c r="J80" s="29">
        <f>(((Table134567891011121314151617343[[#This Row],[DEU]]-VLOOKUP($U$1,A:D,4,))/VLOOKUP($U$1,A:D,4,))*100)+100</f>
        <v/>
      </c>
      <c r="K80" s="29">
        <f>(((Table134567891011121314151617343[[#This Row],[ESP]]-VLOOKUP($U$1,A:E,5,))/VLOOKUP($U$1,A:E,5,))*100)+100</f>
        <v/>
      </c>
      <c r="L80" s="29">
        <f>(((Table134567891011121314151617343[[#This Row],[EA19]]-VLOOKUP($U$1,A:F,6,))/VLOOKUP($U$1,A:F,6,))*100)+100</f>
        <v/>
      </c>
      <c r="M80" s="29">
        <f>(((Table134567891011121314151617343[[#This Row],[GBR]]-VLOOKUP($U$1,A:G,7,))/VLOOKUP($U$1,A:G,7,))*100)+100</f>
        <v/>
      </c>
      <c r="N80" s="29">
        <f>VLOOKUP(A80,Database!$E:$AY,MATCH($N$1,Database!$E$1:$AY$1,0),FALSE)</f>
        <v/>
      </c>
      <c r="O80" s="29">
        <f>(((Table134567891011121314151617343[[#This Row],[USA]]-VLOOKUP($U$1,A:N,14,))/VLOOKUP($U$1,A:N,14,))*100)+100</f>
        <v/>
      </c>
      <c r="P80" s="29">
        <f>VLOOKUP(A80,Database!$E:$AY,MATCH($P$1,Database!$E$1:$AY$1,0),FALSE)</f>
        <v/>
      </c>
      <c r="Q80" s="29">
        <f>(((Table134567891011121314151617343[[#This Row],[JPN]]-VLOOKUP($U$1,A:Q,16,))/VLOOKUP($U$1,A:Q,16,))*100)+100</f>
        <v/>
      </c>
    </row>
    <row r="81" customFormat="1" s="129">
      <c r="A81" s="28" t="n">
        <v>35278</v>
      </c>
      <c r="B81" s="29">
        <f>VLOOKUP(A81,Database!$E:$AY,MATCH($B$1,Database!$E$1:$AY$1,0),FALSE)</f>
        <v/>
      </c>
      <c r="C81" s="29">
        <f>VLOOKUP(A81,Database!$E:$AY,MATCH($C$1,Database!$E$1:$AY$1,0),FALSE)</f>
        <v/>
      </c>
      <c r="D81" s="29">
        <f>VLOOKUP(A81,Database!$E:$AY,MATCH($D$1,Database!$E$1:$AY$1,0),FALSE)</f>
        <v/>
      </c>
      <c r="E81" s="29">
        <f>VLOOKUP(A81,Database!$E:$AY,MATCH($E$1,Database!$E$1:$AY$1,0),FALSE)</f>
        <v/>
      </c>
      <c r="F81" s="29">
        <f>VLOOKUP(A81,Database!$E:$AY,MATCH($F$1,Database!$E$1:$AY$1,0),FALSE)</f>
        <v/>
      </c>
      <c r="G81" s="29">
        <f>VLOOKUP(A81,Database!$E:$AY,MATCH($G$1,Database!$E$1:$AY$1,0),FALSE)</f>
        <v/>
      </c>
      <c r="H81" s="29">
        <f>(((Table134567891011121314151617343[[#This Row],[ITA]]-VLOOKUP($U$1,A:B,2,))/VLOOKUP($U$1,A:B,2,))*100)+100</f>
        <v/>
      </c>
      <c r="I81" s="29">
        <f>(((Table134567891011121314151617343[[#This Row],[FRA]]-VLOOKUP($U$1,A:C,3,))/VLOOKUP($U$1,A:C,3,))*100)+100</f>
        <v/>
      </c>
      <c r="J81" s="29">
        <f>(((Table134567891011121314151617343[[#This Row],[DEU]]-VLOOKUP($U$1,A:D,4,))/VLOOKUP($U$1,A:D,4,))*100)+100</f>
        <v/>
      </c>
      <c r="K81" s="29">
        <f>(((Table134567891011121314151617343[[#This Row],[ESP]]-VLOOKUP($U$1,A:E,5,))/VLOOKUP($U$1,A:E,5,))*100)+100</f>
        <v/>
      </c>
      <c r="L81" s="29">
        <f>(((Table134567891011121314151617343[[#This Row],[EA19]]-VLOOKUP($U$1,A:F,6,))/VLOOKUP($U$1,A:F,6,))*100)+100</f>
        <v/>
      </c>
      <c r="M81" s="29">
        <f>(((Table134567891011121314151617343[[#This Row],[GBR]]-VLOOKUP($U$1,A:G,7,))/VLOOKUP($U$1,A:G,7,))*100)+100</f>
        <v/>
      </c>
      <c r="N81" s="29">
        <f>VLOOKUP(A81,Database!$E:$AY,MATCH($N$1,Database!$E$1:$AY$1,0),FALSE)</f>
        <v/>
      </c>
      <c r="O81" s="29">
        <f>(((Table134567891011121314151617343[[#This Row],[USA]]-VLOOKUP($U$1,A:N,14,))/VLOOKUP($U$1,A:N,14,))*100)+100</f>
        <v/>
      </c>
      <c r="P81" s="29">
        <f>VLOOKUP(A81,Database!$E:$AY,MATCH($P$1,Database!$E$1:$AY$1,0),FALSE)</f>
        <v/>
      </c>
      <c r="Q81" s="29">
        <f>(((Table134567891011121314151617343[[#This Row],[JPN]]-VLOOKUP($U$1,A:Q,16,))/VLOOKUP($U$1,A:Q,16,))*100)+100</f>
        <v/>
      </c>
    </row>
    <row r="82" customFormat="1" s="129">
      <c r="A82" s="28" t="n">
        <v>35309</v>
      </c>
      <c r="B82" s="29">
        <f>VLOOKUP(A82,Database!$E:$AY,MATCH($B$1,Database!$E$1:$AY$1,0),FALSE)</f>
        <v/>
      </c>
      <c r="C82" s="29">
        <f>VLOOKUP(A82,Database!$E:$AY,MATCH($C$1,Database!$E$1:$AY$1,0),FALSE)</f>
        <v/>
      </c>
      <c r="D82" s="29">
        <f>VLOOKUP(A82,Database!$E:$AY,MATCH($D$1,Database!$E$1:$AY$1,0),FALSE)</f>
        <v/>
      </c>
      <c r="E82" s="29">
        <f>VLOOKUP(A82,Database!$E:$AY,MATCH($E$1,Database!$E$1:$AY$1,0),FALSE)</f>
        <v/>
      </c>
      <c r="F82" s="29">
        <f>VLOOKUP(A82,Database!$E:$AY,MATCH($F$1,Database!$E$1:$AY$1,0),FALSE)</f>
        <v/>
      </c>
      <c r="G82" s="29">
        <f>VLOOKUP(A82,Database!$E:$AY,MATCH($G$1,Database!$E$1:$AY$1,0),FALSE)</f>
        <v/>
      </c>
      <c r="H82" s="29">
        <f>(((Table134567891011121314151617343[[#This Row],[ITA]]-VLOOKUP($U$1,A:B,2,))/VLOOKUP($U$1,A:B,2,))*100)+100</f>
        <v/>
      </c>
      <c r="I82" s="29">
        <f>(((Table134567891011121314151617343[[#This Row],[FRA]]-VLOOKUP($U$1,A:C,3,))/VLOOKUP($U$1,A:C,3,))*100)+100</f>
        <v/>
      </c>
      <c r="J82" s="29">
        <f>(((Table134567891011121314151617343[[#This Row],[DEU]]-VLOOKUP($U$1,A:D,4,))/VLOOKUP($U$1,A:D,4,))*100)+100</f>
        <v/>
      </c>
      <c r="K82" s="29">
        <f>(((Table134567891011121314151617343[[#This Row],[ESP]]-VLOOKUP($U$1,A:E,5,))/VLOOKUP($U$1,A:E,5,))*100)+100</f>
        <v/>
      </c>
      <c r="L82" s="29">
        <f>(((Table134567891011121314151617343[[#This Row],[EA19]]-VLOOKUP($U$1,A:F,6,))/VLOOKUP($U$1,A:F,6,))*100)+100</f>
        <v/>
      </c>
      <c r="M82" s="29">
        <f>(((Table134567891011121314151617343[[#This Row],[GBR]]-VLOOKUP($U$1,A:G,7,))/VLOOKUP($U$1,A:G,7,))*100)+100</f>
        <v/>
      </c>
      <c r="N82" s="29">
        <f>VLOOKUP(A82,Database!$E:$AY,MATCH($N$1,Database!$E$1:$AY$1,0),FALSE)</f>
        <v/>
      </c>
      <c r="O82" s="29">
        <f>(((Table134567891011121314151617343[[#This Row],[USA]]-VLOOKUP($U$1,A:N,14,))/VLOOKUP($U$1,A:N,14,))*100)+100</f>
        <v/>
      </c>
      <c r="P82" s="29">
        <f>VLOOKUP(A82,Database!$E:$AY,MATCH($P$1,Database!$E$1:$AY$1,0),FALSE)</f>
        <v/>
      </c>
      <c r="Q82" s="29">
        <f>(((Table134567891011121314151617343[[#This Row],[JPN]]-VLOOKUP($U$1,A:Q,16,))/VLOOKUP($U$1,A:Q,16,))*100)+100</f>
        <v/>
      </c>
    </row>
    <row r="83" customFormat="1" s="129">
      <c r="A83" s="28" t="n">
        <v>35339</v>
      </c>
      <c r="B83" s="29">
        <f>VLOOKUP(A83,Database!$E:$AY,MATCH($B$1,Database!$E$1:$AY$1,0),FALSE)</f>
        <v/>
      </c>
      <c r="C83" s="29">
        <f>VLOOKUP(A83,Database!$E:$AY,MATCH($C$1,Database!$E$1:$AY$1,0),FALSE)</f>
        <v/>
      </c>
      <c r="D83" s="29">
        <f>VLOOKUP(A83,Database!$E:$AY,MATCH($D$1,Database!$E$1:$AY$1,0),FALSE)</f>
        <v/>
      </c>
      <c r="E83" s="29">
        <f>VLOOKUP(A83,Database!$E:$AY,MATCH($E$1,Database!$E$1:$AY$1,0),FALSE)</f>
        <v/>
      </c>
      <c r="F83" s="29">
        <f>VLOOKUP(A83,Database!$E:$AY,MATCH($F$1,Database!$E$1:$AY$1,0),FALSE)</f>
        <v/>
      </c>
      <c r="G83" s="29">
        <f>VLOOKUP(A83,Database!$E:$AY,MATCH($G$1,Database!$E$1:$AY$1,0),FALSE)</f>
        <v/>
      </c>
      <c r="H83" s="29">
        <f>(((Table134567891011121314151617343[[#This Row],[ITA]]-VLOOKUP($U$1,A:B,2,))/VLOOKUP($U$1,A:B,2,))*100)+100</f>
        <v/>
      </c>
      <c r="I83" s="29">
        <f>(((Table134567891011121314151617343[[#This Row],[FRA]]-VLOOKUP($U$1,A:C,3,))/VLOOKUP($U$1,A:C,3,))*100)+100</f>
        <v/>
      </c>
      <c r="J83" s="29">
        <f>(((Table134567891011121314151617343[[#This Row],[DEU]]-VLOOKUP($U$1,A:D,4,))/VLOOKUP($U$1,A:D,4,))*100)+100</f>
        <v/>
      </c>
      <c r="K83" s="29">
        <f>(((Table134567891011121314151617343[[#This Row],[ESP]]-VLOOKUP($U$1,A:E,5,))/VLOOKUP($U$1,A:E,5,))*100)+100</f>
        <v/>
      </c>
      <c r="L83" s="29">
        <f>(((Table134567891011121314151617343[[#This Row],[EA19]]-VLOOKUP($U$1,A:F,6,))/VLOOKUP($U$1,A:F,6,))*100)+100</f>
        <v/>
      </c>
      <c r="M83" s="29">
        <f>(((Table134567891011121314151617343[[#This Row],[GBR]]-VLOOKUP($U$1,A:G,7,))/VLOOKUP($U$1,A:G,7,))*100)+100</f>
        <v/>
      </c>
      <c r="N83" s="29">
        <f>VLOOKUP(A83,Database!$E:$AY,MATCH($N$1,Database!$E$1:$AY$1,0),FALSE)</f>
        <v/>
      </c>
      <c r="O83" s="29">
        <f>(((Table134567891011121314151617343[[#This Row],[USA]]-VLOOKUP($U$1,A:N,14,))/VLOOKUP($U$1,A:N,14,))*100)+100</f>
        <v/>
      </c>
      <c r="P83" s="29">
        <f>VLOOKUP(A83,Database!$E:$AY,MATCH($P$1,Database!$E$1:$AY$1,0),FALSE)</f>
        <v/>
      </c>
      <c r="Q83" s="29">
        <f>(((Table134567891011121314151617343[[#This Row],[JPN]]-VLOOKUP($U$1,A:Q,16,))/VLOOKUP($U$1,A:Q,16,))*100)+100</f>
        <v/>
      </c>
    </row>
    <row r="84" customFormat="1" s="129">
      <c r="A84" s="28" t="n">
        <v>35370</v>
      </c>
      <c r="B84" s="29">
        <f>VLOOKUP(A84,Database!$E:$AY,MATCH($B$1,Database!$E$1:$AY$1,0),FALSE)</f>
        <v/>
      </c>
      <c r="C84" s="29">
        <f>VLOOKUP(A84,Database!$E:$AY,MATCH($C$1,Database!$E$1:$AY$1,0),FALSE)</f>
        <v/>
      </c>
      <c r="D84" s="29">
        <f>VLOOKUP(A84,Database!$E:$AY,MATCH($D$1,Database!$E$1:$AY$1,0),FALSE)</f>
        <v/>
      </c>
      <c r="E84" s="29">
        <f>VLOOKUP(A84,Database!$E:$AY,MATCH($E$1,Database!$E$1:$AY$1,0),FALSE)</f>
        <v/>
      </c>
      <c r="F84" s="29">
        <f>VLOOKUP(A84,Database!$E:$AY,MATCH($F$1,Database!$E$1:$AY$1,0),FALSE)</f>
        <v/>
      </c>
      <c r="G84" s="29">
        <f>VLOOKUP(A84,Database!$E:$AY,MATCH($G$1,Database!$E$1:$AY$1,0),FALSE)</f>
        <v/>
      </c>
      <c r="H84" s="29">
        <f>(((Table134567891011121314151617343[[#This Row],[ITA]]-VLOOKUP($U$1,A:B,2,))/VLOOKUP($U$1,A:B,2,))*100)+100</f>
        <v/>
      </c>
      <c r="I84" s="29">
        <f>(((Table134567891011121314151617343[[#This Row],[FRA]]-VLOOKUP($U$1,A:C,3,))/VLOOKUP($U$1,A:C,3,))*100)+100</f>
        <v/>
      </c>
      <c r="J84" s="29">
        <f>(((Table134567891011121314151617343[[#This Row],[DEU]]-VLOOKUP($U$1,A:D,4,))/VLOOKUP($U$1,A:D,4,))*100)+100</f>
        <v/>
      </c>
      <c r="K84" s="29">
        <f>(((Table134567891011121314151617343[[#This Row],[ESP]]-VLOOKUP($U$1,A:E,5,))/VLOOKUP($U$1,A:E,5,))*100)+100</f>
        <v/>
      </c>
      <c r="L84" s="29">
        <f>(((Table134567891011121314151617343[[#This Row],[EA19]]-VLOOKUP($U$1,A:F,6,))/VLOOKUP($U$1,A:F,6,))*100)+100</f>
        <v/>
      </c>
      <c r="M84" s="29">
        <f>(((Table134567891011121314151617343[[#This Row],[GBR]]-VLOOKUP($U$1,A:G,7,))/VLOOKUP($U$1,A:G,7,))*100)+100</f>
        <v/>
      </c>
      <c r="N84" s="29">
        <f>VLOOKUP(A84,Database!$E:$AY,MATCH($N$1,Database!$E$1:$AY$1,0),FALSE)</f>
        <v/>
      </c>
      <c r="O84" s="29">
        <f>(((Table134567891011121314151617343[[#This Row],[USA]]-VLOOKUP($U$1,A:N,14,))/VLOOKUP($U$1,A:N,14,))*100)+100</f>
        <v/>
      </c>
      <c r="P84" s="29">
        <f>VLOOKUP(A84,Database!$E:$AY,MATCH($P$1,Database!$E$1:$AY$1,0),FALSE)</f>
        <v/>
      </c>
      <c r="Q84" s="29">
        <f>(((Table134567891011121314151617343[[#This Row],[JPN]]-VLOOKUP($U$1,A:Q,16,))/VLOOKUP($U$1,A:Q,16,))*100)+100</f>
        <v/>
      </c>
    </row>
    <row r="85" customFormat="1" s="129">
      <c r="A85" s="28" t="n">
        <v>35400</v>
      </c>
      <c r="B85" s="29">
        <f>VLOOKUP(A85,Database!$E:$AY,MATCH($B$1,Database!$E$1:$AY$1,0),FALSE)</f>
        <v/>
      </c>
      <c r="C85" s="29">
        <f>VLOOKUP(A85,Database!$E:$AY,MATCH($C$1,Database!$E$1:$AY$1,0),FALSE)</f>
        <v/>
      </c>
      <c r="D85" s="29">
        <f>VLOOKUP(A85,Database!$E:$AY,MATCH($D$1,Database!$E$1:$AY$1,0),FALSE)</f>
        <v/>
      </c>
      <c r="E85" s="29">
        <f>VLOOKUP(A85,Database!$E:$AY,MATCH($E$1,Database!$E$1:$AY$1,0),FALSE)</f>
        <v/>
      </c>
      <c r="F85" s="29">
        <f>VLOOKUP(A85,Database!$E:$AY,MATCH($F$1,Database!$E$1:$AY$1,0),FALSE)</f>
        <v/>
      </c>
      <c r="G85" s="29">
        <f>VLOOKUP(A85,Database!$E:$AY,MATCH($G$1,Database!$E$1:$AY$1,0),FALSE)</f>
        <v/>
      </c>
      <c r="H85" s="29">
        <f>(((Table134567891011121314151617343[[#This Row],[ITA]]-VLOOKUP($U$1,A:B,2,))/VLOOKUP($U$1,A:B,2,))*100)+100</f>
        <v/>
      </c>
      <c r="I85" s="29">
        <f>(((Table134567891011121314151617343[[#This Row],[FRA]]-VLOOKUP($U$1,A:C,3,))/VLOOKUP($U$1,A:C,3,))*100)+100</f>
        <v/>
      </c>
      <c r="J85" s="29">
        <f>(((Table134567891011121314151617343[[#This Row],[DEU]]-VLOOKUP($U$1,A:D,4,))/VLOOKUP($U$1,A:D,4,))*100)+100</f>
        <v/>
      </c>
      <c r="K85" s="29">
        <f>(((Table134567891011121314151617343[[#This Row],[ESP]]-VLOOKUP($U$1,A:E,5,))/VLOOKUP($U$1,A:E,5,))*100)+100</f>
        <v/>
      </c>
      <c r="L85" s="29">
        <f>(((Table134567891011121314151617343[[#This Row],[EA19]]-VLOOKUP($U$1,A:F,6,))/VLOOKUP($U$1,A:F,6,))*100)+100</f>
        <v/>
      </c>
      <c r="M85" s="29">
        <f>(((Table134567891011121314151617343[[#This Row],[GBR]]-VLOOKUP($U$1,A:G,7,))/VLOOKUP($U$1,A:G,7,))*100)+100</f>
        <v/>
      </c>
      <c r="N85" s="29">
        <f>VLOOKUP(A85,Database!$E:$AY,MATCH($N$1,Database!$E$1:$AY$1,0),FALSE)</f>
        <v/>
      </c>
      <c r="O85" s="29">
        <f>(((Table134567891011121314151617343[[#This Row],[USA]]-VLOOKUP($U$1,A:N,14,))/VLOOKUP($U$1,A:N,14,))*100)+100</f>
        <v/>
      </c>
      <c r="P85" s="29">
        <f>VLOOKUP(A85,Database!$E:$AY,MATCH($P$1,Database!$E$1:$AY$1,0),FALSE)</f>
        <v/>
      </c>
      <c r="Q85" s="29">
        <f>(((Table134567891011121314151617343[[#This Row],[JPN]]-VLOOKUP($U$1,A:Q,16,))/VLOOKUP($U$1,A:Q,16,))*100)+100</f>
        <v/>
      </c>
    </row>
    <row r="86" customFormat="1" s="129">
      <c r="A86" s="28" t="n">
        <v>35431</v>
      </c>
      <c r="B86" s="29">
        <f>VLOOKUP(A86,Database!$E:$AY,MATCH($B$1,Database!$E$1:$AY$1,0),FALSE)</f>
        <v/>
      </c>
      <c r="C86" s="29">
        <f>VLOOKUP(A86,Database!$E:$AY,MATCH($C$1,Database!$E$1:$AY$1,0),FALSE)</f>
        <v/>
      </c>
      <c r="D86" s="29">
        <f>VLOOKUP(A86,Database!$E:$AY,MATCH($D$1,Database!$E$1:$AY$1,0),FALSE)</f>
        <v/>
      </c>
      <c r="E86" s="29">
        <f>VLOOKUP(A86,Database!$E:$AY,MATCH($E$1,Database!$E$1:$AY$1,0),FALSE)</f>
        <v/>
      </c>
      <c r="F86" s="29">
        <f>VLOOKUP(A86,Database!$E:$AY,MATCH($F$1,Database!$E$1:$AY$1,0),FALSE)</f>
        <v/>
      </c>
      <c r="G86" s="29">
        <f>VLOOKUP(A86,Database!$E:$AY,MATCH($G$1,Database!$E$1:$AY$1,0),FALSE)</f>
        <v/>
      </c>
      <c r="H86" s="29">
        <f>(((Table134567891011121314151617343[[#This Row],[ITA]]-VLOOKUP($U$1,A:B,2,))/VLOOKUP($U$1,A:B,2,))*100)+100</f>
        <v/>
      </c>
      <c r="I86" s="29">
        <f>(((Table134567891011121314151617343[[#This Row],[FRA]]-VLOOKUP($U$1,A:C,3,))/VLOOKUP($U$1,A:C,3,))*100)+100</f>
        <v/>
      </c>
      <c r="J86" s="29">
        <f>(((Table134567891011121314151617343[[#This Row],[DEU]]-VLOOKUP($U$1,A:D,4,))/VLOOKUP($U$1,A:D,4,))*100)+100</f>
        <v/>
      </c>
      <c r="K86" s="29">
        <f>(((Table134567891011121314151617343[[#This Row],[ESP]]-VLOOKUP($U$1,A:E,5,))/VLOOKUP($U$1,A:E,5,))*100)+100</f>
        <v/>
      </c>
      <c r="L86" s="29">
        <f>(((Table134567891011121314151617343[[#This Row],[EA19]]-VLOOKUP($U$1,A:F,6,))/VLOOKUP($U$1,A:F,6,))*100)+100</f>
        <v/>
      </c>
      <c r="M86" s="29">
        <f>(((Table134567891011121314151617343[[#This Row],[GBR]]-VLOOKUP($U$1,A:G,7,))/VLOOKUP($U$1,A:G,7,))*100)+100</f>
        <v/>
      </c>
      <c r="N86" s="29">
        <f>VLOOKUP(A86,Database!$E:$AY,MATCH($N$1,Database!$E$1:$AY$1,0),FALSE)</f>
        <v/>
      </c>
      <c r="O86" s="29">
        <f>(((Table134567891011121314151617343[[#This Row],[USA]]-VLOOKUP($U$1,A:N,14,))/VLOOKUP($U$1,A:N,14,))*100)+100</f>
        <v/>
      </c>
      <c r="P86" s="29">
        <f>VLOOKUP(A86,Database!$E:$AY,MATCH($P$1,Database!$E$1:$AY$1,0),FALSE)</f>
        <v/>
      </c>
      <c r="Q86" s="29">
        <f>(((Table134567891011121314151617343[[#This Row],[JPN]]-VLOOKUP($U$1,A:Q,16,))/VLOOKUP($U$1,A:Q,16,))*100)+100</f>
        <v/>
      </c>
    </row>
    <row r="87" customFormat="1" s="129">
      <c r="A87" s="28" t="n">
        <v>35462</v>
      </c>
      <c r="B87" s="29">
        <f>VLOOKUP(A87,Database!$E:$AY,MATCH($B$1,Database!$E$1:$AY$1,0),FALSE)</f>
        <v/>
      </c>
      <c r="C87" s="29">
        <f>VLOOKUP(A87,Database!$E:$AY,MATCH($C$1,Database!$E$1:$AY$1,0),FALSE)</f>
        <v/>
      </c>
      <c r="D87" s="29">
        <f>VLOOKUP(A87,Database!$E:$AY,MATCH($D$1,Database!$E$1:$AY$1,0),FALSE)</f>
        <v/>
      </c>
      <c r="E87" s="29">
        <f>VLOOKUP(A87,Database!$E:$AY,MATCH($E$1,Database!$E$1:$AY$1,0),FALSE)</f>
        <v/>
      </c>
      <c r="F87" s="29">
        <f>VLOOKUP(A87,Database!$E:$AY,MATCH($F$1,Database!$E$1:$AY$1,0),FALSE)</f>
        <v/>
      </c>
      <c r="G87" s="29">
        <f>VLOOKUP(A87,Database!$E:$AY,MATCH($G$1,Database!$E$1:$AY$1,0),FALSE)</f>
        <v/>
      </c>
      <c r="H87" s="29">
        <f>(((Table134567891011121314151617343[[#This Row],[ITA]]-VLOOKUP($U$1,A:B,2,))/VLOOKUP($U$1,A:B,2,))*100)+100</f>
        <v/>
      </c>
      <c r="I87" s="29">
        <f>(((Table134567891011121314151617343[[#This Row],[FRA]]-VLOOKUP($U$1,A:C,3,))/VLOOKUP($U$1,A:C,3,))*100)+100</f>
        <v/>
      </c>
      <c r="J87" s="29">
        <f>(((Table134567891011121314151617343[[#This Row],[DEU]]-VLOOKUP($U$1,A:D,4,))/VLOOKUP($U$1,A:D,4,))*100)+100</f>
        <v/>
      </c>
      <c r="K87" s="29">
        <f>(((Table134567891011121314151617343[[#This Row],[ESP]]-VLOOKUP($U$1,A:E,5,))/VLOOKUP($U$1,A:E,5,))*100)+100</f>
        <v/>
      </c>
      <c r="L87" s="29">
        <f>(((Table134567891011121314151617343[[#This Row],[EA19]]-VLOOKUP($U$1,A:F,6,))/VLOOKUP($U$1,A:F,6,))*100)+100</f>
        <v/>
      </c>
      <c r="M87" s="29">
        <f>(((Table134567891011121314151617343[[#This Row],[GBR]]-VLOOKUP($U$1,A:G,7,))/VLOOKUP($U$1,A:G,7,))*100)+100</f>
        <v/>
      </c>
      <c r="N87" s="29">
        <f>VLOOKUP(A87,Database!$E:$AY,MATCH($N$1,Database!$E$1:$AY$1,0),FALSE)</f>
        <v/>
      </c>
      <c r="O87" s="29">
        <f>(((Table134567891011121314151617343[[#This Row],[USA]]-VLOOKUP($U$1,A:N,14,))/VLOOKUP($U$1,A:N,14,))*100)+100</f>
        <v/>
      </c>
      <c r="P87" s="29">
        <f>VLOOKUP(A87,Database!$E:$AY,MATCH($P$1,Database!$E$1:$AY$1,0),FALSE)</f>
        <v/>
      </c>
      <c r="Q87" s="29">
        <f>(((Table134567891011121314151617343[[#This Row],[JPN]]-VLOOKUP($U$1,A:Q,16,))/VLOOKUP($U$1,A:Q,16,))*100)+100</f>
        <v/>
      </c>
    </row>
    <row r="88" customFormat="1" s="129">
      <c r="A88" s="28" t="n">
        <v>35490</v>
      </c>
      <c r="B88" s="29">
        <f>VLOOKUP(A88,Database!$E:$AY,MATCH($B$1,Database!$E$1:$AY$1,0),FALSE)</f>
        <v/>
      </c>
      <c r="C88" s="29">
        <f>VLOOKUP(A88,Database!$E:$AY,MATCH($C$1,Database!$E$1:$AY$1,0),FALSE)</f>
        <v/>
      </c>
      <c r="D88" s="29">
        <f>VLOOKUP(A88,Database!$E:$AY,MATCH($D$1,Database!$E$1:$AY$1,0),FALSE)</f>
        <v/>
      </c>
      <c r="E88" s="29">
        <f>VLOOKUP(A88,Database!$E:$AY,MATCH($E$1,Database!$E$1:$AY$1,0),FALSE)</f>
        <v/>
      </c>
      <c r="F88" s="29">
        <f>VLOOKUP(A88,Database!$E:$AY,MATCH($F$1,Database!$E$1:$AY$1,0),FALSE)</f>
        <v/>
      </c>
      <c r="G88" s="29">
        <f>VLOOKUP(A88,Database!$E:$AY,MATCH($G$1,Database!$E$1:$AY$1,0),FALSE)</f>
        <v/>
      </c>
      <c r="H88" s="29">
        <f>(((Table134567891011121314151617343[[#This Row],[ITA]]-VLOOKUP($U$1,A:B,2,))/VLOOKUP($U$1,A:B,2,))*100)+100</f>
        <v/>
      </c>
      <c r="I88" s="29">
        <f>(((Table134567891011121314151617343[[#This Row],[FRA]]-VLOOKUP($U$1,A:C,3,))/VLOOKUP($U$1,A:C,3,))*100)+100</f>
        <v/>
      </c>
      <c r="J88" s="29">
        <f>(((Table134567891011121314151617343[[#This Row],[DEU]]-VLOOKUP($U$1,A:D,4,))/VLOOKUP($U$1,A:D,4,))*100)+100</f>
        <v/>
      </c>
      <c r="K88" s="29">
        <f>(((Table134567891011121314151617343[[#This Row],[ESP]]-VLOOKUP($U$1,A:E,5,))/VLOOKUP($U$1,A:E,5,))*100)+100</f>
        <v/>
      </c>
      <c r="L88" s="29">
        <f>(((Table134567891011121314151617343[[#This Row],[EA19]]-VLOOKUP($U$1,A:F,6,))/VLOOKUP($U$1,A:F,6,))*100)+100</f>
        <v/>
      </c>
      <c r="M88" s="29">
        <f>(((Table134567891011121314151617343[[#This Row],[GBR]]-VLOOKUP($U$1,A:G,7,))/VLOOKUP($U$1,A:G,7,))*100)+100</f>
        <v/>
      </c>
      <c r="N88" s="29">
        <f>VLOOKUP(A88,Database!$E:$AY,MATCH($N$1,Database!$E$1:$AY$1,0),FALSE)</f>
        <v/>
      </c>
      <c r="O88" s="29">
        <f>(((Table134567891011121314151617343[[#This Row],[USA]]-VLOOKUP($U$1,A:N,14,))/VLOOKUP($U$1,A:N,14,))*100)+100</f>
        <v/>
      </c>
      <c r="P88" s="29">
        <f>VLOOKUP(A88,Database!$E:$AY,MATCH($P$1,Database!$E$1:$AY$1,0),FALSE)</f>
        <v/>
      </c>
      <c r="Q88" s="29">
        <f>(((Table134567891011121314151617343[[#This Row],[JPN]]-VLOOKUP($U$1,A:Q,16,))/VLOOKUP($U$1,A:Q,16,))*100)+100</f>
        <v/>
      </c>
    </row>
    <row r="89" customFormat="1" s="129">
      <c r="A89" s="28" t="n">
        <v>35521</v>
      </c>
      <c r="B89" s="29">
        <f>VLOOKUP(A89,Database!$E:$AY,MATCH($B$1,Database!$E$1:$AY$1,0),FALSE)</f>
        <v/>
      </c>
      <c r="C89" s="29">
        <f>VLOOKUP(A89,Database!$E:$AY,MATCH($C$1,Database!$E$1:$AY$1,0),FALSE)</f>
        <v/>
      </c>
      <c r="D89" s="29">
        <f>VLOOKUP(A89,Database!$E:$AY,MATCH($D$1,Database!$E$1:$AY$1,0),FALSE)</f>
        <v/>
      </c>
      <c r="E89" s="29">
        <f>VLOOKUP(A89,Database!$E:$AY,MATCH($E$1,Database!$E$1:$AY$1,0),FALSE)</f>
        <v/>
      </c>
      <c r="F89" s="29">
        <f>VLOOKUP(A89,Database!$E:$AY,MATCH($F$1,Database!$E$1:$AY$1,0),FALSE)</f>
        <v/>
      </c>
      <c r="G89" s="29">
        <f>VLOOKUP(A89,Database!$E:$AY,MATCH($G$1,Database!$E$1:$AY$1,0),FALSE)</f>
        <v/>
      </c>
      <c r="H89" s="29">
        <f>(((Table134567891011121314151617343[[#This Row],[ITA]]-VLOOKUP($U$1,A:B,2,))/VLOOKUP($U$1,A:B,2,))*100)+100</f>
        <v/>
      </c>
      <c r="I89" s="29">
        <f>(((Table134567891011121314151617343[[#This Row],[FRA]]-VLOOKUP($U$1,A:C,3,))/VLOOKUP($U$1,A:C,3,))*100)+100</f>
        <v/>
      </c>
      <c r="J89" s="29">
        <f>(((Table134567891011121314151617343[[#This Row],[DEU]]-VLOOKUP($U$1,A:D,4,))/VLOOKUP($U$1,A:D,4,))*100)+100</f>
        <v/>
      </c>
      <c r="K89" s="29">
        <f>(((Table134567891011121314151617343[[#This Row],[ESP]]-VLOOKUP($U$1,A:E,5,))/VLOOKUP($U$1,A:E,5,))*100)+100</f>
        <v/>
      </c>
      <c r="L89" s="29">
        <f>(((Table134567891011121314151617343[[#This Row],[EA19]]-VLOOKUP($U$1,A:F,6,))/VLOOKUP($U$1,A:F,6,))*100)+100</f>
        <v/>
      </c>
      <c r="M89" s="29">
        <f>(((Table134567891011121314151617343[[#This Row],[GBR]]-VLOOKUP($U$1,A:G,7,))/VLOOKUP($U$1,A:G,7,))*100)+100</f>
        <v/>
      </c>
      <c r="N89" s="29">
        <f>VLOOKUP(A89,Database!$E:$AY,MATCH($N$1,Database!$E$1:$AY$1,0),FALSE)</f>
        <v/>
      </c>
      <c r="O89" s="29">
        <f>(((Table134567891011121314151617343[[#This Row],[USA]]-VLOOKUP($U$1,A:N,14,))/VLOOKUP($U$1,A:N,14,))*100)+100</f>
        <v/>
      </c>
      <c r="P89" s="29">
        <f>VLOOKUP(A89,Database!$E:$AY,MATCH($P$1,Database!$E$1:$AY$1,0),FALSE)</f>
        <v/>
      </c>
      <c r="Q89" s="29">
        <f>(((Table134567891011121314151617343[[#This Row],[JPN]]-VLOOKUP($U$1,A:Q,16,))/VLOOKUP($U$1,A:Q,16,))*100)+100</f>
        <v/>
      </c>
    </row>
    <row r="90" customFormat="1" s="129">
      <c r="A90" s="28" t="n">
        <v>35551</v>
      </c>
      <c r="B90" s="29">
        <f>VLOOKUP(A90,Database!$E:$AY,MATCH($B$1,Database!$E$1:$AY$1,0),FALSE)</f>
        <v/>
      </c>
      <c r="C90" s="29">
        <f>VLOOKUP(A90,Database!$E:$AY,MATCH($C$1,Database!$E$1:$AY$1,0),FALSE)</f>
        <v/>
      </c>
      <c r="D90" s="29">
        <f>VLOOKUP(A90,Database!$E:$AY,MATCH($D$1,Database!$E$1:$AY$1,0),FALSE)</f>
        <v/>
      </c>
      <c r="E90" s="29">
        <f>VLOOKUP(A90,Database!$E:$AY,MATCH($E$1,Database!$E$1:$AY$1,0),FALSE)</f>
        <v/>
      </c>
      <c r="F90" s="29">
        <f>VLOOKUP(A90,Database!$E:$AY,MATCH($F$1,Database!$E$1:$AY$1,0),FALSE)</f>
        <v/>
      </c>
      <c r="G90" s="29">
        <f>VLOOKUP(A90,Database!$E:$AY,MATCH($G$1,Database!$E$1:$AY$1,0),FALSE)</f>
        <v/>
      </c>
      <c r="H90" s="29">
        <f>(((Table134567891011121314151617343[[#This Row],[ITA]]-VLOOKUP($U$1,A:B,2,))/VLOOKUP($U$1,A:B,2,))*100)+100</f>
        <v/>
      </c>
      <c r="I90" s="29">
        <f>(((Table134567891011121314151617343[[#This Row],[FRA]]-VLOOKUP($U$1,A:C,3,))/VLOOKUP($U$1,A:C,3,))*100)+100</f>
        <v/>
      </c>
      <c r="J90" s="29">
        <f>(((Table134567891011121314151617343[[#This Row],[DEU]]-VLOOKUP($U$1,A:D,4,))/VLOOKUP($U$1,A:D,4,))*100)+100</f>
        <v/>
      </c>
      <c r="K90" s="29">
        <f>(((Table134567891011121314151617343[[#This Row],[ESP]]-VLOOKUP($U$1,A:E,5,))/VLOOKUP($U$1,A:E,5,))*100)+100</f>
        <v/>
      </c>
      <c r="L90" s="29">
        <f>(((Table134567891011121314151617343[[#This Row],[EA19]]-VLOOKUP($U$1,A:F,6,))/VLOOKUP($U$1,A:F,6,))*100)+100</f>
        <v/>
      </c>
      <c r="M90" s="29">
        <f>(((Table134567891011121314151617343[[#This Row],[GBR]]-VLOOKUP($U$1,A:G,7,))/VLOOKUP($U$1,A:G,7,))*100)+100</f>
        <v/>
      </c>
      <c r="N90" s="29">
        <f>VLOOKUP(A90,Database!$E:$AY,MATCH($N$1,Database!$E$1:$AY$1,0),FALSE)</f>
        <v/>
      </c>
      <c r="O90" s="29">
        <f>(((Table134567891011121314151617343[[#This Row],[USA]]-VLOOKUP($U$1,A:N,14,))/VLOOKUP($U$1,A:N,14,))*100)+100</f>
        <v/>
      </c>
      <c r="P90" s="29">
        <f>VLOOKUP(A90,Database!$E:$AY,MATCH($P$1,Database!$E$1:$AY$1,0),FALSE)</f>
        <v/>
      </c>
      <c r="Q90" s="29">
        <f>(((Table134567891011121314151617343[[#This Row],[JPN]]-VLOOKUP($U$1,A:Q,16,))/VLOOKUP($U$1,A:Q,16,))*100)+100</f>
        <v/>
      </c>
    </row>
    <row r="91" customFormat="1" s="129">
      <c r="A91" s="28" t="n">
        <v>35582</v>
      </c>
      <c r="B91" s="29">
        <f>VLOOKUP(A91,Database!$E:$AY,MATCH($B$1,Database!$E$1:$AY$1,0),FALSE)</f>
        <v/>
      </c>
      <c r="C91" s="29">
        <f>VLOOKUP(A91,Database!$E:$AY,MATCH($C$1,Database!$E$1:$AY$1,0),FALSE)</f>
        <v/>
      </c>
      <c r="D91" s="29">
        <f>VLOOKUP(A91,Database!$E:$AY,MATCH($D$1,Database!$E$1:$AY$1,0),FALSE)</f>
        <v/>
      </c>
      <c r="E91" s="29">
        <f>VLOOKUP(A91,Database!$E:$AY,MATCH($E$1,Database!$E$1:$AY$1,0),FALSE)</f>
        <v/>
      </c>
      <c r="F91" s="29">
        <f>VLOOKUP(A91,Database!$E:$AY,MATCH($F$1,Database!$E$1:$AY$1,0),FALSE)</f>
        <v/>
      </c>
      <c r="G91" s="29">
        <f>VLOOKUP(A91,Database!$E:$AY,MATCH($G$1,Database!$E$1:$AY$1,0),FALSE)</f>
        <v/>
      </c>
      <c r="H91" s="29">
        <f>(((Table134567891011121314151617343[[#This Row],[ITA]]-VLOOKUP($U$1,A:B,2,))/VLOOKUP($U$1,A:B,2,))*100)+100</f>
        <v/>
      </c>
      <c r="I91" s="29">
        <f>(((Table134567891011121314151617343[[#This Row],[FRA]]-VLOOKUP($U$1,A:C,3,))/VLOOKUP($U$1,A:C,3,))*100)+100</f>
        <v/>
      </c>
      <c r="J91" s="29">
        <f>(((Table134567891011121314151617343[[#This Row],[DEU]]-VLOOKUP($U$1,A:D,4,))/VLOOKUP($U$1,A:D,4,))*100)+100</f>
        <v/>
      </c>
      <c r="K91" s="29">
        <f>(((Table134567891011121314151617343[[#This Row],[ESP]]-VLOOKUP($U$1,A:E,5,))/VLOOKUP($U$1,A:E,5,))*100)+100</f>
        <v/>
      </c>
      <c r="L91" s="29">
        <f>(((Table134567891011121314151617343[[#This Row],[EA19]]-VLOOKUP($U$1,A:F,6,))/VLOOKUP($U$1,A:F,6,))*100)+100</f>
        <v/>
      </c>
      <c r="M91" s="29">
        <f>(((Table134567891011121314151617343[[#This Row],[GBR]]-VLOOKUP($U$1,A:G,7,))/VLOOKUP($U$1,A:G,7,))*100)+100</f>
        <v/>
      </c>
      <c r="N91" s="29">
        <f>VLOOKUP(A91,Database!$E:$AY,MATCH($N$1,Database!$E$1:$AY$1,0),FALSE)</f>
        <v/>
      </c>
      <c r="O91" s="29">
        <f>(((Table134567891011121314151617343[[#This Row],[USA]]-VLOOKUP($U$1,A:N,14,))/VLOOKUP($U$1,A:N,14,))*100)+100</f>
        <v/>
      </c>
      <c r="P91" s="29">
        <f>VLOOKUP(A91,Database!$E:$AY,MATCH($P$1,Database!$E$1:$AY$1,0),FALSE)</f>
        <v/>
      </c>
      <c r="Q91" s="29">
        <f>(((Table134567891011121314151617343[[#This Row],[JPN]]-VLOOKUP($U$1,A:Q,16,))/VLOOKUP($U$1,A:Q,16,))*100)+100</f>
        <v/>
      </c>
    </row>
    <row r="92" customFormat="1" s="129">
      <c r="A92" s="28" t="n">
        <v>35612</v>
      </c>
      <c r="B92" s="29">
        <f>VLOOKUP(A92,Database!$E:$AY,MATCH($B$1,Database!$E$1:$AY$1,0),FALSE)</f>
        <v/>
      </c>
      <c r="C92" s="29">
        <f>VLOOKUP(A92,Database!$E:$AY,MATCH($C$1,Database!$E$1:$AY$1,0),FALSE)</f>
        <v/>
      </c>
      <c r="D92" s="29">
        <f>VLOOKUP(A92,Database!$E:$AY,MATCH($D$1,Database!$E$1:$AY$1,0),FALSE)</f>
        <v/>
      </c>
      <c r="E92" s="29">
        <f>VLOOKUP(A92,Database!$E:$AY,MATCH($E$1,Database!$E$1:$AY$1,0),FALSE)</f>
        <v/>
      </c>
      <c r="F92" s="29">
        <f>VLOOKUP(A92,Database!$E:$AY,MATCH($F$1,Database!$E$1:$AY$1,0),FALSE)</f>
        <v/>
      </c>
      <c r="G92" s="29">
        <f>VLOOKUP(A92,Database!$E:$AY,MATCH($G$1,Database!$E$1:$AY$1,0),FALSE)</f>
        <v/>
      </c>
      <c r="H92" s="29">
        <f>(((Table134567891011121314151617343[[#This Row],[ITA]]-VLOOKUP($U$1,A:B,2,))/VLOOKUP($U$1,A:B,2,))*100)+100</f>
        <v/>
      </c>
      <c r="I92" s="29">
        <f>(((Table134567891011121314151617343[[#This Row],[FRA]]-VLOOKUP($U$1,A:C,3,))/VLOOKUP($U$1,A:C,3,))*100)+100</f>
        <v/>
      </c>
      <c r="J92" s="29">
        <f>(((Table134567891011121314151617343[[#This Row],[DEU]]-VLOOKUP($U$1,A:D,4,))/VLOOKUP($U$1,A:D,4,))*100)+100</f>
        <v/>
      </c>
      <c r="K92" s="29">
        <f>(((Table134567891011121314151617343[[#This Row],[ESP]]-VLOOKUP($U$1,A:E,5,))/VLOOKUP($U$1,A:E,5,))*100)+100</f>
        <v/>
      </c>
      <c r="L92" s="29">
        <f>(((Table134567891011121314151617343[[#This Row],[EA19]]-VLOOKUP($U$1,A:F,6,))/VLOOKUP($U$1,A:F,6,))*100)+100</f>
        <v/>
      </c>
      <c r="M92" s="29">
        <f>(((Table134567891011121314151617343[[#This Row],[GBR]]-VLOOKUP($U$1,A:G,7,))/VLOOKUP($U$1,A:G,7,))*100)+100</f>
        <v/>
      </c>
      <c r="N92" s="29">
        <f>VLOOKUP(A92,Database!$E:$AY,MATCH($N$1,Database!$E$1:$AY$1,0),FALSE)</f>
        <v/>
      </c>
      <c r="O92" s="29">
        <f>(((Table134567891011121314151617343[[#This Row],[USA]]-VLOOKUP($U$1,A:N,14,))/VLOOKUP($U$1,A:N,14,))*100)+100</f>
        <v/>
      </c>
      <c r="P92" s="29">
        <f>VLOOKUP(A92,Database!$E:$AY,MATCH($P$1,Database!$E$1:$AY$1,0),FALSE)</f>
        <v/>
      </c>
      <c r="Q92" s="29">
        <f>(((Table134567891011121314151617343[[#This Row],[JPN]]-VLOOKUP($U$1,A:Q,16,))/VLOOKUP($U$1,A:Q,16,))*100)+100</f>
        <v/>
      </c>
    </row>
    <row r="93" customFormat="1" s="129">
      <c r="A93" s="28" t="n">
        <v>35643</v>
      </c>
      <c r="B93" s="29">
        <f>VLOOKUP(A93,Database!$E:$AY,MATCH($B$1,Database!$E$1:$AY$1,0),FALSE)</f>
        <v/>
      </c>
      <c r="C93" s="29">
        <f>VLOOKUP(A93,Database!$E:$AY,MATCH($C$1,Database!$E$1:$AY$1,0),FALSE)</f>
        <v/>
      </c>
      <c r="D93" s="29">
        <f>VLOOKUP(A93,Database!$E:$AY,MATCH($D$1,Database!$E$1:$AY$1,0),FALSE)</f>
        <v/>
      </c>
      <c r="E93" s="29">
        <f>VLOOKUP(A93,Database!$E:$AY,MATCH($E$1,Database!$E$1:$AY$1,0),FALSE)</f>
        <v/>
      </c>
      <c r="F93" s="29">
        <f>VLOOKUP(A93,Database!$E:$AY,MATCH($F$1,Database!$E$1:$AY$1,0),FALSE)</f>
        <v/>
      </c>
      <c r="G93" s="29">
        <f>VLOOKUP(A93,Database!$E:$AY,MATCH($G$1,Database!$E$1:$AY$1,0),FALSE)</f>
        <v/>
      </c>
      <c r="H93" s="29">
        <f>(((Table134567891011121314151617343[[#This Row],[ITA]]-VLOOKUP($U$1,A:B,2,))/VLOOKUP($U$1,A:B,2,))*100)+100</f>
        <v/>
      </c>
      <c r="I93" s="29">
        <f>(((Table134567891011121314151617343[[#This Row],[FRA]]-VLOOKUP($U$1,A:C,3,))/VLOOKUP($U$1,A:C,3,))*100)+100</f>
        <v/>
      </c>
      <c r="J93" s="29">
        <f>(((Table134567891011121314151617343[[#This Row],[DEU]]-VLOOKUP($U$1,A:D,4,))/VLOOKUP($U$1,A:D,4,))*100)+100</f>
        <v/>
      </c>
      <c r="K93" s="29">
        <f>(((Table134567891011121314151617343[[#This Row],[ESP]]-VLOOKUP($U$1,A:E,5,))/VLOOKUP($U$1,A:E,5,))*100)+100</f>
        <v/>
      </c>
      <c r="L93" s="29">
        <f>(((Table134567891011121314151617343[[#This Row],[EA19]]-VLOOKUP($U$1,A:F,6,))/VLOOKUP($U$1,A:F,6,))*100)+100</f>
        <v/>
      </c>
      <c r="M93" s="29">
        <f>(((Table134567891011121314151617343[[#This Row],[GBR]]-VLOOKUP($U$1,A:G,7,))/VLOOKUP($U$1,A:G,7,))*100)+100</f>
        <v/>
      </c>
      <c r="N93" s="29">
        <f>VLOOKUP(A93,Database!$E:$AY,MATCH($N$1,Database!$E$1:$AY$1,0),FALSE)</f>
        <v/>
      </c>
      <c r="O93" s="29">
        <f>(((Table134567891011121314151617343[[#This Row],[USA]]-VLOOKUP($U$1,A:N,14,))/VLOOKUP($U$1,A:N,14,))*100)+100</f>
        <v/>
      </c>
      <c r="P93" s="29">
        <f>VLOOKUP(A93,Database!$E:$AY,MATCH($P$1,Database!$E$1:$AY$1,0),FALSE)</f>
        <v/>
      </c>
      <c r="Q93" s="29">
        <f>(((Table134567891011121314151617343[[#This Row],[JPN]]-VLOOKUP($U$1,A:Q,16,))/VLOOKUP($U$1,A:Q,16,))*100)+100</f>
        <v/>
      </c>
    </row>
    <row r="94" customFormat="1" s="129">
      <c r="A94" s="28" t="n">
        <v>35674</v>
      </c>
      <c r="B94" s="29">
        <f>VLOOKUP(A94,Database!$E:$AY,MATCH($B$1,Database!$E$1:$AY$1,0),FALSE)</f>
        <v/>
      </c>
      <c r="C94" s="29">
        <f>VLOOKUP(A94,Database!$E:$AY,MATCH($C$1,Database!$E$1:$AY$1,0),FALSE)</f>
        <v/>
      </c>
      <c r="D94" s="29">
        <f>VLOOKUP(A94,Database!$E:$AY,MATCH($D$1,Database!$E$1:$AY$1,0),FALSE)</f>
        <v/>
      </c>
      <c r="E94" s="29">
        <f>VLOOKUP(A94,Database!$E:$AY,MATCH($E$1,Database!$E$1:$AY$1,0),FALSE)</f>
        <v/>
      </c>
      <c r="F94" s="29">
        <f>VLOOKUP(A94,Database!$E:$AY,MATCH($F$1,Database!$E$1:$AY$1,0),FALSE)</f>
        <v/>
      </c>
      <c r="G94" s="29">
        <f>VLOOKUP(A94,Database!$E:$AY,MATCH($G$1,Database!$E$1:$AY$1,0),FALSE)</f>
        <v/>
      </c>
      <c r="H94" s="29">
        <f>(((Table134567891011121314151617343[[#This Row],[ITA]]-VLOOKUP($U$1,A:B,2,))/VLOOKUP($U$1,A:B,2,))*100)+100</f>
        <v/>
      </c>
      <c r="I94" s="29">
        <f>(((Table134567891011121314151617343[[#This Row],[FRA]]-VLOOKUP($U$1,A:C,3,))/VLOOKUP($U$1,A:C,3,))*100)+100</f>
        <v/>
      </c>
      <c r="J94" s="29">
        <f>(((Table134567891011121314151617343[[#This Row],[DEU]]-VLOOKUP($U$1,A:D,4,))/VLOOKUP($U$1,A:D,4,))*100)+100</f>
        <v/>
      </c>
      <c r="K94" s="29">
        <f>(((Table134567891011121314151617343[[#This Row],[ESP]]-VLOOKUP($U$1,A:E,5,))/VLOOKUP($U$1,A:E,5,))*100)+100</f>
        <v/>
      </c>
      <c r="L94" s="29">
        <f>(((Table134567891011121314151617343[[#This Row],[EA19]]-VLOOKUP($U$1,A:F,6,))/VLOOKUP($U$1,A:F,6,))*100)+100</f>
        <v/>
      </c>
      <c r="M94" s="29">
        <f>(((Table134567891011121314151617343[[#This Row],[GBR]]-VLOOKUP($U$1,A:G,7,))/VLOOKUP($U$1,A:G,7,))*100)+100</f>
        <v/>
      </c>
      <c r="N94" s="29">
        <f>VLOOKUP(A94,Database!$E:$AY,MATCH($N$1,Database!$E$1:$AY$1,0),FALSE)</f>
        <v/>
      </c>
      <c r="O94" s="29">
        <f>(((Table134567891011121314151617343[[#This Row],[USA]]-VLOOKUP($U$1,A:N,14,))/VLOOKUP($U$1,A:N,14,))*100)+100</f>
        <v/>
      </c>
      <c r="P94" s="29">
        <f>VLOOKUP(A94,Database!$E:$AY,MATCH($P$1,Database!$E$1:$AY$1,0),FALSE)</f>
        <v/>
      </c>
      <c r="Q94" s="29">
        <f>(((Table134567891011121314151617343[[#This Row],[JPN]]-VLOOKUP($U$1,A:Q,16,))/VLOOKUP($U$1,A:Q,16,))*100)+100</f>
        <v/>
      </c>
    </row>
    <row r="95" customFormat="1" s="129">
      <c r="A95" s="28" t="n">
        <v>35704</v>
      </c>
      <c r="B95" s="29">
        <f>VLOOKUP(A95,Database!$E:$AY,MATCH($B$1,Database!$E$1:$AY$1,0),FALSE)</f>
        <v/>
      </c>
      <c r="C95" s="29">
        <f>VLOOKUP(A95,Database!$E:$AY,MATCH($C$1,Database!$E$1:$AY$1,0),FALSE)</f>
        <v/>
      </c>
      <c r="D95" s="29">
        <f>VLOOKUP(A95,Database!$E:$AY,MATCH($D$1,Database!$E$1:$AY$1,0),FALSE)</f>
        <v/>
      </c>
      <c r="E95" s="29">
        <f>VLOOKUP(A95,Database!$E:$AY,MATCH($E$1,Database!$E$1:$AY$1,0),FALSE)</f>
        <v/>
      </c>
      <c r="F95" s="29">
        <f>VLOOKUP(A95,Database!$E:$AY,MATCH($F$1,Database!$E$1:$AY$1,0),FALSE)</f>
        <v/>
      </c>
      <c r="G95" s="29">
        <f>VLOOKUP(A95,Database!$E:$AY,MATCH($G$1,Database!$E$1:$AY$1,0),FALSE)</f>
        <v/>
      </c>
      <c r="H95" s="29">
        <f>(((Table134567891011121314151617343[[#This Row],[ITA]]-VLOOKUP($U$1,A:B,2,))/VLOOKUP($U$1,A:B,2,))*100)+100</f>
        <v/>
      </c>
      <c r="I95" s="29">
        <f>(((Table134567891011121314151617343[[#This Row],[FRA]]-VLOOKUP($U$1,A:C,3,))/VLOOKUP($U$1,A:C,3,))*100)+100</f>
        <v/>
      </c>
      <c r="J95" s="29">
        <f>(((Table134567891011121314151617343[[#This Row],[DEU]]-VLOOKUP($U$1,A:D,4,))/VLOOKUP($U$1,A:D,4,))*100)+100</f>
        <v/>
      </c>
      <c r="K95" s="29">
        <f>(((Table134567891011121314151617343[[#This Row],[ESP]]-VLOOKUP($U$1,A:E,5,))/VLOOKUP($U$1,A:E,5,))*100)+100</f>
        <v/>
      </c>
      <c r="L95" s="29">
        <f>(((Table134567891011121314151617343[[#This Row],[EA19]]-VLOOKUP($U$1,A:F,6,))/VLOOKUP($U$1,A:F,6,))*100)+100</f>
        <v/>
      </c>
      <c r="M95" s="29">
        <f>(((Table134567891011121314151617343[[#This Row],[GBR]]-VLOOKUP($U$1,A:G,7,))/VLOOKUP($U$1,A:G,7,))*100)+100</f>
        <v/>
      </c>
      <c r="N95" s="29">
        <f>VLOOKUP(A95,Database!$E:$AY,MATCH($N$1,Database!$E$1:$AY$1,0),FALSE)</f>
        <v/>
      </c>
      <c r="O95" s="29">
        <f>(((Table134567891011121314151617343[[#This Row],[USA]]-VLOOKUP($U$1,A:N,14,))/VLOOKUP($U$1,A:N,14,))*100)+100</f>
        <v/>
      </c>
      <c r="P95" s="29">
        <f>VLOOKUP(A95,Database!$E:$AY,MATCH($P$1,Database!$E$1:$AY$1,0),FALSE)</f>
        <v/>
      </c>
      <c r="Q95" s="29">
        <f>(((Table134567891011121314151617343[[#This Row],[JPN]]-VLOOKUP($U$1,A:Q,16,))/VLOOKUP($U$1,A:Q,16,))*100)+100</f>
        <v/>
      </c>
    </row>
    <row r="96" customFormat="1" s="129">
      <c r="A96" s="28" t="n">
        <v>35735</v>
      </c>
      <c r="B96" s="29">
        <f>VLOOKUP(A96,Database!$E:$AY,MATCH($B$1,Database!$E$1:$AY$1,0),FALSE)</f>
        <v/>
      </c>
      <c r="C96" s="29">
        <f>VLOOKUP(A96,Database!$E:$AY,MATCH($C$1,Database!$E$1:$AY$1,0),FALSE)</f>
        <v/>
      </c>
      <c r="D96" s="29">
        <f>VLOOKUP(A96,Database!$E:$AY,MATCH($D$1,Database!$E$1:$AY$1,0),FALSE)</f>
        <v/>
      </c>
      <c r="E96" s="29">
        <f>VLOOKUP(A96,Database!$E:$AY,MATCH($E$1,Database!$E$1:$AY$1,0),FALSE)</f>
        <v/>
      </c>
      <c r="F96" s="29">
        <f>VLOOKUP(A96,Database!$E:$AY,MATCH($F$1,Database!$E$1:$AY$1,0),FALSE)</f>
        <v/>
      </c>
      <c r="G96" s="29">
        <f>VLOOKUP(A96,Database!$E:$AY,MATCH($G$1,Database!$E$1:$AY$1,0),FALSE)</f>
        <v/>
      </c>
      <c r="H96" s="29">
        <f>(((Table134567891011121314151617343[[#This Row],[ITA]]-VLOOKUP($U$1,A:B,2,))/VLOOKUP($U$1,A:B,2,))*100)+100</f>
        <v/>
      </c>
      <c r="I96" s="29">
        <f>(((Table134567891011121314151617343[[#This Row],[FRA]]-VLOOKUP($U$1,A:C,3,))/VLOOKUP($U$1,A:C,3,))*100)+100</f>
        <v/>
      </c>
      <c r="J96" s="29">
        <f>(((Table134567891011121314151617343[[#This Row],[DEU]]-VLOOKUP($U$1,A:D,4,))/VLOOKUP($U$1,A:D,4,))*100)+100</f>
        <v/>
      </c>
      <c r="K96" s="29">
        <f>(((Table134567891011121314151617343[[#This Row],[ESP]]-VLOOKUP($U$1,A:E,5,))/VLOOKUP($U$1,A:E,5,))*100)+100</f>
        <v/>
      </c>
      <c r="L96" s="29">
        <f>(((Table134567891011121314151617343[[#This Row],[EA19]]-VLOOKUP($U$1,A:F,6,))/VLOOKUP($U$1,A:F,6,))*100)+100</f>
        <v/>
      </c>
      <c r="M96" s="29">
        <f>(((Table134567891011121314151617343[[#This Row],[GBR]]-VLOOKUP($U$1,A:G,7,))/VLOOKUP($U$1,A:G,7,))*100)+100</f>
        <v/>
      </c>
      <c r="N96" s="29">
        <f>VLOOKUP(A96,Database!$E:$AY,MATCH($N$1,Database!$E$1:$AY$1,0),FALSE)</f>
        <v/>
      </c>
      <c r="O96" s="29">
        <f>(((Table134567891011121314151617343[[#This Row],[USA]]-VLOOKUP($U$1,A:N,14,))/VLOOKUP($U$1,A:N,14,))*100)+100</f>
        <v/>
      </c>
      <c r="P96" s="29">
        <f>VLOOKUP(A96,Database!$E:$AY,MATCH($P$1,Database!$E$1:$AY$1,0),FALSE)</f>
        <v/>
      </c>
      <c r="Q96" s="29">
        <f>(((Table134567891011121314151617343[[#This Row],[JPN]]-VLOOKUP($U$1,A:Q,16,))/VLOOKUP($U$1,A:Q,16,))*100)+100</f>
        <v/>
      </c>
    </row>
    <row r="97" customFormat="1" s="129">
      <c r="A97" s="28" t="n">
        <v>35765</v>
      </c>
      <c r="B97" s="29">
        <f>VLOOKUP(A97,Database!$E:$AY,MATCH($B$1,Database!$E$1:$AY$1,0),FALSE)</f>
        <v/>
      </c>
      <c r="C97" s="29">
        <f>VLOOKUP(A97,Database!$E:$AY,MATCH($C$1,Database!$E$1:$AY$1,0),FALSE)</f>
        <v/>
      </c>
      <c r="D97" s="29">
        <f>VLOOKUP(A97,Database!$E:$AY,MATCH($D$1,Database!$E$1:$AY$1,0),FALSE)</f>
        <v/>
      </c>
      <c r="E97" s="29">
        <f>VLOOKUP(A97,Database!$E:$AY,MATCH($E$1,Database!$E$1:$AY$1,0),FALSE)</f>
        <v/>
      </c>
      <c r="F97" s="29">
        <f>VLOOKUP(A97,Database!$E:$AY,MATCH($F$1,Database!$E$1:$AY$1,0),FALSE)</f>
        <v/>
      </c>
      <c r="G97" s="29">
        <f>VLOOKUP(A97,Database!$E:$AY,MATCH($G$1,Database!$E$1:$AY$1,0),FALSE)</f>
        <v/>
      </c>
      <c r="H97" s="29">
        <f>(((Table134567891011121314151617343[[#This Row],[ITA]]-VLOOKUP($U$1,A:B,2,))/VLOOKUP($U$1,A:B,2,))*100)+100</f>
        <v/>
      </c>
      <c r="I97" s="29">
        <f>(((Table134567891011121314151617343[[#This Row],[FRA]]-VLOOKUP($U$1,A:C,3,))/VLOOKUP($U$1,A:C,3,))*100)+100</f>
        <v/>
      </c>
      <c r="J97" s="29">
        <f>(((Table134567891011121314151617343[[#This Row],[DEU]]-VLOOKUP($U$1,A:D,4,))/VLOOKUP($U$1,A:D,4,))*100)+100</f>
        <v/>
      </c>
      <c r="K97" s="29">
        <f>(((Table134567891011121314151617343[[#This Row],[ESP]]-VLOOKUP($U$1,A:E,5,))/VLOOKUP($U$1,A:E,5,))*100)+100</f>
        <v/>
      </c>
      <c r="L97" s="29">
        <f>(((Table134567891011121314151617343[[#This Row],[EA19]]-VLOOKUP($U$1,A:F,6,))/VLOOKUP($U$1,A:F,6,))*100)+100</f>
        <v/>
      </c>
      <c r="M97" s="29">
        <f>(((Table134567891011121314151617343[[#This Row],[GBR]]-VLOOKUP($U$1,A:G,7,))/VLOOKUP($U$1,A:G,7,))*100)+100</f>
        <v/>
      </c>
      <c r="N97" s="29">
        <f>VLOOKUP(A97,Database!$E:$AY,MATCH($N$1,Database!$E$1:$AY$1,0),FALSE)</f>
        <v/>
      </c>
      <c r="O97" s="29">
        <f>(((Table134567891011121314151617343[[#This Row],[USA]]-VLOOKUP($U$1,A:N,14,))/VLOOKUP($U$1,A:N,14,))*100)+100</f>
        <v/>
      </c>
      <c r="P97" s="29">
        <f>VLOOKUP(A97,Database!$E:$AY,MATCH($P$1,Database!$E$1:$AY$1,0),FALSE)</f>
        <v/>
      </c>
      <c r="Q97" s="29">
        <f>(((Table134567891011121314151617343[[#This Row],[JPN]]-VLOOKUP($U$1,A:Q,16,))/VLOOKUP($U$1,A:Q,16,))*100)+100</f>
        <v/>
      </c>
    </row>
    <row r="98" customFormat="1" s="129">
      <c r="A98" s="28" t="n">
        <v>35796</v>
      </c>
      <c r="B98" s="29">
        <f>VLOOKUP(A98,Database!$E:$AY,MATCH($B$1,Database!$E$1:$AY$1,0),FALSE)</f>
        <v/>
      </c>
      <c r="C98" s="29">
        <f>VLOOKUP(A98,Database!$E:$AY,MATCH($C$1,Database!$E$1:$AY$1,0),FALSE)</f>
        <v/>
      </c>
      <c r="D98" s="29">
        <f>VLOOKUP(A98,Database!$E:$AY,MATCH($D$1,Database!$E$1:$AY$1,0),FALSE)</f>
        <v/>
      </c>
      <c r="E98" s="29">
        <f>VLOOKUP(A98,Database!$E:$AY,MATCH($E$1,Database!$E$1:$AY$1,0),FALSE)</f>
        <v/>
      </c>
      <c r="F98" s="29">
        <f>VLOOKUP(A98,Database!$E:$AY,MATCH($F$1,Database!$E$1:$AY$1,0),FALSE)</f>
        <v/>
      </c>
      <c r="G98" s="29">
        <f>VLOOKUP(A98,Database!$E:$AY,MATCH($G$1,Database!$E$1:$AY$1,0),FALSE)</f>
        <v/>
      </c>
      <c r="H98" s="29">
        <f>(((Table134567891011121314151617343[[#This Row],[ITA]]-VLOOKUP($U$1,A:B,2,))/VLOOKUP($U$1,A:B,2,))*100)+100</f>
        <v/>
      </c>
      <c r="I98" s="29">
        <f>(((Table134567891011121314151617343[[#This Row],[FRA]]-VLOOKUP($U$1,A:C,3,))/VLOOKUP($U$1,A:C,3,))*100)+100</f>
        <v/>
      </c>
      <c r="J98" s="29">
        <f>(((Table134567891011121314151617343[[#This Row],[DEU]]-VLOOKUP($U$1,A:D,4,))/VLOOKUP($U$1,A:D,4,))*100)+100</f>
        <v/>
      </c>
      <c r="K98" s="29">
        <f>(((Table134567891011121314151617343[[#This Row],[ESP]]-VLOOKUP($U$1,A:E,5,))/VLOOKUP($U$1,A:E,5,))*100)+100</f>
        <v/>
      </c>
      <c r="L98" s="29">
        <f>(((Table134567891011121314151617343[[#This Row],[EA19]]-VLOOKUP($U$1,A:F,6,))/VLOOKUP($U$1,A:F,6,))*100)+100</f>
        <v/>
      </c>
      <c r="M98" s="29">
        <f>(((Table134567891011121314151617343[[#This Row],[GBR]]-VLOOKUP($U$1,A:G,7,))/VLOOKUP($U$1,A:G,7,))*100)+100</f>
        <v/>
      </c>
      <c r="N98" s="29">
        <f>VLOOKUP(A98,Database!$E:$AY,MATCH($N$1,Database!$E$1:$AY$1,0),FALSE)</f>
        <v/>
      </c>
      <c r="O98" s="29">
        <f>(((Table134567891011121314151617343[[#This Row],[USA]]-VLOOKUP($U$1,A:N,14,))/VLOOKUP($U$1,A:N,14,))*100)+100</f>
        <v/>
      </c>
      <c r="P98" s="29">
        <f>VLOOKUP(A98,Database!$E:$AY,MATCH($P$1,Database!$E$1:$AY$1,0),FALSE)</f>
        <v/>
      </c>
      <c r="Q98" s="29">
        <f>(((Table134567891011121314151617343[[#This Row],[JPN]]-VLOOKUP($U$1,A:Q,16,))/VLOOKUP($U$1,A:Q,16,))*100)+100</f>
        <v/>
      </c>
    </row>
    <row r="99" customFormat="1" s="129">
      <c r="A99" s="28" t="n">
        <v>35827</v>
      </c>
      <c r="B99" s="29">
        <f>VLOOKUP(A99,Database!$E:$AY,MATCH($B$1,Database!$E$1:$AY$1,0),FALSE)</f>
        <v/>
      </c>
      <c r="C99" s="29">
        <f>VLOOKUP(A99,Database!$E:$AY,MATCH($C$1,Database!$E$1:$AY$1,0),FALSE)</f>
        <v/>
      </c>
      <c r="D99" s="29">
        <f>VLOOKUP(A99,Database!$E:$AY,MATCH($D$1,Database!$E$1:$AY$1,0),FALSE)</f>
        <v/>
      </c>
      <c r="E99" s="29">
        <f>VLOOKUP(A99,Database!$E:$AY,MATCH($E$1,Database!$E$1:$AY$1,0),FALSE)</f>
        <v/>
      </c>
      <c r="F99" s="29">
        <f>VLOOKUP(A99,Database!$E:$AY,MATCH($F$1,Database!$E$1:$AY$1,0),FALSE)</f>
        <v/>
      </c>
      <c r="G99" s="29">
        <f>VLOOKUP(A99,Database!$E:$AY,MATCH($G$1,Database!$E$1:$AY$1,0),FALSE)</f>
        <v/>
      </c>
      <c r="H99" s="29">
        <f>(((Table134567891011121314151617343[[#This Row],[ITA]]-VLOOKUP($U$1,A:B,2,))/VLOOKUP($U$1,A:B,2,))*100)+100</f>
        <v/>
      </c>
      <c r="I99" s="29">
        <f>(((Table134567891011121314151617343[[#This Row],[FRA]]-VLOOKUP($U$1,A:C,3,))/VLOOKUP($U$1,A:C,3,))*100)+100</f>
        <v/>
      </c>
      <c r="J99" s="29">
        <f>(((Table134567891011121314151617343[[#This Row],[DEU]]-VLOOKUP($U$1,A:D,4,))/VLOOKUP($U$1,A:D,4,))*100)+100</f>
        <v/>
      </c>
      <c r="K99" s="29">
        <f>(((Table134567891011121314151617343[[#This Row],[ESP]]-VLOOKUP($U$1,A:E,5,))/VLOOKUP($U$1,A:E,5,))*100)+100</f>
        <v/>
      </c>
      <c r="L99" s="29">
        <f>(((Table134567891011121314151617343[[#This Row],[EA19]]-VLOOKUP($U$1,A:F,6,))/VLOOKUP($U$1,A:F,6,))*100)+100</f>
        <v/>
      </c>
      <c r="M99" s="29">
        <f>(((Table134567891011121314151617343[[#This Row],[GBR]]-VLOOKUP($U$1,A:G,7,))/VLOOKUP($U$1,A:G,7,))*100)+100</f>
        <v/>
      </c>
      <c r="N99" s="29">
        <f>VLOOKUP(A99,Database!$E:$AY,MATCH($N$1,Database!$E$1:$AY$1,0),FALSE)</f>
        <v/>
      </c>
      <c r="O99" s="29">
        <f>(((Table134567891011121314151617343[[#This Row],[USA]]-VLOOKUP($U$1,A:N,14,))/VLOOKUP($U$1,A:N,14,))*100)+100</f>
        <v/>
      </c>
      <c r="P99" s="29">
        <f>VLOOKUP(A99,Database!$E:$AY,MATCH($P$1,Database!$E$1:$AY$1,0),FALSE)</f>
        <v/>
      </c>
      <c r="Q99" s="29">
        <f>(((Table134567891011121314151617343[[#This Row],[JPN]]-VLOOKUP($U$1,A:Q,16,))/VLOOKUP($U$1,A:Q,16,))*100)+100</f>
        <v/>
      </c>
    </row>
    <row r="100" customFormat="1" s="129">
      <c r="A100" s="28" t="n">
        <v>35855</v>
      </c>
      <c r="B100" s="29">
        <f>VLOOKUP(A100,Database!$E:$AY,MATCH($B$1,Database!$E$1:$AY$1,0),FALSE)</f>
        <v/>
      </c>
      <c r="C100" s="29">
        <f>VLOOKUP(A100,Database!$E:$AY,MATCH($C$1,Database!$E$1:$AY$1,0),FALSE)</f>
        <v/>
      </c>
      <c r="D100" s="29">
        <f>VLOOKUP(A100,Database!$E:$AY,MATCH($D$1,Database!$E$1:$AY$1,0),FALSE)</f>
        <v/>
      </c>
      <c r="E100" s="29">
        <f>VLOOKUP(A100,Database!$E:$AY,MATCH($E$1,Database!$E$1:$AY$1,0),FALSE)</f>
        <v/>
      </c>
      <c r="F100" s="29">
        <f>VLOOKUP(A100,Database!$E:$AY,MATCH($F$1,Database!$E$1:$AY$1,0),FALSE)</f>
        <v/>
      </c>
      <c r="G100" s="29">
        <f>VLOOKUP(A100,Database!$E:$AY,MATCH($G$1,Database!$E$1:$AY$1,0),FALSE)</f>
        <v/>
      </c>
      <c r="H100" s="29">
        <f>(((Table134567891011121314151617343[[#This Row],[ITA]]-VLOOKUP($U$1,A:B,2,))/VLOOKUP($U$1,A:B,2,))*100)+100</f>
        <v/>
      </c>
      <c r="I100" s="29">
        <f>(((Table134567891011121314151617343[[#This Row],[FRA]]-VLOOKUP($U$1,A:C,3,))/VLOOKUP($U$1,A:C,3,))*100)+100</f>
        <v/>
      </c>
      <c r="J100" s="29">
        <f>(((Table134567891011121314151617343[[#This Row],[DEU]]-VLOOKUP($U$1,A:D,4,))/VLOOKUP($U$1,A:D,4,))*100)+100</f>
        <v/>
      </c>
      <c r="K100" s="29">
        <f>(((Table134567891011121314151617343[[#This Row],[ESP]]-VLOOKUP($U$1,A:E,5,))/VLOOKUP($U$1,A:E,5,))*100)+100</f>
        <v/>
      </c>
      <c r="L100" s="29">
        <f>(((Table134567891011121314151617343[[#This Row],[EA19]]-VLOOKUP($U$1,A:F,6,))/VLOOKUP($U$1,A:F,6,))*100)+100</f>
        <v/>
      </c>
      <c r="M100" s="29">
        <f>(((Table134567891011121314151617343[[#This Row],[GBR]]-VLOOKUP($U$1,A:G,7,))/VLOOKUP($U$1,A:G,7,))*100)+100</f>
        <v/>
      </c>
      <c r="N100" s="29">
        <f>VLOOKUP(A100,Database!$E:$AY,MATCH($N$1,Database!$E$1:$AY$1,0),FALSE)</f>
        <v/>
      </c>
      <c r="O100" s="29">
        <f>(((Table134567891011121314151617343[[#This Row],[USA]]-VLOOKUP($U$1,A:N,14,))/VLOOKUP($U$1,A:N,14,))*100)+100</f>
        <v/>
      </c>
      <c r="P100" s="29">
        <f>VLOOKUP(A100,Database!$E:$AY,MATCH($P$1,Database!$E$1:$AY$1,0),FALSE)</f>
        <v/>
      </c>
      <c r="Q100" s="29">
        <f>(((Table134567891011121314151617343[[#This Row],[JPN]]-VLOOKUP($U$1,A:Q,16,))/VLOOKUP($U$1,A:Q,16,))*100)+100</f>
        <v/>
      </c>
    </row>
    <row r="101" customFormat="1" s="129">
      <c r="A101" s="28" t="n">
        <v>35886</v>
      </c>
      <c r="B101" s="29">
        <f>VLOOKUP(A101,Database!$E:$AY,MATCH($B$1,Database!$E$1:$AY$1,0),FALSE)</f>
        <v/>
      </c>
      <c r="C101" s="29">
        <f>VLOOKUP(A101,Database!$E:$AY,MATCH($C$1,Database!$E$1:$AY$1,0),FALSE)</f>
        <v/>
      </c>
      <c r="D101" s="29">
        <f>VLOOKUP(A101,Database!$E:$AY,MATCH($D$1,Database!$E$1:$AY$1,0),FALSE)</f>
        <v/>
      </c>
      <c r="E101" s="29">
        <f>VLOOKUP(A101,Database!$E:$AY,MATCH($E$1,Database!$E$1:$AY$1,0),FALSE)</f>
        <v/>
      </c>
      <c r="F101" s="29">
        <f>VLOOKUP(A101,Database!$E:$AY,MATCH($F$1,Database!$E$1:$AY$1,0),FALSE)</f>
        <v/>
      </c>
      <c r="G101" s="29">
        <f>VLOOKUP(A101,Database!$E:$AY,MATCH($G$1,Database!$E$1:$AY$1,0),FALSE)</f>
        <v/>
      </c>
      <c r="H101" s="29">
        <f>(((Table134567891011121314151617343[[#This Row],[ITA]]-VLOOKUP($U$1,A:B,2,))/VLOOKUP($U$1,A:B,2,))*100)+100</f>
        <v/>
      </c>
      <c r="I101" s="29">
        <f>(((Table134567891011121314151617343[[#This Row],[FRA]]-VLOOKUP($U$1,A:C,3,))/VLOOKUP($U$1,A:C,3,))*100)+100</f>
        <v/>
      </c>
      <c r="J101" s="29">
        <f>(((Table134567891011121314151617343[[#This Row],[DEU]]-VLOOKUP($U$1,A:D,4,))/VLOOKUP($U$1,A:D,4,))*100)+100</f>
        <v/>
      </c>
      <c r="K101" s="29">
        <f>(((Table134567891011121314151617343[[#This Row],[ESP]]-VLOOKUP($U$1,A:E,5,))/VLOOKUP($U$1,A:E,5,))*100)+100</f>
        <v/>
      </c>
      <c r="L101" s="29">
        <f>(((Table134567891011121314151617343[[#This Row],[EA19]]-VLOOKUP($U$1,A:F,6,))/VLOOKUP($U$1,A:F,6,))*100)+100</f>
        <v/>
      </c>
      <c r="M101" s="29">
        <f>(((Table134567891011121314151617343[[#This Row],[GBR]]-VLOOKUP($U$1,A:G,7,))/VLOOKUP($U$1,A:G,7,))*100)+100</f>
        <v/>
      </c>
      <c r="N101" s="29">
        <f>VLOOKUP(A101,Database!$E:$AY,MATCH($N$1,Database!$E$1:$AY$1,0),FALSE)</f>
        <v/>
      </c>
      <c r="O101" s="29">
        <f>(((Table134567891011121314151617343[[#This Row],[USA]]-VLOOKUP($U$1,A:N,14,))/VLOOKUP($U$1,A:N,14,))*100)+100</f>
        <v/>
      </c>
      <c r="P101" s="29">
        <f>VLOOKUP(A101,Database!$E:$AY,MATCH($P$1,Database!$E$1:$AY$1,0),FALSE)</f>
        <v/>
      </c>
      <c r="Q101" s="29">
        <f>(((Table134567891011121314151617343[[#This Row],[JPN]]-VLOOKUP($U$1,A:Q,16,))/VLOOKUP($U$1,A:Q,16,))*100)+100</f>
        <v/>
      </c>
    </row>
    <row r="102" customFormat="1" s="129">
      <c r="A102" s="28" t="n">
        <v>35916</v>
      </c>
      <c r="B102" s="29">
        <f>VLOOKUP(A102,Database!$E:$AY,MATCH($B$1,Database!$E$1:$AY$1,0),FALSE)</f>
        <v/>
      </c>
      <c r="C102" s="29">
        <f>VLOOKUP(A102,Database!$E:$AY,MATCH($C$1,Database!$E$1:$AY$1,0),FALSE)</f>
        <v/>
      </c>
      <c r="D102" s="29">
        <f>VLOOKUP(A102,Database!$E:$AY,MATCH($D$1,Database!$E$1:$AY$1,0),FALSE)</f>
        <v/>
      </c>
      <c r="E102" s="29">
        <f>VLOOKUP(A102,Database!$E:$AY,MATCH($E$1,Database!$E$1:$AY$1,0),FALSE)</f>
        <v/>
      </c>
      <c r="F102" s="29">
        <f>VLOOKUP(A102,Database!$E:$AY,MATCH($F$1,Database!$E$1:$AY$1,0),FALSE)</f>
        <v/>
      </c>
      <c r="G102" s="29">
        <f>VLOOKUP(A102,Database!$E:$AY,MATCH($G$1,Database!$E$1:$AY$1,0),FALSE)</f>
        <v/>
      </c>
      <c r="H102" s="29">
        <f>(((Table134567891011121314151617343[[#This Row],[ITA]]-VLOOKUP($U$1,A:B,2,))/VLOOKUP($U$1,A:B,2,))*100)+100</f>
        <v/>
      </c>
      <c r="I102" s="29">
        <f>(((Table134567891011121314151617343[[#This Row],[FRA]]-VLOOKUP($U$1,A:C,3,))/VLOOKUP($U$1,A:C,3,))*100)+100</f>
        <v/>
      </c>
      <c r="J102" s="29">
        <f>(((Table134567891011121314151617343[[#This Row],[DEU]]-VLOOKUP($U$1,A:D,4,))/VLOOKUP($U$1,A:D,4,))*100)+100</f>
        <v/>
      </c>
      <c r="K102" s="29">
        <f>(((Table134567891011121314151617343[[#This Row],[ESP]]-VLOOKUP($U$1,A:E,5,))/VLOOKUP($U$1,A:E,5,))*100)+100</f>
        <v/>
      </c>
      <c r="L102" s="29">
        <f>(((Table134567891011121314151617343[[#This Row],[EA19]]-VLOOKUP($U$1,A:F,6,))/VLOOKUP($U$1,A:F,6,))*100)+100</f>
        <v/>
      </c>
      <c r="M102" s="29">
        <f>(((Table134567891011121314151617343[[#This Row],[GBR]]-VLOOKUP($U$1,A:G,7,))/VLOOKUP($U$1,A:G,7,))*100)+100</f>
        <v/>
      </c>
      <c r="N102" s="29">
        <f>VLOOKUP(A102,Database!$E:$AY,MATCH($N$1,Database!$E$1:$AY$1,0),FALSE)</f>
        <v/>
      </c>
      <c r="O102" s="29">
        <f>(((Table134567891011121314151617343[[#This Row],[USA]]-VLOOKUP($U$1,A:N,14,))/VLOOKUP($U$1,A:N,14,))*100)+100</f>
        <v/>
      </c>
      <c r="P102" s="29">
        <f>VLOOKUP(A102,Database!$E:$AY,MATCH($P$1,Database!$E$1:$AY$1,0),FALSE)</f>
        <v/>
      </c>
      <c r="Q102" s="29">
        <f>(((Table134567891011121314151617343[[#This Row],[JPN]]-VLOOKUP($U$1,A:Q,16,))/VLOOKUP($U$1,A:Q,16,))*100)+100</f>
        <v/>
      </c>
    </row>
    <row r="103" customFormat="1" s="129">
      <c r="A103" s="28" t="n">
        <v>35947</v>
      </c>
      <c r="B103" s="29">
        <f>VLOOKUP(A103,Database!$E:$AY,MATCH($B$1,Database!$E$1:$AY$1,0),FALSE)</f>
        <v/>
      </c>
      <c r="C103" s="29">
        <f>VLOOKUP(A103,Database!$E:$AY,MATCH($C$1,Database!$E$1:$AY$1,0),FALSE)</f>
        <v/>
      </c>
      <c r="D103" s="29">
        <f>VLOOKUP(A103,Database!$E:$AY,MATCH($D$1,Database!$E$1:$AY$1,0),FALSE)</f>
        <v/>
      </c>
      <c r="E103" s="29">
        <f>VLOOKUP(A103,Database!$E:$AY,MATCH($E$1,Database!$E$1:$AY$1,0),FALSE)</f>
        <v/>
      </c>
      <c r="F103" s="29">
        <f>VLOOKUP(A103,Database!$E:$AY,MATCH($F$1,Database!$E$1:$AY$1,0),FALSE)</f>
        <v/>
      </c>
      <c r="G103" s="29">
        <f>VLOOKUP(A103,Database!$E:$AY,MATCH($G$1,Database!$E$1:$AY$1,0),FALSE)</f>
        <v/>
      </c>
      <c r="H103" s="29">
        <f>(((Table134567891011121314151617343[[#This Row],[ITA]]-VLOOKUP($U$1,A:B,2,))/VLOOKUP($U$1,A:B,2,))*100)+100</f>
        <v/>
      </c>
      <c r="I103" s="29">
        <f>(((Table134567891011121314151617343[[#This Row],[FRA]]-VLOOKUP($U$1,A:C,3,))/VLOOKUP($U$1,A:C,3,))*100)+100</f>
        <v/>
      </c>
      <c r="J103" s="29">
        <f>(((Table134567891011121314151617343[[#This Row],[DEU]]-VLOOKUP($U$1,A:D,4,))/VLOOKUP($U$1,A:D,4,))*100)+100</f>
        <v/>
      </c>
      <c r="K103" s="29">
        <f>(((Table134567891011121314151617343[[#This Row],[ESP]]-VLOOKUP($U$1,A:E,5,))/VLOOKUP($U$1,A:E,5,))*100)+100</f>
        <v/>
      </c>
      <c r="L103" s="29">
        <f>(((Table134567891011121314151617343[[#This Row],[EA19]]-VLOOKUP($U$1,A:F,6,))/VLOOKUP($U$1,A:F,6,))*100)+100</f>
        <v/>
      </c>
      <c r="M103" s="29">
        <f>(((Table134567891011121314151617343[[#This Row],[GBR]]-VLOOKUP($U$1,A:G,7,))/VLOOKUP($U$1,A:G,7,))*100)+100</f>
        <v/>
      </c>
      <c r="N103" s="29">
        <f>VLOOKUP(A103,Database!$E:$AY,MATCH($N$1,Database!$E$1:$AY$1,0),FALSE)</f>
        <v/>
      </c>
      <c r="O103" s="29">
        <f>(((Table134567891011121314151617343[[#This Row],[USA]]-VLOOKUP($U$1,A:N,14,))/VLOOKUP($U$1,A:N,14,))*100)+100</f>
        <v/>
      </c>
      <c r="P103" s="29">
        <f>VLOOKUP(A103,Database!$E:$AY,MATCH($P$1,Database!$E$1:$AY$1,0),FALSE)</f>
        <v/>
      </c>
      <c r="Q103" s="29">
        <f>(((Table134567891011121314151617343[[#This Row],[JPN]]-VLOOKUP($U$1,A:Q,16,))/VLOOKUP($U$1,A:Q,16,))*100)+100</f>
        <v/>
      </c>
    </row>
    <row r="104" customFormat="1" s="129">
      <c r="A104" s="28" t="n">
        <v>35977</v>
      </c>
      <c r="B104" s="29">
        <f>VLOOKUP(A104,Database!$E:$AY,MATCH($B$1,Database!$E$1:$AY$1,0),FALSE)</f>
        <v/>
      </c>
      <c r="C104" s="29">
        <f>VLOOKUP(A104,Database!$E:$AY,MATCH($C$1,Database!$E$1:$AY$1,0),FALSE)</f>
        <v/>
      </c>
      <c r="D104" s="29">
        <f>VLOOKUP(A104,Database!$E:$AY,MATCH($D$1,Database!$E$1:$AY$1,0),FALSE)</f>
        <v/>
      </c>
      <c r="E104" s="29">
        <f>VLOOKUP(A104,Database!$E:$AY,MATCH($E$1,Database!$E$1:$AY$1,0),FALSE)</f>
        <v/>
      </c>
      <c r="F104" s="29">
        <f>VLOOKUP(A104,Database!$E:$AY,MATCH($F$1,Database!$E$1:$AY$1,0),FALSE)</f>
        <v/>
      </c>
      <c r="G104" s="29">
        <f>VLOOKUP(A104,Database!$E:$AY,MATCH($G$1,Database!$E$1:$AY$1,0),FALSE)</f>
        <v/>
      </c>
      <c r="H104" s="29">
        <f>(((Table134567891011121314151617343[[#This Row],[ITA]]-VLOOKUP($U$1,A:B,2,))/VLOOKUP($U$1,A:B,2,))*100)+100</f>
        <v/>
      </c>
      <c r="I104" s="29">
        <f>(((Table134567891011121314151617343[[#This Row],[FRA]]-VLOOKUP($U$1,A:C,3,))/VLOOKUP($U$1,A:C,3,))*100)+100</f>
        <v/>
      </c>
      <c r="J104" s="29">
        <f>(((Table134567891011121314151617343[[#This Row],[DEU]]-VLOOKUP($U$1,A:D,4,))/VLOOKUP($U$1,A:D,4,))*100)+100</f>
        <v/>
      </c>
      <c r="K104" s="29">
        <f>(((Table134567891011121314151617343[[#This Row],[ESP]]-VLOOKUP($U$1,A:E,5,))/VLOOKUP($U$1,A:E,5,))*100)+100</f>
        <v/>
      </c>
      <c r="L104" s="29">
        <f>(((Table134567891011121314151617343[[#This Row],[EA19]]-VLOOKUP($U$1,A:F,6,))/VLOOKUP($U$1,A:F,6,))*100)+100</f>
        <v/>
      </c>
      <c r="M104" s="29">
        <f>(((Table134567891011121314151617343[[#This Row],[GBR]]-VLOOKUP($U$1,A:G,7,))/VLOOKUP($U$1,A:G,7,))*100)+100</f>
        <v/>
      </c>
      <c r="N104" s="29">
        <f>VLOOKUP(A104,Database!$E:$AY,MATCH($N$1,Database!$E$1:$AY$1,0),FALSE)</f>
        <v/>
      </c>
      <c r="O104" s="29">
        <f>(((Table134567891011121314151617343[[#This Row],[USA]]-VLOOKUP($U$1,A:N,14,))/VLOOKUP($U$1,A:N,14,))*100)+100</f>
        <v/>
      </c>
      <c r="P104" s="29">
        <f>VLOOKUP(A104,Database!$E:$AY,MATCH($P$1,Database!$E$1:$AY$1,0),FALSE)</f>
        <v/>
      </c>
      <c r="Q104" s="29">
        <f>(((Table134567891011121314151617343[[#This Row],[JPN]]-VLOOKUP($U$1,A:Q,16,))/VLOOKUP($U$1,A:Q,16,))*100)+100</f>
        <v/>
      </c>
    </row>
    <row r="105" customFormat="1" s="129">
      <c r="A105" s="28" t="n">
        <v>36008</v>
      </c>
      <c r="B105" s="29">
        <f>VLOOKUP(A105,Database!$E:$AY,MATCH($B$1,Database!$E$1:$AY$1,0),FALSE)</f>
        <v/>
      </c>
      <c r="C105" s="29">
        <f>VLOOKUP(A105,Database!$E:$AY,MATCH($C$1,Database!$E$1:$AY$1,0),FALSE)</f>
        <v/>
      </c>
      <c r="D105" s="29">
        <f>VLOOKUP(A105,Database!$E:$AY,MATCH($D$1,Database!$E$1:$AY$1,0),FALSE)</f>
        <v/>
      </c>
      <c r="E105" s="29">
        <f>VLOOKUP(A105,Database!$E:$AY,MATCH($E$1,Database!$E$1:$AY$1,0),FALSE)</f>
        <v/>
      </c>
      <c r="F105" s="29">
        <f>VLOOKUP(A105,Database!$E:$AY,MATCH($F$1,Database!$E$1:$AY$1,0),FALSE)</f>
        <v/>
      </c>
      <c r="G105" s="29">
        <f>VLOOKUP(A105,Database!$E:$AY,MATCH($G$1,Database!$E$1:$AY$1,0),FALSE)</f>
        <v/>
      </c>
      <c r="H105" s="29">
        <f>(((Table134567891011121314151617343[[#This Row],[ITA]]-VLOOKUP($U$1,A:B,2,))/VLOOKUP($U$1,A:B,2,))*100)+100</f>
        <v/>
      </c>
      <c r="I105" s="29">
        <f>(((Table134567891011121314151617343[[#This Row],[FRA]]-VLOOKUP($U$1,A:C,3,))/VLOOKUP($U$1,A:C,3,))*100)+100</f>
        <v/>
      </c>
      <c r="J105" s="29">
        <f>(((Table134567891011121314151617343[[#This Row],[DEU]]-VLOOKUP($U$1,A:D,4,))/VLOOKUP($U$1,A:D,4,))*100)+100</f>
        <v/>
      </c>
      <c r="K105" s="29">
        <f>(((Table134567891011121314151617343[[#This Row],[ESP]]-VLOOKUP($U$1,A:E,5,))/VLOOKUP($U$1,A:E,5,))*100)+100</f>
        <v/>
      </c>
      <c r="L105" s="29">
        <f>(((Table134567891011121314151617343[[#This Row],[EA19]]-VLOOKUP($U$1,A:F,6,))/VLOOKUP($U$1,A:F,6,))*100)+100</f>
        <v/>
      </c>
      <c r="M105" s="29">
        <f>(((Table134567891011121314151617343[[#This Row],[GBR]]-VLOOKUP($U$1,A:G,7,))/VLOOKUP($U$1,A:G,7,))*100)+100</f>
        <v/>
      </c>
      <c r="N105" s="29">
        <f>VLOOKUP(A105,Database!$E:$AY,MATCH($N$1,Database!$E$1:$AY$1,0),FALSE)</f>
        <v/>
      </c>
      <c r="O105" s="29">
        <f>(((Table134567891011121314151617343[[#This Row],[USA]]-VLOOKUP($U$1,A:N,14,))/VLOOKUP($U$1,A:N,14,))*100)+100</f>
        <v/>
      </c>
      <c r="P105" s="29">
        <f>VLOOKUP(A105,Database!$E:$AY,MATCH($P$1,Database!$E$1:$AY$1,0),FALSE)</f>
        <v/>
      </c>
      <c r="Q105" s="29">
        <f>(((Table134567891011121314151617343[[#This Row],[JPN]]-VLOOKUP($U$1,A:Q,16,))/VLOOKUP($U$1,A:Q,16,))*100)+100</f>
        <v/>
      </c>
    </row>
    <row r="106" customFormat="1" s="129">
      <c r="A106" s="28" t="n">
        <v>36039</v>
      </c>
      <c r="B106" s="29">
        <f>VLOOKUP(A106,Database!$E:$AY,MATCH($B$1,Database!$E$1:$AY$1,0),FALSE)</f>
        <v/>
      </c>
      <c r="C106" s="29">
        <f>VLOOKUP(A106,Database!$E:$AY,MATCH($C$1,Database!$E$1:$AY$1,0),FALSE)</f>
        <v/>
      </c>
      <c r="D106" s="29">
        <f>VLOOKUP(A106,Database!$E:$AY,MATCH($D$1,Database!$E$1:$AY$1,0),FALSE)</f>
        <v/>
      </c>
      <c r="E106" s="29">
        <f>VLOOKUP(A106,Database!$E:$AY,MATCH($E$1,Database!$E$1:$AY$1,0),FALSE)</f>
        <v/>
      </c>
      <c r="F106" s="29">
        <f>VLOOKUP(A106,Database!$E:$AY,MATCH($F$1,Database!$E$1:$AY$1,0),FALSE)</f>
        <v/>
      </c>
      <c r="G106" s="29">
        <f>VLOOKUP(A106,Database!$E:$AY,MATCH($G$1,Database!$E$1:$AY$1,0),FALSE)</f>
        <v/>
      </c>
      <c r="H106" s="29">
        <f>(((Table134567891011121314151617343[[#This Row],[ITA]]-VLOOKUP($U$1,A:B,2,))/VLOOKUP($U$1,A:B,2,))*100)+100</f>
        <v/>
      </c>
      <c r="I106" s="29">
        <f>(((Table134567891011121314151617343[[#This Row],[FRA]]-VLOOKUP($U$1,A:C,3,))/VLOOKUP($U$1,A:C,3,))*100)+100</f>
        <v/>
      </c>
      <c r="J106" s="29">
        <f>(((Table134567891011121314151617343[[#This Row],[DEU]]-VLOOKUP($U$1,A:D,4,))/VLOOKUP($U$1,A:D,4,))*100)+100</f>
        <v/>
      </c>
      <c r="K106" s="29">
        <f>(((Table134567891011121314151617343[[#This Row],[ESP]]-VLOOKUP($U$1,A:E,5,))/VLOOKUP($U$1,A:E,5,))*100)+100</f>
        <v/>
      </c>
      <c r="L106" s="29">
        <f>(((Table134567891011121314151617343[[#This Row],[EA19]]-VLOOKUP($U$1,A:F,6,))/VLOOKUP($U$1,A:F,6,))*100)+100</f>
        <v/>
      </c>
      <c r="M106" s="29">
        <f>(((Table134567891011121314151617343[[#This Row],[GBR]]-VLOOKUP($U$1,A:G,7,))/VLOOKUP($U$1,A:G,7,))*100)+100</f>
        <v/>
      </c>
      <c r="N106" s="29">
        <f>VLOOKUP(A106,Database!$E:$AY,MATCH($N$1,Database!$E$1:$AY$1,0),FALSE)</f>
        <v/>
      </c>
      <c r="O106" s="29">
        <f>(((Table134567891011121314151617343[[#This Row],[USA]]-VLOOKUP($U$1,A:N,14,))/VLOOKUP($U$1,A:N,14,))*100)+100</f>
        <v/>
      </c>
      <c r="P106" s="29">
        <f>VLOOKUP(A106,Database!$E:$AY,MATCH($P$1,Database!$E$1:$AY$1,0),FALSE)</f>
        <v/>
      </c>
      <c r="Q106" s="29">
        <f>(((Table134567891011121314151617343[[#This Row],[JPN]]-VLOOKUP($U$1,A:Q,16,))/VLOOKUP($U$1,A:Q,16,))*100)+100</f>
        <v/>
      </c>
    </row>
    <row r="107" customFormat="1" s="129">
      <c r="A107" s="28" t="n">
        <v>36069</v>
      </c>
      <c r="B107" s="29">
        <f>VLOOKUP(A107,Database!$E:$AY,MATCH($B$1,Database!$E$1:$AY$1,0),FALSE)</f>
        <v/>
      </c>
      <c r="C107" s="29">
        <f>VLOOKUP(A107,Database!$E:$AY,MATCH($C$1,Database!$E$1:$AY$1,0),FALSE)</f>
        <v/>
      </c>
      <c r="D107" s="29">
        <f>VLOOKUP(A107,Database!$E:$AY,MATCH($D$1,Database!$E$1:$AY$1,0),FALSE)</f>
        <v/>
      </c>
      <c r="E107" s="29">
        <f>VLOOKUP(A107,Database!$E:$AY,MATCH($E$1,Database!$E$1:$AY$1,0),FALSE)</f>
        <v/>
      </c>
      <c r="F107" s="29">
        <f>VLOOKUP(A107,Database!$E:$AY,MATCH($F$1,Database!$E$1:$AY$1,0),FALSE)</f>
        <v/>
      </c>
      <c r="G107" s="29">
        <f>VLOOKUP(A107,Database!$E:$AY,MATCH($G$1,Database!$E$1:$AY$1,0),FALSE)</f>
        <v/>
      </c>
      <c r="H107" s="29">
        <f>(((Table134567891011121314151617343[[#This Row],[ITA]]-VLOOKUP($U$1,A:B,2,))/VLOOKUP($U$1,A:B,2,))*100)+100</f>
        <v/>
      </c>
      <c r="I107" s="29">
        <f>(((Table134567891011121314151617343[[#This Row],[FRA]]-VLOOKUP($U$1,A:C,3,))/VLOOKUP($U$1,A:C,3,))*100)+100</f>
        <v/>
      </c>
      <c r="J107" s="29">
        <f>(((Table134567891011121314151617343[[#This Row],[DEU]]-VLOOKUP($U$1,A:D,4,))/VLOOKUP($U$1,A:D,4,))*100)+100</f>
        <v/>
      </c>
      <c r="K107" s="29">
        <f>(((Table134567891011121314151617343[[#This Row],[ESP]]-VLOOKUP($U$1,A:E,5,))/VLOOKUP($U$1,A:E,5,))*100)+100</f>
        <v/>
      </c>
      <c r="L107" s="29">
        <f>(((Table134567891011121314151617343[[#This Row],[EA19]]-VLOOKUP($U$1,A:F,6,))/VLOOKUP($U$1,A:F,6,))*100)+100</f>
        <v/>
      </c>
      <c r="M107" s="29">
        <f>(((Table134567891011121314151617343[[#This Row],[GBR]]-VLOOKUP($U$1,A:G,7,))/VLOOKUP($U$1,A:G,7,))*100)+100</f>
        <v/>
      </c>
      <c r="N107" s="29">
        <f>VLOOKUP(A107,Database!$E:$AY,MATCH($N$1,Database!$E$1:$AY$1,0),FALSE)</f>
        <v/>
      </c>
      <c r="O107" s="29">
        <f>(((Table134567891011121314151617343[[#This Row],[USA]]-VLOOKUP($U$1,A:N,14,))/VLOOKUP($U$1,A:N,14,))*100)+100</f>
        <v/>
      </c>
      <c r="P107" s="29">
        <f>VLOOKUP(A107,Database!$E:$AY,MATCH($P$1,Database!$E$1:$AY$1,0),FALSE)</f>
        <v/>
      </c>
      <c r="Q107" s="29">
        <f>(((Table134567891011121314151617343[[#This Row],[JPN]]-VLOOKUP($U$1,A:Q,16,))/VLOOKUP($U$1,A:Q,16,))*100)+100</f>
        <v/>
      </c>
    </row>
    <row r="108" customFormat="1" s="129">
      <c r="A108" s="28" t="n">
        <v>36100</v>
      </c>
      <c r="B108" s="29">
        <f>VLOOKUP(A108,Database!$E:$AY,MATCH($B$1,Database!$E$1:$AY$1,0),FALSE)</f>
        <v/>
      </c>
      <c r="C108" s="29">
        <f>VLOOKUP(A108,Database!$E:$AY,MATCH($C$1,Database!$E$1:$AY$1,0),FALSE)</f>
        <v/>
      </c>
      <c r="D108" s="29">
        <f>VLOOKUP(A108,Database!$E:$AY,MATCH($D$1,Database!$E$1:$AY$1,0),FALSE)</f>
        <v/>
      </c>
      <c r="E108" s="29">
        <f>VLOOKUP(A108,Database!$E:$AY,MATCH($E$1,Database!$E$1:$AY$1,0),FALSE)</f>
        <v/>
      </c>
      <c r="F108" s="29">
        <f>VLOOKUP(A108,Database!$E:$AY,MATCH($F$1,Database!$E$1:$AY$1,0),FALSE)</f>
        <v/>
      </c>
      <c r="G108" s="29">
        <f>VLOOKUP(A108,Database!$E:$AY,MATCH($G$1,Database!$E$1:$AY$1,0),FALSE)</f>
        <v/>
      </c>
      <c r="H108" s="29">
        <f>(((Table134567891011121314151617343[[#This Row],[ITA]]-VLOOKUP($U$1,A:B,2,))/VLOOKUP($U$1,A:B,2,))*100)+100</f>
        <v/>
      </c>
      <c r="I108" s="29">
        <f>(((Table134567891011121314151617343[[#This Row],[FRA]]-VLOOKUP($U$1,A:C,3,))/VLOOKUP($U$1,A:C,3,))*100)+100</f>
        <v/>
      </c>
      <c r="J108" s="29">
        <f>(((Table134567891011121314151617343[[#This Row],[DEU]]-VLOOKUP($U$1,A:D,4,))/VLOOKUP($U$1,A:D,4,))*100)+100</f>
        <v/>
      </c>
      <c r="K108" s="29">
        <f>(((Table134567891011121314151617343[[#This Row],[ESP]]-VLOOKUP($U$1,A:E,5,))/VLOOKUP($U$1,A:E,5,))*100)+100</f>
        <v/>
      </c>
      <c r="L108" s="29">
        <f>(((Table134567891011121314151617343[[#This Row],[EA19]]-VLOOKUP($U$1,A:F,6,))/VLOOKUP($U$1,A:F,6,))*100)+100</f>
        <v/>
      </c>
      <c r="M108" s="29">
        <f>(((Table134567891011121314151617343[[#This Row],[GBR]]-VLOOKUP($U$1,A:G,7,))/VLOOKUP($U$1,A:G,7,))*100)+100</f>
        <v/>
      </c>
      <c r="N108" s="29">
        <f>VLOOKUP(A108,Database!$E:$AY,MATCH($N$1,Database!$E$1:$AY$1,0),FALSE)</f>
        <v/>
      </c>
      <c r="O108" s="29">
        <f>(((Table134567891011121314151617343[[#This Row],[USA]]-VLOOKUP($U$1,A:N,14,))/VLOOKUP($U$1,A:N,14,))*100)+100</f>
        <v/>
      </c>
      <c r="P108" s="29">
        <f>VLOOKUP(A108,Database!$E:$AY,MATCH($P$1,Database!$E$1:$AY$1,0),FALSE)</f>
        <v/>
      </c>
      <c r="Q108" s="29">
        <f>(((Table134567891011121314151617343[[#This Row],[JPN]]-VLOOKUP($U$1,A:Q,16,))/VLOOKUP($U$1,A:Q,16,))*100)+100</f>
        <v/>
      </c>
    </row>
    <row r="109" customFormat="1" s="129">
      <c r="A109" s="28" t="n">
        <v>36130</v>
      </c>
      <c r="B109" s="29">
        <f>VLOOKUP(A109,Database!$E:$AY,MATCH($B$1,Database!$E$1:$AY$1,0),FALSE)</f>
        <v/>
      </c>
      <c r="C109" s="29">
        <f>VLOOKUP(A109,Database!$E:$AY,MATCH($C$1,Database!$E$1:$AY$1,0),FALSE)</f>
        <v/>
      </c>
      <c r="D109" s="29">
        <f>VLOOKUP(A109,Database!$E:$AY,MATCH($D$1,Database!$E$1:$AY$1,0),FALSE)</f>
        <v/>
      </c>
      <c r="E109" s="29">
        <f>VLOOKUP(A109,Database!$E:$AY,MATCH($E$1,Database!$E$1:$AY$1,0),FALSE)</f>
        <v/>
      </c>
      <c r="F109" s="29">
        <f>VLOOKUP(A109,Database!$E:$AY,MATCH($F$1,Database!$E$1:$AY$1,0),FALSE)</f>
        <v/>
      </c>
      <c r="G109" s="29">
        <f>VLOOKUP(A109,Database!$E:$AY,MATCH($G$1,Database!$E$1:$AY$1,0),FALSE)</f>
        <v/>
      </c>
      <c r="H109" s="29">
        <f>(((Table134567891011121314151617343[[#This Row],[ITA]]-VLOOKUP($U$1,A:B,2,))/VLOOKUP($U$1,A:B,2,))*100)+100</f>
        <v/>
      </c>
      <c r="I109" s="29">
        <f>(((Table134567891011121314151617343[[#This Row],[FRA]]-VLOOKUP($U$1,A:C,3,))/VLOOKUP($U$1,A:C,3,))*100)+100</f>
        <v/>
      </c>
      <c r="J109" s="29">
        <f>(((Table134567891011121314151617343[[#This Row],[DEU]]-VLOOKUP($U$1,A:D,4,))/VLOOKUP($U$1,A:D,4,))*100)+100</f>
        <v/>
      </c>
      <c r="K109" s="29">
        <f>(((Table134567891011121314151617343[[#This Row],[ESP]]-VLOOKUP($U$1,A:E,5,))/VLOOKUP($U$1,A:E,5,))*100)+100</f>
        <v/>
      </c>
      <c r="L109" s="29">
        <f>(((Table134567891011121314151617343[[#This Row],[EA19]]-VLOOKUP($U$1,A:F,6,))/VLOOKUP($U$1,A:F,6,))*100)+100</f>
        <v/>
      </c>
      <c r="M109" s="29">
        <f>(((Table134567891011121314151617343[[#This Row],[GBR]]-VLOOKUP($U$1,A:G,7,))/VLOOKUP($U$1,A:G,7,))*100)+100</f>
        <v/>
      </c>
      <c r="N109" s="29">
        <f>VLOOKUP(A109,Database!$E:$AY,MATCH($N$1,Database!$E$1:$AY$1,0),FALSE)</f>
        <v/>
      </c>
      <c r="O109" s="29">
        <f>(((Table134567891011121314151617343[[#This Row],[USA]]-VLOOKUP($U$1,A:N,14,))/VLOOKUP($U$1,A:N,14,))*100)+100</f>
        <v/>
      </c>
      <c r="P109" s="29">
        <f>VLOOKUP(A109,Database!$E:$AY,MATCH($P$1,Database!$E$1:$AY$1,0),FALSE)</f>
        <v/>
      </c>
      <c r="Q109" s="29">
        <f>(((Table134567891011121314151617343[[#This Row],[JPN]]-VLOOKUP($U$1,A:Q,16,))/VLOOKUP($U$1,A:Q,16,))*100)+100</f>
        <v/>
      </c>
    </row>
    <row r="110" customFormat="1" s="129">
      <c r="A110" s="28" t="n">
        <v>36161</v>
      </c>
      <c r="B110" s="29">
        <f>VLOOKUP(A110,Database!$E:$AY,MATCH($B$1,Database!$E$1:$AY$1,0),FALSE)</f>
        <v/>
      </c>
      <c r="C110" s="29">
        <f>VLOOKUP(A110,Database!$E:$AY,MATCH($C$1,Database!$E$1:$AY$1,0),FALSE)</f>
        <v/>
      </c>
      <c r="D110" s="29">
        <f>VLOOKUP(A110,Database!$E:$AY,MATCH($D$1,Database!$E$1:$AY$1,0),FALSE)</f>
        <v/>
      </c>
      <c r="E110" s="29">
        <f>VLOOKUP(A110,Database!$E:$AY,MATCH($E$1,Database!$E$1:$AY$1,0),FALSE)</f>
        <v/>
      </c>
      <c r="F110" s="29">
        <f>VLOOKUP(A110,Database!$E:$AY,MATCH($F$1,Database!$E$1:$AY$1,0),FALSE)</f>
        <v/>
      </c>
      <c r="G110" s="29">
        <f>VLOOKUP(A110,Database!$E:$AY,MATCH($G$1,Database!$E$1:$AY$1,0),FALSE)</f>
        <v/>
      </c>
      <c r="H110" s="29">
        <f>(((Table134567891011121314151617343[[#This Row],[ITA]]-VLOOKUP($U$1,A:B,2,))/VLOOKUP($U$1,A:B,2,))*100)+100</f>
        <v/>
      </c>
      <c r="I110" s="29">
        <f>(((Table134567891011121314151617343[[#This Row],[FRA]]-VLOOKUP($U$1,A:C,3,))/VLOOKUP($U$1,A:C,3,))*100)+100</f>
        <v/>
      </c>
      <c r="J110" s="29">
        <f>(((Table134567891011121314151617343[[#This Row],[DEU]]-VLOOKUP($U$1,A:D,4,))/VLOOKUP($U$1,A:D,4,))*100)+100</f>
        <v/>
      </c>
      <c r="K110" s="29">
        <f>(((Table134567891011121314151617343[[#This Row],[ESP]]-VLOOKUP($U$1,A:E,5,))/VLOOKUP($U$1,A:E,5,))*100)+100</f>
        <v/>
      </c>
      <c r="L110" s="29">
        <f>(((Table134567891011121314151617343[[#This Row],[EA19]]-VLOOKUP($U$1,A:F,6,))/VLOOKUP($U$1,A:F,6,))*100)+100</f>
        <v/>
      </c>
      <c r="M110" s="29">
        <f>(((Table134567891011121314151617343[[#This Row],[GBR]]-VLOOKUP($U$1,A:G,7,))/VLOOKUP($U$1,A:G,7,))*100)+100</f>
        <v/>
      </c>
      <c r="N110" s="29">
        <f>VLOOKUP(A110,Database!$E:$AY,MATCH($N$1,Database!$E$1:$AY$1,0),FALSE)</f>
        <v/>
      </c>
      <c r="O110" s="29">
        <f>(((Table134567891011121314151617343[[#This Row],[USA]]-VLOOKUP($U$1,A:N,14,))/VLOOKUP($U$1,A:N,14,))*100)+100</f>
        <v/>
      </c>
      <c r="P110" s="29">
        <f>VLOOKUP(A110,Database!$E:$AY,MATCH($P$1,Database!$E$1:$AY$1,0),FALSE)</f>
        <v/>
      </c>
      <c r="Q110" s="29">
        <f>(((Table134567891011121314151617343[[#This Row],[JPN]]-VLOOKUP($U$1,A:Q,16,))/VLOOKUP($U$1,A:Q,16,))*100)+100</f>
        <v/>
      </c>
    </row>
    <row r="111" customFormat="1" s="129">
      <c r="A111" s="28" t="n">
        <v>36192</v>
      </c>
      <c r="B111" s="29">
        <f>VLOOKUP(A111,Database!$E:$AY,MATCH($B$1,Database!$E$1:$AY$1,0),FALSE)</f>
        <v/>
      </c>
      <c r="C111" s="29">
        <f>VLOOKUP(A111,Database!$E:$AY,MATCH($C$1,Database!$E$1:$AY$1,0),FALSE)</f>
        <v/>
      </c>
      <c r="D111" s="29">
        <f>VLOOKUP(A111,Database!$E:$AY,MATCH($D$1,Database!$E$1:$AY$1,0),FALSE)</f>
        <v/>
      </c>
      <c r="E111" s="29">
        <f>VLOOKUP(A111,Database!$E:$AY,MATCH($E$1,Database!$E$1:$AY$1,0),FALSE)</f>
        <v/>
      </c>
      <c r="F111" s="29">
        <f>VLOOKUP(A111,Database!$E:$AY,MATCH($F$1,Database!$E$1:$AY$1,0),FALSE)</f>
        <v/>
      </c>
      <c r="G111" s="29">
        <f>VLOOKUP(A111,Database!$E:$AY,MATCH($G$1,Database!$E$1:$AY$1,0),FALSE)</f>
        <v/>
      </c>
      <c r="H111" s="50">
        <f>(((Table134567891011121314151617343[[#This Row],[ITA]]-VLOOKUP($U$1,A:B,2,))/VLOOKUP($U$1,A:B,2,))*100)+100</f>
        <v/>
      </c>
      <c r="I111" s="29">
        <f>(((Table134567891011121314151617343[[#This Row],[FRA]]-VLOOKUP($U$1,A:C,3,))/VLOOKUP($U$1,A:C,3,))*100)+100</f>
        <v/>
      </c>
      <c r="J111" s="29">
        <f>(((Table134567891011121314151617343[[#This Row],[DEU]]-VLOOKUP($U$1,A:D,4,))/VLOOKUP($U$1,A:D,4,))*100)+100</f>
        <v/>
      </c>
      <c r="K111" s="29">
        <f>(((Table134567891011121314151617343[[#This Row],[ESP]]-VLOOKUP($U$1,A:E,5,))/VLOOKUP($U$1,A:E,5,))*100)+100</f>
        <v/>
      </c>
      <c r="L111" s="29">
        <f>(((Table134567891011121314151617343[[#This Row],[EA19]]-VLOOKUP($U$1,A:F,6,))/VLOOKUP($U$1,A:F,6,))*100)+100</f>
        <v/>
      </c>
      <c r="M111" s="29">
        <f>(((Table134567891011121314151617343[[#This Row],[GBR]]-VLOOKUP($U$1,A:G,7,))/VLOOKUP($U$1,A:G,7,))*100)+100</f>
        <v/>
      </c>
      <c r="N111" s="29">
        <f>VLOOKUP(A111,Database!$E:$AY,MATCH($N$1,Database!$E$1:$AY$1,0),FALSE)</f>
        <v/>
      </c>
      <c r="O111" s="29">
        <f>(((Table134567891011121314151617343[[#This Row],[USA]]-VLOOKUP($U$1,A:N,14,))/VLOOKUP($U$1,A:N,14,))*100)+100</f>
        <v/>
      </c>
      <c r="P111" s="29">
        <f>VLOOKUP(A111,Database!$E:$AY,MATCH($P$1,Database!$E$1:$AY$1,0),FALSE)</f>
        <v/>
      </c>
      <c r="Q111" s="29">
        <f>(((Table134567891011121314151617343[[#This Row],[JPN]]-VLOOKUP($U$1,A:Q,16,))/VLOOKUP($U$1,A:Q,16,))*100)+100</f>
        <v/>
      </c>
    </row>
    <row r="112" customFormat="1" s="129">
      <c r="A112" s="28" t="n">
        <v>36220</v>
      </c>
      <c r="B112" s="29">
        <f>VLOOKUP(A112,Database!$E:$AY,MATCH($B$1,Database!$E$1:$AY$1,0),FALSE)</f>
        <v/>
      </c>
      <c r="C112" s="29">
        <f>VLOOKUP(A112,Database!$E:$AY,MATCH($C$1,Database!$E$1:$AY$1,0),FALSE)</f>
        <v/>
      </c>
      <c r="D112" s="29">
        <f>VLOOKUP(A112,Database!$E:$AY,MATCH($D$1,Database!$E$1:$AY$1,0),FALSE)</f>
        <v/>
      </c>
      <c r="E112" s="29">
        <f>VLOOKUP(A112,Database!$E:$AY,MATCH($E$1,Database!$E$1:$AY$1,0),FALSE)</f>
        <v/>
      </c>
      <c r="F112" s="29">
        <f>VLOOKUP(A112,Database!$E:$AY,MATCH($F$1,Database!$E$1:$AY$1,0),FALSE)</f>
        <v/>
      </c>
      <c r="G112" s="29">
        <f>VLOOKUP(A112,Database!$E:$AY,MATCH($G$1,Database!$E$1:$AY$1,0),FALSE)</f>
        <v/>
      </c>
      <c r="H112" s="29">
        <f>(((Table134567891011121314151617343[[#This Row],[ITA]]-VLOOKUP($U$1,A:B,2,))/VLOOKUP($U$1,A:B,2,))*100)+100</f>
        <v/>
      </c>
      <c r="I112" s="29">
        <f>(((Table134567891011121314151617343[[#This Row],[FRA]]-VLOOKUP($U$1,A:C,3,))/VLOOKUP($U$1,A:C,3,))*100)+100</f>
        <v/>
      </c>
      <c r="J112" s="29">
        <f>(((Table134567891011121314151617343[[#This Row],[DEU]]-VLOOKUP($U$1,A:D,4,))/VLOOKUP($U$1,A:D,4,))*100)+100</f>
        <v/>
      </c>
      <c r="K112" s="29">
        <f>(((Table134567891011121314151617343[[#This Row],[ESP]]-VLOOKUP($U$1,A:E,5,))/VLOOKUP($U$1,A:E,5,))*100)+100</f>
        <v/>
      </c>
      <c r="L112" s="29">
        <f>(((Table134567891011121314151617343[[#This Row],[EA19]]-VLOOKUP($U$1,A:F,6,))/VLOOKUP($U$1,A:F,6,))*100)+100</f>
        <v/>
      </c>
      <c r="M112" s="29">
        <f>(((Table134567891011121314151617343[[#This Row],[GBR]]-VLOOKUP($U$1,A:G,7,))/VLOOKUP($U$1,A:G,7,))*100)+100</f>
        <v/>
      </c>
      <c r="N112" s="29">
        <f>VLOOKUP(A112,Database!$E:$AY,MATCH($N$1,Database!$E$1:$AY$1,0),FALSE)</f>
        <v/>
      </c>
      <c r="O112" s="29">
        <f>(((Table134567891011121314151617343[[#This Row],[USA]]-VLOOKUP($U$1,A:N,14,))/VLOOKUP($U$1,A:N,14,))*100)+100</f>
        <v/>
      </c>
      <c r="P112" s="29">
        <f>VLOOKUP(A112,Database!$E:$AY,MATCH($P$1,Database!$E$1:$AY$1,0),FALSE)</f>
        <v/>
      </c>
      <c r="Q112" s="29">
        <f>(((Table134567891011121314151617343[[#This Row],[JPN]]-VLOOKUP($U$1,A:Q,16,))/VLOOKUP($U$1,A:Q,16,))*100)+100</f>
        <v/>
      </c>
    </row>
    <row r="113" customFormat="1" s="129">
      <c r="A113" s="28" t="n">
        <v>36251</v>
      </c>
      <c r="B113" s="29">
        <f>VLOOKUP(A113,Database!$E:$AY,MATCH($B$1,Database!$E$1:$AY$1,0),FALSE)</f>
        <v/>
      </c>
      <c r="C113" s="29">
        <f>VLOOKUP(A113,Database!$E:$AY,MATCH($C$1,Database!$E$1:$AY$1,0),FALSE)</f>
        <v/>
      </c>
      <c r="D113" s="29">
        <f>VLOOKUP(A113,Database!$E:$AY,MATCH($D$1,Database!$E$1:$AY$1,0),FALSE)</f>
        <v/>
      </c>
      <c r="E113" s="29">
        <f>VLOOKUP(A113,Database!$E:$AY,MATCH($E$1,Database!$E$1:$AY$1,0),FALSE)</f>
        <v/>
      </c>
      <c r="F113" s="29">
        <f>VLOOKUP(A113,Database!$E:$AY,MATCH($F$1,Database!$E$1:$AY$1,0),FALSE)</f>
        <v/>
      </c>
      <c r="G113" s="29">
        <f>VLOOKUP(A113,Database!$E:$AY,MATCH($G$1,Database!$E$1:$AY$1,0),FALSE)</f>
        <v/>
      </c>
      <c r="H113" s="29">
        <f>(((Table134567891011121314151617343[[#This Row],[ITA]]-VLOOKUP($U$1,A:B,2,))/VLOOKUP($U$1,A:B,2,))*100)+100</f>
        <v/>
      </c>
      <c r="I113" s="29">
        <f>(((Table134567891011121314151617343[[#This Row],[FRA]]-VLOOKUP($U$1,A:C,3,))/VLOOKUP($U$1,A:C,3,))*100)+100</f>
        <v/>
      </c>
      <c r="J113" s="29">
        <f>(((Table134567891011121314151617343[[#This Row],[DEU]]-VLOOKUP($U$1,A:D,4,))/VLOOKUP($U$1,A:D,4,))*100)+100</f>
        <v/>
      </c>
      <c r="K113" s="29">
        <f>(((Table134567891011121314151617343[[#This Row],[ESP]]-VLOOKUP($U$1,A:E,5,))/VLOOKUP($U$1,A:E,5,))*100)+100</f>
        <v/>
      </c>
      <c r="L113" s="29">
        <f>(((Table134567891011121314151617343[[#This Row],[EA19]]-VLOOKUP($U$1,A:F,6,))/VLOOKUP($U$1,A:F,6,))*100)+100</f>
        <v/>
      </c>
      <c r="M113" s="29">
        <f>(((Table134567891011121314151617343[[#This Row],[GBR]]-VLOOKUP($U$1,A:G,7,))/VLOOKUP($U$1,A:G,7,))*100)+100</f>
        <v/>
      </c>
      <c r="N113" s="29">
        <f>VLOOKUP(A113,Database!$E:$AY,MATCH($N$1,Database!$E$1:$AY$1,0),FALSE)</f>
        <v/>
      </c>
      <c r="O113" s="29">
        <f>(((Table134567891011121314151617343[[#This Row],[USA]]-VLOOKUP($U$1,A:N,14,))/VLOOKUP($U$1,A:N,14,))*100)+100</f>
        <v/>
      </c>
      <c r="P113" s="29">
        <f>VLOOKUP(A113,Database!$E:$AY,MATCH($P$1,Database!$E$1:$AY$1,0),FALSE)</f>
        <v/>
      </c>
      <c r="Q113" s="29">
        <f>(((Table134567891011121314151617343[[#This Row],[JPN]]-VLOOKUP($U$1,A:Q,16,))/VLOOKUP($U$1,A:Q,16,))*100)+100</f>
        <v/>
      </c>
    </row>
    <row r="114" customFormat="1" s="129">
      <c r="A114" s="28" t="n">
        <v>36281</v>
      </c>
      <c r="B114" s="29">
        <f>VLOOKUP(A114,Database!$E:$AY,MATCH($B$1,Database!$E$1:$AY$1,0),FALSE)</f>
        <v/>
      </c>
      <c r="C114" s="29">
        <f>VLOOKUP(A114,Database!$E:$AY,MATCH($C$1,Database!$E$1:$AY$1,0),FALSE)</f>
        <v/>
      </c>
      <c r="D114" s="29">
        <f>VLOOKUP(A114,Database!$E:$AY,MATCH($D$1,Database!$E$1:$AY$1,0),FALSE)</f>
        <v/>
      </c>
      <c r="E114" s="29">
        <f>VLOOKUP(A114,Database!$E:$AY,MATCH($E$1,Database!$E$1:$AY$1,0),FALSE)</f>
        <v/>
      </c>
      <c r="F114" s="29">
        <f>VLOOKUP(A114,Database!$E:$AY,MATCH($F$1,Database!$E$1:$AY$1,0),FALSE)</f>
        <v/>
      </c>
      <c r="G114" s="29">
        <f>VLOOKUP(A114,Database!$E:$AY,MATCH($G$1,Database!$E$1:$AY$1,0),FALSE)</f>
        <v/>
      </c>
      <c r="H114" s="29">
        <f>(((Table134567891011121314151617343[[#This Row],[ITA]]-VLOOKUP($U$1,A:B,2,))/VLOOKUP($U$1,A:B,2,))*100)+100</f>
        <v/>
      </c>
      <c r="I114" s="29">
        <f>(((Table134567891011121314151617343[[#This Row],[FRA]]-VLOOKUP($U$1,A:C,3,))/VLOOKUP($U$1,A:C,3,))*100)+100</f>
        <v/>
      </c>
      <c r="J114" s="29">
        <f>(((Table134567891011121314151617343[[#This Row],[DEU]]-VLOOKUP($U$1,A:D,4,))/VLOOKUP($U$1,A:D,4,))*100)+100</f>
        <v/>
      </c>
      <c r="K114" s="29">
        <f>(((Table134567891011121314151617343[[#This Row],[ESP]]-VLOOKUP($U$1,A:E,5,))/VLOOKUP($U$1,A:E,5,))*100)+100</f>
        <v/>
      </c>
      <c r="L114" s="29">
        <f>(((Table134567891011121314151617343[[#This Row],[EA19]]-VLOOKUP($U$1,A:F,6,))/VLOOKUP($U$1,A:F,6,))*100)+100</f>
        <v/>
      </c>
      <c r="M114" s="29">
        <f>(((Table134567891011121314151617343[[#This Row],[GBR]]-VLOOKUP($U$1,A:G,7,))/VLOOKUP($U$1,A:G,7,))*100)+100</f>
        <v/>
      </c>
      <c r="N114" s="29">
        <f>VLOOKUP(A114,Database!$E:$AY,MATCH($N$1,Database!$E$1:$AY$1,0),FALSE)</f>
        <v/>
      </c>
      <c r="O114" s="29">
        <f>(((Table134567891011121314151617343[[#This Row],[USA]]-VLOOKUP($U$1,A:N,14,))/VLOOKUP($U$1,A:N,14,))*100)+100</f>
        <v/>
      </c>
      <c r="P114" s="29">
        <f>VLOOKUP(A114,Database!$E:$AY,MATCH($P$1,Database!$E$1:$AY$1,0),FALSE)</f>
        <v/>
      </c>
      <c r="Q114" s="29">
        <f>(((Table134567891011121314151617343[[#This Row],[JPN]]-VLOOKUP($U$1,A:Q,16,))/VLOOKUP($U$1,A:Q,16,))*100)+100</f>
        <v/>
      </c>
    </row>
    <row r="115" customFormat="1" s="129">
      <c r="A115" s="28" t="n">
        <v>36312</v>
      </c>
      <c r="B115" s="29">
        <f>VLOOKUP(A115,Database!$E:$AY,MATCH($B$1,Database!$E$1:$AY$1,0),FALSE)</f>
        <v/>
      </c>
      <c r="C115" s="29">
        <f>VLOOKUP(A115,Database!$E:$AY,MATCH($C$1,Database!$E$1:$AY$1,0),FALSE)</f>
        <v/>
      </c>
      <c r="D115" s="29">
        <f>VLOOKUP(A115,Database!$E:$AY,MATCH($D$1,Database!$E$1:$AY$1,0),FALSE)</f>
        <v/>
      </c>
      <c r="E115" s="29">
        <f>VLOOKUP(A115,Database!$E:$AY,MATCH($E$1,Database!$E$1:$AY$1,0),FALSE)</f>
        <v/>
      </c>
      <c r="F115" s="29">
        <f>VLOOKUP(A115,Database!$E:$AY,MATCH($F$1,Database!$E$1:$AY$1,0),FALSE)</f>
        <v/>
      </c>
      <c r="G115" s="29">
        <f>VLOOKUP(A115,Database!$E:$AY,MATCH($G$1,Database!$E$1:$AY$1,0),FALSE)</f>
        <v/>
      </c>
      <c r="H115" s="29">
        <f>(((Table134567891011121314151617343[[#This Row],[ITA]]-VLOOKUP($U$1,A:B,2,))/VLOOKUP($U$1,A:B,2,))*100)+100</f>
        <v/>
      </c>
      <c r="I115" s="29">
        <f>(((Table134567891011121314151617343[[#This Row],[FRA]]-VLOOKUP($U$1,A:C,3,))/VLOOKUP($U$1,A:C,3,))*100)+100</f>
        <v/>
      </c>
      <c r="J115" s="29">
        <f>(((Table134567891011121314151617343[[#This Row],[DEU]]-VLOOKUP($U$1,A:D,4,))/VLOOKUP($U$1,A:D,4,))*100)+100</f>
        <v/>
      </c>
      <c r="K115" s="29">
        <f>(((Table134567891011121314151617343[[#This Row],[ESP]]-VLOOKUP($U$1,A:E,5,))/VLOOKUP($U$1,A:E,5,))*100)+100</f>
        <v/>
      </c>
      <c r="L115" s="29">
        <f>(((Table134567891011121314151617343[[#This Row],[EA19]]-VLOOKUP($U$1,A:F,6,))/VLOOKUP($U$1,A:F,6,))*100)+100</f>
        <v/>
      </c>
      <c r="M115" s="29">
        <f>(((Table134567891011121314151617343[[#This Row],[GBR]]-VLOOKUP($U$1,A:G,7,))/VLOOKUP($U$1,A:G,7,))*100)+100</f>
        <v/>
      </c>
      <c r="N115" s="29">
        <f>VLOOKUP(A115,Database!$E:$AY,MATCH($N$1,Database!$E$1:$AY$1,0),FALSE)</f>
        <v/>
      </c>
      <c r="O115" s="29">
        <f>(((Table134567891011121314151617343[[#This Row],[USA]]-VLOOKUP($U$1,A:N,14,))/VLOOKUP($U$1,A:N,14,))*100)+100</f>
        <v/>
      </c>
      <c r="P115" s="29">
        <f>VLOOKUP(A115,Database!$E:$AY,MATCH($P$1,Database!$E$1:$AY$1,0),FALSE)</f>
        <v/>
      </c>
      <c r="Q115" s="29">
        <f>(((Table134567891011121314151617343[[#This Row],[JPN]]-VLOOKUP($U$1,A:Q,16,))/VLOOKUP($U$1,A:Q,16,))*100)+100</f>
        <v/>
      </c>
    </row>
    <row r="116" customFormat="1" s="129">
      <c r="A116" s="28" t="n">
        <v>36342</v>
      </c>
      <c r="B116" s="29">
        <f>VLOOKUP(A116,Database!$E:$AY,MATCH($B$1,Database!$E$1:$AY$1,0),FALSE)</f>
        <v/>
      </c>
      <c r="C116" s="29">
        <f>VLOOKUP(A116,Database!$E:$AY,MATCH($C$1,Database!$E$1:$AY$1,0),FALSE)</f>
        <v/>
      </c>
      <c r="D116" s="29">
        <f>VLOOKUP(A116,Database!$E:$AY,MATCH($D$1,Database!$E$1:$AY$1,0),FALSE)</f>
        <v/>
      </c>
      <c r="E116" s="29">
        <f>VLOOKUP(A116,Database!$E:$AY,MATCH($E$1,Database!$E$1:$AY$1,0),FALSE)</f>
        <v/>
      </c>
      <c r="F116" s="29">
        <f>VLOOKUP(A116,Database!$E:$AY,MATCH($F$1,Database!$E$1:$AY$1,0),FALSE)</f>
        <v/>
      </c>
      <c r="G116" s="29">
        <f>VLOOKUP(A116,Database!$E:$AY,MATCH($G$1,Database!$E$1:$AY$1,0),FALSE)</f>
        <v/>
      </c>
      <c r="H116" s="29">
        <f>(((Table134567891011121314151617343[[#This Row],[ITA]]-VLOOKUP($U$1,A:B,2,))/VLOOKUP($U$1,A:B,2,))*100)+100</f>
        <v/>
      </c>
      <c r="I116" s="29">
        <f>(((Table134567891011121314151617343[[#This Row],[FRA]]-VLOOKUP($U$1,A:C,3,))/VLOOKUP($U$1,A:C,3,))*100)+100</f>
        <v/>
      </c>
      <c r="J116" s="29">
        <f>(((Table134567891011121314151617343[[#This Row],[DEU]]-VLOOKUP($U$1,A:D,4,))/VLOOKUP($U$1,A:D,4,))*100)+100</f>
        <v/>
      </c>
      <c r="K116" s="29">
        <f>(((Table134567891011121314151617343[[#This Row],[ESP]]-VLOOKUP($U$1,A:E,5,))/VLOOKUP($U$1,A:E,5,))*100)+100</f>
        <v/>
      </c>
      <c r="L116" s="29">
        <f>(((Table134567891011121314151617343[[#This Row],[EA19]]-VLOOKUP($U$1,A:F,6,))/VLOOKUP($U$1,A:F,6,))*100)+100</f>
        <v/>
      </c>
      <c r="M116" s="29">
        <f>(((Table134567891011121314151617343[[#This Row],[GBR]]-VLOOKUP($U$1,A:G,7,))/VLOOKUP($U$1,A:G,7,))*100)+100</f>
        <v/>
      </c>
      <c r="N116" s="29">
        <f>VLOOKUP(A116,Database!$E:$AY,MATCH($N$1,Database!$E$1:$AY$1,0),FALSE)</f>
        <v/>
      </c>
      <c r="O116" s="29">
        <f>(((Table134567891011121314151617343[[#This Row],[USA]]-VLOOKUP($U$1,A:N,14,))/VLOOKUP($U$1,A:N,14,))*100)+100</f>
        <v/>
      </c>
      <c r="P116" s="29">
        <f>VLOOKUP(A116,Database!$E:$AY,MATCH($P$1,Database!$E$1:$AY$1,0),FALSE)</f>
        <v/>
      </c>
      <c r="Q116" s="29">
        <f>(((Table134567891011121314151617343[[#This Row],[JPN]]-VLOOKUP($U$1,A:Q,16,))/VLOOKUP($U$1,A:Q,16,))*100)+100</f>
        <v/>
      </c>
    </row>
    <row r="117" customFormat="1" s="129">
      <c r="A117" s="28" t="n">
        <v>36373</v>
      </c>
      <c r="B117" s="29">
        <f>VLOOKUP(A117,Database!$E:$AY,MATCH($B$1,Database!$E$1:$AY$1,0),FALSE)</f>
        <v/>
      </c>
      <c r="C117" s="29">
        <f>VLOOKUP(A117,Database!$E:$AY,MATCH($C$1,Database!$E$1:$AY$1,0),FALSE)</f>
        <v/>
      </c>
      <c r="D117" s="29">
        <f>VLOOKUP(A117,Database!$E:$AY,MATCH($D$1,Database!$E$1:$AY$1,0),FALSE)</f>
        <v/>
      </c>
      <c r="E117" s="29">
        <f>VLOOKUP(A117,Database!$E:$AY,MATCH($E$1,Database!$E$1:$AY$1,0),FALSE)</f>
        <v/>
      </c>
      <c r="F117" s="29">
        <f>VLOOKUP(A117,Database!$E:$AY,MATCH($F$1,Database!$E$1:$AY$1,0),FALSE)</f>
        <v/>
      </c>
      <c r="G117" s="29">
        <f>VLOOKUP(A117,Database!$E:$AY,MATCH($G$1,Database!$E$1:$AY$1,0),FALSE)</f>
        <v/>
      </c>
      <c r="H117" s="29">
        <f>(((Table134567891011121314151617343[[#This Row],[ITA]]-VLOOKUP($U$1,A:B,2,))/VLOOKUP($U$1,A:B,2,))*100)+100</f>
        <v/>
      </c>
      <c r="I117" s="29">
        <f>(((Table134567891011121314151617343[[#This Row],[FRA]]-VLOOKUP($U$1,A:C,3,))/VLOOKUP($U$1,A:C,3,))*100)+100</f>
        <v/>
      </c>
      <c r="J117" s="29">
        <f>(((Table134567891011121314151617343[[#This Row],[DEU]]-VLOOKUP($U$1,A:D,4,))/VLOOKUP($U$1,A:D,4,))*100)+100</f>
        <v/>
      </c>
      <c r="K117" s="29">
        <f>(((Table134567891011121314151617343[[#This Row],[ESP]]-VLOOKUP($U$1,A:E,5,))/VLOOKUP($U$1,A:E,5,))*100)+100</f>
        <v/>
      </c>
      <c r="L117" s="29">
        <f>(((Table134567891011121314151617343[[#This Row],[EA19]]-VLOOKUP($U$1,A:F,6,))/VLOOKUP($U$1,A:F,6,))*100)+100</f>
        <v/>
      </c>
      <c r="M117" s="29">
        <f>(((Table134567891011121314151617343[[#This Row],[GBR]]-VLOOKUP($U$1,A:G,7,))/VLOOKUP($U$1,A:G,7,))*100)+100</f>
        <v/>
      </c>
      <c r="N117" s="29">
        <f>VLOOKUP(A117,Database!$E:$AY,MATCH($N$1,Database!$E$1:$AY$1,0),FALSE)</f>
        <v/>
      </c>
      <c r="O117" s="29">
        <f>(((Table134567891011121314151617343[[#This Row],[USA]]-VLOOKUP($U$1,A:N,14,))/VLOOKUP($U$1,A:N,14,))*100)+100</f>
        <v/>
      </c>
      <c r="P117" s="29">
        <f>VLOOKUP(A117,Database!$E:$AY,MATCH($P$1,Database!$E$1:$AY$1,0),FALSE)</f>
        <v/>
      </c>
      <c r="Q117" s="29">
        <f>(((Table134567891011121314151617343[[#This Row],[JPN]]-VLOOKUP($U$1,A:Q,16,))/VLOOKUP($U$1,A:Q,16,))*100)+100</f>
        <v/>
      </c>
    </row>
    <row r="118" customFormat="1" s="129">
      <c r="A118" s="28" t="n">
        <v>36404</v>
      </c>
      <c r="B118" s="29">
        <f>VLOOKUP(A118,Database!$E:$AY,MATCH($B$1,Database!$E$1:$AY$1,0),FALSE)</f>
        <v/>
      </c>
      <c r="C118" s="29">
        <f>VLOOKUP(A118,Database!$E:$AY,MATCH($C$1,Database!$E$1:$AY$1,0),FALSE)</f>
        <v/>
      </c>
      <c r="D118" s="29">
        <f>VLOOKUP(A118,Database!$E:$AY,MATCH($D$1,Database!$E$1:$AY$1,0),FALSE)</f>
        <v/>
      </c>
      <c r="E118" s="29">
        <f>VLOOKUP(A118,Database!$E:$AY,MATCH($E$1,Database!$E$1:$AY$1,0),FALSE)</f>
        <v/>
      </c>
      <c r="F118" s="29">
        <f>VLOOKUP(A118,Database!$E:$AY,MATCH($F$1,Database!$E$1:$AY$1,0),FALSE)</f>
        <v/>
      </c>
      <c r="G118" s="29">
        <f>VLOOKUP(A118,Database!$E:$AY,MATCH($G$1,Database!$E$1:$AY$1,0),FALSE)</f>
        <v/>
      </c>
      <c r="H118" s="29">
        <f>(((Table134567891011121314151617343[[#This Row],[ITA]]-VLOOKUP($U$1,A:B,2,))/VLOOKUP($U$1,A:B,2,))*100)+100</f>
        <v/>
      </c>
      <c r="I118" s="29">
        <f>(((Table134567891011121314151617343[[#This Row],[FRA]]-VLOOKUP($U$1,A:C,3,))/VLOOKUP($U$1,A:C,3,))*100)+100</f>
        <v/>
      </c>
      <c r="J118" s="29">
        <f>(((Table134567891011121314151617343[[#This Row],[DEU]]-VLOOKUP($U$1,A:D,4,))/VLOOKUP($U$1,A:D,4,))*100)+100</f>
        <v/>
      </c>
      <c r="K118" s="29">
        <f>(((Table134567891011121314151617343[[#This Row],[ESP]]-VLOOKUP($U$1,A:E,5,))/VLOOKUP($U$1,A:E,5,))*100)+100</f>
        <v/>
      </c>
      <c r="L118" s="29">
        <f>(((Table134567891011121314151617343[[#This Row],[EA19]]-VLOOKUP($U$1,A:F,6,))/VLOOKUP($U$1,A:F,6,))*100)+100</f>
        <v/>
      </c>
      <c r="M118" s="29">
        <f>(((Table134567891011121314151617343[[#This Row],[GBR]]-VLOOKUP($U$1,A:G,7,))/VLOOKUP($U$1,A:G,7,))*100)+100</f>
        <v/>
      </c>
      <c r="N118" s="29">
        <f>VLOOKUP(A118,Database!$E:$AY,MATCH($N$1,Database!$E$1:$AY$1,0),FALSE)</f>
        <v/>
      </c>
      <c r="O118" s="29">
        <f>(((Table134567891011121314151617343[[#This Row],[USA]]-VLOOKUP($U$1,A:N,14,))/VLOOKUP($U$1,A:N,14,))*100)+100</f>
        <v/>
      </c>
      <c r="P118" s="29">
        <f>VLOOKUP(A118,Database!$E:$AY,MATCH($P$1,Database!$E$1:$AY$1,0),FALSE)</f>
        <v/>
      </c>
      <c r="Q118" s="29">
        <f>(((Table134567891011121314151617343[[#This Row],[JPN]]-VLOOKUP($U$1,A:Q,16,))/VLOOKUP($U$1,A:Q,16,))*100)+100</f>
        <v/>
      </c>
    </row>
    <row r="119" customFormat="1" s="129">
      <c r="A119" s="28" t="n">
        <v>36434</v>
      </c>
      <c r="B119" s="29">
        <f>VLOOKUP(A119,Database!$E:$AY,MATCH($B$1,Database!$E$1:$AY$1,0),FALSE)</f>
        <v/>
      </c>
      <c r="C119" s="29">
        <f>VLOOKUP(A119,Database!$E:$AY,MATCH($C$1,Database!$E$1:$AY$1,0),FALSE)</f>
        <v/>
      </c>
      <c r="D119" s="29">
        <f>VLOOKUP(A119,Database!$E:$AY,MATCH($D$1,Database!$E$1:$AY$1,0),FALSE)</f>
        <v/>
      </c>
      <c r="E119" s="29">
        <f>VLOOKUP(A119,Database!$E:$AY,MATCH($E$1,Database!$E$1:$AY$1,0),FALSE)</f>
        <v/>
      </c>
      <c r="F119" s="29">
        <f>VLOOKUP(A119,Database!$E:$AY,MATCH($F$1,Database!$E$1:$AY$1,0),FALSE)</f>
        <v/>
      </c>
      <c r="G119" s="29">
        <f>VLOOKUP(A119,Database!$E:$AY,MATCH($G$1,Database!$E$1:$AY$1,0),FALSE)</f>
        <v/>
      </c>
      <c r="H119" s="29">
        <f>(((Table134567891011121314151617343[[#This Row],[ITA]]-VLOOKUP($U$1,A:B,2,))/VLOOKUP($U$1,A:B,2,))*100)+100</f>
        <v/>
      </c>
      <c r="I119" s="29">
        <f>(((Table134567891011121314151617343[[#This Row],[FRA]]-VLOOKUP($U$1,A:C,3,))/VLOOKUP($U$1,A:C,3,))*100)+100</f>
        <v/>
      </c>
      <c r="J119" s="29">
        <f>(((Table134567891011121314151617343[[#This Row],[DEU]]-VLOOKUP($U$1,A:D,4,))/VLOOKUP($U$1,A:D,4,))*100)+100</f>
        <v/>
      </c>
      <c r="K119" s="29">
        <f>(((Table134567891011121314151617343[[#This Row],[ESP]]-VLOOKUP($U$1,A:E,5,))/VLOOKUP($U$1,A:E,5,))*100)+100</f>
        <v/>
      </c>
      <c r="L119" s="29">
        <f>(((Table134567891011121314151617343[[#This Row],[EA19]]-VLOOKUP($U$1,A:F,6,))/VLOOKUP($U$1,A:F,6,))*100)+100</f>
        <v/>
      </c>
      <c r="M119" s="29">
        <f>(((Table134567891011121314151617343[[#This Row],[GBR]]-VLOOKUP($U$1,A:G,7,))/VLOOKUP($U$1,A:G,7,))*100)+100</f>
        <v/>
      </c>
      <c r="N119" s="29">
        <f>VLOOKUP(A119,Database!$E:$AY,MATCH($N$1,Database!$E$1:$AY$1,0),FALSE)</f>
        <v/>
      </c>
      <c r="O119" s="29">
        <f>(((Table134567891011121314151617343[[#This Row],[USA]]-VLOOKUP($U$1,A:N,14,))/VLOOKUP($U$1,A:N,14,))*100)+100</f>
        <v/>
      </c>
      <c r="P119" s="29">
        <f>VLOOKUP(A119,Database!$E:$AY,MATCH($P$1,Database!$E$1:$AY$1,0),FALSE)</f>
        <v/>
      </c>
      <c r="Q119" s="29">
        <f>(((Table134567891011121314151617343[[#This Row],[JPN]]-VLOOKUP($U$1,A:Q,16,))/VLOOKUP($U$1,A:Q,16,))*100)+100</f>
        <v/>
      </c>
    </row>
    <row r="120" customFormat="1" s="129">
      <c r="A120" s="28" t="n">
        <v>36465</v>
      </c>
      <c r="B120" s="29">
        <f>VLOOKUP(A120,Database!$E:$AY,MATCH($B$1,Database!$E$1:$AY$1,0),FALSE)</f>
        <v/>
      </c>
      <c r="C120" s="29">
        <f>VLOOKUP(A120,Database!$E:$AY,MATCH($C$1,Database!$E$1:$AY$1,0),FALSE)</f>
        <v/>
      </c>
      <c r="D120" s="29">
        <f>VLOOKUP(A120,Database!$E:$AY,MATCH($D$1,Database!$E$1:$AY$1,0),FALSE)</f>
        <v/>
      </c>
      <c r="E120" s="29">
        <f>VLOOKUP(A120,Database!$E:$AY,MATCH($E$1,Database!$E$1:$AY$1,0),FALSE)</f>
        <v/>
      </c>
      <c r="F120" s="29">
        <f>VLOOKUP(A120,Database!$E:$AY,MATCH($F$1,Database!$E$1:$AY$1,0),FALSE)</f>
        <v/>
      </c>
      <c r="G120" s="29">
        <f>VLOOKUP(A120,Database!$E:$AY,MATCH($G$1,Database!$E$1:$AY$1,0),FALSE)</f>
        <v/>
      </c>
      <c r="H120" s="29">
        <f>(((Table134567891011121314151617343[[#This Row],[ITA]]-VLOOKUP($U$1,A:B,2,))/VLOOKUP($U$1,A:B,2,))*100)+100</f>
        <v/>
      </c>
      <c r="I120" s="29">
        <f>(((Table134567891011121314151617343[[#This Row],[FRA]]-VLOOKUP($U$1,A:C,3,))/VLOOKUP($U$1,A:C,3,))*100)+100</f>
        <v/>
      </c>
      <c r="J120" s="29">
        <f>(((Table134567891011121314151617343[[#This Row],[DEU]]-VLOOKUP($U$1,A:D,4,))/VLOOKUP($U$1,A:D,4,))*100)+100</f>
        <v/>
      </c>
      <c r="K120" s="29">
        <f>(((Table134567891011121314151617343[[#This Row],[ESP]]-VLOOKUP($U$1,A:E,5,))/VLOOKUP($U$1,A:E,5,))*100)+100</f>
        <v/>
      </c>
      <c r="L120" s="29">
        <f>(((Table134567891011121314151617343[[#This Row],[EA19]]-VLOOKUP($U$1,A:F,6,))/VLOOKUP($U$1,A:F,6,))*100)+100</f>
        <v/>
      </c>
      <c r="M120" s="29">
        <f>(((Table134567891011121314151617343[[#This Row],[GBR]]-VLOOKUP($U$1,A:G,7,))/VLOOKUP($U$1,A:G,7,))*100)+100</f>
        <v/>
      </c>
      <c r="N120" s="29">
        <f>VLOOKUP(A120,Database!$E:$AY,MATCH($N$1,Database!$E$1:$AY$1,0),FALSE)</f>
        <v/>
      </c>
      <c r="O120" s="29">
        <f>(((Table134567891011121314151617343[[#This Row],[USA]]-VLOOKUP($U$1,A:N,14,))/VLOOKUP($U$1,A:N,14,))*100)+100</f>
        <v/>
      </c>
      <c r="P120" s="29">
        <f>VLOOKUP(A120,Database!$E:$AY,MATCH($P$1,Database!$E$1:$AY$1,0),FALSE)</f>
        <v/>
      </c>
      <c r="Q120" s="29">
        <f>(((Table134567891011121314151617343[[#This Row],[JPN]]-VLOOKUP($U$1,A:Q,16,))/VLOOKUP($U$1,A:Q,16,))*100)+100</f>
        <v/>
      </c>
    </row>
    <row r="121" customFormat="1" s="129">
      <c r="A121" s="28" t="n">
        <v>36495</v>
      </c>
      <c r="B121" s="29">
        <f>VLOOKUP(A121,Database!$E:$AY,MATCH($B$1,Database!$E$1:$AY$1,0),FALSE)</f>
        <v/>
      </c>
      <c r="C121" s="29">
        <f>VLOOKUP(A121,Database!$E:$AY,MATCH($C$1,Database!$E$1:$AY$1,0),FALSE)</f>
        <v/>
      </c>
      <c r="D121" s="29">
        <f>VLOOKUP(A121,Database!$E:$AY,MATCH($D$1,Database!$E$1:$AY$1,0),FALSE)</f>
        <v/>
      </c>
      <c r="E121" s="29">
        <f>VLOOKUP(A121,Database!$E:$AY,MATCH($E$1,Database!$E$1:$AY$1,0),FALSE)</f>
        <v/>
      </c>
      <c r="F121" s="29">
        <f>VLOOKUP(A121,Database!$E:$AY,MATCH($F$1,Database!$E$1:$AY$1,0),FALSE)</f>
        <v/>
      </c>
      <c r="G121" s="29">
        <f>VLOOKUP(A121,Database!$E:$AY,MATCH($G$1,Database!$E$1:$AY$1,0),FALSE)</f>
        <v/>
      </c>
      <c r="H121" s="29">
        <f>(((Table134567891011121314151617343[[#This Row],[ITA]]-VLOOKUP($U$1,A:B,2,))/VLOOKUP($U$1,A:B,2,))*100)+100</f>
        <v/>
      </c>
      <c r="I121" s="29">
        <f>(((Table134567891011121314151617343[[#This Row],[FRA]]-VLOOKUP($U$1,A:C,3,))/VLOOKUP($U$1,A:C,3,))*100)+100</f>
        <v/>
      </c>
      <c r="J121" s="29">
        <f>(((Table134567891011121314151617343[[#This Row],[DEU]]-VLOOKUP($U$1,A:D,4,))/VLOOKUP($U$1,A:D,4,))*100)+100</f>
        <v/>
      </c>
      <c r="K121" s="29">
        <f>(((Table134567891011121314151617343[[#This Row],[ESP]]-VLOOKUP($U$1,A:E,5,))/VLOOKUP($U$1,A:E,5,))*100)+100</f>
        <v/>
      </c>
      <c r="L121" s="29">
        <f>(((Table134567891011121314151617343[[#This Row],[EA19]]-VLOOKUP($U$1,A:F,6,))/VLOOKUP($U$1,A:F,6,))*100)+100</f>
        <v/>
      </c>
      <c r="M121" s="29">
        <f>(((Table134567891011121314151617343[[#This Row],[GBR]]-VLOOKUP($U$1,A:G,7,))/VLOOKUP($U$1,A:G,7,))*100)+100</f>
        <v/>
      </c>
      <c r="N121" s="29">
        <f>VLOOKUP(A121,Database!$E:$AY,MATCH($N$1,Database!$E$1:$AY$1,0),FALSE)</f>
        <v/>
      </c>
      <c r="O121" s="29">
        <f>(((Table134567891011121314151617343[[#This Row],[USA]]-VLOOKUP($U$1,A:N,14,))/VLOOKUP($U$1,A:N,14,))*100)+100</f>
        <v/>
      </c>
      <c r="P121" s="29">
        <f>VLOOKUP(A121,Database!$E:$AY,MATCH($P$1,Database!$E$1:$AY$1,0),FALSE)</f>
        <v/>
      </c>
      <c r="Q121" s="29">
        <f>(((Table134567891011121314151617343[[#This Row],[JPN]]-VLOOKUP($U$1,A:Q,16,))/VLOOKUP($U$1,A:Q,16,))*100)+100</f>
        <v/>
      </c>
    </row>
    <row r="122" customFormat="1" s="129">
      <c r="A122" s="28" t="n">
        <v>36526</v>
      </c>
      <c r="B122" s="29">
        <f>VLOOKUP(A122,Database!$E:$AY,MATCH($B$1,Database!$E$1:$AY$1,0),FALSE)</f>
        <v/>
      </c>
      <c r="C122" s="29">
        <f>VLOOKUP(A122,Database!$E:$AY,MATCH($C$1,Database!$E$1:$AY$1,0),FALSE)</f>
        <v/>
      </c>
      <c r="D122" s="29">
        <f>VLOOKUP(A122,Database!$E:$AY,MATCH($D$1,Database!$E$1:$AY$1,0),FALSE)</f>
        <v/>
      </c>
      <c r="E122" s="29">
        <f>VLOOKUP(A122,Database!$E:$AY,MATCH($E$1,Database!$E$1:$AY$1,0),FALSE)</f>
        <v/>
      </c>
      <c r="F122" s="29">
        <f>VLOOKUP(A122,Database!$E:$AY,MATCH($F$1,Database!$E$1:$AY$1,0),FALSE)</f>
        <v/>
      </c>
      <c r="G122" s="29">
        <f>VLOOKUP(A122,Database!$E:$AY,MATCH($G$1,Database!$E$1:$AY$1,0),FALSE)</f>
        <v/>
      </c>
      <c r="H122" s="29">
        <f>(((Table134567891011121314151617343[[#This Row],[ITA]]-VLOOKUP($U$1,A:B,2,))/VLOOKUP($U$1,A:B,2,))*100)+100</f>
        <v/>
      </c>
      <c r="I122" s="29">
        <f>(((Table134567891011121314151617343[[#This Row],[FRA]]-VLOOKUP($U$1,A:C,3,))/VLOOKUP($U$1,A:C,3,))*100)+100</f>
        <v/>
      </c>
      <c r="J122" s="29">
        <f>(((Table134567891011121314151617343[[#This Row],[DEU]]-VLOOKUP($U$1,A:D,4,))/VLOOKUP($U$1,A:D,4,))*100)+100</f>
        <v/>
      </c>
      <c r="K122" s="29">
        <f>(((Table134567891011121314151617343[[#This Row],[ESP]]-VLOOKUP($U$1,A:E,5,))/VLOOKUP($U$1,A:E,5,))*100)+100</f>
        <v/>
      </c>
      <c r="L122" s="29">
        <f>(((Table134567891011121314151617343[[#This Row],[EA19]]-VLOOKUP($U$1,A:F,6,))/VLOOKUP($U$1,A:F,6,))*100)+100</f>
        <v/>
      </c>
      <c r="M122" s="29">
        <f>(((Table134567891011121314151617343[[#This Row],[GBR]]-VLOOKUP($U$1,A:G,7,))/VLOOKUP($U$1,A:G,7,))*100)+100</f>
        <v/>
      </c>
      <c r="N122" s="29">
        <f>VLOOKUP(A122,Database!$E:$AY,MATCH($N$1,Database!$E$1:$AY$1,0),FALSE)</f>
        <v/>
      </c>
      <c r="O122" s="29">
        <f>(((Table134567891011121314151617343[[#This Row],[USA]]-VLOOKUP($U$1,A:N,14,))/VLOOKUP($U$1,A:N,14,))*100)+100</f>
        <v/>
      </c>
      <c r="P122" s="29">
        <f>VLOOKUP(A122,Database!$E:$AY,MATCH($P$1,Database!$E$1:$AY$1,0),FALSE)</f>
        <v/>
      </c>
      <c r="Q122" s="29">
        <f>(((Table134567891011121314151617343[[#This Row],[JPN]]-VLOOKUP($U$1,A:Q,16,))/VLOOKUP($U$1,A:Q,16,))*100)+100</f>
        <v/>
      </c>
    </row>
    <row r="123" customFormat="1" s="129">
      <c r="A123" s="28" t="n">
        <v>36557</v>
      </c>
      <c r="B123" s="29">
        <f>VLOOKUP(A123,Database!$E:$AY,MATCH($B$1,Database!$E$1:$AY$1,0),FALSE)</f>
        <v/>
      </c>
      <c r="C123" s="29">
        <f>VLOOKUP(A123,Database!$E:$AY,MATCH($C$1,Database!$E$1:$AY$1,0),FALSE)</f>
        <v/>
      </c>
      <c r="D123" s="29">
        <f>VLOOKUP(A123,Database!$E:$AY,MATCH($D$1,Database!$E$1:$AY$1,0),FALSE)</f>
        <v/>
      </c>
      <c r="E123" s="29">
        <f>VLOOKUP(A123,Database!$E:$AY,MATCH($E$1,Database!$E$1:$AY$1,0),FALSE)</f>
        <v/>
      </c>
      <c r="F123" s="29">
        <f>VLOOKUP(A123,Database!$E:$AY,MATCH($F$1,Database!$E$1:$AY$1,0),FALSE)</f>
        <v/>
      </c>
      <c r="G123" s="29">
        <f>VLOOKUP(A123,Database!$E:$AY,MATCH($G$1,Database!$E$1:$AY$1,0),FALSE)</f>
        <v/>
      </c>
      <c r="H123" s="29">
        <f>(((Table134567891011121314151617343[[#This Row],[ITA]]-VLOOKUP($U$1,A:B,2,))/VLOOKUP($U$1,A:B,2,))*100)+100</f>
        <v/>
      </c>
      <c r="I123" s="29">
        <f>(((Table134567891011121314151617343[[#This Row],[FRA]]-VLOOKUP($U$1,A:C,3,))/VLOOKUP($U$1,A:C,3,))*100)+100</f>
        <v/>
      </c>
      <c r="J123" s="29">
        <f>(((Table134567891011121314151617343[[#This Row],[DEU]]-VLOOKUP($U$1,A:D,4,))/VLOOKUP($U$1,A:D,4,))*100)+100</f>
        <v/>
      </c>
      <c r="K123" s="29">
        <f>(((Table134567891011121314151617343[[#This Row],[ESP]]-VLOOKUP($U$1,A:E,5,))/VLOOKUP($U$1,A:E,5,))*100)+100</f>
        <v/>
      </c>
      <c r="L123" s="29">
        <f>(((Table134567891011121314151617343[[#This Row],[EA19]]-VLOOKUP($U$1,A:F,6,))/VLOOKUP($U$1,A:F,6,))*100)+100</f>
        <v/>
      </c>
      <c r="M123" s="29">
        <f>(((Table134567891011121314151617343[[#This Row],[GBR]]-VLOOKUP($U$1,A:G,7,))/VLOOKUP($U$1,A:G,7,))*100)+100</f>
        <v/>
      </c>
      <c r="N123" s="29">
        <f>VLOOKUP(A123,Database!$E:$AY,MATCH($N$1,Database!$E$1:$AY$1,0),FALSE)</f>
        <v/>
      </c>
      <c r="O123" s="29">
        <f>(((Table134567891011121314151617343[[#This Row],[USA]]-VLOOKUP($U$1,A:N,14,))/VLOOKUP($U$1,A:N,14,))*100)+100</f>
        <v/>
      </c>
      <c r="P123" s="29">
        <f>VLOOKUP(A123,Database!$E:$AY,MATCH($P$1,Database!$E$1:$AY$1,0),FALSE)</f>
        <v/>
      </c>
      <c r="Q123" s="29">
        <f>(((Table134567891011121314151617343[[#This Row],[JPN]]-VLOOKUP($U$1,A:Q,16,))/VLOOKUP($U$1,A:Q,16,))*100)+100</f>
        <v/>
      </c>
    </row>
    <row r="124" customFormat="1" s="129">
      <c r="A124" s="28" t="n">
        <v>36586</v>
      </c>
      <c r="B124" s="29">
        <f>VLOOKUP(A124,Database!$E:$AY,MATCH($B$1,Database!$E$1:$AY$1,0),FALSE)</f>
        <v/>
      </c>
      <c r="C124" s="29">
        <f>VLOOKUP(A124,Database!$E:$AY,MATCH($C$1,Database!$E$1:$AY$1,0),FALSE)</f>
        <v/>
      </c>
      <c r="D124" s="29">
        <f>VLOOKUP(A124,Database!$E:$AY,MATCH($D$1,Database!$E$1:$AY$1,0),FALSE)</f>
        <v/>
      </c>
      <c r="E124" s="29">
        <f>VLOOKUP(A124,Database!$E:$AY,MATCH($E$1,Database!$E$1:$AY$1,0),FALSE)</f>
        <v/>
      </c>
      <c r="F124" s="29">
        <f>VLOOKUP(A124,Database!$E:$AY,MATCH($F$1,Database!$E$1:$AY$1,0),FALSE)</f>
        <v/>
      </c>
      <c r="G124" s="29">
        <f>VLOOKUP(A124,Database!$E:$AY,MATCH($G$1,Database!$E$1:$AY$1,0),FALSE)</f>
        <v/>
      </c>
      <c r="H124" s="29">
        <f>(((Table134567891011121314151617343[[#This Row],[ITA]]-VLOOKUP($U$1,A:B,2,))/VLOOKUP($U$1,A:B,2,))*100)+100</f>
        <v/>
      </c>
      <c r="I124" s="29">
        <f>(((Table134567891011121314151617343[[#This Row],[FRA]]-VLOOKUP($U$1,A:C,3,))/VLOOKUP($U$1,A:C,3,))*100)+100</f>
        <v/>
      </c>
      <c r="J124" s="29">
        <f>(((Table134567891011121314151617343[[#This Row],[DEU]]-VLOOKUP($U$1,A:D,4,))/VLOOKUP($U$1,A:D,4,))*100)+100</f>
        <v/>
      </c>
      <c r="K124" s="29">
        <f>(((Table134567891011121314151617343[[#This Row],[ESP]]-VLOOKUP($U$1,A:E,5,))/VLOOKUP($U$1,A:E,5,))*100)+100</f>
        <v/>
      </c>
      <c r="L124" s="29">
        <f>(((Table134567891011121314151617343[[#This Row],[EA19]]-VLOOKUP($U$1,A:F,6,))/VLOOKUP($U$1,A:F,6,))*100)+100</f>
        <v/>
      </c>
      <c r="M124" s="29">
        <f>(((Table134567891011121314151617343[[#This Row],[GBR]]-VLOOKUP($U$1,A:G,7,))/VLOOKUP($U$1,A:G,7,))*100)+100</f>
        <v/>
      </c>
      <c r="N124" s="29">
        <f>VLOOKUP(A124,Database!$E:$AY,MATCH($N$1,Database!$E$1:$AY$1,0),FALSE)</f>
        <v/>
      </c>
      <c r="O124" s="29">
        <f>(((Table134567891011121314151617343[[#This Row],[USA]]-VLOOKUP($U$1,A:N,14,))/VLOOKUP($U$1,A:N,14,))*100)+100</f>
        <v/>
      </c>
      <c r="P124" s="29">
        <f>VLOOKUP(A124,Database!$E:$AY,MATCH($P$1,Database!$E$1:$AY$1,0),FALSE)</f>
        <v/>
      </c>
      <c r="Q124" s="29">
        <f>(((Table134567891011121314151617343[[#This Row],[JPN]]-VLOOKUP($U$1,A:Q,16,))/VLOOKUP($U$1,A:Q,16,))*100)+100</f>
        <v/>
      </c>
    </row>
    <row r="125" customFormat="1" s="129">
      <c r="A125" s="28" t="n">
        <v>36617</v>
      </c>
      <c r="B125" s="29">
        <f>VLOOKUP(A125,Database!$E:$AY,MATCH($B$1,Database!$E$1:$AY$1,0),FALSE)</f>
        <v/>
      </c>
      <c r="C125" s="29">
        <f>VLOOKUP(A125,Database!$E:$AY,MATCH($C$1,Database!$E$1:$AY$1,0),FALSE)</f>
        <v/>
      </c>
      <c r="D125" s="29">
        <f>VLOOKUP(A125,Database!$E:$AY,MATCH($D$1,Database!$E$1:$AY$1,0),FALSE)</f>
        <v/>
      </c>
      <c r="E125" s="29">
        <f>VLOOKUP(A125,Database!$E:$AY,MATCH($E$1,Database!$E$1:$AY$1,0),FALSE)</f>
        <v/>
      </c>
      <c r="F125" s="29">
        <f>VLOOKUP(A125,Database!$E:$AY,MATCH($F$1,Database!$E$1:$AY$1,0),FALSE)</f>
        <v/>
      </c>
      <c r="G125" s="29">
        <f>VLOOKUP(A125,Database!$E:$AY,MATCH($G$1,Database!$E$1:$AY$1,0),FALSE)</f>
        <v/>
      </c>
      <c r="H125" s="29">
        <f>(((Table134567891011121314151617343[[#This Row],[ITA]]-VLOOKUP($U$1,A:B,2,))/VLOOKUP($U$1,A:B,2,))*100)+100</f>
        <v/>
      </c>
      <c r="I125" s="29">
        <f>(((Table134567891011121314151617343[[#This Row],[FRA]]-VLOOKUP($U$1,A:C,3,))/VLOOKUP($U$1,A:C,3,))*100)+100</f>
        <v/>
      </c>
      <c r="J125" s="29">
        <f>(((Table134567891011121314151617343[[#This Row],[DEU]]-VLOOKUP($U$1,A:D,4,))/VLOOKUP($U$1,A:D,4,))*100)+100</f>
        <v/>
      </c>
      <c r="K125" s="29">
        <f>(((Table134567891011121314151617343[[#This Row],[ESP]]-VLOOKUP($U$1,A:E,5,))/VLOOKUP($U$1,A:E,5,))*100)+100</f>
        <v/>
      </c>
      <c r="L125" s="29">
        <f>(((Table134567891011121314151617343[[#This Row],[EA19]]-VLOOKUP($U$1,A:F,6,))/VLOOKUP($U$1,A:F,6,))*100)+100</f>
        <v/>
      </c>
      <c r="M125" s="29">
        <f>(((Table134567891011121314151617343[[#This Row],[GBR]]-VLOOKUP($U$1,A:G,7,))/VLOOKUP($U$1,A:G,7,))*100)+100</f>
        <v/>
      </c>
      <c r="N125" s="29">
        <f>VLOOKUP(A125,Database!$E:$AY,MATCH($N$1,Database!$E$1:$AY$1,0),FALSE)</f>
        <v/>
      </c>
      <c r="O125" s="29">
        <f>(((Table134567891011121314151617343[[#This Row],[USA]]-VLOOKUP($U$1,A:N,14,))/VLOOKUP($U$1,A:N,14,))*100)+100</f>
        <v/>
      </c>
      <c r="P125" s="29">
        <f>VLOOKUP(A125,Database!$E:$AY,MATCH($P$1,Database!$E$1:$AY$1,0),FALSE)</f>
        <v/>
      </c>
      <c r="Q125" s="29">
        <f>(((Table134567891011121314151617343[[#This Row],[JPN]]-VLOOKUP($U$1,A:Q,16,))/VLOOKUP($U$1,A:Q,16,))*100)+100</f>
        <v/>
      </c>
    </row>
    <row r="126" customFormat="1" s="129">
      <c r="A126" s="28" t="n">
        <v>36647</v>
      </c>
      <c r="B126" s="29">
        <f>VLOOKUP(A126,Database!$E:$AY,MATCH($B$1,Database!$E$1:$AY$1,0),FALSE)</f>
        <v/>
      </c>
      <c r="C126" s="29">
        <f>VLOOKUP(A126,Database!$E:$AY,MATCH($C$1,Database!$E$1:$AY$1,0),FALSE)</f>
        <v/>
      </c>
      <c r="D126" s="29">
        <f>VLOOKUP(A126,Database!$E:$AY,MATCH($D$1,Database!$E$1:$AY$1,0),FALSE)</f>
        <v/>
      </c>
      <c r="E126" s="29">
        <f>VLOOKUP(A126,Database!$E:$AY,MATCH($E$1,Database!$E$1:$AY$1,0),FALSE)</f>
        <v/>
      </c>
      <c r="F126" s="29">
        <f>VLOOKUP(A126,Database!$E:$AY,MATCH($F$1,Database!$E$1:$AY$1,0),FALSE)</f>
        <v/>
      </c>
      <c r="G126" s="29">
        <f>VLOOKUP(A126,Database!$E:$AY,MATCH($G$1,Database!$E$1:$AY$1,0),FALSE)</f>
        <v/>
      </c>
      <c r="H126" s="29">
        <f>(((Table134567891011121314151617343[[#This Row],[ITA]]-VLOOKUP($U$1,A:B,2,))/VLOOKUP($U$1,A:B,2,))*100)+100</f>
        <v/>
      </c>
      <c r="I126" s="29">
        <f>(((Table134567891011121314151617343[[#This Row],[FRA]]-VLOOKUP($U$1,A:C,3,))/VLOOKUP($U$1,A:C,3,))*100)+100</f>
        <v/>
      </c>
      <c r="J126" s="29">
        <f>(((Table134567891011121314151617343[[#This Row],[DEU]]-VLOOKUP($U$1,A:D,4,))/VLOOKUP($U$1,A:D,4,))*100)+100</f>
        <v/>
      </c>
      <c r="K126" s="29">
        <f>(((Table134567891011121314151617343[[#This Row],[ESP]]-VLOOKUP($U$1,A:E,5,))/VLOOKUP($U$1,A:E,5,))*100)+100</f>
        <v/>
      </c>
      <c r="L126" s="29">
        <f>(((Table134567891011121314151617343[[#This Row],[EA19]]-VLOOKUP($U$1,A:F,6,))/VLOOKUP($U$1,A:F,6,))*100)+100</f>
        <v/>
      </c>
      <c r="M126" s="29">
        <f>(((Table134567891011121314151617343[[#This Row],[GBR]]-VLOOKUP($U$1,A:G,7,))/VLOOKUP($U$1,A:G,7,))*100)+100</f>
        <v/>
      </c>
      <c r="N126" s="29">
        <f>VLOOKUP(A126,Database!$E:$AY,MATCH($N$1,Database!$E$1:$AY$1,0),FALSE)</f>
        <v/>
      </c>
      <c r="O126" s="29">
        <f>(((Table134567891011121314151617343[[#This Row],[USA]]-VLOOKUP($U$1,A:N,14,))/VLOOKUP($U$1,A:N,14,))*100)+100</f>
        <v/>
      </c>
      <c r="P126" s="29">
        <f>VLOOKUP(A126,Database!$E:$AY,MATCH($P$1,Database!$E$1:$AY$1,0),FALSE)</f>
        <v/>
      </c>
      <c r="Q126" s="29">
        <f>(((Table134567891011121314151617343[[#This Row],[JPN]]-VLOOKUP($U$1,A:Q,16,))/VLOOKUP($U$1,A:Q,16,))*100)+100</f>
        <v/>
      </c>
    </row>
    <row r="127" customFormat="1" s="129">
      <c r="A127" s="28" t="n">
        <v>36678</v>
      </c>
      <c r="B127" s="29">
        <f>VLOOKUP(A127,Database!$E:$AY,MATCH($B$1,Database!$E$1:$AY$1,0),FALSE)</f>
        <v/>
      </c>
      <c r="C127" s="29">
        <f>VLOOKUP(A127,Database!$E:$AY,MATCH($C$1,Database!$E$1:$AY$1,0),FALSE)</f>
        <v/>
      </c>
      <c r="D127" s="29">
        <f>VLOOKUP(A127,Database!$E:$AY,MATCH($D$1,Database!$E$1:$AY$1,0),FALSE)</f>
        <v/>
      </c>
      <c r="E127" s="29">
        <f>VLOOKUP(A127,Database!$E:$AY,MATCH($E$1,Database!$E$1:$AY$1,0),FALSE)</f>
        <v/>
      </c>
      <c r="F127" s="29">
        <f>VLOOKUP(A127,Database!$E:$AY,MATCH($F$1,Database!$E$1:$AY$1,0),FALSE)</f>
        <v/>
      </c>
      <c r="G127" s="29">
        <f>VLOOKUP(A127,Database!$E:$AY,MATCH($G$1,Database!$E$1:$AY$1,0),FALSE)</f>
        <v/>
      </c>
      <c r="H127" s="29">
        <f>(((Table134567891011121314151617343[[#This Row],[ITA]]-VLOOKUP($U$1,A:B,2,))/VLOOKUP($U$1,A:B,2,))*100)+100</f>
        <v/>
      </c>
      <c r="I127" s="29">
        <f>(((Table134567891011121314151617343[[#This Row],[FRA]]-VLOOKUP($U$1,A:C,3,))/VLOOKUP($U$1,A:C,3,))*100)+100</f>
        <v/>
      </c>
      <c r="J127" s="29">
        <f>(((Table134567891011121314151617343[[#This Row],[DEU]]-VLOOKUP($U$1,A:D,4,))/VLOOKUP($U$1,A:D,4,))*100)+100</f>
        <v/>
      </c>
      <c r="K127" s="29">
        <f>(((Table134567891011121314151617343[[#This Row],[ESP]]-VLOOKUP($U$1,A:E,5,))/VLOOKUP($U$1,A:E,5,))*100)+100</f>
        <v/>
      </c>
      <c r="L127" s="29">
        <f>(((Table134567891011121314151617343[[#This Row],[EA19]]-VLOOKUP($U$1,A:F,6,))/VLOOKUP($U$1,A:F,6,))*100)+100</f>
        <v/>
      </c>
      <c r="M127" s="29">
        <f>(((Table134567891011121314151617343[[#This Row],[GBR]]-VLOOKUP($U$1,A:G,7,))/VLOOKUP($U$1,A:G,7,))*100)+100</f>
        <v/>
      </c>
      <c r="N127" s="29">
        <f>VLOOKUP(A127,Database!$E:$AY,MATCH($N$1,Database!$E$1:$AY$1,0),FALSE)</f>
        <v/>
      </c>
      <c r="O127" s="29">
        <f>(((Table134567891011121314151617343[[#This Row],[USA]]-VLOOKUP($U$1,A:N,14,))/VLOOKUP($U$1,A:N,14,))*100)+100</f>
        <v/>
      </c>
      <c r="P127" s="29">
        <f>VLOOKUP(A127,Database!$E:$AY,MATCH($P$1,Database!$E$1:$AY$1,0),FALSE)</f>
        <v/>
      </c>
      <c r="Q127" s="29">
        <f>(((Table134567891011121314151617343[[#This Row],[JPN]]-VLOOKUP($U$1,A:Q,16,))/VLOOKUP($U$1,A:Q,16,))*100)+100</f>
        <v/>
      </c>
    </row>
    <row r="128" customFormat="1" s="129">
      <c r="A128" s="28" t="n">
        <v>36708</v>
      </c>
      <c r="B128" s="29">
        <f>VLOOKUP(A128,Database!$E:$AY,MATCH($B$1,Database!$E$1:$AY$1,0),FALSE)</f>
        <v/>
      </c>
      <c r="C128" s="29">
        <f>VLOOKUP(A128,Database!$E:$AY,MATCH($C$1,Database!$E$1:$AY$1,0),FALSE)</f>
        <v/>
      </c>
      <c r="D128" s="29">
        <f>VLOOKUP(A128,Database!$E:$AY,MATCH($D$1,Database!$E$1:$AY$1,0),FALSE)</f>
        <v/>
      </c>
      <c r="E128" s="29">
        <f>VLOOKUP(A128,Database!$E:$AY,MATCH($E$1,Database!$E$1:$AY$1,0),FALSE)</f>
        <v/>
      </c>
      <c r="F128" s="29">
        <f>VLOOKUP(A128,Database!$E:$AY,MATCH($F$1,Database!$E$1:$AY$1,0),FALSE)</f>
        <v/>
      </c>
      <c r="G128" s="29">
        <f>VLOOKUP(A128,Database!$E:$AY,MATCH($G$1,Database!$E$1:$AY$1,0),FALSE)</f>
        <v/>
      </c>
      <c r="H128" s="29">
        <f>(((Table134567891011121314151617343[[#This Row],[ITA]]-VLOOKUP($U$1,A:B,2,))/VLOOKUP($U$1,A:B,2,))*100)+100</f>
        <v/>
      </c>
      <c r="I128" s="29">
        <f>(((Table134567891011121314151617343[[#This Row],[FRA]]-VLOOKUP($U$1,A:C,3,))/VLOOKUP($U$1,A:C,3,))*100)+100</f>
        <v/>
      </c>
      <c r="J128" s="29">
        <f>(((Table134567891011121314151617343[[#This Row],[DEU]]-VLOOKUP($U$1,A:D,4,))/VLOOKUP($U$1,A:D,4,))*100)+100</f>
        <v/>
      </c>
      <c r="K128" s="29">
        <f>(((Table134567891011121314151617343[[#This Row],[ESP]]-VLOOKUP($U$1,A:E,5,))/VLOOKUP($U$1,A:E,5,))*100)+100</f>
        <v/>
      </c>
      <c r="L128" s="29">
        <f>(((Table134567891011121314151617343[[#This Row],[EA19]]-VLOOKUP($U$1,A:F,6,))/VLOOKUP($U$1,A:F,6,))*100)+100</f>
        <v/>
      </c>
      <c r="M128" s="29">
        <f>(((Table134567891011121314151617343[[#This Row],[GBR]]-VLOOKUP($U$1,A:G,7,))/VLOOKUP($U$1,A:G,7,))*100)+100</f>
        <v/>
      </c>
      <c r="N128" s="29">
        <f>VLOOKUP(A128,Database!$E:$AY,MATCH($N$1,Database!$E$1:$AY$1,0),FALSE)</f>
        <v/>
      </c>
      <c r="O128" s="29">
        <f>(((Table134567891011121314151617343[[#This Row],[USA]]-VLOOKUP($U$1,A:N,14,))/VLOOKUP($U$1,A:N,14,))*100)+100</f>
        <v/>
      </c>
      <c r="P128" s="29">
        <f>VLOOKUP(A128,Database!$E:$AY,MATCH($P$1,Database!$E$1:$AY$1,0),FALSE)</f>
        <v/>
      </c>
      <c r="Q128" s="29">
        <f>(((Table134567891011121314151617343[[#This Row],[JPN]]-VLOOKUP($U$1,A:Q,16,))/VLOOKUP($U$1,A:Q,16,))*100)+100</f>
        <v/>
      </c>
    </row>
    <row r="129" customFormat="1" s="129">
      <c r="A129" s="28" t="n">
        <v>36739</v>
      </c>
      <c r="B129" s="29">
        <f>VLOOKUP(A129,Database!$E:$AY,MATCH($B$1,Database!$E$1:$AY$1,0),FALSE)</f>
        <v/>
      </c>
      <c r="C129" s="29">
        <f>VLOOKUP(A129,Database!$E:$AY,MATCH($C$1,Database!$E$1:$AY$1,0),FALSE)</f>
        <v/>
      </c>
      <c r="D129" s="29">
        <f>VLOOKUP(A129,Database!$E:$AY,MATCH($D$1,Database!$E$1:$AY$1,0),FALSE)</f>
        <v/>
      </c>
      <c r="E129" s="29">
        <f>VLOOKUP(A129,Database!$E:$AY,MATCH($E$1,Database!$E$1:$AY$1,0),FALSE)</f>
        <v/>
      </c>
      <c r="F129" s="29">
        <f>VLOOKUP(A129,Database!$E:$AY,MATCH($F$1,Database!$E$1:$AY$1,0),FALSE)</f>
        <v/>
      </c>
      <c r="G129" s="29">
        <f>VLOOKUP(A129,Database!$E:$AY,MATCH($G$1,Database!$E$1:$AY$1,0),FALSE)</f>
        <v/>
      </c>
      <c r="H129" s="29">
        <f>(((Table134567891011121314151617343[[#This Row],[ITA]]-VLOOKUP($U$1,A:B,2,))/VLOOKUP($U$1,A:B,2,))*100)+100</f>
        <v/>
      </c>
      <c r="I129" s="29">
        <f>(((Table134567891011121314151617343[[#This Row],[FRA]]-VLOOKUP($U$1,A:C,3,))/VLOOKUP($U$1,A:C,3,))*100)+100</f>
        <v/>
      </c>
      <c r="J129" s="29">
        <f>(((Table134567891011121314151617343[[#This Row],[DEU]]-VLOOKUP($U$1,A:D,4,))/VLOOKUP($U$1,A:D,4,))*100)+100</f>
        <v/>
      </c>
      <c r="K129" s="29">
        <f>(((Table134567891011121314151617343[[#This Row],[ESP]]-VLOOKUP($U$1,A:E,5,))/VLOOKUP($U$1,A:E,5,))*100)+100</f>
        <v/>
      </c>
      <c r="L129" s="29">
        <f>(((Table134567891011121314151617343[[#This Row],[EA19]]-VLOOKUP($U$1,A:F,6,))/VLOOKUP($U$1,A:F,6,))*100)+100</f>
        <v/>
      </c>
      <c r="M129" s="29">
        <f>(((Table134567891011121314151617343[[#This Row],[GBR]]-VLOOKUP($U$1,A:G,7,))/VLOOKUP($U$1,A:G,7,))*100)+100</f>
        <v/>
      </c>
      <c r="N129" s="29">
        <f>VLOOKUP(A129,Database!$E:$AY,MATCH($N$1,Database!$E$1:$AY$1,0),FALSE)</f>
        <v/>
      </c>
      <c r="O129" s="29">
        <f>(((Table134567891011121314151617343[[#This Row],[USA]]-VLOOKUP($U$1,A:N,14,))/VLOOKUP($U$1,A:N,14,))*100)+100</f>
        <v/>
      </c>
      <c r="P129" s="29">
        <f>VLOOKUP(A129,Database!$E:$AY,MATCH($P$1,Database!$E$1:$AY$1,0),FALSE)</f>
        <v/>
      </c>
      <c r="Q129" s="29">
        <f>(((Table134567891011121314151617343[[#This Row],[JPN]]-VLOOKUP($U$1,A:Q,16,))/VLOOKUP($U$1,A:Q,16,))*100)+100</f>
        <v/>
      </c>
    </row>
    <row r="130" customFormat="1" s="129">
      <c r="A130" s="28" t="n">
        <v>36770</v>
      </c>
      <c r="B130" s="29">
        <f>VLOOKUP(A130,Database!$E:$AY,MATCH($B$1,Database!$E$1:$AY$1,0),FALSE)</f>
        <v/>
      </c>
      <c r="C130" s="29">
        <f>VLOOKUP(A130,Database!$E:$AY,MATCH($C$1,Database!$E$1:$AY$1,0),FALSE)</f>
        <v/>
      </c>
      <c r="D130" s="29">
        <f>VLOOKUP(A130,Database!$E:$AY,MATCH($D$1,Database!$E$1:$AY$1,0),FALSE)</f>
        <v/>
      </c>
      <c r="E130" s="29">
        <f>VLOOKUP(A130,Database!$E:$AY,MATCH($E$1,Database!$E$1:$AY$1,0),FALSE)</f>
        <v/>
      </c>
      <c r="F130" s="29">
        <f>VLOOKUP(A130,Database!$E:$AY,MATCH($F$1,Database!$E$1:$AY$1,0),FALSE)</f>
        <v/>
      </c>
      <c r="G130" s="29">
        <f>VLOOKUP(A130,Database!$E:$AY,MATCH($G$1,Database!$E$1:$AY$1,0),FALSE)</f>
        <v/>
      </c>
      <c r="H130" s="29">
        <f>(((Table134567891011121314151617343[[#This Row],[ITA]]-VLOOKUP($U$1,A:B,2,))/VLOOKUP($U$1,A:B,2,))*100)+100</f>
        <v/>
      </c>
      <c r="I130" s="29">
        <f>(((Table134567891011121314151617343[[#This Row],[FRA]]-VLOOKUP($U$1,A:C,3,))/VLOOKUP($U$1,A:C,3,))*100)+100</f>
        <v/>
      </c>
      <c r="J130" s="29">
        <f>(((Table134567891011121314151617343[[#This Row],[DEU]]-VLOOKUP($U$1,A:D,4,))/VLOOKUP($U$1,A:D,4,))*100)+100</f>
        <v/>
      </c>
      <c r="K130" s="29">
        <f>(((Table134567891011121314151617343[[#This Row],[ESP]]-VLOOKUP($U$1,A:E,5,))/VLOOKUP($U$1,A:E,5,))*100)+100</f>
        <v/>
      </c>
      <c r="L130" s="29">
        <f>(((Table134567891011121314151617343[[#This Row],[EA19]]-VLOOKUP($U$1,A:F,6,))/VLOOKUP($U$1,A:F,6,))*100)+100</f>
        <v/>
      </c>
      <c r="M130" s="29">
        <f>(((Table134567891011121314151617343[[#This Row],[GBR]]-VLOOKUP($U$1,A:G,7,))/VLOOKUP($U$1,A:G,7,))*100)+100</f>
        <v/>
      </c>
      <c r="N130" s="29">
        <f>VLOOKUP(A130,Database!$E:$AY,MATCH($N$1,Database!$E$1:$AY$1,0),FALSE)</f>
        <v/>
      </c>
      <c r="O130" s="29">
        <f>(((Table134567891011121314151617343[[#This Row],[USA]]-VLOOKUP($U$1,A:N,14,))/VLOOKUP($U$1,A:N,14,))*100)+100</f>
        <v/>
      </c>
      <c r="P130" s="29">
        <f>VLOOKUP(A130,Database!$E:$AY,MATCH($P$1,Database!$E$1:$AY$1,0),FALSE)</f>
        <v/>
      </c>
      <c r="Q130" s="29">
        <f>(((Table134567891011121314151617343[[#This Row],[JPN]]-VLOOKUP($U$1,A:Q,16,))/VLOOKUP($U$1,A:Q,16,))*100)+100</f>
        <v/>
      </c>
    </row>
    <row r="131" customFormat="1" s="129">
      <c r="A131" s="28" t="n">
        <v>36800</v>
      </c>
      <c r="B131" s="29">
        <f>VLOOKUP(A131,Database!$E:$AY,MATCH($B$1,Database!$E$1:$AY$1,0),FALSE)</f>
        <v/>
      </c>
      <c r="C131" s="29">
        <f>VLOOKUP(A131,Database!$E:$AY,MATCH($C$1,Database!$E$1:$AY$1,0),FALSE)</f>
        <v/>
      </c>
      <c r="D131" s="29">
        <f>VLOOKUP(A131,Database!$E:$AY,MATCH($D$1,Database!$E$1:$AY$1,0),FALSE)</f>
        <v/>
      </c>
      <c r="E131" s="29">
        <f>VLOOKUP(A131,Database!$E:$AY,MATCH($E$1,Database!$E$1:$AY$1,0),FALSE)</f>
        <v/>
      </c>
      <c r="F131" s="29">
        <f>VLOOKUP(A131,Database!$E:$AY,MATCH($F$1,Database!$E$1:$AY$1,0),FALSE)</f>
        <v/>
      </c>
      <c r="G131" s="29">
        <f>VLOOKUP(A131,Database!$E:$AY,MATCH($G$1,Database!$E$1:$AY$1,0),FALSE)</f>
        <v/>
      </c>
      <c r="H131" s="29">
        <f>(((Table134567891011121314151617343[[#This Row],[ITA]]-VLOOKUP($U$1,A:B,2,))/VLOOKUP($U$1,A:B,2,))*100)+100</f>
        <v/>
      </c>
      <c r="I131" s="29">
        <f>(((Table134567891011121314151617343[[#This Row],[FRA]]-VLOOKUP($U$1,A:C,3,))/VLOOKUP($U$1,A:C,3,))*100)+100</f>
        <v/>
      </c>
      <c r="J131" s="29">
        <f>(((Table134567891011121314151617343[[#This Row],[DEU]]-VLOOKUP($U$1,A:D,4,))/VLOOKUP($U$1,A:D,4,))*100)+100</f>
        <v/>
      </c>
      <c r="K131" s="29">
        <f>(((Table134567891011121314151617343[[#This Row],[ESP]]-VLOOKUP($U$1,A:E,5,))/VLOOKUP($U$1,A:E,5,))*100)+100</f>
        <v/>
      </c>
      <c r="L131" s="29">
        <f>(((Table134567891011121314151617343[[#This Row],[EA19]]-VLOOKUP($U$1,A:F,6,))/VLOOKUP($U$1,A:F,6,))*100)+100</f>
        <v/>
      </c>
      <c r="M131" s="29">
        <f>(((Table134567891011121314151617343[[#This Row],[GBR]]-VLOOKUP($U$1,A:G,7,))/VLOOKUP($U$1,A:G,7,))*100)+100</f>
        <v/>
      </c>
      <c r="N131" s="29">
        <f>VLOOKUP(A131,Database!$E:$AY,MATCH($N$1,Database!$E$1:$AY$1,0),FALSE)</f>
        <v/>
      </c>
      <c r="O131" s="29">
        <f>(((Table134567891011121314151617343[[#This Row],[USA]]-VLOOKUP($U$1,A:N,14,))/VLOOKUP($U$1,A:N,14,))*100)+100</f>
        <v/>
      </c>
      <c r="P131" s="29">
        <f>VLOOKUP(A131,Database!$E:$AY,MATCH($P$1,Database!$E$1:$AY$1,0),FALSE)</f>
        <v/>
      </c>
      <c r="Q131" s="29">
        <f>(((Table134567891011121314151617343[[#This Row],[JPN]]-VLOOKUP($U$1,A:Q,16,))/VLOOKUP($U$1,A:Q,16,))*100)+100</f>
        <v/>
      </c>
    </row>
    <row r="132" customFormat="1" s="129">
      <c r="A132" s="28" t="n">
        <v>36831</v>
      </c>
      <c r="B132" s="29">
        <f>VLOOKUP(A132,Database!$E:$AY,MATCH($B$1,Database!$E$1:$AY$1,0),FALSE)</f>
        <v/>
      </c>
      <c r="C132" s="29">
        <f>VLOOKUP(A132,Database!$E:$AY,MATCH($C$1,Database!$E$1:$AY$1,0),FALSE)</f>
        <v/>
      </c>
      <c r="D132" s="29">
        <f>VLOOKUP(A132,Database!$E:$AY,MATCH($D$1,Database!$E$1:$AY$1,0),FALSE)</f>
        <v/>
      </c>
      <c r="E132" s="29">
        <f>VLOOKUP(A132,Database!$E:$AY,MATCH($E$1,Database!$E$1:$AY$1,0),FALSE)</f>
        <v/>
      </c>
      <c r="F132" s="29">
        <f>VLOOKUP(A132,Database!$E:$AY,MATCH($F$1,Database!$E$1:$AY$1,0),FALSE)</f>
        <v/>
      </c>
      <c r="G132" s="29">
        <f>VLOOKUP(A132,Database!$E:$AY,MATCH($G$1,Database!$E$1:$AY$1,0),FALSE)</f>
        <v/>
      </c>
      <c r="H132" s="29">
        <f>(((Table134567891011121314151617343[[#This Row],[ITA]]-VLOOKUP($U$1,A:B,2,))/VLOOKUP($U$1,A:B,2,))*100)+100</f>
        <v/>
      </c>
      <c r="I132" s="29">
        <f>(((Table134567891011121314151617343[[#This Row],[FRA]]-VLOOKUP($U$1,A:C,3,))/VLOOKUP($U$1,A:C,3,))*100)+100</f>
        <v/>
      </c>
      <c r="J132" s="29">
        <f>(((Table134567891011121314151617343[[#This Row],[DEU]]-VLOOKUP($U$1,A:D,4,))/VLOOKUP($U$1,A:D,4,))*100)+100</f>
        <v/>
      </c>
      <c r="K132" s="29">
        <f>(((Table134567891011121314151617343[[#This Row],[ESP]]-VLOOKUP($U$1,A:E,5,))/VLOOKUP($U$1,A:E,5,))*100)+100</f>
        <v/>
      </c>
      <c r="L132" s="29">
        <f>(((Table134567891011121314151617343[[#This Row],[EA19]]-VLOOKUP($U$1,A:F,6,))/VLOOKUP($U$1,A:F,6,))*100)+100</f>
        <v/>
      </c>
      <c r="M132" s="29">
        <f>(((Table134567891011121314151617343[[#This Row],[GBR]]-VLOOKUP($U$1,A:G,7,))/VLOOKUP($U$1,A:G,7,))*100)+100</f>
        <v/>
      </c>
      <c r="N132" s="29">
        <f>VLOOKUP(A132,Database!$E:$AY,MATCH($N$1,Database!$E$1:$AY$1,0),FALSE)</f>
        <v/>
      </c>
      <c r="O132" s="29">
        <f>(((Table134567891011121314151617343[[#This Row],[USA]]-VLOOKUP($U$1,A:N,14,))/VLOOKUP($U$1,A:N,14,))*100)+100</f>
        <v/>
      </c>
      <c r="P132" s="29">
        <f>VLOOKUP(A132,Database!$E:$AY,MATCH($P$1,Database!$E$1:$AY$1,0),FALSE)</f>
        <v/>
      </c>
      <c r="Q132" s="29">
        <f>(((Table134567891011121314151617343[[#This Row],[JPN]]-VLOOKUP($U$1,A:Q,16,))/VLOOKUP($U$1,A:Q,16,))*100)+100</f>
        <v/>
      </c>
    </row>
    <row r="133" customFormat="1" s="129">
      <c r="A133" s="28" t="n">
        <v>36861</v>
      </c>
      <c r="B133" s="29">
        <f>VLOOKUP(A133,Database!$E:$AY,MATCH($B$1,Database!$E$1:$AY$1,0),FALSE)</f>
        <v/>
      </c>
      <c r="C133" s="29">
        <f>VLOOKUP(A133,Database!$E:$AY,MATCH($C$1,Database!$E$1:$AY$1,0),FALSE)</f>
        <v/>
      </c>
      <c r="D133" s="29">
        <f>VLOOKUP(A133,Database!$E:$AY,MATCH($D$1,Database!$E$1:$AY$1,0),FALSE)</f>
        <v/>
      </c>
      <c r="E133" s="29">
        <f>VLOOKUP(A133,Database!$E:$AY,MATCH($E$1,Database!$E$1:$AY$1,0),FALSE)</f>
        <v/>
      </c>
      <c r="F133" s="29">
        <f>VLOOKUP(A133,Database!$E:$AY,MATCH($F$1,Database!$E$1:$AY$1,0),FALSE)</f>
        <v/>
      </c>
      <c r="G133" s="29">
        <f>VLOOKUP(A133,Database!$E:$AY,MATCH($G$1,Database!$E$1:$AY$1,0),FALSE)</f>
        <v/>
      </c>
      <c r="H133" s="29">
        <f>(((Table134567891011121314151617343[[#This Row],[ITA]]-VLOOKUP($U$1,A:B,2,))/VLOOKUP($U$1,A:B,2,))*100)+100</f>
        <v/>
      </c>
      <c r="I133" s="29">
        <f>(((Table134567891011121314151617343[[#This Row],[FRA]]-VLOOKUP($U$1,A:C,3,))/VLOOKUP($U$1,A:C,3,))*100)+100</f>
        <v/>
      </c>
      <c r="J133" s="29">
        <f>(((Table134567891011121314151617343[[#This Row],[DEU]]-VLOOKUP($U$1,A:D,4,))/VLOOKUP($U$1,A:D,4,))*100)+100</f>
        <v/>
      </c>
      <c r="K133" s="29">
        <f>(((Table134567891011121314151617343[[#This Row],[ESP]]-VLOOKUP($U$1,A:E,5,))/VLOOKUP($U$1,A:E,5,))*100)+100</f>
        <v/>
      </c>
      <c r="L133" s="29">
        <f>(((Table134567891011121314151617343[[#This Row],[EA19]]-VLOOKUP($U$1,A:F,6,))/VLOOKUP($U$1,A:F,6,))*100)+100</f>
        <v/>
      </c>
      <c r="M133" s="29">
        <f>(((Table134567891011121314151617343[[#This Row],[GBR]]-VLOOKUP($U$1,A:G,7,))/VLOOKUP($U$1,A:G,7,))*100)+100</f>
        <v/>
      </c>
      <c r="N133" s="29">
        <f>VLOOKUP(A133,Database!$E:$AY,MATCH($N$1,Database!$E$1:$AY$1,0),FALSE)</f>
        <v/>
      </c>
      <c r="O133" s="29">
        <f>(((Table134567891011121314151617343[[#This Row],[USA]]-VLOOKUP($U$1,A:N,14,))/VLOOKUP($U$1,A:N,14,))*100)+100</f>
        <v/>
      </c>
      <c r="P133" s="29">
        <f>VLOOKUP(A133,Database!$E:$AY,MATCH($P$1,Database!$E$1:$AY$1,0),FALSE)</f>
        <v/>
      </c>
      <c r="Q133" s="29">
        <f>(((Table134567891011121314151617343[[#This Row],[JPN]]-VLOOKUP($U$1,A:Q,16,))/VLOOKUP($U$1,A:Q,16,))*100)+100</f>
        <v/>
      </c>
    </row>
    <row r="134" customFormat="1" s="129">
      <c r="A134" s="28" t="n">
        <v>36892</v>
      </c>
      <c r="B134" s="29">
        <f>VLOOKUP(A134,Database!$E:$AY,MATCH($B$1,Database!$E$1:$AY$1,0),FALSE)</f>
        <v/>
      </c>
      <c r="C134" s="29">
        <f>VLOOKUP(A134,Database!$E:$AY,MATCH($C$1,Database!$E$1:$AY$1,0),FALSE)</f>
        <v/>
      </c>
      <c r="D134" s="29">
        <f>VLOOKUP(A134,Database!$E:$AY,MATCH($D$1,Database!$E$1:$AY$1,0),FALSE)</f>
        <v/>
      </c>
      <c r="E134" s="29">
        <f>VLOOKUP(A134,Database!$E:$AY,MATCH($E$1,Database!$E$1:$AY$1,0),FALSE)</f>
        <v/>
      </c>
      <c r="F134" s="29">
        <f>VLOOKUP(A134,Database!$E:$AY,MATCH($F$1,Database!$E$1:$AY$1,0),FALSE)</f>
        <v/>
      </c>
      <c r="G134" s="29">
        <f>VLOOKUP(A134,Database!$E:$AY,MATCH($G$1,Database!$E$1:$AY$1,0),FALSE)</f>
        <v/>
      </c>
      <c r="H134" s="29">
        <f>(((Table134567891011121314151617343[[#This Row],[ITA]]-VLOOKUP($U$1,A:B,2,))/VLOOKUP($U$1,A:B,2,))*100)+100</f>
        <v/>
      </c>
      <c r="I134" s="29">
        <f>(((Table134567891011121314151617343[[#This Row],[FRA]]-VLOOKUP($U$1,A:C,3,))/VLOOKUP($U$1,A:C,3,))*100)+100</f>
        <v/>
      </c>
      <c r="J134" s="29">
        <f>(((Table134567891011121314151617343[[#This Row],[DEU]]-VLOOKUP($U$1,A:D,4,))/VLOOKUP($U$1,A:D,4,))*100)+100</f>
        <v/>
      </c>
      <c r="K134" s="29">
        <f>(((Table134567891011121314151617343[[#This Row],[ESP]]-VLOOKUP($U$1,A:E,5,))/VLOOKUP($U$1,A:E,5,))*100)+100</f>
        <v/>
      </c>
      <c r="L134" s="29">
        <f>(((Table134567891011121314151617343[[#This Row],[EA19]]-VLOOKUP($U$1,A:F,6,))/VLOOKUP($U$1,A:F,6,))*100)+100</f>
        <v/>
      </c>
      <c r="M134" s="29">
        <f>(((Table134567891011121314151617343[[#This Row],[GBR]]-VLOOKUP($U$1,A:G,7,))/VLOOKUP($U$1,A:G,7,))*100)+100</f>
        <v/>
      </c>
      <c r="N134" s="29">
        <f>VLOOKUP(A134,Database!$E:$AY,MATCH($N$1,Database!$E$1:$AY$1,0),FALSE)</f>
        <v/>
      </c>
      <c r="O134" s="29">
        <f>(((Table134567891011121314151617343[[#This Row],[USA]]-VLOOKUP($U$1,A:N,14,))/VLOOKUP($U$1,A:N,14,))*100)+100</f>
        <v/>
      </c>
      <c r="P134" s="29">
        <f>VLOOKUP(A134,Database!$E:$AY,MATCH($P$1,Database!$E$1:$AY$1,0),FALSE)</f>
        <v/>
      </c>
      <c r="Q134" s="29">
        <f>(((Table134567891011121314151617343[[#This Row],[JPN]]-VLOOKUP($U$1,A:Q,16,))/VLOOKUP($U$1,A:Q,16,))*100)+100</f>
        <v/>
      </c>
    </row>
    <row r="135" customFormat="1" s="129">
      <c r="A135" s="28" t="n">
        <v>36923</v>
      </c>
      <c r="B135" s="29">
        <f>VLOOKUP(A135,Database!$E:$AY,MATCH($B$1,Database!$E$1:$AY$1,0),FALSE)</f>
        <v/>
      </c>
      <c r="C135" s="29">
        <f>VLOOKUP(A135,Database!$E:$AY,MATCH($C$1,Database!$E$1:$AY$1,0),FALSE)</f>
        <v/>
      </c>
      <c r="D135" s="29">
        <f>VLOOKUP(A135,Database!$E:$AY,MATCH($D$1,Database!$E$1:$AY$1,0),FALSE)</f>
        <v/>
      </c>
      <c r="E135" s="29">
        <f>VLOOKUP(A135,Database!$E:$AY,MATCH($E$1,Database!$E$1:$AY$1,0),FALSE)</f>
        <v/>
      </c>
      <c r="F135" s="29">
        <f>VLOOKUP(A135,Database!$E:$AY,MATCH($F$1,Database!$E$1:$AY$1,0),FALSE)</f>
        <v/>
      </c>
      <c r="G135" s="29">
        <f>VLOOKUP(A135,Database!$E:$AY,MATCH($G$1,Database!$E$1:$AY$1,0),FALSE)</f>
        <v/>
      </c>
      <c r="H135" s="29">
        <f>(((Table134567891011121314151617343[[#This Row],[ITA]]-VLOOKUP($U$1,A:B,2,))/VLOOKUP($U$1,A:B,2,))*100)+100</f>
        <v/>
      </c>
      <c r="I135" s="29">
        <f>(((Table134567891011121314151617343[[#This Row],[FRA]]-VLOOKUP($U$1,A:C,3,))/VLOOKUP($U$1,A:C,3,))*100)+100</f>
        <v/>
      </c>
      <c r="J135" s="29">
        <f>(((Table134567891011121314151617343[[#This Row],[DEU]]-VLOOKUP($U$1,A:D,4,))/VLOOKUP($U$1,A:D,4,))*100)+100</f>
        <v/>
      </c>
      <c r="K135" s="29">
        <f>(((Table134567891011121314151617343[[#This Row],[ESP]]-VLOOKUP($U$1,A:E,5,))/VLOOKUP($U$1,A:E,5,))*100)+100</f>
        <v/>
      </c>
      <c r="L135" s="29">
        <f>(((Table134567891011121314151617343[[#This Row],[EA19]]-VLOOKUP($U$1,A:F,6,))/VLOOKUP($U$1,A:F,6,))*100)+100</f>
        <v/>
      </c>
      <c r="M135" s="29">
        <f>(((Table134567891011121314151617343[[#This Row],[GBR]]-VLOOKUP($U$1,A:G,7,))/VLOOKUP($U$1,A:G,7,))*100)+100</f>
        <v/>
      </c>
      <c r="N135" s="29">
        <f>VLOOKUP(A135,Database!$E:$AY,MATCH($N$1,Database!$E$1:$AY$1,0),FALSE)</f>
        <v/>
      </c>
      <c r="O135" s="29">
        <f>(((Table134567891011121314151617343[[#This Row],[USA]]-VLOOKUP($U$1,A:N,14,))/VLOOKUP($U$1,A:N,14,))*100)+100</f>
        <v/>
      </c>
      <c r="P135" s="29">
        <f>VLOOKUP(A135,Database!$E:$AY,MATCH($P$1,Database!$E$1:$AY$1,0),FALSE)</f>
        <v/>
      </c>
      <c r="Q135" s="29">
        <f>(((Table134567891011121314151617343[[#This Row],[JPN]]-VLOOKUP($U$1,A:Q,16,))/VLOOKUP($U$1,A:Q,16,))*100)+100</f>
        <v/>
      </c>
    </row>
    <row r="136" customFormat="1" s="129">
      <c r="A136" s="28" t="n">
        <v>36951</v>
      </c>
      <c r="B136" s="29">
        <f>VLOOKUP(A136,Database!$E:$AY,MATCH($B$1,Database!$E$1:$AY$1,0),FALSE)</f>
        <v/>
      </c>
      <c r="C136" s="29">
        <f>VLOOKUP(A136,Database!$E:$AY,MATCH($C$1,Database!$E$1:$AY$1,0),FALSE)</f>
        <v/>
      </c>
      <c r="D136" s="29">
        <f>VLOOKUP(A136,Database!$E:$AY,MATCH($D$1,Database!$E$1:$AY$1,0),FALSE)</f>
        <v/>
      </c>
      <c r="E136" s="29">
        <f>VLOOKUP(A136,Database!$E:$AY,MATCH($E$1,Database!$E$1:$AY$1,0),FALSE)</f>
        <v/>
      </c>
      <c r="F136" s="29">
        <f>VLOOKUP(A136,Database!$E:$AY,MATCH($F$1,Database!$E$1:$AY$1,0),FALSE)</f>
        <v/>
      </c>
      <c r="G136" s="29">
        <f>VLOOKUP(A136,Database!$E:$AY,MATCH($G$1,Database!$E$1:$AY$1,0),FALSE)</f>
        <v/>
      </c>
      <c r="H136" s="29">
        <f>(((Table134567891011121314151617343[[#This Row],[ITA]]-VLOOKUP($U$1,A:B,2,))/VLOOKUP($U$1,A:B,2,))*100)+100</f>
        <v/>
      </c>
      <c r="I136" s="29">
        <f>(((Table134567891011121314151617343[[#This Row],[FRA]]-VLOOKUP($U$1,A:C,3,))/VLOOKUP($U$1,A:C,3,))*100)+100</f>
        <v/>
      </c>
      <c r="J136" s="29">
        <f>(((Table134567891011121314151617343[[#This Row],[DEU]]-VLOOKUP($U$1,A:D,4,))/VLOOKUP($U$1,A:D,4,))*100)+100</f>
        <v/>
      </c>
      <c r="K136" s="29">
        <f>(((Table134567891011121314151617343[[#This Row],[ESP]]-VLOOKUP($U$1,A:E,5,))/VLOOKUP($U$1,A:E,5,))*100)+100</f>
        <v/>
      </c>
      <c r="L136" s="29">
        <f>(((Table134567891011121314151617343[[#This Row],[EA19]]-VLOOKUP($U$1,A:F,6,))/VLOOKUP($U$1,A:F,6,))*100)+100</f>
        <v/>
      </c>
      <c r="M136" s="29">
        <f>(((Table134567891011121314151617343[[#This Row],[GBR]]-VLOOKUP($U$1,A:G,7,))/VLOOKUP($U$1,A:G,7,))*100)+100</f>
        <v/>
      </c>
      <c r="N136" s="29">
        <f>VLOOKUP(A136,Database!$E:$AY,MATCH($N$1,Database!$E$1:$AY$1,0),FALSE)</f>
        <v/>
      </c>
      <c r="O136" s="29">
        <f>(((Table134567891011121314151617343[[#This Row],[USA]]-VLOOKUP($U$1,A:N,14,))/VLOOKUP($U$1,A:N,14,))*100)+100</f>
        <v/>
      </c>
      <c r="P136" s="29">
        <f>VLOOKUP(A136,Database!$E:$AY,MATCH($P$1,Database!$E$1:$AY$1,0),FALSE)</f>
        <v/>
      </c>
      <c r="Q136" s="29">
        <f>(((Table134567891011121314151617343[[#This Row],[JPN]]-VLOOKUP($U$1,A:Q,16,))/VLOOKUP($U$1,A:Q,16,))*100)+100</f>
        <v/>
      </c>
    </row>
    <row r="137" customFormat="1" s="129">
      <c r="A137" s="28" t="n">
        <v>36982</v>
      </c>
      <c r="B137" s="29">
        <f>VLOOKUP(A137,Database!$E:$AY,MATCH($B$1,Database!$E$1:$AY$1,0),FALSE)</f>
        <v/>
      </c>
      <c r="C137" s="29">
        <f>VLOOKUP(A137,Database!$E:$AY,MATCH($C$1,Database!$E$1:$AY$1,0),FALSE)</f>
        <v/>
      </c>
      <c r="D137" s="29">
        <f>VLOOKUP(A137,Database!$E:$AY,MATCH($D$1,Database!$E$1:$AY$1,0),FALSE)</f>
        <v/>
      </c>
      <c r="E137" s="29">
        <f>VLOOKUP(A137,Database!$E:$AY,MATCH($E$1,Database!$E$1:$AY$1,0),FALSE)</f>
        <v/>
      </c>
      <c r="F137" s="29">
        <f>VLOOKUP(A137,Database!$E:$AY,MATCH($F$1,Database!$E$1:$AY$1,0),FALSE)</f>
        <v/>
      </c>
      <c r="G137" s="29">
        <f>VLOOKUP(A137,Database!$E:$AY,MATCH($G$1,Database!$E$1:$AY$1,0),FALSE)</f>
        <v/>
      </c>
      <c r="H137" s="29">
        <f>(((Table134567891011121314151617343[[#This Row],[ITA]]-VLOOKUP($U$1,A:B,2,))/VLOOKUP($U$1,A:B,2,))*100)+100</f>
        <v/>
      </c>
      <c r="I137" s="29">
        <f>(((Table134567891011121314151617343[[#This Row],[FRA]]-VLOOKUP($U$1,A:C,3,))/VLOOKUP($U$1,A:C,3,))*100)+100</f>
        <v/>
      </c>
      <c r="J137" s="29">
        <f>(((Table134567891011121314151617343[[#This Row],[DEU]]-VLOOKUP($U$1,A:D,4,))/VLOOKUP($U$1,A:D,4,))*100)+100</f>
        <v/>
      </c>
      <c r="K137" s="29">
        <f>(((Table134567891011121314151617343[[#This Row],[ESP]]-VLOOKUP($U$1,A:E,5,))/VLOOKUP($U$1,A:E,5,))*100)+100</f>
        <v/>
      </c>
      <c r="L137" s="29">
        <f>(((Table134567891011121314151617343[[#This Row],[EA19]]-VLOOKUP($U$1,A:F,6,))/VLOOKUP($U$1,A:F,6,))*100)+100</f>
        <v/>
      </c>
      <c r="M137" s="29">
        <f>(((Table134567891011121314151617343[[#This Row],[GBR]]-VLOOKUP($U$1,A:G,7,))/VLOOKUP($U$1,A:G,7,))*100)+100</f>
        <v/>
      </c>
      <c r="N137" s="29">
        <f>VLOOKUP(A137,Database!$E:$AY,MATCH($N$1,Database!$E$1:$AY$1,0),FALSE)</f>
        <v/>
      </c>
      <c r="O137" s="29">
        <f>(((Table134567891011121314151617343[[#This Row],[USA]]-VLOOKUP($U$1,A:N,14,))/VLOOKUP($U$1,A:N,14,))*100)+100</f>
        <v/>
      </c>
      <c r="P137" s="29">
        <f>VLOOKUP(A137,Database!$E:$AY,MATCH($P$1,Database!$E$1:$AY$1,0),FALSE)</f>
        <v/>
      </c>
      <c r="Q137" s="29">
        <f>(((Table134567891011121314151617343[[#This Row],[JPN]]-VLOOKUP($U$1,A:Q,16,))/VLOOKUP($U$1,A:Q,16,))*100)+100</f>
        <v/>
      </c>
    </row>
    <row r="138" customFormat="1" s="129">
      <c r="A138" s="28" t="n">
        <v>37012</v>
      </c>
      <c r="B138" s="29">
        <f>VLOOKUP(A138,Database!$E:$AY,MATCH($B$1,Database!$E$1:$AY$1,0),FALSE)</f>
        <v/>
      </c>
      <c r="C138" s="29">
        <f>VLOOKUP(A138,Database!$E:$AY,MATCH($C$1,Database!$E$1:$AY$1,0),FALSE)</f>
        <v/>
      </c>
      <c r="D138" s="29">
        <f>VLOOKUP(A138,Database!$E:$AY,MATCH($D$1,Database!$E$1:$AY$1,0),FALSE)</f>
        <v/>
      </c>
      <c r="E138" s="29">
        <f>VLOOKUP(A138,Database!$E:$AY,MATCH($E$1,Database!$E$1:$AY$1,0),FALSE)</f>
        <v/>
      </c>
      <c r="F138" s="29">
        <f>VLOOKUP(A138,Database!$E:$AY,MATCH($F$1,Database!$E$1:$AY$1,0),FALSE)</f>
        <v/>
      </c>
      <c r="G138" s="29">
        <f>VLOOKUP(A138,Database!$E:$AY,MATCH($G$1,Database!$E$1:$AY$1,0),FALSE)</f>
        <v/>
      </c>
      <c r="H138" s="29">
        <f>(((Table134567891011121314151617343[[#This Row],[ITA]]-VLOOKUP($U$1,A:B,2,))/VLOOKUP($U$1,A:B,2,))*100)+100</f>
        <v/>
      </c>
      <c r="I138" s="29">
        <f>(((Table134567891011121314151617343[[#This Row],[FRA]]-VLOOKUP($U$1,A:C,3,))/VLOOKUP($U$1,A:C,3,))*100)+100</f>
        <v/>
      </c>
      <c r="J138" s="29">
        <f>(((Table134567891011121314151617343[[#This Row],[DEU]]-VLOOKUP($U$1,A:D,4,))/VLOOKUP($U$1,A:D,4,))*100)+100</f>
        <v/>
      </c>
      <c r="K138" s="29">
        <f>(((Table134567891011121314151617343[[#This Row],[ESP]]-VLOOKUP($U$1,A:E,5,))/VLOOKUP($U$1,A:E,5,))*100)+100</f>
        <v/>
      </c>
      <c r="L138" s="29">
        <f>(((Table134567891011121314151617343[[#This Row],[EA19]]-VLOOKUP($U$1,A:F,6,))/VLOOKUP($U$1,A:F,6,))*100)+100</f>
        <v/>
      </c>
      <c r="M138" s="29">
        <f>(((Table134567891011121314151617343[[#This Row],[GBR]]-VLOOKUP($U$1,A:G,7,))/VLOOKUP($U$1,A:G,7,))*100)+100</f>
        <v/>
      </c>
      <c r="N138" s="29">
        <f>VLOOKUP(A138,Database!$E:$AY,MATCH($N$1,Database!$E$1:$AY$1,0),FALSE)</f>
        <v/>
      </c>
      <c r="O138" s="29">
        <f>(((Table134567891011121314151617343[[#This Row],[USA]]-VLOOKUP($U$1,A:N,14,))/VLOOKUP($U$1,A:N,14,))*100)+100</f>
        <v/>
      </c>
      <c r="P138" s="29">
        <f>VLOOKUP(A138,Database!$E:$AY,MATCH($P$1,Database!$E$1:$AY$1,0),FALSE)</f>
        <v/>
      </c>
      <c r="Q138" s="29">
        <f>(((Table134567891011121314151617343[[#This Row],[JPN]]-VLOOKUP($U$1,A:Q,16,))/VLOOKUP($U$1,A:Q,16,))*100)+100</f>
        <v/>
      </c>
    </row>
    <row r="139" customFormat="1" s="129">
      <c r="A139" s="28" t="n">
        <v>37043</v>
      </c>
      <c r="B139" s="29">
        <f>VLOOKUP(A139,Database!$E:$AY,MATCH($B$1,Database!$E$1:$AY$1,0),FALSE)</f>
        <v/>
      </c>
      <c r="C139" s="29">
        <f>VLOOKUP(A139,Database!$E:$AY,MATCH($C$1,Database!$E$1:$AY$1,0),FALSE)</f>
        <v/>
      </c>
      <c r="D139" s="29">
        <f>VLOOKUP(A139,Database!$E:$AY,MATCH($D$1,Database!$E$1:$AY$1,0),FALSE)</f>
        <v/>
      </c>
      <c r="E139" s="29">
        <f>VLOOKUP(A139,Database!$E:$AY,MATCH($E$1,Database!$E$1:$AY$1,0),FALSE)</f>
        <v/>
      </c>
      <c r="F139" s="29">
        <f>VLOOKUP(A139,Database!$E:$AY,MATCH($F$1,Database!$E$1:$AY$1,0),FALSE)</f>
        <v/>
      </c>
      <c r="G139" s="29">
        <f>VLOOKUP(A139,Database!$E:$AY,MATCH($G$1,Database!$E$1:$AY$1,0),FALSE)</f>
        <v/>
      </c>
      <c r="H139" s="29">
        <f>(((Table134567891011121314151617343[[#This Row],[ITA]]-VLOOKUP($U$1,A:B,2,))/VLOOKUP($U$1,A:B,2,))*100)+100</f>
        <v/>
      </c>
      <c r="I139" s="29">
        <f>(((Table134567891011121314151617343[[#This Row],[FRA]]-VLOOKUP($U$1,A:C,3,))/VLOOKUP($U$1,A:C,3,))*100)+100</f>
        <v/>
      </c>
      <c r="J139" s="29">
        <f>(((Table134567891011121314151617343[[#This Row],[DEU]]-VLOOKUP($U$1,A:D,4,))/VLOOKUP($U$1,A:D,4,))*100)+100</f>
        <v/>
      </c>
      <c r="K139" s="29">
        <f>(((Table134567891011121314151617343[[#This Row],[ESP]]-VLOOKUP($U$1,A:E,5,))/VLOOKUP($U$1,A:E,5,))*100)+100</f>
        <v/>
      </c>
      <c r="L139" s="29">
        <f>(((Table134567891011121314151617343[[#This Row],[EA19]]-VLOOKUP($U$1,A:F,6,))/VLOOKUP($U$1,A:F,6,))*100)+100</f>
        <v/>
      </c>
      <c r="M139" s="29">
        <f>(((Table134567891011121314151617343[[#This Row],[GBR]]-VLOOKUP($U$1,A:G,7,))/VLOOKUP($U$1,A:G,7,))*100)+100</f>
        <v/>
      </c>
      <c r="N139" s="29">
        <f>VLOOKUP(A139,Database!$E:$AY,MATCH($N$1,Database!$E$1:$AY$1,0),FALSE)</f>
        <v/>
      </c>
      <c r="O139" s="29">
        <f>(((Table134567891011121314151617343[[#This Row],[USA]]-VLOOKUP($U$1,A:N,14,))/VLOOKUP($U$1,A:N,14,))*100)+100</f>
        <v/>
      </c>
      <c r="P139" s="29">
        <f>VLOOKUP(A139,Database!$E:$AY,MATCH($P$1,Database!$E$1:$AY$1,0),FALSE)</f>
        <v/>
      </c>
      <c r="Q139" s="29">
        <f>(((Table134567891011121314151617343[[#This Row],[JPN]]-VLOOKUP($U$1,A:Q,16,))/VLOOKUP($U$1,A:Q,16,))*100)+100</f>
        <v/>
      </c>
    </row>
    <row r="140" customFormat="1" s="129">
      <c r="A140" s="28" t="n">
        <v>37073</v>
      </c>
      <c r="B140" s="29">
        <f>VLOOKUP(A140,Database!$E:$AY,MATCH($B$1,Database!$E$1:$AY$1,0),FALSE)</f>
        <v/>
      </c>
      <c r="C140" s="29">
        <f>VLOOKUP(A140,Database!$E:$AY,MATCH($C$1,Database!$E$1:$AY$1,0),FALSE)</f>
        <v/>
      </c>
      <c r="D140" s="29">
        <f>VLOOKUP(A140,Database!$E:$AY,MATCH($D$1,Database!$E$1:$AY$1,0),FALSE)</f>
        <v/>
      </c>
      <c r="E140" s="29">
        <f>VLOOKUP(A140,Database!$E:$AY,MATCH($E$1,Database!$E$1:$AY$1,0),FALSE)</f>
        <v/>
      </c>
      <c r="F140" s="29">
        <f>VLOOKUP(A140,Database!$E:$AY,MATCH($F$1,Database!$E$1:$AY$1,0),FALSE)</f>
        <v/>
      </c>
      <c r="G140" s="29">
        <f>VLOOKUP(A140,Database!$E:$AY,MATCH($G$1,Database!$E$1:$AY$1,0),FALSE)</f>
        <v/>
      </c>
      <c r="H140" s="29">
        <f>(((Table134567891011121314151617343[[#This Row],[ITA]]-VLOOKUP($U$1,A:B,2,))/VLOOKUP($U$1,A:B,2,))*100)+100</f>
        <v/>
      </c>
      <c r="I140" s="29">
        <f>(((Table134567891011121314151617343[[#This Row],[FRA]]-VLOOKUP($U$1,A:C,3,))/VLOOKUP($U$1,A:C,3,))*100)+100</f>
        <v/>
      </c>
      <c r="J140" s="29">
        <f>(((Table134567891011121314151617343[[#This Row],[DEU]]-VLOOKUP($U$1,A:D,4,))/VLOOKUP($U$1,A:D,4,))*100)+100</f>
        <v/>
      </c>
      <c r="K140" s="29">
        <f>(((Table134567891011121314151617343[[#This Row],[ESP]]-VLOOKUP($U$1,A:E,5,))/VLOOKUP($U$1,A:E,5,))*100)+100</f>
        <v/>
      </c>
      <c r="L140" s="29">
        <f>(((Table134567891011121314151617343[[#This Row],[EA19]]-VLOOKUP($U$1,A:F,6,))/VLOOKUP($U$1,A:F,6,))*100)+100</f>
        <v/>
      </c>
      <c r="M140" s="29">
        <f>(((Table134567891011121314151617343[[#This Row],[GBR]]-VLOOKUP($U$1,A:G,7,))/VLOOKUP($U$1,A:G,7,))*100)+100</f>
        <v/>
      </c>
      <c r="N140" s="29">
        <f>VLOOKUP(A140,Database!$E:$AY,MATCH($N$1,Database!$E$1:$AY$1,0),FALSE)</f>
        <v/>
      </c>
      <c r="O140" s="29">
        <f>(((Table134567891011121314151617343[[#This Row],[USA]]-VLOOKUP($U$1,A:N,14,))/VLOOKUP($U$1,A:N,14,))*100)+100</f>
        <v/>
      </c>
      <c r="P140" s="29">
        <f>VLOOKUP(A140,Database!$E:$AY,MATCH($P$1,Database!$E$1:$AY$1,0),FALSE)</f>
        <v/>
      </c>
      <c r="Q140" s="29">
        <f>(((Table134567891011121314151617343[[#This Row],[JPN]]-VLOOKUP($U$1,A:Q,16,))/VLOOKUP($U$1,A:Q,16,))*100)+100</f>
        <v/>
      </c>
    </row>
    <row r="141" customFormat="1" s="129">
      <c r="A141" s="28" t="n">
        <v>37104</v>
      </c>
      <c r="B141" s="29">
        <f>VLOOKUP(A141,Database!$E:$AY,MATCH($B$1,Database!$E$1:$AY$1,0),FALSE)</f>
        <v/>
      </c>
      <c r="C141" s="29">
        <f>VLOOKUP(A141,Database!$E:$AY,MATCH($C$1,Database!$E$1:$AY$1,0),FALSE)</f>
        <v/>
      </c>
      <c r="D141" s="29">
        <f>VLOOKUP(A141,Database!$E:$AY,MATCH($D$1,Database!$E$1:$AY$1,0),FALSE)</f>
        <v/>
      </c>
      <c r="E141" s="29">
        <f>VLOOKUP(A141,Database!$E:$AY,MATCH($E$1,Database!$E$1:$AY$1,0),FALSE)</f>
        <v/>
      </c>
      <c r="F141" s="29">
        <f>VLOOKUP(A141,Database!$E:$AY,MATCH($F$1,Database!$E$1:$AY$1,0),FALSE)</f>
        <v/>
      </c>
      <c r="G141" s="29">
        <f>VLOOKUP(A141,Database!$E:$AY,MATCH($G$1,Database!$E$1:$AY$1,0),FALSE)</f>
        <v/>
      </c>
      <c r="H141" s="29">
        <f>(((Table134567891011121314151617343[[#This Row],[ITA]]-VLOOKUP($U$1,A:B,2,))/VLOOKUP($U$1,A:B,2,))*100)+100</f>
        <v/>
      </c>
      <c r="I141" s="29">
        <f>(((Table134567891011121314151617343[[#This Row],[FRA]]-VLOOKUP($U$1,A:C,3,))/VLOOKUP($U$1,A:C,3,))*100)+100</f>
        <v/>
      </c>
      <c r="J141" s="29">
        <f>(((Table134567891011121314151617343[[#This Row],[DEU]]-VLOOKUP($U$1,A:D,4,))/VLOOKUP($U$1,A:D,4,))*100)+100</f>
        <v/>
      </c>
      <c r="K141" s="29">
        <f>(((Table134567891011121314151617343[[#This Row],[ESP]]-VLOOKUP($U$1,A:E,5,))/VLOOKUP($U$1,A:E,5,))*100)+100</f>
        <v/>
      </c>
      <c r="L141" s="29">
        <f>(((Table134567891011121314151617343[[#This Row],[EA19]]-VLOOKUP($U$1,A:F,6,))/VLOOKUP($U$1,A:F,6,))*100)+100</f>
        <v/>
      </c>
      <c r="M141" s="29">
        <f>(((Table134567891011121314151617343[[#This Row],[GBR]]-VLOOKUP($U$1,A:G,7,))/VLOOKUP($U$1,A:G,7,))*100)+100</f>
        <v/>
      </c>
      <c r="N141" s="29">
        <f>VLOOKUP(A141,Database!$E:$AY,MATCH($N$1,Database!$E$1:$AY$1,0),FALSE)</f>
        <v/>
      </c>
      <c r="O141" s="29">
        <f>(((Table134567891011121314151617343[[#This Row],[USA]]-VLOOKUP($U$1,A:N,14,))/VLOOKUP($U$1,A:N,14,))*100)+100</f>
        <v/>
      </c>
      <c r="P141" s="29">
        <f>VLOOKUP(A141,Database!$E:$AY,MATCH($P$1,Database!$E$1:$AY$1,0),FALSE)</f>
        <v/>
      </c>
      <c r="Q141" s="29">
        <f>(((Table134567891011121314151617343[[#This Row],[JPN]]-VLOOKUP($U$1,A:Q,16,))/VLOOKUP($U$1,A:Q,16,))*100)+100</f>
        <v/>
      </c>
    </row>
    <row r="142" customFormat="1" s="129">
      <c r="A142" s="28" t="n">
        <v>37135</v>
      </c>
      <c r="B142" s="29">
        <f>VLOOKUP(A142,Database!$E:$AY,MATCH($B$1,Database!$E$1:$AY$1,0),FALSE)</f>
        <v/>
      </c>
      <c r="C142" s="29">
        <f>VLOOKUP(A142,Database!$E:$AY,MATCH($C$1,Database!$E$1:$AY$1,0),FALSE)</f>
        <v/>
      </c>
      <c r="D142" s="29">
        <f>VLOOKUP(A142,Database!$E:$AY,MATCH($D$1,Database!$E$1:$AY$1,0),FALSE)</f>
        <v/>
      </c>
      <c r="E142" s="29">
        <f>VLOOKUP(A142,Database!$E:$AY,MATCH($E$1,Database!$E$1:$AY$1,0),FALSE)</f>
        <v/>
      </c>
      <c r="F142" s="29">
        <f>VLOOKUP(A142,Database!$E:$AY,MATCH($F$1,Database!$E$1:$AY$1,0),FALSE)</f>
        <v/>
      </c>
      <c r="G142" s="29">
        <f>VLOOKUP(A142,Database!$E:$AY,MATCH($G$1,Database!$E$1:$AY$1,0),FALSE)</f>
        <v/>
      </c>
      <c r="H142" s="29">
        <f>(((Table134567891011121314151617343[[#This Row],[ITA]]-VLOOKUP($U$1,A:B,2,))/VLOOKUP($U$1,A:B,2,))*100)+100</f>
        <v/>
      </c>
      <c r="I142" s="29">
        <f>(((Table134567891011121314151617343[[#This Row],[FRA]]-VLOOKUP($U$1,A:C,3,))/VLOOKUP($U$1,A:C,3,))*100)+100</f>
        <v/>
      </c>
      <c r="J142" s="29">
        <f>(((Table134567891011121314151617343[[#This Row],[DEU]]-VLOOKUP($U$1,A:D,4,))/VLOOKUP($U$1,A:D,4,))*100)+100</f>
        <v/>
      </c>
      <c r="K142" s="29">
        <f>(((Table134567891011121314151617343[[#This Row],[ESP]]-VLOOKUP($U$1,A:E,5,))/VLOOKUP($U$1,A:E,5,))*100)+100</f>
        <v/>
      </c>
      <c r="L142" s="29">
        <f>(((Table134567891011121314151617343[[#This Row],[EA19]]-VLOOKUP($U$1,A:F,6,))/VLOOKUP($U$1,A:F,6,))*100)+100</f>
        <v/>
      </c>
      <c r="M142" s="29">
        <f>(((Table134567891011121314151617343[[#This Row],[GBR]]-VLOOKUP($U$1,A:G,7,))/VLOOKUP($U$1,A:G,7,))*100)+100</f>
        <v/>
      </c>
      <c r="N142" s="29">
        <f>VLOOKUP(A142,Database!$E:$AY,MATCH($N$1,Database!$E$1:$AY$1,0),FALSE)</f>
        <v/>
      </c>
      <c r="O142" s="29">
        <f>(((Table134567891011121314151617343[[#This Row],[USA]]-VLOOKUP($U$1,A:N,14,))/VLOOKUP($U$1,A:N,14,))*100)+100</f>
        <v/>
      </c>
      <c r="P142" s="29">
        <f>VLOOKUP(A142,Database!$E:$AY,MATCH($P$1,Database!$E$1:$AY$1,0),FALSE)</f>
        <v/>
      </c>
      <c r="Q142" s="29">
        <f>(((Table134567891011121314151617343[[#This Row],[JPN]]-VLOOKUP($U$1,A:Q,16,))/VLOOKUP($U$1,A:Q,16,))*100)+100</f>
        <v/>
      </c>
    </row>
    <row r="143" customFormat="1" s="129">
      <c r="A143" s="28" t="n">
        <v>37165</v>
      </c>
      <c r="B143" s="29">
        <f>VLOOKUP(A143,Database!$E:$AY,MATCH($B$1,Database!$E$1:$AY$1,0),FALSE)</f>
        <v/>
      </c>
      <c r="C143" s="29">
        <f>VLOOKUP(A143,Database!$E:$AY,MATCH($C$1,Database!$E$1:$AY$1,0),FALSE)</f>
        <v/>
      </c>
      <c r="D143" s="29">
        <f>VLOOKUP(A143,Database!$E:$AY,MATCH($D$1,Database!$E$1:$AY$1,0),FALSE)</f>
        <v/>
      </c>
      <c r="E143" s="29">
        <f>VLOOKUP(A143,Database!$E:$AY,MATCH($E$1,Database!$E$1:$AY$1,0),FALSE)</f>
        <v/>
      </c>
      <c r="F143" s="29">
        <f>VLOOKUP(A143,Database!$E:$AY,MATCH($F$1,Database!$E$1:$AY$1,0),FALSE)</f>
        <v/>
      </c>
      <c r="G143" s="29">
        <f>VLOOKUP(A143,Database!$E:$AY,MATCH($G$1,Database!$E$1:$AY$1,0),FALSE)</f>
        <v/>
      </c>
      <c r="H143" s="29">
        <f>(((Table134567891011121314151617343[[#This Row],[ITA]]-VLOOKUP($U$1,A:B,2,))/VLOOKUP($U$1,A:B,2,))*100)+100</f>
        <v/>
      </c>
      <c r="I143" s="29">
        <f>(((Table134567891011121314151617343[[#This Row],[FRA]]-VLOOKUP($U$1,A:C,3,))/VLOOKUP($U$1,A:C,3,))*100)+100</f>
        <v/>
      </c>
      <c r="J143" s="29">
        <f>(((Table134567891011121314151617343[[#This Row],[DEU]]-VLOOKUP($U$1,A:D,4,))/VLOOKUP($U$1,A:D,4,))*100)+100</f>
        <v/>
      </c>
      <c r="K143" s="29">
        <f>(((Table134567891011121314151617343[[#This Row],[ESP]]-VLOOKUP($U$1,A:E,5,))/VLOOKUP($U$1,A:E,5,))*100)+100</f>
        <v/>
      </c>
      <c r="L143" s="29">
        <f>(((Table134567891011121314151617343[[#This Row],[EA19]]-VLOOKUP($U$1,A:F,6,))/VLOOKUP($U$1,A:F,6,))*100)+100</f>
        <v/>
      </c>
      <c r="M143" s="29">
        <f>(((Table134567891011121314151617343[[#This Row],[GBR]]-VLOOKUP($U$1,A:G,7,))/VLOOKUP($U$1,A:G,7,))*100)+100</f>
        <v/>
      </c>
      <c r="N143" s="29">
        <f>VLOOKUP(A143,Database!$E:$AY,MATCH($N$1,Database!$E$1:$AY$1,0),FALSE)</f>
        <v/>
      </c>
      <c r="O143" s="29">
        <f>(((Table134567891011121314151617343[[#This Row],[USA]]-VLOOKUP($U$1,A:N,14,))/VLOOKUP($U$1,A:N,14,))*100)+100</f>
        <v/>
      </c>
      <c r="P143" s="29">
        <f>VLOOKUP(A143,Database!$E:$AY,MATCH($P$1,Database!$E$1:$AY$1,0),FALSE)</f>
        <v/>
      </c>
      <c r="Q143" s="29">
        <f>(((Table134567891011121314151617343[[#This Row],[JPN]]-VLOOKUP($U$1,A:Q,16,))/VLOOKUP($U$1,A:Q,16,))*100)+100</f>
        <v/>
      </c>
    </row>
    <row r="144" customFormat="1" s="129">
      <c r="A144" s="28" t="n">
        <v>37196</v>
      </c>
      <c r="B144" s="29">
        <f>VLOOKUP(A144,Database!$E:$AY,MATCH($B$1,Database!$E$1:$AY$1,0),FALSE)</f>
        <v/>
      </c>
      <c r="C144" s="29">
        <f>VLOOKUP(A144,Database!$E:$AY,MATCH($C$1,Database!$E$1:$AY$1,0),FALSE)</f>
        <v/>
      </c>
      <c r="D144" s="29">
        <f>VLOOKUP(A144,Database!$E:$AY,MATCH($D$1,Database!$E$1:$AY$1,0),FALSE)</f>
        <v/>
      </c>
      <c r="E144" s="29">
        <f>VLOOKUP(A144,Database!$E:$AY,MATCH($E$1,Database!$E$1:$AY$1,0),FALSE)</f>
        <v/>
      </c>
      <c r="F144" s="29">
        <f>VLOOKUP(A144,Database!$E:$AY,MATCH($F$1,Database!$E$1:$AY$1,0),FALSE)</f>
        <v/>
      </c>
      <c r="G144" s="29">
        <f>VLOOKUP(A144,Database!$E:$AY,MATCH($G$1,Database!$E$1:$AY$1,0),FALSE)</f>
        <v/>
      </c>
      <c r="H144" s="29">
        <f>(((Table134567891011121314151617343[[#This Row],[ITA]]-VLOOKUP($U$1,A:B,2,))/VLOOKUP($U$1,A:B,2,))*100)+100</f>
        <v/>
      </c>
      <c r="I144" s="29">
        <f>(((Table134567891011121314151617343[[#This Row],[FRA]]-VLOOKUP($U$1,A:C,3,))/VLOOKUP($U$1,A:C,3,))*100)+100</f>
        <v/>
      </c>
      <c r="J144" s="29">
        <f>(((Table134567891011121314151617343[[#This Row],[DEU]]-VLOOKUP($U$1,A:D,4,))/VLOOKUP($U$1,A:D,4,))*100)+100</f>
        <v/>
      </c>
      <c r="K144" s="29">
        <f>(((Table134567891011121314151617343[[#This Row],[ESP]]-VLOOKUP($U$1,A:E,5,))/VLOOKUP($U$1,A:E,5,))*100)+100</f>
        <v/>
      </c>
      <c r="L144" s="29">
        <f>(((Table134567891011121314151617343[[#This Row],[EA19]]-VLOOKUP($U$1,A:F,6,))/VLOOKUP($U$1,A:F,6,))*100)+100</f>
        <v/>
      </c>
      <c r="M144" s="29">
        <f>(((Table134567891011121314151617343[[#This Row],[GBR]]-VLOOKUP($U$1,A:G,7,))/VLOOKUP($U$1,A:G,7,))*100)+100</f>
        <v/>
      </c>
      <c r="N144" s="29">
        <f>VLOOKUP(A144,Database!$E:$AY,MATCH($N$1,Database!$E$1:$AY$1,0),FALSE)</f>
        <v/>
      </c>
      <c r="O144" s="29">
        <f>(((Table134567891011121314151617343[[#This Row],[USA]]-VLOOKUP($U$1,A:N,14,))/VLOOKUP($U$1,A:N,14,))*100)+100</f>
        <v/>
      </c>
      <c r="P144" s="29">
        <f>VLOOKUP(A144,Database!$E:$AY,MATCH($P$1,Database!$E$1:$AY$1,0),FALSE)</f>
        <v/>
      </c>
      <c r="Q144" s="29">
        <f>(((Table134567891011121314151617343[[#This Row],[JPN]]-VLOOKUP($U$1,A:Q,16,))/VLOOKUP($U$1,A:Q,16,))*100)+100</f>
        <v/>
      </c>
    </row>
    <row r="145" customFormat="1" s="129">
      <c r="A145" s="28" t="n">
        <v>37226</v>
      </c>
      <c r="B145" s="29">
        <f>VLOOKUP(A145,Database!$E:$AY,MATCH($B$1,Database!$E$1:$AY$1,0),FALSE)</f>
        <v/>
      </c>
      <c r="C145" s="29">
        <f>VLOOKUP(A145,Database!$E:$AY,MATCH($C$1,Database!$E$1:$AY$1,0),FALSE)</f>
        <v/>
      </c>
      <c r="D145" s="29">
        <f>VLOOKUP(A145,Database!$E:$AY,MATCH($D$1,Database!$E$1:$AY$1,0),FALSE)</f>
        <v/>
      </c>
      <c r="E145" s="29">
        <f>VLOOKUP(A145,Database!$E:$AY,MATCH($E$1,Database!$E$1:$AY$1,0),FALSE)</f>
        <v/>
      </c>
      <c r="F145" s="29">
        <f>VLOOKUP(A145,Database!$E:$AY,MATCH($F$1,Database!$E$1:$AY$1,0),FALSE)</f>
        <v/>
      </c>
      <c r="G145" s="29">
        <f>VLOOKUP(A145,Database!$E:$AY,MATCH($G$1,Database!$E$1:$AY$1,0),FALSE)</f>
        <v/>
      </c>
      <c r="H145" s="29">
        <f>(((Table134567891011121314151617343[[#This Row],[ITA]]-VLOOKUP($U$1,A:B,2,))/VLOOKUP($U$1,A:B,2,))*100)+100</f>
        <v/>
      </c>
      <c r="I145" s="29">
        <f>(((Table134567891011121314151617343[[#This Row],[FRA]]-VLOOKUP($U$1,A:C,3,))/VLOOKUP($U$1,A:C,3,))*100)+100</f>
        <v/>
      </c>
      <c r="J145" s="29">
        <f>(((Table134567891011121314151617343[[#This Row],[DEU]]-VLOOKUP($U$1,A:D,4,))/VLOOKUP($U$1,A:D,4,))*100)+100</f>
        <v/>
      </c>
      <c r="K145" s="29">
        <f>(((Table134567891011121314151617343[[#This Row],[ESP]]-VLOOKUP($U$1,A:E,5,))/VLOOKUP($U$1,A:E,5,))*100)+100</f>
        <v/>
      </c>
      <c r="L145" s="29">
        <f>(((Table134567891011121314151617343[[#This Row],[EA19]]-VLOOKUP($U$1,A:F,6,))/VLOOKUP($U$1,A:F,6,))*100)+100</f>
        <v/>
      </c>
      <c r="M145" s="29">
        <f>(((Table134567891011121314151617343[[#This Row],[GBR]]-VLOOKUP($U$1,A:G,7,))/VLOOKUP($U$1,A:G,7,))*100)+100</f>
        <v/>
      </c>
      <c r="N145" s="29">
        <f>VLOOKUP(A145,Database!$E:$AY,MATCH($N$1,Database!$E$1:$AY$1,0),FALSE)</f>
        <v/>
      </c>
      <c r="O145" s="29">
        <f>(((Table134567891011121314151617343[[#This Row],[USA]]-VLOOKUP($U$1,A:N,14,))/VLOOKUP($U$1,A:N,14,))*100)+100</f>
        <v/>
      </c>
      <c r="P145" s="29">
        <f>VLOOKUP(A145,Database!$E:$AY,MATCH($P$1,Database!$E$1:$AY$1,0),FALSE)</f>
        <v/>
      </c>
      <c r="Q145" s="29">
        <f>(((Table134567891011121314151617343[[#This Row],[JPN]]-VLOOKUP($U$1,A:Q,16,))/VLOOKUP($U$1,A:Q,16,))*100)+100</f>
        <v/>
      </c>
    </row>
    <row r="146" customFormat="1" s="129">
      <c r="A146" s="28" t="n">
        <v>37257</v>
      </c>
      <c r="B146" s="29">
        <f>VLOOKUP(A146,Database!$E:$AY,MATCH($B$1,Database!$E$1:$AY$1,0),FALSE)</f>
        <v/>
      </c>
      <c r="C146" s="29">
        <f>VLOOKUP(A146,Database!$E:$AY,MATCH($C$1,Database!$E$1:$AY$1,0),FALSE)</f>
        <v/>
      </c>
      <c r="D146" s="29">
        <f>VLOOKUP(A146,Database!$E:$AY,MATCH($D$1,Database!$E$1:$AY$1,0),FALSE)</f>
        <v/>
      </c>
      <c r="E146" s="29">
        <f>VLOOKUP(A146,Database!$E:$AY,MATCH($E$1,Database!$E$1:$AY$1,0),FALSE)</f>
        <v/>
      </c>
      <c r="F146" s="29">
        <f>VLOOKUP(A146,Database!$E:$AY,MATCH($F$1,Database!$E$1:$AY$1,0),FALSE)</f>
        <v/>
      </c>
      <c r="G146" s="29">
        <f>VLOOKUP(A146,Database!$E:$AY,MATCH($G$1,Database!$E$1:$AY$1,0),FALSE)</f>
        <v/>
      </c>
      <c r="H146" s="29">
        <f>(((Table134567891011121314151617343[[#This Row],[ITA]]-VLOOKUP($U$1,A:B,2,))/VLOOKUP($U$1,A:B,2,))*100)+100</f>
        <v/>
      </c>
      <c r="I146" s="29">
        <f>(((Table134567891011121314151617343[[#This Row],[FRA]]-VLOOKUP($U$1,A:C,3,))/VLOOKUP($U$1,A:C,3,))*100)+100</f>
        <v/>
      </c>
      <c r="J146" s="29">
        <f>(((Table134567891011121314151617343[[#This Row],[DEU]]-VLOOKUP($U$1,A:D,4,))/VLOOKUP($U$1,A:D,4,))*100)+100</f>
        <v/>
      </c>
      <c r="K146" s="29">
        <f>(((Table134567891011121314151617343[[#This Row],[ESP]]-VLOOKUP($U$1,A:E,5,))/VLOOKUP($U$1,A:E,5,))*100)+100</f>
        <v/>
      </c>
      <c r="L146" s="29">
        <f>(((Table134567891011121314151617343[[#This Row],[EA19]]-VLOOKUP($U$1,A:F,6,))/VLOOKUP($U$1,A:F,6,))*100)+100</f>
        <v/>
      </c>
      <c r="M146" s="29">
        <f>(((Table134567891011121314151617343[[#This Row],[GBR]]-VLOOKUP($U$1,A:G,7,))/VLOOKUP($U$1,A:G,7,))*100)+100</f>
        <v/>
      </c>
      <c r="N146" s="29">
        <f>VLOOKUP(A146,Database!$E:$AY,MATCH($N$1,Database!$E$1:$AY$1,0),FALSE)</f>
        <v/>
      </c>
      <c r="O146" s="29">
        <f>(((Table134567891011121314151617343[[#This Row],[USA]]-VLOOKUP($U$1,A:N,14,))/VLOOKUP($U$1,A:N,14,))*100)+100</f>
        <v/>
      </c>
      <c r="P146" s="29">
        <f>VLOOKUP(A146,Database!$E:$AY,MATCH($P$1,Database!$E$1:$AY$1,0),FALSE)</f>
        <v/>
      </c>
      <c r="Q146" s="29">
        <f>(((Table134567891011121314151617343[[#This Row],[JPN]]-VLOOKUP($U$1,A:Q,16,))/VLOOKUP($U$1,A:Q,16,))*100)+100</f>
        <v/>
      </c>
    </row>
    <row r="147" customFormat="1" s="129">
      <c r="A147" s="28" t="n">
        <v>37288</v>
      </c>
      <c r="B147" s="29">
        <f>VLOOKUP(A147,Database!$E:$AY,MATCH($B$1,Database!$E$1:$AY$1,0),FALSE)</f>
        <v/>
      </c>
      <c r="C147" s="29">
        <f>VLOOKUP(A147,Database!$E:$AY,MATCH($C$1,Database!$E$1:$AY$1,0),FALSE)</f>
        <v/>
      </c>
      <c r="D147" s="29">
        <f>VLOOKUP(A147,Database!$E:$AY,MATCH($D$1,Database!$E$1:$AY$1,0),FALSE)</f>
        <v/>
      </c>
      <c r="E147" s="29">
        <f>VLOOKUP(A147,Database!$E:$AY,MATCH($E$1,Database!$E$1:$AY$1,0),FALSE)</f>
        <v/>
      </c>
      <c r="F147" s="29">
        <f>VLOOKUP(A147,Database!$E:$AY,MATCH($F$1,Database!$E$1:$AY$1,0),FALSE)</f>
        <v/>
      </c>
      <c r="G147" s="29">
        <f>VLOOKUP(A147,Database!$E:$AY,MATCH($G$1,Database!$E$1:$AY$1,0),FALSE)</f>
        <v/>
      </c>
      <c r="H147" s="29">
        <f>(((Table134567891011121314151617343[[#This Row],[ITA]]-VLOOKUP($U$1,A:B,2,))/VLOOKUP($U$1,A:B,2,))*100)+100</f>
        <v/>
      </c>
      <c r="I147" s="29">
        <f>(((Table134567891011121314151617343[[#This Row],[FRA]]-VLOOKUP($U$1,A:C,3,))/VLOOKUP($U$1,A:C,3,))*100)+100</f>
        <v/>
      </c>
      <c r="J147" s="29">
        <f>(((Table134567891011121314151617343[[#This Row],[DEU]]-VLOOKUP($U$1,A:D,4,))/VLOOKUP($U$1,A:D,4,))*100)+100</f>
        <v/>
      </c>
      <c r="K147" s="29">
        <f>(((Table134567891011121314151617343[[#This Row],[ESP]]-VLOOKUP($U$1,A:E,5,))/VLOOKUP($U$1,A:E,5,))*100)+100</f>
        <v/>
      </c>
      <c r="L147" s="29">
        <f>(((Table134567891011121314151617343[[#This Row],[EA19]]-VLOOKUP($U$1,A:F,6,))/VLOOKUP($U$1,A:F,6,))*100)+100</f>
        <v/>
      </c>
      <c r="M147" s="29">
        <f>(((Table134567891011121314151617343[[#This Row],[GBR]]-VLOOKUP($U$1,A:G,7,))/VLOOKUP($U$1,A:G,7,))*100)+100</f>
        <v/>
      </c>
      <c r="N147" s="29">
        <f>VLOOKUP(A147,Database!$E:$AY,MATCH($N$1,Database!$E$1:$AY$1,0),FALSE)</f>
        <v/>
      </c>
      <c r="O147" s="29">
        <f>(((Table134567891011121314151617343[[#This Row],[USA]]-VLOOKUP($U$1,A:N,14,))/VLOOKUP($U$1,A:N,14,))*100)+100</f>
        <v/>
      </c>
      <c r="P147" s="29">
        <f>VLOOKUP(A147,Database!$E:$AY,MATCH($P$1,Database!$E$1:$AY$1,0),FALSE)</f>
        <v/>
      </c>
      <c r="Q147" s="29">
        <f>(((Table134567891011121314151617343[[#This Row],[JPN]]-VLOOKUP($U$1,A:Q,16,))/VLOOKUP($U$1,A:Q,16,))*100)+100</f>
        <v/>
      </c>
    </row>
    <row r="148" customFormat="1" s="129">
      <c r="A148" s="28" t="n">
        <v>37316</v>
      </c>
      <c r="B148" s="29">
        <f>VLOOKUP(A148,Database!$E:$AY,MATCH($B$1,Database!$E$1:$AY$1,0),FALSE)</f>
        <v/>
      </c>
      <c r="C148" s="29">
        <f>VLOOKUP(A148,Database!$E:$AY,MATCH($C$1,Database!$E$1:$AY$1,0),FALSE)</f>
        <v/>
      </c>
      <c r="D148" s="29">
        <f>VLOOKUP(A148,Database!$E:$AY,MATCH($D$1,Database!$E$1:$AY$1,0),FALSE)</f>
        <v/>
      </c>
      <c r="E148" s="29">
        <f>VLOOKUP(A148,Database!$E:$AY,MATCH($E$1,Database!$E$1:$AY$1,0),FALSE)</f>
        <v/>
      </c>
      <c r="F148" s="29">
        <f>VLOOKUP(A148,Database!$E:$AY,MATCH($F$1,Database!$E$1:$AY$1,0),FALSE)</f>
        <v/>
      </c>
      <c r="G148" s="29">
        <f>VLOOKUP(A148,Database!$E:$AY,MATCH($G$1,Database!$E$1:$AY$1,0),FALSE)</f>
        <v/>
      </c>
      <c r="H148" s="29">
        <f>(((Table134567891011121314151617343[[#This Row],[ITA]]-VLOOKUP($U$1,A:B,2,))/VLOOKUP($U$1,A:B,2,))*100)+100</f>
        <v/>
      </c>
      <c r="I148" s="29">
        <f>(((Table134567891011121314151617343[[#This Row],[FRA]]-VLOOKUP($U$1,A:C,3,))/VLOOKUP($U$1,A:C,3,))*100)+100</f>
        <v/>
      </c>
      <c r="J148" s="29">
        <f>(((Table134567891011121314151617343[[#This Row],[DEU]]-VLOOKUP($U$1,A:D,4,))/VLOOKUP($U$1,A:D,4,))*100)+100</f>
        <v/>
      </c>
      <c r="K148" s="29">
        <f>(((Table134567891011121314151617343[[#This Row],[ESP]]-VLOOKUP($U$1,A:E,5,))/VLOOKUP($U$1,A:E,5,))*100)+100</f>
        <v/>
      </c>
      <c r="L148" s="29">
        <f>(((Table134567891011121314151617343[[#This Row],[EA19]]-VLOOKUP($U$1,A:F,6,))/VLOOKUP($U$1,A:F,6,))*100)+100</f>
        <v/>
      </c>
      <c r="M148" s="29">
        <f>(((Table134567891011121314151617343[[#This Row],[GBR]]-VLOOKUP($U$1,A:G,7,))/VLOOKUP($U$1,A:G,7,))*100)+100</f>
        <v/>
      </c>
      <c r="N148" s="29">
        <f>VLOOKUP(A148,Database!$E:$AY,MATCH($N$1,Database!$E$1:$AY$1,0),FALSE)</f>
        <v/>
      </c>
      <c r="O148" s="29">
        <f>(((Table134567891011121314151617343[[#This Row],[USA]]-VLOOKUP($U$1,A:N,14,))/VLOOKUP($U$1,A:N,14,))*100)+100</f>
        <v/>
      </c>
      <c r="P148" s="29">
        <f>VLOOKUP(A148,Database!$E:$AY,MATCH($P$1,Database!$E$1:$AY$1,0),FALSE)</f>
        <v/>
      </c>
      <c r="Q148" s="29">
        <f>(((Table134567891011121314151617343[[#This Row],[JPN]]-VLOOKUP($U$1,A:Q,16,))/VLOOKUP($U$1,A:Q,16,))*100)+100</f>
        <v/>
      </c>
    </row>
    <row r="149" customFormat="1" s="129">
      <c r="A149" s="28" t="n">
        <v>37347</v>
      </c>
      <c r="B149" s="29">
        <f>VLOOKUP(A149,Database!$E:$AY,MATCH($B$1,Database!$E$1:$AY$1,0),FALSE)</f>
        <v/>
      </c>
      <c r="C149" s="29">
        <f>VLOOKUP(A149,Database!$E:$AY,MATCH($C$1,Database!$E$1:$AY$1,0),FALSE)</f>
        <v/>
      </c>
      <c r="D149" s="29">
        <f>VLOOKUP(A149,Database!$E:$AY,MATCH($D$1,Database!$E$1:$AY$1,0),FALSE)</f>
        <v/>
      </c>
      <c r="E149" s="29">
        <f>VLOOKUP(A149,Database!$E:$AY,MATCH($E$1,Database!$E$1:$AY$1,0),FALSE)</f>
        <v/>
      </c>
      <c r="F149" s="29">
        <f>VLOOKUP(A149,Database!$E:$AY,MATCH($F$1,Database!$E$1:$AY$1,0),FALSE)</f>
        <v/>
      </c>
      <c r="G149" s="29">
        <f>VLOOKUP(A149,Database!$E:$AY,MATCH($G$1,Database!$E$1:$AY$1,0),FALSE)</f>
        <v/>
      </c>
      <c r="H149" s="29">
        <f>(((Table134567891011121314151617343[[#This Row],[ITA]]-VLOOKUP($U$1,A:B,2,))/VLOOKUP($U$1,A:B,2,))*100)+100</f>
        <v/>
      </c>
      <c r="I149" s="29">
        <f>(((Table134567891011121314151617343[[#This Row],[FRA]]-VLOOKUP($U$1,A:C,3,))/VLOOKUP($U$1,A:C,3,))*100)+100</f>
        <v/>
      </c>
      <c r="J149" s="29">
        <f>(((Table134567891011121314151617343[[#This Row],[DEU]]-VLOOKUP($U$1,A:D,4,))/VLOOKUP($U$1,A:D,4,))*100)+100</f>
        <v/>
      </c>
      <c r="K149" s="29">
        <f>(((Table134567891011121314151617343[[#This Row],[ESP]]-VLOOKUP($U$1,A:E,5,))/VLOOKUP($U$1,A:E,5,))*100)+100</f>
        <v/>
      </c>
      <c r="L149" s="29">
        <f>(((Table134567891011121314151617343[[#This Row],[EA19]]-VLOOKUP($U$1,A:F,6,))/VLOOKUP($U$1,A:F,6,))*100)+100</f>
        <v/>
      </c>
      <c r="M149" s="29">
        <f>(((Table134567891011121314151617343[[#This Row],[GBR]]-VLOOKUP($U$1,A:G,7,))/VLOOKUP($U$1,A:G,7,))*100)+100</f>
        <v/>
      </c>
      <c r="N149" s="29">
        <f>VLOOKUP(A149,Database!$E:$AY,MATCH($N$1,Database!$E$1:$AY$1,0),FALSE)</f>
        <v/>
      </c>
      <c r="O149" s="29">
        <f>(((Table134567891011121314151617343[[#This Row],[USA]]-VLOOKUP($U$1,A:N,14,))/VLOOKUP($U$1,A:N,14,))*100)+100</f>
        <v/>
      </c>
      <c r="P149" s="29">
        <f>VLOOKUP(A149,Database!$E:$AY,MATCH($P$1,Database!$E$1:$AY$1,0),FALSE)</f>
        <v/>
      </c>
      <c r="Q149" s="29">
        <f>(((Table134567891011121314151617343[[#This Row],[JPN]]-VLOOKUP($U$1,A:Q,16,))/VLOOKUP($U$1,A:Q,16,))*100)+100</f>
        <v/>
      </c>
    </row>
    <row r="150" customFormat="1" s="129">
      <c r="A150" s="28" t="n">
        <v>37377</v>
      </c>
      <c r="B150" s="29">
        <f>VLOOKUP(A150,Database!$E:$AY,MATCH($B$1,Database!$E$1:$AY$1,0),FALSE)</f>
        <v/>
      </c>
      <c r="C150" s="29">
        <f>VLOOKUP(A150,Database!$E:$AY,MATCH($C$1,Database!$E$1:$AY$1,0),FALSE)</f>
        <v/>
      </c>
      <c r="D150" s="29">
        <f>VLOOKUP(A150,Database!$E:$AY,MATCH($D$1,Database!$E$1:$AY$1,0),FALSE)</f>
        <v/>
      </c>
      <c r="E150" s="29">
        <f>VLOOKUP(A150,Database!$E:$AY,MATCH($E$1,Database!$E$1:$AY$1,0),FALSE)</f>
        <v/>
      </c>
      <c r="F150" s="29">
        <f>VLOOKUP(A150,Database!$E:$AY,MATCH($F$1,Database!$E$1:$AY$1,0),FALSE)</f>
        <v/>
      </c>
      <c r="G150" s="29">
        <f>VLOOKUP(A150,Database!$E:$AY,MATCH($G$1,Database!$E$1:$AY$1,0),FALSE)</f>
        <v/>
      </c>
      <c r="H150" s="29">
        <f>(((Table134567891011121314151617343[[#This Row],[ITA]]-VLOOKUP($U$1,A:B,2,))/VLOOKUP($U$1,A:B,2,))*100)+100</f>
        <v/>
      </c>
      <c r="I150" s="29">
        <f>(((Table134567891011121314151617343[[#This Row],[FRA]]-VLOOKUP($U$1,A:C,3,))/VLOOKUP($U$1,A:C,3,))*100)+100</f>
        <v/>
      </c>
      <c r="J150" s="29">
        <f>(((Table134567891011121314151617343[[#This Row],[DEU]]-VLOOKUP($U$1,A:D,4,))/VLOOKUP($U$1,A:D,4,))*100)+100</f>
        <v/>
      </c>
      <c r="K150" s="29">
        <f>(((Table134567891011121314151617343[[#This Row],[ESP]]-VLOOKUP($U$1,A:E,5,))/VLOOKUP($U$1,A:E,5,))*100)+100</f>
        <v/>
      </c>
      <c r="L150" s="29">
        <f>(((Table134567891011121314151617343[[#This Row],[EA19]]-VLOOKUP($U$1,A:F,6,))/VLOOKUP($U$1,A:F,6,))*100)+100</f>
        <v/>
      </c>
      <c r="M150" s="29">
        <f>(((Table134567891011121314151617343[[#This Row],[GBR]]-VLOOKUP($U$1,A:G,7,))/VLOOKUP($U$1,A:G,7,))*100)+100</f>
        <v/>
      </c>
      <c r="N150" s="29">
        <f>VLOOKUP(A150,Database!$E:$AY,MATCH($N$1,Database!$E$1:$AY$1,0),FALSE)</f>
        <v/>
      </c>
      <c r="O150" s="29">
        <f>(((Table134567891011121314151617343[[#This Row],[USA]]-VLOOKUP($U$1,A:N,14,))/VLOOKUP($U$1,A:N,14,))*100)+100</f>
        <v/>
      </c>
      <c r="P150" s="29">
        <f>VLOOKUP(A150,Database!$E:$AY,MATCH($P$1,Database!$E$1:$AY$1,0),FALSE)</f>
        <v/>
      </c>
      <c r="Q150" s="29">
        <f>(((Table134567891011121314151617343[[#This Row],[JPN]]-VLOOKUP($U$1,A:Q,16,))/VLOOKUP($U$1,A:Q,16,))*100)+100</f>
        <v/>
      </c>
    </row>
    <row r="151" customFormat="1" s="129">
      <c r="A151" s="28" t="n">
        <v>37408</v>
      </c>
      <c r="B151" s="29">
        <f>VLOOKUP(A151,Database!$E:$AY,MATCH($B$1,Database!$E$1:$AY$1,0),FALSE)</f>
        <v/>
      </c>
      <c r="C151" s="29">
        <f>VLOOKUP(A151,Database!$E:$AY,MATCH($C$1,Database!$E$1:$AY$1,0),FALSE)</f>
        <v/>
      </c>
      <c r="D151" s="29">
        <f>VLOOKUP(A151,Database!$E:$AY,MATCH($D$1,Database!$E$1:$AY$1,0),FALSE)</f>
        <v/>
      </c>
      <c r="E151" s="29">
        <f>VLOOKUP(A151,Database!$E:$AY,MATCH($E$1,Database!$E$1:$AY$1,0),FALSE)</f>
        <v/>
      </c>
      <c r="F151" s="29">
        <f>VLOOKUP(A151,Database!$E:$AY,MATCH($F$1,Database!$E$1:$AY$1,0),FALSE)</f>
        <v/>
      </c>
      <c r="G151" s="29">
        <f>VLOOKUP(A151,Database!$E:$AY,MATCH($G$1,Database!$E$1:$AY$1,0),FALSE)</f>
        <v/>
      </c>
      <c r="H151" s="29">
        <f>(((Table134567891011121314151617343[[#This Row],[ITA]]-VLOOKUP($U$1,A:B,2,))/VLOOKUP($U$1,A:B,2,))*100)+100</f>
        <v/>
      </c>
      <c r="I151" s="29">
        <f>(((Table134567891011121314151617343[[#This Row],[FRA]]-VLOOKUP($U$1,A:C,3,))/VLOOKUP($U$1,A:C,3,))*100)+100</f>
        <v/>
      </c>
      <c r="J151" s="29">
        <f>(((Table134567891011121314151617343[[#This Row],[DEU]]-VLOOKUP($U$1,A:D,4,))/VLOOKUP($U$1,A:D,4,))*100)+100</f>
        <v/>
      </c>
      <c r="K151" s="29">
        <f>(((Table134567891011121314151617343[[#This Row],[ESP]]-VLOOKUP($U$1,A:E,5,))/VLOOKUP($U$1,A:E,5,))*100)+100</f>
        <v/>
      </c>
      <c r="L151" s="29">
        <f>(((Table134567891011121314151617343[[#This Row],[EA19]]-VLOOKUP($U$1,A:F,6,))/VLOOKUP($U$1,A:F,6,))*100)+100</f>
        <v/>
      </c>
      <c r="M151" s="29">
        <f>(((Table134567891011121314151617343[[#This Row],[GBR]]-VLOOKUP($U$1,A:G,7,))/VLOOKUP($U$1,A:G,7,))*100)+100</f>
        <v/>
      </c>
      <c r="N151" s="29">
        <f>VLOOKUP(A151,Database!$E:$AY,MATCH($N$1,Database!$E$1:$AY$1,0),FALSE)</f>
        <v/>
      </c>
      <c r="O151" s="29">
        <f>(((Table134567891011121314151617343[[#This Row],[USA]]-VLOOKUP($U$1,A:N,14,))/VLOOKUP($U$1,A:N,14,))*100)+100</f>
        <v/>
      </c>
      <c r="P151" s="29">
        <f>VLOOKUP(A151,Database!$E:$AY,MATCH($P$1,Database!$E$1:$AY$1,0),FALSE)</f>
        <v/>
      </c>
      <c r="Q151" s="29">
        <f>(((Table134567891011121314151617343[[#This Row],[JPN]]-VLOOKUP($U$1,A:Q,16,))/VLOOKUP($U$1,A:Q,16,))*100)+100</f>
        <v/>
      </c>
    </row>
    <row r="152" customFormat="1" s="129">
      <c r="A152" s="28" t="n">
        <v>37438</v>
      </c>
      <c r="B152" s="29">
        <f>VLOOKUP(A152,Database!$E:$AY,MATCH($B$1,Database!$E$1:$AY$1,0),FALSE)</f>
        <v/>
      </c>
      <c r="C152" s="29">
        <f>VLOOKUP(A152,Database!$E:$AY,MATCH($C$1,Database!$E$1:$AY$1,0),FALSE)</f>
        <v/>
      </c>
      <c r="D152" s="29">
        <f>VLOOKUP(A152,Database!$E:$AY,MATCH($D$1,Database!$E$1:$AY$1,0),FALSE)</f>
        <v/>
      </c>
      <c r="E152" s="29">
        <f>VLOOKUP(A152,Database!$E:$AY,MATCH($E$1,Database!$E$1:$AY$1,0),FALSE)</f>
        <v/>
      </c>
      <c r="F152" s="29">
        <f>VLOOKUP(A152,Database!$E:$AY,MATCH($F$1,Database!$E$1:$AY$1,0),FALSE)</f>
        <v/>
      </c>
      <c r="G152" s="29">
        <f>VLOOKUP(A152,Database!$E:$AY,MATCH($G$1,Database!$E$1:$AY$1,0),FALSE)</f>
        <v/>
      </c>
      <c r="H152" s="29">
        <f>(((Table134567891011121314151617343[[#This Row],[ITA]]-VLOOKUP($U$1,A:B,2,))/VLOOKUP($U$1,A:B,2,))*100)+100</f>
        <v/>
      </c>
      <c r="I152" s="29">
        <f>(((Table134567891011121314151617343[[#This Row],[FRA]]-VLOOKUP($U$1,A:C,3,))/VLOOKUP($U$1,A:C,3,))*100)+100</f>
        <v/>
      </c>
      <c r="J152" s="29">
        <f>(((Table134567891011121314151617343[[#This Row],[DEU]]-VLOOKUP($U$1,A:D,4,))/VLOOKUP($U$1,A:D,4,))*100)+100</f>
        <v/>
      </c>
      <c r="K152" s="29">
        <f>(((Table134567891011121314151617343[[#This Row],[ESP]]-VLOOKUP($U$1,A:E,5,))/VLOOKUP($U$1,A:E,5,))*100)+100</f>
        <v/>
      </c>
      <c r="L152" s="29">
        <f>(((Table134567891011121314151617343[[#This Row],[EA19]]-VLOOKUP($U$1,A:F,6,))/VLOOKUP($U$1,A:F,6,))*100)+100</f>
        <v/>
      </c>
      <c r="M152" s="29">
        <f>(((Table134567891011121314151617343[[#This Row],[GBR]]-VLOOKUP($U$1,A:G,7,))/VLOOKUP($U$1,A:G,7,))*100)+100</f>
        <v/>
      </c>
      <c r="N152" s="29">
        <f>VLOOKUP(A152,Database!$E:$AY,MATCH($N$1,Database!$E$1:$AY$1,0),FALSE)</f>
        <v/>
      </c>
      <c r="O152" s="29">
        <f>(((Table134567891011121314151617343[[#This Row],[USA]]-VLOOKUP($U$1,A:N,14,))/VLOOKUP($U$1,A:N,14,))*100)+100</f>
        <v/>
      </c>
      <c r="P152" s="29">
        <f>VLOOKUP(A152,Database!$E:$AY,MATCH($P$1,Database!$E$1:$AY$1,0),FALSE)</f>
        <v/>
      </c>
      <c r="Q152" s="29">
        <f>(((Table134567891011121314151617343[[#This Row],[JPN]]-VLOOKUP($U$1,A:Q,16,))/VLOOKUP($U$1,A:Q,16,))*100)+100</f>
        <v/>
      </c>
    </row>
    <row r="153" customFormat="1" s="129">
      <c r="A153" s="28" t="n">
        <v>37469</v>
      </c>
      <c r="B153" s="29">
        <f>VLOOKUP(A153,Database!$E:$AY,MATCH($B$1,Database!$E$1:$AY$1,0),FALSE)</f>
        <v/>
      </c>
      <c r="C153" s="29">
        <f>VLOOKUP(A153,Database!$E:$AY,MATCH($C$1,Database!$E$1:$AY$1,0),FALSE)</f>
        <v/>
      </c>
      <c r="D153" s="29">
        <f>VLOOKUP(A153,Database!$E:$AY,MATCH($D$1,Database!$E$1:$AY$1,0),FALSE)</f>
        <v/>
      </c>
      <c r="E153" s="29">
        <f>VLOOKUP(A153,Database!$E:$AY,MATCH($E$1,Database!$E$1:$AY$1,0),FALSE)</f>
        <v/>
      </c>
      <c r="F153" s="29">
        <f>VLOOKUP(A153,Database!$E:$AY,MATCH($F$1,Database!$E$1:$AY$1,0),FALSE)</f>
        <v/>
      </c>
      <c r="G153" s="29">
        <f>VLOOKUP(A153,Database!$E:$AY,MATCH($G$1,Database!$E$1:$AY$1,0),FALSE)</f>
        <v/>
      </c>
      <c r="H153" s="29">
        <f>(((Table134567891011121314151617343[[#This Row],[ITA]]-VLOOKUP($U$1,A:B,2,))/VLOOKUP($U$1,A:B,2,))*100)+100</f>
        <v/>
      </c>
      <c r="I153" s="29">
        <f>(((Table134567891011121314151617343[[#This Row],[FRA]]-VLOOKUP($U$1,A:C,3,))/VLOOKUP($U$1,A:C,3,))*100)+100</f>
        <v/>
      </c>
      <c r="J153" s="29">
        <f>(((Table134567891011121314151617343[[#This Row],[DEU]]-VLOOKUP($U$1,A:D,4,))/VLOOKUP($U$1,A:D,4,))*100)+100</f>
        <v/>
      </c>
      <c r="K153" s="29">
        <f>(((Table134567891011121314151617343[[#This Row],[ESP]]-VLOOKUP($U$1,A:E,5,))/VLOOKUP($U$1,A:E,5,))*100)+100</f>
        <v/>
      </c>
      <c r="L153" s="29">
        <f>(((Table134567891011121314151617343[[#This Row],[EA19]]-VLOOKUP($U$1,A:F,6,))/VLOOKUP($U$1,A:F,6,))*100)+100</f>
        <v/>
      </c>
      <c r="M153" s="29">
        <f>(((Table134567891011121314151617343[[#This Row],[GBR]]-VLOOKUP($U$1,A:G,7,))/VLOOKUP($U$1,A:G,7,))*100)+100</f>
        <v/>
      </c>
      <c r="N153" s="29">
        <f>VLOOKUP(A153,Database!$E:$AY,MATCH($N$1,Database!$E$1:$AY$1,0),FALSE)</f>
        <v/>
      </c>
      <c r="O153" s="29">
        <f>(((Table134567891011121314151617343[[#This Row],[USA]]-VLOOKUP($U$1,A:N,14,))/VLOOKUP($U$1,A:N,14,))*100)+100</f>
        <v/>
      </c>
      <c r="P153" s="29">
        <f>VLOOKUP(A153,Database!$E:$AY,MATCH($P$1,Database!$E$1:$AY$1,0),FALSE)</f>
        <v/>
      </c>
      <c r="Q153" s="29">
        <f>(((Table134567891011121314151617343[[#This Row],[JPN]]-VLOOKUP($U$1,A:Q,16,))/VLOOKUP($U$1,A:Q,16,))*100)+100</f>
        <v/>
      </c>
    </row>
    <row r="154" customFormat="1" s="129">
      <c r="A154" s="28" t="n">
        <v>37500</v>
      </c>
      <c r="B154" s="29">
        <f>VLOOKUP(A154,Database!$E:$AY,MATCH($B$1,Database!$E$1:$AY$1,0),FALSE)</f>
        <v/>
      </c>
      <c r="C154" s="29">
        <f>VLOOKUP(A154,Database!$E:$AY,MATCH($C$1,Database!$E$1:$AY$1,0),FALSE)</f>
        <v/>
      </c>
      <c r="D154" s="29">
        <f>VLOOKUP(A154,Database!$E:$AY,MATCH($D$1,Database!$E$1:$AY$1,0),FALSE)</f>
        <v/>
      </c>
      <c r="E154" s="29">
        <f>VLOOKUP(A154,Database!$E:$AY,MATCH($E$1,Database!$E$1:$AY$1,0),FALSE)</f>
        <v/>
      </c>
      <c r="F154" s="29">
        <f>VLOOKUP(A154,Database!$E:$AY,MATCH($F$1,Database!$E$1:$AY$1,0),FALSE)</f>
        <v/>
      </c>
      <c r="G154" s="29">
        <f>VLOOKUP(A154,Database!$E:$AY,MATCH($G$1,Database!$E$1:$AY$1,0),FALSE)</f>
        <v/>
      </c>
      <c r="H154" s="29">
        <f>(((Table134567891011121314151617343[[#This Row],[ITA]]-VLOOKUP($U$1,A:B,2,))/VLOOKUP($U$1,A:B,2,))*100)+100</f>
        <v/>
      </c>
      <c r="I154" s="29">
        <f>(((Table134567891011121314151617343[[#This Row],[FRA]]-VLOOKUP($U$1,A:C,3,))/VLOOKUP($U$1,A:C,3,))*100)+100</f>
        <v/>
      </c>
      <c r="J154" s="29">
        <f>(((Table134567891011121314151617343[[#This Row],[DEU]]-VLOOKUP($U$1,A:D,4,))/VLOOKUP($U$1,A:D,4,))*100)+100</f>
        <v/>
      </c>
      <c r="K154" s="29">
        <f>(((Table134567891011121314151617343[[#This Row],[ESP]]-VLOOKUP($U$1,A:E,5,))/VLOOKUP($U$1,A:E,5,))*100)+100</f>
        <v/>
      </c>
      <c r="L154" s="29">
        <f>(((Table134567891011121314151617343[[#This Row],[EA19]]-VLOOKUP($U$1,A:F,6,))/VLOOKUP($U$1,A:F,6,))*100)+100</f>
        <v/>
      </c>
      <c r="M154" s="29">
        <f>(((Table134567891011121314151617343[[#This Row],[GBR]]-VLOOKUP($U$1,A:G,7,))/VLOOKUP($U$1,A:G,7,))*100)+100</f>
        <v/>
      </c>
      <c r="N154" s="29">
        <f>VLOOKUP(A154,Database!$E:$AY,MATCH($N$1,Database!$E$1:$AY$1,0),FALSE)</f>
        <v/>
      </c>
      <c r="O154" s="29">
        <f>(((Table134567891011121314151617343[[#This Row],[USA]]-VLOOKUP($U$1,A:N,14,))/VLOOKUP($U$1,A:N,14,))*100)+100</f>
        <v/>
      </c>
      <c r="P154" s="29">
        <f>VLOOKUP(A154,Database!$E:$AY,MATCH($P$1,Database!$E$1:$AY$1,0),FALSE)</f>
        <v/>
      </c>
      <c r="Q154" s="29">
        <f>(((Table134567891011121314151617343[[#This Row],[JPN]]-VLOOKUP($U$1,A:Q,16,))/VLOOKUP($U$1,A:Q,16,))*100)+100</f>
        <v/>
      </c>
    </row>
    <row r="155" customFormat="1" s="129">
      <c r="A155" s="28" t="n">
        <v>37530</v>
      </c>
      <c r="B155" s="29">
        <f>VLOOKUP(A155,Database!$E:$AY,MATCH($B$1,Database!$E$1:$AY$1,0),FALSE)</f>
        <v/>
      </c>
      <c r="C155" s="29">
        <f>VLOOKUP(A155,Database!$E:$AY,MATCH($C$1,Database!$E$1:$AY$1,0),FALSE)</f>
        <v/>
      </c>
      <c r="D155" s="29">
        <f>VLOOKUP(A155,Database!$E:$AY,MATCH($D$1,Database!$E$1:$AY$1,0),FALSE)</f>
        <v/>
      </c>
      <c r="E155" s="29">
        <f>VLOOKUP(A155,Database!$E:$AY,MATCH($E$1,Database!$E$1:$AY$1,0),FALSE)</f>
        <v/>
      </c>
      <c r="F155" s="29">
        <f>VLOOKUP(A155,Database!$E:$AY,MATCH($F$1,Database!$E$1:$AY$1,0),FALSE)</f>
        <v/>
      </c>
      <c r="G155" s="29">
        <f>VLOOKUP(A155,Database!$E:$AY,MATCH($G$1,Database!$E$1:$AY$1,0),FALSE)</f>
        <v/>
      </c>
      <c r="H155" s="29">
        <f>(((Table134567891011121314151617343[[#This Row],[ITA]]-VLOOKUP($U$1,A:B,2,))/VLOOKUP($U$1,A:B,2,))*100)+100</f>
        <v/>
      </c>
      <c r="I155" s="29">
        <f>(((Table134567891011121314151617343[[#This Row],[FRA]]-VLOOKUP($U$1,A:C,3,))/VLOOKUP($U$1,A:C,3,))*100)+100</f>
        <v/>
      </c>
      <c r="J155" s="29">
        <f>(((Table134567891011121314151617343[[#This Row],[DEU]]-VLOOKUP($U$1,A:D,4,))/VLOOKUP($U$1,A:D,4,))*100)+100</f>
        <v/>
      </c>
      <c r="K155" s="29">
        <f>(((Table134567891011121314151617343[[#This Row],[ESP]]-VLOOKUP($U$1,A:E,5,))/VLOOKUP($U$1,A:E,5,))*100)+100</f>
        <v/>
      </c>
      <c r="L155" s="29">
        <f>(((Table134567891011121314151617343[[#This Row],[EA19]]-VLOOKUP($U$1,A:F,6,))/VLOOKUP($U$1,A:F,6,))*100)+100</f>
        <v/>
      </c>
      <c r="M155" s="29">
        <f>(((Table134567891011121314151617343[[#This Row],[GBR]]-VLOOKUP($U$1,A:G,7,))/VLOOKUP($U$1,A:G,7,))*100)+100</f>
        <v/>
      </c>
      <c r="N155" s="29">
        <f>VLOOKUP(A155,Database!$E:$AY,MATCH($N$1,Database!$E$1:$AY$1,0),FALSE)</f>
        <v/>
      </c>
      <c r="O155" s="29">
        <f>(((Table134567891011121314151617343[[#This Row],[USA]]-VLOOKUP($U$1,A:N,14,))/VLOOKUP($U$1,A:N,14,))*100)+100</f>
        <v/>
      </c>
      <c r="P155" s="29">
        <f>VLOOKUP(A155,Database!$E:$AY,MATCH($P$1,Database!$E$1:$AY$1,0),FALSE)</f>
        <v/>
      </c>
      <c r="Q155" s="29">
        <f>(((Table134567891011121314151617343[[#This Row],[JPN]]-VLOOKUP($U$1,A:Q,16,))/VLOOKUP($U$1,A:Q,16,))*100)+100</f>
        <v/>
      </c>
    </row>
    <row r="156" customFormat="1" s="129">
      <c r="A156" s="28" t="n">
        <v>37561</v>
      </c>
      <c r="B156" s="29">
        <f>VLOOKUP(A156,Database!$E:$AY,MATCH($B$1,Database!$E$1:$AY$1,0),FALSE)</f>
        <v/>
      </c>
      <c r="C156" s="29">
        <f>VLOOKUP(A156,Database!$E:$AY,MATCH($C$1,Database!$E$1:$AY$1,0),FALSE)</f>
        <v/>
      </c>
      <c r="D156" s="29">
        <f>VLOOKUP(A156,Database!$E:$AY,MATCH($D$1,Database!$E$1:$AY$1,0),FALSE)</f>
        <v/>
      </c>
      <c r="E156" s="29">
        <f>VLOOKUP(A156,Database!$E:$AY,MATCH($E$1,Database!$E$1:$AY$1,0),FALSE)</f>
        <v/>
      </c>
      <c r="F156" s="29">
        <f>VLOOKUP(A156,Database!$E:$AY,MATCH($F$1,Database!$E$1:$AY$1,0),FALSE)</f>
        <v/>
      </c>
      <c r="G156" s="29">
        <f>VLOOKUP(A156,Database!$E:$AY,MATCH($G$1,Database!$E$1:$AY$1,0),FALSE)</f>
        <v/>
      </c>
      <c r="H156" s="29">
        <f>(((Table134567891011121314151617343[[#This Row],[ITA]]-VLOOKUP($U$1,A:B,2,))/VLOOKUP($U$1,A:B,2,))*100)+100</f>
        <v/>
      </c>
      <c r="I156" s="29">
        <f>(((Table134567891011121314151617343[[#This Row],[FRA]]-VLOOKUP($U$1,A:C,3,))/VLOOKUP($U$1,A:C,3,))*100)+100</f>
        <v/>
      </c>
      <c r="J156" s="29">
        <f>(((Table134567891011121314151617343[[#This Row],[DEU]]-VLOOKUP($U$1,A:D,4,))/VLOOKUP($U$1,A:D,4,))*100)+100</f>
        <v/>
      </c>
      <c r="K156" s="29">
        <f>(((Table134567891011121314151617343[[#This Row],[ESP]]-VLOOKUP($U$1,A:E,5,))/VLOOKUP($U$1,A:E,5,))*100)+100</f>
        <v/>
      </c>
      <c r="L156" s="29">
        <f>(((Table134567891011121314151617343[[#This Row],[EA19]]-VLOOKUP($U$1,A:F,6,))/VLOOKUP($U$1,A:F,6,))*100)+100</f>
        <v/>
      </c>
      <c r="M156" s="29">
        <f>(((Table134567891011121314151617343[[#This Row],[GBR]]-VLOOKUP($U$1,A:G,7,))/VLOOKUP($U$1,A:G,7,))*100)+100</f>
        <v/>
      </c>
      <c r="N156" s="29">
        <f>VLOOKUP(A156,Database!$E:$AY,MATCH($N$1,Database!$E$1:$AY$1,0),FALSE)</f>
        <v/>
      </c>
      <c r="O156" s="29">
        <f>(((Table134567891011121314151617343[[#This Row],[USA]]-VLOOKUP($U$1,A:N,14,))/VLOOKUP($U$1,A:N,14,))*100)+100</f>
        <v/>
      </c>
      <c r="P156" s="29">
        <f>VLOOKUP(A156,Database!$E:$AY,MATCH($P$1,Database!$E$1:$AY$1,0),FALSE)</f>
        <v/>
      </c>
      <c r="Q156" s="29">
        <f>(((Table134567891011121314151617343[[#This Row],[JPN]]-VLOOKUP($U$1,A:Q,16,))/VLOOKUP($U$1,A:Q,16,))*100)+100</f>
        <v/>
      </c>
    </row>
    <row r="157" customFormat="1" s="129">
      <c r="A157" s="28" t="n">
        <v>37591</v>
      </c>
      <c r="B157" s="29">
        <f>VLOOKUP(A157,Database!$E:$AY,MATCH($B$1,Database!$E$1:$AY$1,0),FALSE)</f>
        <v/>
      </c>
      <c r="C157" s="29">
        <f>VLOOKUP(A157,Database!$E:$AY,MATCH($C$1,Database!$E$1:$AY$1,0),FALSE)</f>
        <v/>
      </c>
      <c r="D157" s="29">
        <f>VLOOKUP(A157,Database!$E:$AY,MATCH($D$1,Database!$E$1:$AY$1,0),FALSE)</f>
        <v/>
      </c>
      <c r="E157" s="29">
        <f>VLOOKUP(A157,Database!$E:$AY,MATCH($E$1,Database!$E$1:$AY$1,0),FALSE)</f>
        <v/>
      </c>
      <c r="F157" s="29">
        <f>VLOOKUP(A157,Database!$E:$AY,MATCH($F$1,Database!$E$1:$AY$1,0),FALSE)</f>
        <v/>
      </c>
      <c r="G157" s="29">
        <f>VLOOKUP(A157,Database!$E:$AY,MATCH($G$1,Database!$E$1:$AY$1,0),FALSE)</f>
        <v/>
      </c>
      <c r="H157" s="29">
        <f>(((Table134567891011121314151617343[[#This Row],[ITA]]-VLOOKUP($U$1,A:B,2,))/VLOOKUP($U$1,A:B,2,))*100)+100</f>
        <v/>
      </c>
      <c r="I157" s="29">
        <f>(((Table134567891011121314151617343[[#This Row],[FRA]]-VLOOKUP($U$1,A:C,3,))/VLOOKUP($U$1,A:C,3,))*100)+100</f>
        <v/>
      </c>
      <c r="J157" s="29">
        <f>(((Table134567891011121314151617343[[#This Row],[DEU]]-VLOOKUP($U$1,A:D,4,))/VLOOKUP($U$1,A:D,4,))*100)+100</f>
        <v/>
      </c>
      <c r="K157" s="29">
        <f>(((Table134567891011121314151617343[[#This Row],[ESP]]-VLOOKUP($U$1,A:E,5,))/VLOOKUP($U$1,A:E,5,))*100)+100</f>
        <v/>
      </c>
      <c r="L157" s="29">
        <f>(((Table134567891011121314151617343[[#This Row],[EA19]]-VLOOKUP($U$1,A:F,6,))/VLOOKUP($U$1,A:F,6,))*100)+100</f>
        <v/>
      </c>
      <c r="M157" s="29">
        <f>(((Table134567891011121314151617343[[#This Row],[GBR]]-VLOOKUP($U$1,A:G,7,))/VLOOKUP($U$1,A:G,7,))*100)+100</f>
        <v/>
      </c>
      <c r="N157" s="29">
        <f>VLOOKUP(A157,Database!$E:$AY,MATCH($N$1,Database!$E$1:$AY$1,0),FALSE)</f>
        <v/>
      </c>
      <c r="O157" s="29">
        <f>(((Table134567891011121314151617343[[#This Row],[USA]]-VLOOKUP($U$1,A:N,14,))/VLOOKUP($U$1,A:N,14,))*100)+100</f>
        <v/>
      </c>
      <c r="P157" s="29">
        <f>VLOOKUP(A157,Database!$E:$AY,MATCH($P$1,Database!$E$1:$AY$1,0),FALSE)</f>
        <v/>
      </c>
      <c r="Q157" s="29">
        <f>(((Table134567891011121314151617343[[#This Row],[JPN]]-VLOOKUP($U$1,A:Q,16,))/VLOOKUP($U$1,A:Q,16,))*100)+100</f>
        <v/>
      </c>
    </row>
    <row r="158" customFormat="1" s="129">
      <c r="A158" s="28" t="n">
        <v>37622</v>
      </c>
      <c r="B158" s="29">
        <f>VLOOKUP(A158,Database!$E:$AY,MATCH($B$1,Database!$E$1:$AY$1,0),FALSE)</f>
        <v/>
      </c>
      <c r="C158" s="29">
        <f>VLOOKUP(A158,Database!$E:$AY,MATCH($C$1,Database!$E$1:$AY$1,0),FALSE)</f>
        <v/>
      </c>
      <c r="D158" s="29">
        <f>VLOOKUP(A158,Database!$E:$AY,MATCH($D$1,Database!$E$1:$AY$1,0),FALSE)</f>
        <v/>
      </c>
      <c r="E158" s="29">
        <f>VLOOKUP(A158,Database!$E:$AY,MATCH($E$1,Database!$E$1:$AY$1,0),FALSE)</f>
        <v/>
      </c>
      <c r="F158" s="29">
        <f>VLOOKUP(A158,Database!$E:$AY,MATCH($F$1,Database!$E$1:$AY$1,0),FALSE)</f>
        <v/>
      </c>
      <c r="G158" s="29">
        <f>VLOOKUP(A158,Database!$E:$AY,MATCH($G$1,Database!$E$1:$AY$1,0),FALSE)</f>
        <v/>
      </c>
      <c r="H158" s="29">
        <f>(((Table134567891011121314151617343[[#This Row],[ITA]]-VLOOKUP($U$1,A:B,2,))/VLOOKUP($U$1,A:B,2,))*100)+100</f>
        <v/>
      </c>
      <c r="I158" s="29">
        <f>(((Table134567891011121314151617343[[#This Row],[FRA]]-VLOOKUP($U$1,A:C,3,))/VLOOKUP($U$1,A:C,3,))*100)+100</f>
        <v/>
      </c>
      <c r="J158" s="29">
        <f>(((Table134567891011121314151617343[[#This Row],[DEU]]-VLOOKUP($U$1,A:D,4,))/VLOOKUP($U$1,A:D,4,))*100)+100</f>
        <v/>
      </c>
      <c r="K158" s="29">
        <f>(((Table134567891011121314151617343[[#This Row],[ESP]]-VLOOKUP($U$1,A:E,5,))/VLOOKUP($U$1,A:E,5,))*100)+100</f>
        <v/>
      </c>
      <c r="L158" s="29">
        <f>(((Table134567891011121314151617343[[#This Row],[EA19]]-VLOOKUP($U$1,A:F,6,))/VLOOKUP($U$1,A:F,6,))*100)+100</f>
        <v/>
      </c>
      <c r="M158" s="29">
        <f>(((Table134567891011121314151617343[[#This Row],[GBR]]-VLOOKUP($U$1,A:G,7,))/VLOOKUP($U$1,A:G,7,))*100)+100</f>
        <v/>
      </c>
      <c r="N158" s="29">
        <f>VLOOKUP(A158,Database!$E:$AY,MATCH($N$1,Database!$E$1:$AY$1,0),FALSE)</f>
        <v/>
      </c>
      <c r="O158" s="29">
        <f>(((Table134567891011121314151617343[[#This Row],[USA]]-VLOOKUP($U$1,A:N,14,))/VLOOKUP($U$1,A:N,14,))*100)+100</f>
        <v/>
      </c>
      <c r="P158" s="29">
        <f>VLOOKUP(A158,Database!$E:$AY,MATCH($P$1,Database!$E$1:$AY$1,0),FALSE)</f>
        <v/>
      </c>
      <c r="Q158" s="29">
        <f>(((Table134567891011121314151617343[[#This Row],[JPN]]-VLOOKUP($U$1,A:Q,16,))/VLOOKUP($U$1,A:Q,16,))*100)+100</f>
        <v/>
      </c>
    </row>
    <row r="159" customFormat="1" s="129">
      <c r="A159" s="28" t="n">
        <v>37653</v>
      </c>
      <c r="B159" s="29">
        <f>VLOOKUP(A159,Database!$E:$AY,MATCH($B$1,Database!$E$1:$AY$1,0),FALSE)</f>
        <v/>
      </c>
      <c r="C159" s="29">
        <f>VLOOKUP(A159,Database!$E:$AY,MATCH($C$1,Database!$E$1:$AY$1,0),FALSE)</f>
        <v/>
      </c>
      <c r="D159" s="29">
        <f>VLOOKUP(A159,Database!$E:$AY,MATCH($D$1,Database!$E$1:$AY$1,0),FALSE)</f>
        <v/>
      </c>
      <c r="E159" s="29">
        <f>VLOOKUP(A159,Database!$E:$AY,MATCH($E$1,Database!$E$1:$AY$1,0),FALSE)</f>
        <v/>
      </c>
      <c r="F159" s="29">
        <f>VLOOKUP(A159,Database!$E:$AY,MATCH($F$1,Database!$E$1:$AY$1,0),FALSE)</f>
        <v/>
      </c>
      <c r="G159" s="29">
        <f>VLOOKUP(A159,Database!$E:$AY,MATCH($G$1,Database!$E$1:$AY$1,0),FALSE)</f>
        <v/>
      </c>
      <c r="H159" s="29">
        <f>(((Table134567891011121314151617343[[#This Row],[ITA]]-VLOOKUP($U$1,A:B,2,))/VLOOKUP($U$1,A:B,2,))*100)+100</f>
        <v/>
      </c>
      <c r="I159" s="29">
        <f>(((Table134567891011121314151617343[[#This Row],[FRA]]-VLOOKUP($U$1,A:C,3,))/VLOOKUP($U$1,A:C,3,))*100)+100</f>
        <v/>
      </c>
      <c r="J159" s="29">
        <f>(((Table134567891011121314151617343[[#This Row],[DEU]]-VLOOKUP($U$1,A:D,4,))/VLOOKUP($U$1,A:D,4,))*100)+100</f>
        <v/>
      </c>
      <c r="K159" s="29">
        <f>(((Table134567891011121314151617343[[#This Row],[ESP]]-VLOOKUP($U$1,A:E,5,))/VLOOKUP($U$1,A:E,5,))*100)+100</f>
        <v/>
      </c>
      <c r="L159" s="29">
        <f>(((Table134567891011121314151617343[[#This Row],[EA19]]-VLOOKUP($U$1,A:F,6,))/VLOOKUP($U$1,A:F,6,))*100)+100</f>
        <v/>
      </c>
      <c r="M159" s="29">
        <f>(((Table134567891011121314151617343[[#This Row],[GBR]]-VLOOKUP($U$1,A:G,7,))/VLOOKUP($U$1,A:G,7,))*100)+100</f>
        <v/>
      </c>
      <c r="N159" s="29">
        <f>VLOOKUP(A159,Database!$E:$AY,MATCH($N$1,Database!$E$1:$AY$1,0),FALSE)</f>
        <v/>
      </c>
      <c r="O159" s="29">
        <f>(((Table134567891011121314151617343[[#This Row],[USA]]-VLOOKUP($U$1,A:N,14,))/VLOOKUP($U$1,A:N,14,))*100)+100</f>
        <v/>
      </c>
      <c r="P159" s="29">
        <f>VLOOKUP(A159,Database!$E:$AY,MATCH($P$1,Database!$E$1:$AY$1,0),FALSE)</f>
        <v/>
      </c>
      <c r="Q159" s="29">
        <f>(((Table134567891011121314151617343[[#This Row],[JPN]]-VLOOKUP($U$1,A:Q,16,))/VLOOKUP($U$1,A:Q,16,))*100)+100</f>
        <v/>
      </c>
    </row>
    <row r="160" customFormat="1" s="129">
      <c r="A160" s="28" t="n">
        <v>37681</v>
      </c>
      <c r="B160" s="29">
        <f>VLOOKUP(A160,Database!$E:$AY,MATCH($B$1,Database!$E$1:$AY$1,0),FALSE)</f>
        <v/>
      </c>
      <c r="C160" s="29">
        <f>VLOOKUP(A160,Database!$E:$AY,MATCH($C$1,Database!$E$1:$AY$1,0),FALSE)</f>
        <v/>
      </c>
      <c r="D160" s="29">
        <f>VLOOKUP(A160,Database!$E:$AY,MATCH($D$1,Database!$E$1:$AY$1,0),FALSE)</f>
        <v/>
      </c>
      <c r="E160" s="29">
        <f>VLOOKUP(A160,Database!$E:$AY,MATCH($E$1,Database!$E$1:$AY$1,0),FALSE)</f>
        <v/>
      </c>
      <c r="F160" s="29">
        <f>VLOOKUP(A160,Database!$E:$AY,MATCH($F$1,Database!$E$1:$AY$1,0),FALSE)</f>
        <v/>
      </c>
      <c r="G160" s="29">
        <f>VLOOKUP(A160,Database!$E:$AY,MATCH($G$1,Database!$E$1:$AY$1,0),FALSE)</f>
        <v/>
      </c>
      <c r="H160" s="29">
        <f>(((Table134567891011121314151617343[[#This Row],[ITA]]-VLOOKUP($U$1,A:B,2,))/VLOOKUP($U$1,A:B,2,))*100)+100</f>
        <v/>
      </c>
      <c r="I160" s="29">
        <f>(((Table134567891011121314151617343[[#This Row],[FRA]]-VLOOKUP($U$1,A:C,3,))/VLOOKUP($U$1,A:C,3,))*100)+100</f>
        <v/>
      </c>
      <c r="J160" s="29">
        <f>(((Table134567891011121314151617343[[#This Row],[DEU]]-VLOOKUP($U$1,A:D,4,))/VLOOKUP($U$1,A:D,4,))*100)+100</f>
        <v/>
      </c>
      <c r="K160" s="29">
        <f>(((Table134567891011121314151617343[[#This Row],[ESP]]-VLOOKUP($U$1,A:E,5,))/VLOOKUP($U$1,A:E,5,))*100)+100</f>
        <v/>
      </c>
      <c r="L160" s="29">
        <f>(((Table134567891011121314151617343[[#This Row],[EA19]]-VLOOKUP($U$1,A:F,6,))/VLOOKUP($U$1,A:F,6,))*100)+100</f>
        <v/>
      </c>
      <c r="M160" s="29">
        <f>(((Table134567891011121314151617343[[#This Row],[GBR]]-VLOOKUP($U$1,A:G,7,))/VLOOKUP($U$1,A:G,7,))*100)+100</f>
        <v/>
      </c>
      <c r="N160" s="29">
        <f>VLOOKUP(A160,Database!$E:$AY,MATCH($N$1,Database!$E$1:$AY$1,0),FALSE)</f>
        <v/>
      </c>
      <c r="O160" s="29">
        <f>(((Table134567891011121314151617343[[#This Row],[USA]]-VLOOKUP($U$1,A:N,14,))/VLOOKUP($U$1,A:N,14,))*100)+100</f>
        <v/>
      </c>
      <c r="P160" s="29">
        <f>VLOOKUP(A160,Database!$E:$AY,MATCH($P$1,Database!$E$1:$AY$1,0),FALSE)</f>
        <v/>
      </c>
      <c r="Q160" s="29">
        <f>(((Table134567891011121314151617343[[#This Row],[JPN]]-VLOOKUP($U$1,A:Q,16,))/VLOOKUP($U$1,A:Q,16,))*100)+100</f>
        <v/>
      </c>
    </row>
    <row r="161" customFormat="1" s="129">
      <c r="A161" s="28" t="n">
        <v>37712</v>
      </c>
      <c r="B161" s="29">
        <f>VLOOKUP(A161,Database!$E:$AY,MATCH($B$1,Database!$E$1:$AY$1,0),FALSE)</f>
        <v/>
      </c>
      <c r="C161" s="29">
        <f>VLOOKUP(A161,Database!$E:$AY,MATCH($C$1,Database!$E$1:$AY$1,0),FALSE)</f>
        <v/>
      </c>
      <c r="D161" s="29">
        <f>VLOOKUP(A161,Database!$E:$AY,MATCH($D$1,Database!$E$1:$AY$1,0),FALSE)</f>
        <v/>
      </c>
      <c r="E161" s="29">
        <f>VLOOKUP(A161,Database!$E:$AY,MATCH($E$1,Database!$E$1:$AY$1,0),FALSE)</f>
        <v/>
      </c>
      <c r="F161" s="29">
        <f>VLOOKUP(A161,Database!$E:$AY,MATCH($F$1,Database!$E$1:$AY$1,0),FALSE)</f>
        <v/>
      </c>
      <c r="G161" s="29">
        <f>VLOOKUP(A161,Database!$E:$AY,MATCH($G$1,Database!$E$1:$AY$1,0),FALSE)</f>
        <v/>
      </c>
      <c r="H161" s="29">
        <f>(((Table134567891011121314151617343[[#This Row],[ITA]]-VLOOKUP($U$1,A:B,2,))/VLOOKUP($U$1,A:B,2,))*100)+100</f>
        <v/>
      </c>
      <c r="I161" s="29">
        <f>(((Table134567891011121314151617343[[#This Row],[FRA]]-VLOOKUP($U$1,A:C,3,))/VLOOKUP($U$1,A:C,3,))*100)+100</f>
        <v/>
      </c>
      <c r="J161" s="29">
        <f>(((Table134567891011121314151617343[[#This Row],[DEU]]-VLOOKUP($U$1,A:D,4,))/VLOOKUP($U$1,A:D,4,))*100)+100</f>
        <v/>
      </c>
      <c r="K161" s="29">
        <f>(((Table134567891011121314151617343[[#This Row],[ESP]]-VLOOKUP($U$1,A:E,5,))/VLOOKUP($U$1,A:E,5,))*100)+100</f>
        <v/>
      </c>
      <c r="L161" s="29">
        <f>(((Table134567891011121314151617343[[#This Row],[EA19]]-VLOOKUP($U$1,A:F,6,))/VLOOKUP($U$1,A:F,6,))*100)+100</f>
        <v/>
      </c>
      <c r="M161" s="29">
        <f>(((Table134567891011121314151617343[[#This Row],[GBR]]-VLOOKUP($U$1,A:G,7,))/VLOOKUP($U$1,A:G,7,))*100)+100</f>
        <v/>
      </c>
      <c r="N161" s="29">
        <f>VLOOKUP(A161,Database!$E:$AY,MATCH($N$1,Database!$E$1:$AY$1,0),FALSE)</f>
        <v/>
      </c>
      <c r="O161" s="29">
        <f>(((Table134567891011121314151617343[[#This Row],[USA]]-VLOOKUP($U$1,A:N,14,))/VLOOKUP($U$1,A:N,14,))*100)+100</f>
        <v/>
      </c>
      <c r="P161" s="29">
        <f>VLOOKUP(A161,Database!$E:$AY,MATCH($P$1,Database!$E$1:$AY$1,0),FALSE)</f>
        <v/>
      </c>
      <c r="Q161" s="29">
        <f>(((Table134567891011121314151617343[[#This Row],[JPN]]-VLOOKUP($U$1,A:Q,16,))/VLOOKUP($U$1,A:Q,16,))*100)+100</f>
        <v/>
      </c>
    </row>
    <row r="162" customFormat="1" s="129">
      <c r="A162" s="28" t="n">
        <v>37742</v>
      </c>
      <c r="B162" s="29">
        <f>VLOOKUP(A162,Database!$E:$AY,MATCH($B$1,Database!$E$1:$AY$1,0),FALSE)</f>
        <v/>
      </c>
      <c r="C162" s="29">
        <f>VLOOKUP(A162,Database!$E:$AY,MATCH($C$1,Database!$E$1:$AY$1,0),FALSE)</f>
        <v/>
      </c>
      <c r="D162" s="29">
        <f>VLOOKUP(A162,Database!$E:$AY,MATCH($D$1,Database!$E$1:$AY$1,0),FALSE)</f>
        <v/>
      </c>
      <c r="E162" s="29">
        <f>VLOOKUP(A162,Database!$E:$AY,MATCH($E$1,Database!$E$1:$AY$1,0),FALSE)</f>
        <v/>
      </c>
      <c r="F162" s="29">
        <f>VLOOKUP(A162,Database!$E:$AY,MATCH($F$1,Database!$E$1:$AY$1,0),FALSE)</f>
        <v/>
      </c>
      <c r="G162" s="29">
        <f>VLOOKUP(A162,Database!$E:$AY,MATCH($G$1,Database!$E$1:$AY$1,0),FALSE)</f>
        <v/>
      </c>
      <c r="H162" s="29">
        <f>(((Table134567891011121314151617343[[#This Row],[ITA]]-VLOOKUP($U$1,A:B,2,))/VLOOKUP($U$1,A:B,2,))*100)+100</f>
        <v/>
      </c>
      <c r="I162" s="29">
        <f>(((Table134567891011121314151617343[[#This Row],[FRA]]-VLOOKUP($U$1,A:C,3,))/VLOOKUP($U$1,A:C,3,))*100)+100</f>
        <v/>
      </c>
      <c r="J162" s="29">
        <f>(((Table134567891011121314151617343[[#This Row],[DEU]]-VLOOKUP($U$1,A:D,4,))/VLOOKUP($U$1,A:D,4,))*100)+100</f>
        <v/>
      </c>
      <c r="K162" s="29">
        <f>(((Table134567891011121314151617343[[#This Row],[ESP]]-VLOOKUP($U$1,A:E,5,))/VLOOKUP($U$1,A:E,5,))*100)+100</f>
        <v/>
      </c>
      <c r="L162" s="29">
        <f>(((Table134567891011121314151617343[[#This Row],[EA19]]-VLOOKUP($U$1,A:F,6,))/VLOOKUP($U$1,A:F,6,))*100)+100</f>
        <v/>
      </c>
      <c r="M162" s="29">
        <f>(((Table134567891011121314151617343[[#This Row],[GBR]]-VLOOKUP($U$1,A:G,7,))/VLOOKUP($U$1,A:G,7,))*100)+100</f>
        <v/>
      </c>
      <c r="N162" s="29">
        <f>VLOOKUP(A162,Database!$E:$AY,MATCH($N$1,Database!$E$1:$AY$1,0),FALSE)</f>
        <v/>
      </c>
      <c r="O162" s="29">
        <f>(((Table134567891011121314151617343[[#This Row],[USA]]-VLOOKUP($U$1,A:N,14,))/VLOOKUP($U$1,A:N,14,))*100)+100</f>
        <v/>
      </c>
      <c r="P162" s="29">
        <f>VLOOKUP(A162,Database!$E:$AY,MATCH($P$1,Database!$E$1:$AY$1,0),FALSE)</f>
        <v/>
      </c>
      <c r="Q162" s="29">
        <f>(((Table134567891011121314151617343[[#This Row],[JPN]]-VLOOKUP($U$1,A:Q,16,))/VLOOKUP($U$1,A:Q,16,))*100)+100</f>
        <v/>
      </c>
    </row>
    <row r="163" customFormat="1" s="129">
      <c r="A163" s="28" t="n">
        <v>37773</v>
      </c>
      <c r="B163" s="29">
        <f>VLOOKUP(A163,Database!$E:$AY,MATCH($B$1,Database!$E$1:$AY$1,0),FALSE)</f>
        <v/>
      </c>
      <c r="C163" s="29">
        <f>VLOOKUP(A163,Database!$E:$AY,MATCH($C$1,Database!$E$1:$AY$1,0),FALSE)</f>
        <v/>
      </c>
      <c r="D163" s="29">
        <f>VLOOKUP(A163,Database!$E:$AY,MATCH($D$1,Database!$E$1:$AY$1,0),FALSE)</f>
        <v/>
      </c>
      <c r="E163" s="29">
        <f>VLOOKUP(A163,Database!$E:$AY,MATCH($E$1,Database!$E$1:$AY$1,0),FALSE)</f>
        <v/>
      </c>
      <c r="F163" s="29">
        <f>VLOOKUP(A163,Database!$E:$AY,MATCH($F$1,Database!$E$1:$AY$1,0),FALSE)</f>
        <v/>
      </c>
      <c r="G163" s="29">
        <f>VLOOKUP(A163,Database!$E:$AY,MATCH($G$1,Database!$E$1:$AY$1,0),FALSE)</f>
        <v/>
      </c>
      <c r="H163" s="29">
        <f>(((Table134567891011121314151617343[[#This Row],[ITA]]-VLOOKUP($U$1,A:B,2,))/VLOOKUP($U$1,A:B,2,))*100)+100</f>
        <v/>
      </c>
      <c r="I163" s="29">
        <f>(((Table134567891011121314151617343[[#This Row],[FRA]]-VLOOKUP($U$1,A:C,3,))/VLOOKUP($U$1,A:C,3,))*100)+100</f>
        <v/>
      </c>
      <c r="J163" s="29">
        <f>(((Table134567891011121314151617343[[#This Row],[DEU]]-VLOOKUP($U$1,A:D,4,))/VLOOKUP($U$1,A:D,4,))*100)+100</f>
        <v/>
      </c>
      <c r="K163" s="29">
        <f>(((Table134567891011121314151617343[[#This Row],[ESP]]-VLOOKUP($U$1,A:E,5,))/VLOOKUP($U$1,A:E,5,))*100)+100</f>
        <v/>
      </c>
      <c r="L163" s="29">
        <f>(((Table134567891011121314151617343[[#This Row],[EA19]]-VLOOKUP($U$1,A:F,6,))/VLOOKUP($U$1,A:F,6,))*100)+100</f>
        <v/>
      </c>
      <c r="M163" s="29">
        <f>(((Table134567891011121314151617343[[#This Row],[GBR]]-VLOOKUP($U$1,A:G,7,))/VLOOKUP($U$1,A:G,7,))*100)+100</f>
        <v/>
      </c>
      <c r="N163" s="29">
        <f>VLOOKUP(A163,Database!$E:$AY,MATCH($N$1,Database!$E$1:$AY$1,0),FALSE)</f>
        <v/>
      </c>
      <c r="O163" s="29">
        <f>(((Table134567891011121314151617343[[#This Row],[USA]]-VLOOKUP($U$1,A:N,14,))/VLOOKUP($U$1,A:N,14,))*100)+100</f>
        <v/>
      </c>
      <c r="P163" s="29">
        <f>VLOOKUP(A163,Database!$E:$AY,MATCH($P$1,Database!$E$1:$AY$1,0),FALSE)</f>
        <v/>
      </c>
      <c r="Q163" s="29">
        <f>(((Table134567891011121314151617343[[#This Row],[JPN]]-VLOOKUP($U$1,A:Q,16,))/VLOOKUP($U$1,A:Q,16,))*100)+100</f>
        <v/>
      </c>
    </row>
    <row r="164" customFormat="1" s="129">
      <c r="A164" s="28" t="n">
        <v>37803</v>
      </c>
      <c r="B164" s="29">
        <f>VLOOKUP(A164,Database!$E:$AY,MATCH($B$1,Database!$E$1:$AY$1,0),FALSE)</f>
        <v/>
      </c>
      <c r="C164" s="29">
        <f>VLOOKUP(A164,Database!$E:$AY,MATCH($C$1,Database!$E$1:$AY$1,0),FALSE)</f>
        <v/>
      </c>
      <c r="D164" s="29">
        <f>VLOOKUP(A164,Database!$E:$AY,MATCH($D$1,Database!$E$1:$AY$1,0),FALSE)</f>
        <v/>
      </c>
      <c r="E164" s="29">
        <f>VLOOKUP(A164,Database!$E:$AY,MATCH($E$1,Database!$E$1:$AY$1,0),FALSE)</f>
        <v/>
      </c>
      <c r="F164" s="29">
        <f>VLOOKUP(A164,Database!$E:$AY,MATCH($F$1,Database!$E$1:$AY$1,0),FALSE)</f>
        <v/>
      </c>
      <c r="G164" s="29">
        <f>VLOOKUP(A164,Database!$E:$AY,MATCH($G$1,Database!$E$1:$AY$1,0),FALSE)</f>
        <v/>
      </c>
      <c r="H164" s="29">
        <f>(((Table134567891011121314151617343[[#This Row],[ITA]]-VLOOKUP($U$1,A:B,2,))/VLOOKUP($U$1,A:B,2,))*100)+100</f>
        <v/>
      </c>
      <c r="I164" s="29">
        <f>(((Table134567891011121314151617343[[#This Row],[FRA]]-VLOOKUP($U$1,A:C,3,))/VLOOKUP($U$1,A:C,3,))*100)+100</f>
        <v/>
      </c>
      <c r="J164" s="29">
        <f>(((Table134567891011121314151617343[[#This Row],[DEU]]-VLOOKUP($U$1,A:D,4,))/VLOOKUP($U$1,A:D,4,))*100)+100</f>
        <v/>
      </c>
      <c r="K164" s="29">
        <f>(((Table134567891011121314151617343[[#This Row],[ESP]]-VLOOKUP($U$1,A:E,5,))/VLOOKUP($U$1,A:E,5,))*100)+100</f>
        <v/>
      </c>
      <c r="L164" s="29">
        <f>(((Table134567891011121314151617343[[#This Row],[EA19]]-VLOOKUP($U$1,A:F,6,))/VLOOKUP($U$1,A:F,6,))*100)+100</f>
        <v/>
      </c>
      <c r="M164" s="29">
        <f>(((Table134567891011121314151617343[[#This Row],[GBR]]-VLOOKUP($U$1,A:G,7,))/VLOOKUP($U$1,A:G,7,))*100)+100</f>
        <v/>
      </c>
      <c r="N164" s="29">
        <f>VLOOKUP(A164,Database!$E:$AY,MATCH($N$1,Database!$E$1:$AY$1,0),FALSE)</f>
        <v/>
      </c>
      <c r="O164" s="29">
        <f>(((Table134567891011121314151617343[[#This Row],[USA]]-VLOOKUP($U$1,A:N,14,))/VLOOKUP($U$1,A:N,14,))*100)+100</f>
        <v/>
      </c>
      <c r="P164" s="29">
        <f>VLOOKUP(A164,Database!$E:$AY,MATCH($P$1,Database!$E$1:$AY$1,0),FALSE)</f>
        <v/>
      </c>
      <c r="Q164" s="29">
        <f>(((Table134567891011121314151617343[[#This Row],[JPN]]-VLOOKUP($U$1,A:Q,16,))/VLOOKUP($U$1,A:Q,16,))*100)+100</f>
        <v/>
      </c>
    </row>
    <row r="165" customFormat="1" s="129">
      <c r="A165" s="28" t="n">
        <v>37834</v>
      </c>
      <c r="B165" s="29">
        <f>VLOOKUP(A165,Database!$E:$AY,MATCH($B$1,Database!$E$1:$AY$1,0),FALSE)</f>
        <v/>
      </c>
      <c r="C165" s="29">
        <f>VLOOKUP(A165,Database!$E:$AY,MATCH($C$1,Database!$E$1:$AY$1,0),FALSE)</f>
        <v/>
      </c>
      <c r="D165" s="29">
        <f>VLOOKUP(A165,Database!$E:$AY,MATCH($D$1,Database!$E$1:$AY$1,0),FALSE)</f>
        <v/>
      </c>
      <c r="E165" s="29">
        <f>VLOOKUP(A165,Database!$E:$AY,MATCH($E$1,Database!$E$1:$AY$1,0),FALSE)</f>
        <v/>
      </c>
      <c r="F165" s="29">
        <f>VLOOKUP(A165,Database!$E:$AY,MATCH($F$1,Database!$E$1:$AY$1,0),FALSE)</f>
        <v/>
      </c>
      <c r="G165" s="29">
        <f>VLOOKUP(A165,Database!$E:$AY,MATCH($G$1,Database!$E$1:$AY$1,0),FALSE)</f>
        <v/>
      </c>
      <c r="H165" s="29">
        <f>(((Table134567891011121314151617343[[#This Row],[ITA]]-VLOOKUP($U$1,A:B,2,))/VLOOKUP($U$1,A:B,2,))*100)+100</f>
        <v/>
      </c>
      <c r="I165" s="29">
        <f>(((Table134567891011121314151617343[[#This Row],[FRA]]-VLOOKUP($U$1,A:C,3,))/VLOOKUP($U$1,A:C,3,))*100)+100</f>
        <v/>
      </c>
      <c r="J165" s="29">
        <f>(((Table134567891011121314151617343[[#This Row],[DEU]]-VLOOKUP($U$1,A:D,4,))/VLOOKUP($U$1,A:D,4,))*100)+100</f>
        <v/>
      </c>
      <c r="K165" s="29">
        <f>(((Table134567891011121314151617343[[#This Row],[ESP]]-VLOOKUP($U$1,A:E,5,))/VLOOKUP($U$1,A:E,5,))*100)+100</f>
        <v/>
      </c>
      <c r="L165" s="29">
        <f>(((Table134567891011121314151617343[[#This Row],[EA19]]-VLOOKUP($U$1,A:F,6,))/VLOOKUP($U$1,A:F,6,))*100)+100</f>
        <v/>
      </c>
      <c r="M165" s="29">
        <f>(((Table134567891011121314151617343[[#This Row],[GBR]]-VLOOKUP($U$1,A:G,7,))/VLOOKUP($U$1,A:G,7,))*100)+100</f>
        <v/>
      </c>
      <c r="N165" s="29">
        <f>VLOOKUP(A165,Database!$E:$AY,MATCH($N$1,Database!$E$1:$AY$1,0),FALSE)</f>
        <v/>
      </c>
      <c r="O165" s="29">
        <f>(((Table134567891011121314151617343[[#This Row],[USA]]-VLOOKUP($U$1,A:N,14,))/VLOOKUP($U$1,A:N,14,))*100)+100</f>
        <v/>
      </c>
      <c r="P165" s="29">
        <f>VLOOKUP(A165,Database!$E:$AY,MATCH($P$1,Database!$E$1:$AY$1,0),FALSE)</f>
        <v/>
      </c>
      <c r="Q165" s="29">
        <f>(((Table134567891011121314151617343[[#This Row],[JPN]]-VLOOKUP($U$1,A:Q,16,))/VLOOKUP($U$1,A:Q,16,))*100)+100</f>
        <v/>
      </c>
    </row>
    <row r="166" customFormat="1" s="129">
      <c r="A166" s="28" t="n">
        <v>37865</v>
      </c>
      <c r="B166" s="29">
        <f>VLOOKUP(A166,Database!$E:$AY,MATCH($B$1,Database!$E$1:$AY$1,0),FALSE)</f>
        <v/>
      </c>
      <c r="C166" s="29">
        <f>VLOOKUP(A166,Database!$E:$AY,MATCH($C$1,Database!$E$1:$AY$1,0),FALSE)</f>
        <v/>
      </c>
      <c r="D166" s="29">
        <f>VLOOKUP(A166,Database!$E:$AY,MATCH($D$1,Database!$E$1:$AY$1,0),FALSE)</f>
        <v/>
      </c>
      <c r="E166" s="29">
        <f>VLOOKUP(A166,Database!$E:$AY,MATCH($E$1,Database!$E$1:$AY$1,0),FALSE)</f>
        <v/>
      </c>
      <c r="F166" s="29">
        <f>VLOOKUP(A166,Database!$E:$AY,MATCH($F$1,Database!$E$1:$AY$1,0),FALSE)</f>
        <v/>
      </c>
      <c r="G166" s="29">
        <f>VLOOKUP(A166,Database!$E:$AY,MATCH($G$1,Database!$E$1:$AY$1,0),FALSE)</f>
        <v/>
      </c>
      <c r="H166" s="29">
        <f>(((Table134567891011121314151617343[[#This Row],[ITA]]-VLOOKUP($U$1,A:B,2,))/VLOOKUP($U$1,A:B,2,))*100)+100</f>
        <v/>
      </c>
      <c r="I166" s="29">
        <f>(((Table134567891011121314151617343[[#This Row],[FRA]]-VLOOKUP($U$1,A:C,3,))/VLOOKUP($U$1,A:C,3,))*100)+100</f>
        <v/>
      </c>
      <c r="J166" s="29">
        <f>(((Table134567891011121314151617343[[#This Row],[DEU]]-VLOOKUP($U$1,A:D,4,))/VLOOKUP($U$1,A:D,4,))*100)+100</f>
        <v/>
      </c>
      <c r="K166" s="29">
        <f>(((Table134567891011121314151617343[[#This Row],[ESP]]-VLOOKUP($U$1,A:E,5,))/VLOOKUP($U$1,A:E,5,))*100)+100</f>
        <v/>
      </c>
      <c r="L166" s="29">
        <f>(((Table134567891011121314151617343[[#This Row],[EA19]]-VLOOKUP($U$1,A:F,6,))/VLOOKUP($U$1,A:F,6,))*100)+100</f>
        <v/>
      </c>
      <c r="M166" s="29">
        <f>(((Table134567891011121314151617343[[#This Row],[GBR]]-VLOOKUP($U$1,A:G,7,))/VLOOKUP($U$1,A:G,7,))*100)+100</f>
        <v/>
      </c>
      <c r="N166" s="29">
        <f>VLOOKUP(A166,Database!$E:$AY,MATCH($N$1,Database!$E$1:$AY$1,0),FALSE)</f>
        <v/>
      </c>
      <c r="O166" s="29">
        <f>(((Table134567891011121314151617343[[#This Row],[USA]]-VLOOKUP($U$1,A:N,14,))/VLOOKUP($U$1,A:N,14,))*100)+100</f>
        <v/>
      </c>
      <c r="P166" s="29">
        <f>VLOOKUP(A166,Database!$E:$AY,MATCH($P$1,Database!$E$1:$AY$1,0),FALSE)</f>
        <v/>
      </c>
      <c r="Q166" s="29">
        <f>(((Table134567891011121314151617343[[#This Row],[JPN]]-VLOOKUP($U$1,A:Q,16,))/VLOOKUP($U$1,A:Q,16,))*100)+100</f>
        <v/>
      </c>
    </row>
    <row r="167" customFormat="1" s="129">
      <c r="A167" s="28" t="n">
        <v>37895</v>
      </c>
      <c r="B167" s="29">
        <f>VLOOKUP(A167,Database!$E:$AY,MATCH($B$1,Database!$E$1:$AY$1,0),FALSE)</f>
        <v/>
      </c>
      <c r="C167" s="29">
        <f>VLOOKUP(A167,Database!$E:$AY,MATCH($C$1,Database!$E$1:$AY$1,0),FALSE)</f>
        <v/>
      </c>
      <c r="D167" s="29">
        <f>VLOOKUP(A167,Database!$E:$AY,MATCH($D$1,Database!$E$1:$AY$1,0),FALSE)</f>
        <v/>
      </c>
      <c r="E167" s="29">
        <f>VLOOKUP(A167,Database!$E:$AY,MATCH($E$1,Database!$E$1:$AY$1,0),FALSE)</f>
        <v/>
      </c>
      <c r="F167" s="29">
        <f>VLOOKUP(A167,Database!$E:$AY,MATCH($F$1,Database!$E$1:$AY$1,0),FALSE)</f>
        <v/>
      </c>
      <c r="G167" s="29">
        <f>VLOOKUP(A167,Database!$E:$AY,MATCH($G$1,Database!$E$1:$AY$1,0),FALSE)</f>
        <v/>
      </c>
      <c r="H167" s="29">
        <f>(((Table134567891011121314151617343[[#This Row],[ITA]]-VLOOKUP($U$1,A:B,2,))/VLOOKUP($U$1,A:B,2,))*100)+100</f>
        <v/>
      </c>
      <c r="I167" s="29">
        <f>(((Table134567891011121314151617343[[#This Row],[FRA]]-VLOOKUP($U$1,A:C,3,))/VLOOKUP($U$1,A:C,3,))*100)+100</f>
        <v/>
      </c>
      <c r="J167" s="29">
        <f>(((Table134567891011121314151617343[[#This Row],[DEU]]-VLOOKUP($U$1,A:D,4,))/VLOOKUP($U$1,A:D,4,))*100)+100</f>
        <v/>
      </c>
      <c r="K167" s="29">
        <f>(((Table134567891011121314151617343[[#This Row],[ESP]]-VLOOKUP($U$1,A:E,5,))/VLOOKUP($U$1,A:E,5,))*100)+100</f>
        <v/>
      </c>
      <c r="L167" s="29">
        <f>(((Table134567891011121314151617343[[#This Row],[EA19]]-VLOOKUP($U$1,A:F,6,))/VLOOKUP($U$1,A:F,6,))*100)+100</f>
        <v/>
      </c>
      <c r="M167" s="29">
        <f>(((Table134567891011121314151617343[[#This Row],[GBR]]-VLOOKUP($U$1,A:G,7,))/VLOOKUP($U$1,A:G,7,))*100)+100</f>
        <v/>
      </c>
      <c r="N167" s="29">
        <f>VLOOKUP(A167,Database!$E:$AY,MATCH($N$1,Database!$E$1:$AY$1,0),FALSE)</f>
        <v/>
      </c>
      <c r="O167" s="29">
        <f>(((Table134567891011121314151617343[[#This Row],[USA]]-VLOOKUP($U$1,A:N,14,))/VLOOKUP($U$1,A:N,14,))*100)+100</f>
        <v/>
      </c>
      <c r="P167" s="29">
        <f>VLOOKUP(A167,Database!$E:$AY,MATCH($P$1,Database!$E$1:$AY$1,0),FALSE)</f>
        <v/>
      </c>
      <c r="Q167" s="29">
        <f>(((Table134567891011121314151617343[[#This Row],[JPN]]-VLOOKUP($U$1,A:Q,16,))/VLOOKUP($U$1,A:Q,16,))*100)+100</f>
        <v/>
      </c>
    </row>
    <row r="168" customFormat="1" s="129">
      <c r="A168" s="28" t="n">
        <v>37926</v>
      </c>
      <c r="B168" s="29">
        <f>VLOOKUP(A168,Database!$E:$AY,MATCH($B$1,Database!$E$1:$AY$1,0),FALSE)</f>
        <v/>
      </c>
      <c r="C168" s="29">
        <f>VLOOKUP(A168,Database!$E:$AY,MATCH($C$1,Database!$E$1:$AY$1,0),FALSE)</f>
        <v/>
      </c>
      <c r="D168" s="29">
        <f>VLOOKUP(A168,Database!$E:$AY,MATCH($D$1,Database!$E$1:$AY$1,0),FALSE)</f>
        <v/>
      </c>
      <c r="E168" s="29">
        <f>VLOOKUP(A168,Database!$E:$AY,MATCH($E$1,Database!$E$1:$AY$1,0),FALSE)</f>
        <v/>
      </c>
      <c r="F168" s="29">
        <f>VLOOKUP(A168,Database!$E:$AY,MATCH($F$1,Database!$E$1:$AY$1,0),FALSE)</f>
        <v/>
      </c>
      <c r="G168" s="29">
        <f>VLOOKUP(A168,Database!$E:$AY,MATCH($G$1,Database!$E$1:$AY$1,0),FALSE)</f>
        <v/>
      </c>
      <c r="H168" s="29">
        <f>(((Table134567891011121314151617343[[#This Row],[ITA]]-VLOOKUP($U$1,A:B,2,))/VLOOKUP($U$1,A:B,2,))*100)+100</f>
        <v/>
      </c>
      <c r="I168" s="29">
        <f>(((Table134567891011121314151617343[[#This Row],[FRA]]-VLOOKUP($U$1,A:C,3,))/VLOOKUP($U$1,A:C,3,))*100)+100</f>
        <v/>
      </c>
      <c r="J168" s="29">
        <f>(((Table134567891011121314151617343[[#This Row],[DEU]]-VLOOKUP($U$1,A:D,4,))/VLOOKUP($U$1,A:D,4,))*100)+100</f>
        <v/>
      </c>
      <c r="K168" s="29">
        <f>(((Table134567891011121314151617343[[#This Row],[ESP]]-VLOOKUP($U$1,A:E,5,))/VLOOKUP($U$1,A:E,5,))*100)+100</f>
        <v/>
      </c>
      <c r="L168" s="29">
        <f>(((Table134567891011121314151617343[[#This Row],[EA19]]-VLOOKUP($U$1,A:F,6,))/VLOOKUP($U$1,A:F,6,))*100)+100</f>
        <v/>
      </c>
      <c r="M168" s="29">
        <f>(((Table134567891011121314151617343[[#This Row],[GBR]]-VLOOKUP($U$1,A:G,7,))/VLOOKUP($U$1,A:G,7,))*100)+100</f>
        <v/>
      </c>
      <c r="N168" s="29">
        <f>VLOOKUP(A168,Database!$E:$AY,MATCH($N$1,Database!$E$1:$AY$1,0),FALSE)</f>
        <v/>
      </c>
      <c r="O168" s="29">
        <f>(((Table134567891011121314151617343[[#This Row],[USA]]-VLOOKUP($U$1,A:N,14,))/VLOOKUP($U$1,A:N,14,))*100)+100</f>
        <v/>
      </c>
      <c r="P168" s="29">
        <f>VLOOKUP(A168,Database!$E:$AY,MATCH($P$1,Database!$E$1:$AY$1,0),FALSE)</f>
        <v/>
      </c>
      <c r="Q168" s="29">
        <f>(((Table134567891011121314151617343[[#This Row],[JPN]]-VLOOKUP($U$1,A:Q,16,))/VLOOKUP($U$1,A:Q,16,))*100)+100</f>
        <v/>
      </c>
    </row>
    <row r="169" customFormat="1" s="129">
      <c r="A169" s="28" t="n">
        <v>37956</v>
      </c>
      <c r="B169" s="29">
        <f>VLOOKUP(A169,Database!$E:$AY,MATCH($B$1,Database!$E$1:$AY$1,0),FALSE)</f>
        <v/>
      </c>
      <c r="C169" s="29">
        <f>VLOOKUP(A169,Database!$E:$AY,MATCH($C$1,Database!$E$1:$AY$1,0),FALSE)</f>
        <v/>
      </c>
      <c r="D169" s="29">
        <f>VLOOKUP(A169,Database!$E:$AY,MATCH($D$1,Database!$E$1:$AY$1,0),FALSE)</f>
        <v/>
      </c>
      <c r="E169" s="29">
        <f>VLOOKUP(A169,Database!$E:$AY,MATCH($E$1,Database!$E$1:$AY$1,0),FALSE)</f>
        <v/>
      </c>
      <c r="F169" s="29">
        <f>VLOOKUP(A169,Database!$E:$AY,MATCH($F$1,Database!$E$1:$AY$1,0),FALSE)</f>
        <v/>
      </c>
      <c r="G169" s="29">
        <f>VLOOKUP(A169,Database!$E:$AY,MATCH($G$1,Database!$E$1:$AY$1,0),FALSE)</f>
        <v/>
      </c>
      <c r="H169" s="29">
        <f>(((Table134567891011121314151617343[[#This Row],[ITA]]-VLOOKUP($U$1,A:B,2,))/VLOOKUP($U$1,A:B,2,))*100)+100</f>
        <v/>
      </c>
      <c r="I169" s="29">
        <f>(((Table134567891011121314151617343[[#This Row],[FRA]]-VLOOKUP($U$1,A:C,3,))/VLOOKUP($U$1,A:C,3,))*100)+100</f>
        <v/>
      </c>
      <c r="J169" s="29">
        <f>(((Table134567891011121314151617343[[#This Row],[DEU]]-VLOOKUP($U$1,A:D,4,))/VLOOKUP($U$1,A:D,4,))*100)+100</f>
        <v/>
      </c>
      <c r="K169" s="29">
        <f>(((Table134567891011121314151617343[[#This Row],[ESP]]-VLOOKUP($U$1,A:E,5,))/VLOOKUP($U$1,A:E,5,))*100)+100</f>
        <v/>
      </c>
      <c r="L169" s="29">
        <f>(((Table134567891011121314151617343[[#This Row],[EA19]]-VLOOKUP($U$1,A:F,6,))/VLOOKUP($U$1,A:F,6,))*100)+100</f>
        <v/>
      </c>
      <c r="M169" s="29">
        <f>(((Table134567891011121314151617343[[#This Row],[GBR]]-VLOOKUP($U$1,A:G,7,))/VLOOKUP($U$1,A:G,7,))*100)+100</f>
        <v/>
      </c>
      <c r="N169" s="29">
        <f>VLOOKUP(A169,Database!$E:$AY,MATCH($N$1,Database!$E$1:$AY$1,0),FALSE)</f>
        <v/>
      </c>
      <c r="O169" s="29">
        <f>(((Table134567891011121314151617343[[#This Row],[USA]]-VLOOKUP($U$1,A:N,14,))/VLOOKUP($U$1,A:N,14,))*100)+100</f>
        <v/>
      </c>
      <c r="P169" s="29">
        <f>VLOOKUP(A169,Database!$E:$AY,MATCH($P$1,Database!$E$1:$AY$1,0),FALSE)</f>
        <v/>
      </c>
      <c r="Q169" s="29">
        <f>(((Table134567891011121314151617343[[#This Row],[JPN]]-VLOOKUP($U$1,A:Q,16,))/VLOOKUP($U$1,A:Q,16,))*100)+100</f>
        <v/>
      </c>
    </row>
    <row r="170" customFormat="1" s="129">
      <c r="A170" s="28" t="n">
        <v>37987</v>
      </c>
      <c r="B170" s="29">
        <f>VLOOKUP(A170,Database!$E:$AY,MATCH($B$1,Database!$E$1:$AY$1,0),FALSE)</f>
        <v/>
      </c>
      <c r="C170" s="29">
        <f>VLOOKUP(A170,Database!$E:$AY,MATCH($C$1,Database!$E$1:$AY$1,0),FALSE)</f>
        <v/>
      </c>
      <c r="D170" s="29">
        <f>VLOOKUP(A170,Database!$E:$AY,MATCH($D$1,Database!$E$1:$AY$1,0),FALSE)</f>
        <v/>
      </c>
      <c r="E170" s="29">
        <f>VLOOKUP(A170,Database!$E:$AY,MATCH($E$1,Database!$E$1:$AY$1,0),FALSE)</f>
        <v/>
      </c>
      <c r="F170" s="29">
        <f>VLOOKUP(A170,Database!$E:$AY,MATCH($F$1,Database!$E$1:$AY$1,0),FALSE)</f>
        <v/>
      </c>
      <c r="G170" s="29">
        <f>VLOOKUP(A170,Database!$E:$AY,MATCH($G$1,Database!$E$1:$AY$1,0),FALSE)</f>
        <v/>
      </c>
      <c r="H170" s="29">
        <f>(((Table134567891011121314151617343[[#This Row],[ITA]]-VLOOKUP($U$1,A:B,2,))/VLOOKUP($U$1,A:B,2,))*100)+100</f>
        <v/>
      </c>
      <c r="I170" s="29">
        <f>(((Table134567891011121314151617343[[#This Row],[FRA]]-VLOOKUP($U$1,A:C,3,))/VLOOKUP($U$1,A:C,3,))*100)+100</f>
        <v/>
      </c>
      <c r="J170" s="29">
        <f>(((Table134567891011121314151617343[[#This Row],[DEU]]-VLOOKUP($U$1,A:D,4,))/VLOOKUP($U$1,A:D,4,))*100)+100</f>
        <v/>
      </c>
      <c r="K170" s="29">
        <f>(((Table134567891011121314151617343[[#This Row],[ESP]]-VLOOKUP($U$1,A:E,5,))/VLOOKUP($U$1,A:E,5,))*100)+100</f>
        <v/>
      </c>
      <c r="L170" s="29">
        <f>(((Table134567891011121314151617343[[#This Row],[EA19]]-VLOOKUP($U$1,A:F,6,))/VLOOKUP($U$1,A:F,6,))*100)+100</f>
        <v/>
      </c>
      <c r="M170" s="29">
        <f>(((Table134567891011121314151617343[[#This Row],[GBR]]-VLOOKUP($U$1,A:G,7,))/VLOOKUP($U$1,A:G,7,))*100)+100</f>
        <v/>
      </c>
      <c r="N170" s="29">
        <f>VLOOKUP(A170,Database!$E:$AY,MATCH($N$1,Database!$E$1:$AY$1,0),FALSE)</f>
        <v/>
      </c>
      <c r="O170" s="29">
        <f>(((Table134567891011121314151617343[[#This Row],[USA]]-VLOOKUP($U$1,A:N,14,))/VLOOKUP($U$1,A:N,14,))*100)+100</f>
        <v/>
      </c>
      <c r="P170" s="29">
        <f>VLOOKUP(A170,Database!$E:$AY,MATCH($P$1,Database!$E$1:$AY$1,0),FALSE)</f>
        <v/>
      </c>
      <c r="Q170" s="29">
        <f>(((Table134567891011121314151617343[[#This Row],[JPN]]-VLOOKUP($U$1,A:Q,16,))/VLOOKUP($U$1,A:Q,16,))*100)+100</f>
        <v/>
      </c>
    </row>
    <row r="171" customFormat="1" s="129">
      <c r="A171" s="28" t="n">
        <v>38018</v>
      </c>
      <c r="B171" s="29">
        <f>VLOOKUP(A171,Database!$E:$AY,MATCH($B$1,Database!$E$1:$AY$1,0),FALSE)</f>
        <v/>
      </c>
      <c r="C171" s="29">
        <f>VLOOKUP(A171,Database!$E:$AY,MATCH($C$1,Database!$E$1:$AY$1,0),FALSE)</f>
        <v/>
      </c>
      <c r="D171" s="29">
        <f>VLOOKUP(A171,Database!$E:$AY,MATCH($D$1,Database!$E$1:$AY$1,0),FALSE)</f>
        <v/>
      </c>
      <c r="E171" s="29">
        <f>VLOOKUP(A171,Database!$E:$AY,MATCH($E$1,Database!$E$1:$AY$1,0),FALSE)</f>
        <v/>
      </c>
      <c r="F171" s="29">
        <f>VLOOKUP(A171,Database!$E:$AY,MATCH($F$1,Database!$E$1:$AY$1,0),FALSE)</f>
        <v/>
      </c>
      <c r="G171" s="29">
        <f>VLOOKUP(A171,Database!$E:$AY,MATCH($G$1,Database!$E$1:$AY$1,0),FALSE)</f>
        <v/>
      </c>
      <c r="H171" s="29">
        <f>(((Table134567891011121314151617343[[#This Row],[ITA]]-VLOOKUP($U$1,A:B,2,))/VLOOKUP($U$1,A:B,2,))*100)+100</f>
        <v/>
      </c>
      <c r="I171" s="29">
        <f>(((Table134567891011121314151617343[[#This Row],[FRA]]-VLOOKUP($U$1,A:C,3,))/VLOOKUP($U$1,A:C,3,))*100)+100</f>
        <v/>
      </c>
      <c r="J171" s="29">
        <f>(((Table134567891011121314151617343[[#This Row],[DEU]]-VLOOKUP($U$1,A:D,4,))/VLOOKUP($U$1,A:D,4,))*100)+100</f>
        <v/>
      </c>
      <c r="K171" s="29">
        <f>(((Table134567891011121314151617343[[#This Row],[ESP]]-VLOOKUP($U$1,A:E,5,))/VLOOKUP($U$1,A:E,5,))*100)+100</f>
        <v/>
      </c>
      <c r="L171" s="29">
        <f>(((Table134567891011121314151617343[[#This Row],[EA19]]-VLOOKUP($U$1,A:F,6,))/VLOOKUP($U$1,A:F,6,))*100)+100</f>
        <v/>
      </c>
      <c r="M171" s="29">
        <f>(((Table134567891011121314151617343[[#This Row],[GBR]]-VLOOKUP($U$1,A:G,7,))/VLOOKUP($U$1,A:G,7,))*100)+100</f>
        <v/>
      </c>
      <c r="N171" s="29">
        <f>VLOOKUP(A171,Database!$E:$AY,MATCH($N$1,Database!$E$1:$AY$1,0),FALSE)</f>
        <v/>
      </c>
      <c r="O171" s="29">
        <f>(((Table134567891011121314151617343[[#This Row],[USA]]-VLOOKUP($U$1,A:N,14,))/VLOOKUP($U$1,A:N,14,))*100)+100</f>
        <v/>
      </c>
      <c r="P171" s="29">
        <f>VLOOKUP(A171,Database!$E:$AY,MATCH($P$1,Database!$E$1:$AY$1,0),FALSE)</f>
        <v/>
      </c>
      <c r="Q171" s="29">
        <f>(((Table134567891011121314151617343[[#This Row],[JPN]]-VLOOKUP($U$1,A:Q,16,))/VLOOKUP($U$1,A:Q,16,))*100)+100</f>
        <v/>
      </c>
    </row>
    <row r="172" customFormat="1" s="129">
      <c r="A172" s="28" t="n">
        <v>38047</v>
      </c>
      <c r="B172" s="29">
        <f>VLOOKUP(A172,Database!$E:$AY,MATCH($B$1,Database!$E$1:$AY$1,0),FALSE)</f>
        <v/>
      </c>
      <c r="C172" s="29">
        <f>VLOOKUP(A172,Database!$E:$AY,MATCH($C$1,Database!$E$1:$AY$1,0),FALSE)</f>
        <v/>
      </c>
      <c r="D172" s="29">
        <f>VLOOKUP(A172,Database!$E:$AY,MATCH($D$1,Database!$E$1:$AY$1,0),FALSE)</f>
        <v/>
      </c>
      <c r="E172" s="29">
        <f>VLOOKUP(A172,Database!$E:$AY,MATCH($E$1,Database!$E$1:$AY$1,0),FALSE)</f>
        <v/>
      </c>
      <c r="F172" s="29">
        <f>VLOOKUP(A172,Database!$E:$AY,MATCH($F$1,Database!$E$1:$AY$1,0),FALSE)</f>
        <v/>
      </c>
      <c r="G172" s="29">
        <f>VLOOKUP(A172,Database!$E:$AY,MATCH($G$1,Database!$E$1:$AY$1,0),FALSE)</f>
        <v/>
      </c>
      <c r="H172" s="29">
        <f>(((Table134567891011121314151617343[[#This Row],[ITA]]-VLOOKUP($U$1,A:B,2,))/VLOOKUP($U$1,A:B,2,))*100)+100</f>
        <v/>
      </c>
      <c r="I172" s="29">
        <f>(((Table134567891011121314151617343[[#This Row],[FRA]]-VLOOKUP($U$1,A:C,3,))/VLOOKUP($U$1,A:C,3,))*100)+100</f>
        <v/>
      </c>
      <c r="J172" s="29">
        <f>(((Table134567891011121314151617343[[#This Row],[DEU]]-VLOOKUP($U$1,A:D,4,))/VLOOKUP($U$1,A:D,4,))*100)+100</f>
        <v/>
      </c>
      <c r="K172" s="29">
        <f>(((Table134567891011121314151617343[[#This Row],[ESP]]-VLOOKUP($U$1,A:E,5,))/VLOOKUP($U$1,A:E,5,))*100)+100</f>
        <v/>
      </c>
      <c r="L172" s="29">
        <f>(((Table134567891011121314151617343[[#This Row],[EA19]]-VLOOKUP($U$1,A:F,6,))/VLOOKUP($U$1,A:F,6,))*100)+100</f>
        <v/>
      </c>
      <c r="M172" s="29">
        <f>(((Table134567891011121314151617343[[#This Row],[GBR]]-VLOOKUP($U$1,A:G,7,))/VLOOKUP($U$1,A:G,7,))*100)+100</f>
        <v/>
      </c>
      <c r="N172" s="29">
        <f>VLOOKUP(A172,Database!$E:$AY,MATCH($N$1,Database!$E$1:$AY$1,0),FALSE)</f>
        <v/>
      </c>
      <c r="O172" s="29">
        <f>(((Table134567891011121314151617343[[#This Row],[USA]]-VLOOKUP($U$1,A:N,14,))/VLOOKUP($U$1,A:N,14,))*100)+100</f>
        <v/>
      </c>
      <c r="P172" s="29">
        <f>VLOOKUP(A172,Database!$E:$AY,MATCH($P$1,Database!$E$1:$AY$1,0),FALSE)</f>
        <v/>
      </c>
      <c r="Q172" s="29">
        <f>(((Table134567891011121314151617343[[#This Row],[JPN]]-VLOOKUP($U$1,A:Q,16,))/VLOOKUP($U$1,A:Q,16,))*100)+100</f>
        <v/>
      </c>
    </row>
    <row r="173" customFormat="1" s="129">
      <c r="A173" s="28" t="n">
        <v>38078</v>
      </c>
      <c r="B173" s="29">
        <f>VLOOKUP(A173,Database!$E:$AY,MATCH($B$1,Database!$E$1:$AY$1,0),FALSE)</f>
        <v/>
      </c>
      <c r="C173" s="29">
        <f>VLOOKUP(A173,Database!$E:$AY,MATCH($C$1,Database!$E$1:$AY$1,0),FALSE)</f>
        <v/>
      </c>
      <c r="D173" s="29">
        <f>VLOOKUP(A173,Database!$E:$AY,MATCH($D$1,Database!$E$1:$AY$1,0),FALSE)</f>
        <v/>
      </c>
      <c r="E173" s="29">
        <f>VLOOKUP(A173,Database!$E:$AY,MATCH($E$1,Database!$E$1:$AY$1,0),FALSE)</f>
        <v/>
      </c>
      <c r="F173" s="29">
        <f>VLOOKUP(A173,Database!$E:$AY,MATCH($F$1,Database!$E$1:$AY$1,0),FALSE)</f>
        <v/>
      </c>
      <c r="G173" s="29">
        <f>VLOOKUP(A173,Database!$E:$AY,MATCH($G$1,Database!$E$1:$AY$1,0),FALSE)</f>
        <v/>
      </c>
      <c r="H173" s="29">
        <f>(((Table134567891011121314151617343[[#This Row],[ITA]]-VLOOKUP($U$1,A:B,2,))/VLOOKUP($U$1,A:B,2,))*100)+100</f>
        <v/>
      </c>
      <c r="I173" s="29">
        <f>(((Table134567891011121314151617343[[#This Row],[FRA]]-VLOOKUP($U$1,A:C,3,))/VLOOKUP($U$1,A:C,3,))*100)+100</f>
        <v/>
      </c>
      <c r="J173" s="29">
        <f>(((Table134567891011121314151617343[[#This Row],[DEU]]-VLOOKUP($U$1,A:D,4,))/VLOOKUP($U$1,A:D,4,))*100)+100</f>
        <v/>
      </c>
      <c r="K173" s="29">
        <f>(((Table134567891011121314151617343[[#This Row],[ESP]]-VLOOKUP($U$1,A:E,5,))/VLOOKUP($U$1,A:E,5,))*100)+100</f>
        <v/>
      </c>
      <c r="L173" s="29">
        <f>(((Table134567891011121314151617343[[#This Row],[EA19]]-VLOOKUP($U$1,A:F,6,))/VLOOKUP($U$1,A:F,6,))*100)+100</f>
        <v/>
      </c>
      <c r="M173" s="29">
        <f>(((Table134567891011121314151617343[[#This Row],[GBR]]-VLOOKUP($U$1,A:G,7,))/VLOOKUP($U$1,A:G,7,))*100)+100</f>
        <v/>
      </c>
      <c r="N173" s="29">
        <f>VLOOKUP(A173,Database!$E:$AY,MATCH($N$1,Database!$E$1:$AY$1,0),FALSE)</f>
        <v/>
      </c>
      <c r="O173" s="29">
        <f>(((Table134567891011121314151617343[[#This Row],[USA]]-VLOOKUP($U$1,A:N,14,))/VLOOKUP($U$1,A:N,14,))*100)+100</f>
        <v/>
      </c>
      <c r="P173" s="29">
        <f>VLOOKUP(A173,Database!$E:$AY,MATCH($P$1,Database!$E$1:$AY$1,0),FALSE)</f>
        <v/>
      </c>
      <c r="Q173" s="29">
        <f>(((Table134567891011121314151617343[[#This Row],[JPN]]-VLOOKUP($U$1,A:Q,16,))/VLOOKUP($U$1,A:Q,16,))*100)+100</f>
        <v/>
      </c>
    </row>
    <row r="174" customFormat="1" s="129">
      <c r="A174" s="28" t="n">
        <v>38108</v>
      </c>
      <c r="B174" s="29">
        <f>VLOOKUP(A174,Database!$E:$AY,MATCH($B$1,Database!$E$1:$AY$1,0),FALSE)</f>
        <v/>
      </c>
      <c r="C174" s="29">
        <f>VLOOKUP(A174,Database!$E:$AY,MATCH($C$1,Database!$E$1:$AY$1,0),FALSE)</f>
        <v/>
      </c>
      <c r="D174" s="29">
        <f>VLOOKUP(A174,Database!$E:$AY,MATCH($D$1,Database!$E$1:$AY$1,0),FALSE)</f>
        <v/>
      </c>
      <c r="E174" s="29">
        <f>VLOOKUP(A174,Database!$E:$AY,MATCH($E$1,Database!$E$1:$AY$1,0),FALSE)</f>
        <v/>
      </c>
      <c r="F174" s="29">
        <f>VLOOKUP(A174,Database!$E:$AY,MATCH($F$1,Database!$E$1:$AY$1,0),FALSE)</f>
        <v/>
      </c>
      <c r="G174" s="29">
        <f>VLOOKUP(A174,Database!$E:$AY,MATCH($G$1,Database!$E$1:$AY$1,0),FALSE)</f>
        <v/>
      </c>
      <c r="H174" s="29">
        <f>(((Table134567891011121314151617343[[#This Row],[ITA]]-VLOOKUP($U$1,A:B,2,))/VLOOKUP($U$1,A:B,2,))*100)+100</f>
        <v/>
      </c>
      <c r="I174" s="29">
        <f>(((Table134567891011121314151617343[[#This Row],[FRA]]-VLOOKUP($U$1,A:C,3,))/VLOOKUP($U$1,A:C,3,))*100)+100</f>
        <v/>
      </c>
      <c r="J174" s="29">
        <f>(((Table134567891011121314151617343[[#This Row],[DEU]]-VLOOKUP($U$1,A:D,4,))/VLOOKUP($U$1,A:D,4,))*100)+100</f>
        <v/>
      </c>
      <c r="K174" s="29">
        <f>(((Table134567891011121314151617343[[#This Row],[ESP]]-VLOOKUP($U$1,A:E,5,))/VLOOKUP($U$1,A:E,5,))*100)+100</f>
        <v/>
      </c>
      <c r="L174" s="29">
        <f>(((Table134567891011121314151617343[[#This Row],[EA19]]-VLOOKUP($U$1,A:F,6,))/VLOOKUP($U$1,A:F,6,))*100)+100</f>
        <v/>
      </c>
      <c r="M174" s="29">
        <f>(((Table134567891011121314151617343[[#This Row],[GBR]]-VLOOKUP($U$1,A:G,7,))/VLOOKUP($U$1,A:G,7,))*100)+100</f>
        <v/>
      </c>
      <c r="N174" s="29">
        <f>VLOOKUP(A174,Database!$E:$AY,MATCH($N$1,Database!$E$1:$AY$1,0),FALSE)</f>
        <v/>
      </c>
      <c r="O174" s="29">
        <f>(((Table134567891011121314151617343[[#This Row],[USA]]-VLOOKUP($U$1,A:N,14,))/VLOOKUP($U$1,A:N,14,))*100)+100</f>
        <v/>
      </c>
      <c r="P174" s="29">
        <f>VLOOKUP(A174,Database!$E:$AY,MATCH($P$1,Database!$E$1:$AY$1,0),FALSE)</f>
        <v/>
      </c>
      <c r="Q174" s="29">
        <f>(((Table134567891011121314151617343[[#This Row],[JPN]]-VLOOKUP($U$1,A:Q,16,))/VLOOKUP($U$1,A:Q,16,))*100)+100</f>
        <v/>
      </c>
    </row>
    <row r="175" customFormat="1" s="129">
      <c r="A175" s="28" t="n">
        <v>38139</v>
      </c>
      <c r="B175" s="29">
        <f>VLOOKUP(A175,Database!$E:$AY,MATCH($B$1,Database!$E$1:$AY$1,0),FALSE)</f>
        <v/>
      </c>
      <c r="C175" s="29">
        <f>VLOOKUP(A175,Database!$E:$AY,MATCH($C$1,Database!$E$1:$AY$1,0),FALSE)</f>
        <v/>
      </c>
      <c r="D175" s="29">
        <f>VLOOKUP(A175,Database!$E:$AY,MATCH($D$1,Database!$E$1:$AY$1,0),FALSE)</f>
        <v/>
      </c>
      <c r="E175" s="29">
        <f>VLOOKUP(A175,Database!$E:$AY,MATCH($E$1,Database!$E$1:$AY$1,0),FALSE)</f>
        <v/>
      </c>
      <c r="F175" s="29">
        <f>VLOOKUP(A175,Database!$E:$AY,MATCH($F$1,Database!$E$1:$AY$1,0),FALSE)</f>
        <v/>
      </c>
      <c r="G175" s="29">
        <f>VLOOKUP(A175,Database!$E:$AY,MATCH($G$1,Database!$E$1:$AY$1,0),FALSE)</f>
        <v/>
      </c>
      <c r="H175" s="29">
        <f>(((Table134567891011121314151617343[[#This Row],[ITA]]-VLOOKUP($U$1,A:B,2,))/VLOOKUP($U$1,A:B,2,))*100)+100</f>
        <v/>
      </c>
      <c r="I175" s="29">
        <f>(((Table134567891011121314151617343[[#This Row],[FRA]]-VLOOKUP($U$1,A:C,3,))/VLOOKUP($U$1,A:C,3,))*100)+100</f>
        <v/>
      </c>
      <c r="J175" s="29">
        <f>(((Table134567891011121314151617343[[#This Row],[DEU]]-VLOOKUP($U$1,A:D,4,))/VLOOKUP($U$1,A:D,4,))*100)+100</f>
        <v/>
      </c>
      <c r="K175" s="29">
        <f>(((Table134567891011121314151617343[[#This Row],[ESP]]-VLOOKUP($U$1,A:E,5,))/VLOOKUP($U$1,A:E,5,))*100)+100</f>
        <v/>
      </c>
      <c r="L175" s="29">
        <f>(((Table134567891011121314151617343[[#This Row],[EA19]]-VLOOKUP($U$1,A:F,6,))/VLOOKUP($U$1,A:F,6,))*100)+100</f>
        <v/>
      </c>
      <c r="M175" s="29">
        <f>(((Table134567891011121314151617343[[#This Row],[GBR]]-VLOOKUP($U$1,A:G,7,))/VLOOKUP($U$1,A:G,7,))*100)+100</f>
        <v/>
      </c>
      <c r="N175" s="29">
        <f>VLOOKUP(A175,Database!$E:$AY,MATCH($N$1,Database!$E$1:$AY$1,0),FALSE)</f>
        <v/>
      </c>
      <c r="O175" s="29">
        <f>(((Table134567891011121314151617343[[#This Row],[USA]]-VLOOKUP($U$1,A:N,14,))/VLOOKUP($U$1,A:N,14,))*100)+100</f>
        <v/>
      </c>
      <c r="P175" s="29">
        <f>VLOOKUP(A175,Database!$E:$AY,MATCH($P$1,Database!$E$1:$AY$1,0),FALSE)</f>
        <v/>
      </c>
      <c r="Q175" s="29">
        <f>(((Table134567891011121314151617343[[#This Row],[JPN]]-VLOOKUP($U$1,A:Q,16,))/VLOOKUP($U$1,A:Q,16,))*100)+100</f>
        <v/>
      </c>
    </row>
    <row r="176" customFormat="1" s="129">
      <c r="A176" s="28" t="n">
        <v>38169</v>
      </c>
      <c r="B176" s="29">
        <f>VLOOKUP(A176,Database!$E:$AY,MATCH($B$1,Database!$E$1:$AY$1,0),FALSE)</f>
        <v/>
      </c>
      <c r="C176" s="29">
        <f>VLOOKUP(A176,Database!$E:$AY,MATCH($C$1,Database!$E$1:$AY$1,0),FALSE)</f>
        <v/>
      </c>
      <c r="D176" s="29">
        <f>VLOOKUP(A176,Database!$E:$AY,MATCH($D$1,Database!$E$1:$AY$1,0),FALSE)</f>
        <v/>
      </c>
      <c r="E176" s="29">
        <f>VLOOKUP(A176,Database!$E:$AY,MATCH($E$1,Database!$E$1:$AY$1,0),FALSE)</f>
        <v/>
      </c>
      <c r="F176" s="29">
        <f>VLOOKUP(A176,Database!$E:$AY,MATCH($F$1,Database!$E$1:$AY$1,0),FALSE)</f>
        <v/>
      </c>
      <c r="G176" s="29">
        <f>VLOOKUP(A176,Database!$E:$AY,MATCH($G$1,Database!$E$1:$AY$1,0),FALSE)</f>
        <v/>
      </c>
      <c r="H176" s="29">
        <f>(((Table134567891011121314151617343[[#This Row],[ITA]]-VLOOKUP($U$1,A:B,2,))/VLOOKUP($U$1,A:B,2,))*100)+100</f>
        <v/>
      </c>
      <c r="I176" s="29">
        <f>(((Table134567891011121314151617343[[#This Row],[FRA]]-VLOOKUP($U$1,A:C,3,))/VLOOKUP($U$1,A:C,3,))*100)+100</f>
        <v/>
      </c>
      <c r="J176" s="29">
        <f>(((Table134567891011121314151617343[[#This Row],[DEU]]-VLOOKUP($U$1,A:D,4,))/VLOOKUP($U$1,A:D,4,))*100)+100</f>
        <v/>
      </c>
      <c r="K176" s="29">
        <f>(((Table134567891011121314151617343[[#This Row],[ESP]]-VLOOKUP($U$1,A:E,5,))/VLOOKUP($U$1,A:E,5,))*100)+100</f>
        <v/>
      </c>
      <c r="L176" s="29">
        <f>(((Table134567891011121314151617343[[#This Row],[EA19]]-VLOOKUP($U$1,A:F,6,))/VLOOKUP($U$1,A:F,6,))*100)+100</f>
        <v/>
      </c>
      <c r="M176" s="29">
        <f>(((Table134567891011121314151617343[[#This Row],[GBR]]-VLOOKUP($U$1,A:G,7,))/VLOOKUP($U$1,A:G,7,))*100)+100</f>
        <v/>
      </c>
      <c r="N176" s="29">
        <f>VLOOKUP(A176,Database!$E:$AY,MATCH($N$1,Database!$E$1:$AY$1,0),FALSE)</f>
        <v/>
      </c>
      <c r="O176" s="29">
        <f>(((Table134567891011121314151617343[[#This Row],[USA]]-VLOOKUP($U$1,A:N,14,))/VLOOKUP($U$1,A:N,14,))*100)+100</f>
        <v/>
      </c>
      <c r="P176" s="29">
        <f>VLOOKUP(A176,Database!$E:$AY,MATCH($P$1,Database!$E$1:$AY$1,0),FALSE)</f>
        <v/>
      </c>
      <c r="Q176" s="29">
        <f>(((Table134567891011121314151617343[[#This Row],[JPN]]-VLOOKUP($U$1,A:Q,16,))/VLOOKUP($U$1,A:Q,16,))*100)+100</f>
        <v/>
      </c>
    </row>
    <row r="177" customFormat="1" s="129">
      <c r="A177" s="28" t="n">
        <v>38200</v>
      </c>
      <c r="B177" s="29">
        <f>VLOOKUP(A177,Database!$E:$AY,MATCH($B$1,Database!$E$1:$AY$1,0),FALSE)</f>
        <v/>
      </c>
      <c r="C177" s="29">
        <f>VLOOKUP(A177,Database!$E:$AY,MATCH($C$1,Database!$E$1:$AY$1,0),FALSE)</f>
        <v/>
      </c>
      <c r="D177" s="29">
        <f>VLOOKUP(A177,Database!$E:$AY,MATCH($D$1,Database!$E$1:$AY$1,0),FALSE)</f>
        <v/>
      </c>
      <c r="E177" s="29">
        <f>VLOOKUP(A177,Database!$E:$AY,MATCH($E$1,Database!$E$1:$AY$1,0),FALSE)</f>
        <v/>
      </c>
      <c r="F177" s="29">
        <f>VLOOKUP(A177,Database!$E:$AY,MATCH($F$1,Database!$E$1:$AY$1,0),FALSE)</f>
        <v/>
      </c>
      <c r="G177" s="29">
        <f>VLOOKUP(A177,Database!$E:$AY,MATCH($G$1,Database!$E$1:$AY$1,0),FALSE)</f>
        <v/>
      </c>
      <c r="H177" s="29">
        <f>(((Table134567891011121314151617343[[#This Row],[ITA]]-VLOOKUP($U$1,A:B,2,))/VLOOKUP($U$1,A:B,2,))*100)+100</f>
        <v/>
      </c>
      <c r="I177" s="29">
        <f>(((Table134567891011121314151617343[[#This Row],[FRA]]-VLOOKUP($U$1,A:C,3,))/VLOOKUP($U$1,A:C,3,))*100)+100</f>
        <v/>
      </c>
      <c r="J177" s="29">
        <f>(((Table134567891011121314151617343[[#This Row],[DEU]]-VLOOKUP($U$1,A:D,4,))/VLOOKUP($U$1,A:D,4,))*100)+100</f>
        <v/>
      </c>
      <c r="K177" s="29">
        <f>(((Table134567891011121314151617343[[#This Row],[ESP]]-VLOOKUP($U$1,A:E,5,))/VLOOKUP($U$1,A:E,5,))*100)+100</f>
        <v/>
      </c>
      <c r="L177" s="29">
        <f>(((Table134567891011121314151617343[[#This Row],[EA19]]-VLOOKUP($U$1,A:F,6,))/VLOOKUP($U$1,A:F,6,))*100)+100</f>
        <v/>
      </c>
      <c r="M177" s="29">
        <f>(((Table134567891011121314151617343[[#This Row],[GBR]]-VLOOKUP($U$1,A:G,7,))/VLOOKUP($U$1,A:G,7,))*100)+100</f>
        <v/>
      </c>
      <c r="N177" s="29">
        <f>VLOOKUP(A177,Database!$E:$AY,MATCH($N$1,Database!$E$1:$AY$1,0),FALSE)</f>
        <v/>
      </c>
      <c r="O177" s="29">
        <f>(((Table134567891011121314151617343[[#This Row],[USA]]-VLOOKUP($U$1,A:N,14,))/VLOOKUP($U$1,A:N,14,))*100)+100</f>
        <v/>
      </c>
      <c r="P177" s="29">
        <f>VLOOKUP(A177,Database!$E:$AY,MATCH($P$1,Database!$E$1:$AY$1,0),FALSE)</f>
        <v/>
      </c>
      <c r="Q177" s="29">
        <f>(((Table134567891011121314151617343[[#This Row],[JPN]]-VLOOKUP($U$1,A:Q,16,))/VLOOKUP($U$1,A:Q,16,))*100)+100</f>
        <v/>
      </c>
    </row>
    <row r="178" customFormat="1" s="129">
      <c r="A178" s="28" t="n">
        <v>38231</v>
      </c>
      <c r="B178" s="29">
        <f>VLOOKUP(A178,Database!$E:$AY,MATCH($B$1,Database!$E$1:$AY$1,0),FALSE)</f>
        <v/>
      </c>
      <c r="C178" s="29">
        <f>VLOOKUP(A178,Database!$E:$AY,MATCH($C$1,Database!$E$1:$AY$1,0),FALSE)</f>
        <v/>
      </c>
      <c r="D178" s="29">
        <f>VLOOKUP(A178,Database!$E:$AY,MATCH($D$1,Database!$E$1:$AY$1,0),FALSE)</f>
        <v/>
      </c>
      <c r="E178" s="29">
        <f>VLOOKUP(A178,Database!$E:$AY,MATCH($E$1,Database!$E$1:$AY$1,0),FALSE)</f>
        <v/>
      </c>
      <c r="F178" s="29">
        <f>VLOOKUP(A178,Database!$E:$AY,MATCH($F$1,Database!$E$1:$AY$1,0),FALSE)</f>
        <v/>
      </c>
      <c r="G178" s="29">
        <f>VLOOKUP(A178,Database!$E:$AY,MATCH($G$1,Database!$E$1:$AY$1,0),FALSE)</f>
        <v/>
      </c>
      <c r="H178" s="29">
        <f>(((Table134567891011121314151617343[[#This Row],[ITA]]-VLOOKUP($U$1,A:B,2,))/VLOOKUP($U$1,A:B,2,))*100)+100</f>
        <v/>
      </c>
      <c r="I178" s="29">
        <f>(((Table134567891011121314151617343[[#This Row],[FRA]]-VLOOKUP($U$1,A:C,3,))/VLOOKUP($U$1,A:C,3,))*100)+100</f>
        <v/>
      </c>
      <c r="J178" s="29">
        <f>(((Table134567891011121314151617343[[#This Row],[DEU]]-VLOOKUP($U$1,A:D,4,))/VLOOKUP($U$1,A:D,4,))*100)+100</f>
        <v/>
      </c>
      <c r="K178" s="29">
        <f>(((Table134567891011121314151617343[[#This Row],[ESP]]-VLOOKUP($U$1,A:E,5,))/VLOOKUP($U$1,A:E,5,))*100)+100</f>
        <v/>
      </c>
      <c r="L178" s="29">
        <f>(((Table134567891011121314151617343[[#This Row],[EA19]]-VLOOKUP($U$1,A:F,6,))/VLOOKUP($U$1,A:F,6,))*100)+100</f>
        <v/>
      </c>
      <c r="M178" s="29">
        <f>(((Table134567891011121314151617343[[#This Row],[GBR]]-VLOOKUP($U$1,A:G,7,))/VLOOKUP($U$1,A:G,7,))*100)+100</f>
        <v/>
      </c>
      <c r="N178" s="29">
        <f>VLOOKUP(A178,Database!$E:$AY,MATCH($N$1,Database!$E$1:$AY$1,0),FALSE)</f>
        <v/>
      </c>
      <c r="O178" s="29">
        <f>(((Table134567891011121314151617343[[#This Row],[USA]]-VLOOKUP($U$1,A:N,14,))/VLOOKUP($U$1,A:N,14,))*100)+100</f>
        <v/>
      </c>
      <c r="P178" s="29">
        <f>VLOOKUP(A178,Database!$E:$AY,MATCH($P$1,Database!$E$1:$AY$1,0),FALSE)</f>
        <v/>
      </c>
      <c r="Q178" s="29">
        <f>(((Table134567891011121314151617343[[#This Row],[JPN]]-VLOOKUP($U$1,A:Q,16,))/VLOOKUP($U$1,A:Q,16,))*100)+100</f>
        <v/>
      </c>
    </row>
    <row r="179" customFormat="1" s="129">
      <c r="A179" s="28" t="n">
        <v>38261</v>
      </c>
      <c r="B179" s="29">
        <f>VLOOKUP(A179,Database!$E:$AY,MATCH($B$1,Database!$E$1:$AY$1,0),FALSE)</f>
        <v/>
      </c>
      <c r="C179" s="29">
        <f>VLOOKUP(A179,Database!$E:$AY,MATCH($C$1,Database!$E$1:$AY$1,0),FALSE)</f>
        <v/>
      </c>
      <c r="D179" s="29">
        <f>VLOOKUP(A179,Database!$E:$AY,MATCH($D$1,Database!$E$1:$AY$1,0),FALSE)</f>
        <v/>
      </c>
      <c r="E179" s="29">
        <f>VLOOKUP(A179,Database!$E:$AY,MATCH($E$1,Database!$E$1:$AY$1,0),FALSE)</f>
        <v/>
      </c>
      <c r="F179" s="29">
        <f>VLOOKUP(A179,Database!$E:$AY,MATCH($F$1,Database!$E$1:$AY$1,0),FALSE)</f>
        <v/>
      </c>
      <c r="G179" s="29">
        <f>VLOOKUP(A179,Database!$E:$AY,MATCH($G$1,Database!$E$1:$AY$1,0),FALSE)</f>
        <v/>
      </c>
      <c r="H179" s="29">
        <f>(((Table134567891011121314151617343[[#This Row],[ITA]]-VLOOKUP($U$1,A:B,2,))/VLOOKUP($U$1,A:B,2,))*100)+100</f>
        <v/>
      </c>
      <c r="I179" s="29">
        <f>(((Table134567891011121314151617343[[#This Row],[FRA]]-VLOOKUP($U$1,A:C,3,))/VLOOKUP($U$1,A:C,3,))*100)+100</f>
        <v/>
      </c>
      <c r="J179" s="29">
        <f>(((Table134567891011121314151617343[[#This Row],[DEU]]-VLOOKUP($U$1,A:D,4,))/VLOOKUP($U$1,A:D,4,))*100)+100</f>
        <v/>
      </c>
      <c r="K179" s="29">
        <f>(((Table134567891011121314151617343[[#This Row],[ESP]]-VLOOKUP($U$1,A:E,5,))/VLOOKUP($U$1,A:E,5,))*100)+100</f>
        <v/>
      </c>
      <c r="L179" s="29">
        <f>(((Table134567891011121314151617343[[#This Row],[EA19]]-VLOOKUP($U$1,A:F,6,))/VLOOKUP($U$1,A:F,6,))*100)+100</f>
        <v/>
      </c>
      <c r="M179" s="29">
        <f>(((Table134567891011121314151617343[[#This Row],[GBR]]-VLOOKUP($U$1,A:G,7,))/VLOOKUP($U$1,A:G,7,))*100)+100</f>
        <v/>
      </c>
      <c r="N179" s="29">
        <f>VLOOKUP(A179,Database!$E:$AY,MATCH($N$1,Database!$E$1:$AY$1,0),FALSE)</f>
        <v/>
      </c>
      <c r="O179" s="29">
        <f>(((Table134567891011121314151617343[[#This Row],[USA]]-VLOOKUP($U$1,A:N,14,))/VLOOKUP($U$1,A:N,14,))*100)+100</f>
        <v/>
      </c>
      <c r="P179" s="29">
        <f>VLOOKUP(A179,Database!$E:$AY,MATCH($P$1,Database!$E$1:$AY$1,0),FALSE)</f>
        <v/>
      </c>
      <c r="Q179" s="29">
        <f>(((Table134567891011121314151617343[[#This Row],[JPN]]-VLOOKUP($U$1,A:Q,16,))/VLOOKUP($U$1,A:Q,16,))*100)+100</f>
        <v/>
      </c>
    </row>
    <row r="180" customFormat="1" s="129">
      <c r="A180" s="28" t="n">
        <v>38292</v>
      </c>
      <c r="B180" s="29">
        <f>VLOOKUP(A180,Database!$E:$AY,MATCH($B$1,Database!$E$1:$AY$1,0),FALSE)</f>
        <v/>
      </c>
      <c r="C180" s="29">
        <f>VLOOKUP(A180,Database!$E:$AY,MATCH($C$1,Database!$E$1:$AY$1,0),FALSE)</f>
        <v/>
      </c>
      <c r="D180" s="29">
        <f>VLOOKUP(A180,Database!$E:$AY,MATCH($D$1,Database!$E$1:$AY$1,0),FALSE)</f>
        <v/>
      </c>
      <c r="E180" s="29">
        <f>VLOOKUP(A180,Database!$E:$AY,MATCH($E$1,Database!$E$1:$AY$1,0),FALSE)</f>
        <v/>
      </c>
      <c r="F180" s="29">
        <f>VLOOKUP(A180,Database!$E:$AY,MATCH($F$1,Database!$E$1:$AY$1,0),FALSE)</f>
        <v/>
      </c>
      <c r="G180" s="29">
        <f>VLOOKUP(A180,Database!$E:$AY,MATCH($G$1,Database!$E$1:$AY$1,0),FALSE)</f>
        <v/>
      </c>
      <c r="H180" s="29">
        <f>(((Table134567891011121314151617343[[#This Row],[ITA]]-VLOOKUP($U$1,A:B,2,))/VLOOKUP($U$1,A:B,2,))*100)+100</f>
        <v/>
      </c>
      <c r="I180" s="29">
        <f>(((Table134567891011121314151617343[[#This Row],[FRA]]-VLOOKUP($U$1,A:C,3,))/VLOOKUP($U$1,A:C,3,))*100)+100</f>
        <v/>
      </c>
      <c r="J180" s="29">
        <f>(((Table134567891011121314151617343[[#This Row],[DEU]]-VLOOKUP($U$1,A:D,4,))/VLOOKUP($U$1,A:D,4,))*100)+100</f>
        <v/>
      </c>
      <c r="K180" s="29">
        <f>(((Table134567891011121314151617343[[#This Row],[ESP]]-VLOOKUP($U$1,A:E,5,))/VLOOKUP($U$1,A:E,5,))*100)+100</f>
        <v/>
      </c>
      <c r="L180" s="29">
        <f>(((Table134567891011121314151617343[[#This Row],[EA19]]-VLOOKUP($U$1,A:F,6,))/VLOOKUP($U$1,A:F,6,))*100)+100</f>
        <v/>
      </c>
      <c r="M180" s="29">
        <f>(((Table134567891011121314151617343[[#This Row],[GBR]]-VLOOKUP($U$1,A:G,7,))/VLOOKUP($U$1,A:G,7,))*100)+100</f>
        <v/>
      </c>
      <c r="N180" s="29">
        <f>VLOOKUP(A180,Database!$E:$AY,MATCH($N$1,Database!$E$1:$AY$1,0),FALSE)</f>
        <v/>
      </c>
      <c r="O180" s="29">
        <f>(((Table134567891011121314151617343[[#This Row],[USA]]-VLOOKUP($U$1,A:N,14,))/VLOOKUP($U$1,A:N,14,))*100)+100</f>
        <v/>
      </c>
      <c r="P180" s="29">
        <f>VLOOKUP(A180,Database!$E:$AY,MATCH($P$1,Database!$E$1:$AY$1,0),FALSE)</f>
        <v/>
      </c>
      <c r="Q180" s="29">
        <f>(((Table134567891011121314151617343[[#This Row],[JPN]]-VLOOKUP($U$1,A:Q,16,))/VLOOKUP($U$1,A:Q,16,))*100)+100</f>
        <v/>
      </c>
    </row>
    <row r="181" customFormat="1" s="129">
      <c r="A181" s="28" t="n">
        <v>38322</v>
      </c>
      <c r="B181" s="29">
        <f>VLOOKUP(A181,Database!$E:$AY,MATCH($B$1,Database!$E$1:$AY$1,0),FALSE)</f>
        <v/>
      </c>
      <c r="C181" s="29">
        <f>VLOOKUP(A181,Database!$E:$AY,MATCH($C$1,Database!$E$1:$AY$1,0),FALSE)</f>
        <v/>
      </c>
      <c r="D181" s="29">
        <f>VLOOKUP(A181,Database!$E:$AY,MATCH($D$1,Database!$E$1:$AY$1,0),FALSE)</f>
        <v/>
      </c>
      <c r="E181" s="29">
        <f>VLOOKUP(A181,Database!$E:$AY,MATCH($E$1,Database!$E$1:$AY$1,0),FALSE)</f>
        <v/>
      </c>
      <c r="F181" s="29">
        <f>VLOOKUP(A181,Database!$E:$AY,MATCH($F$1,Database!$E$1:$AY$1,0),FALSE)</f>
        <v/>
      </c>
      <c r="G181" s="29">
        <f>VLOOKUP(A181,Database!$E:$AY,MATCH($G$1,Database!$E$1:$AY$1,0),FALSE)</f>
        <v/>
      </c>
      <c r="H181" s="29">
        <f>(((Table134567891011121314151617343[[#This Row],[ITA]]-VLOOKUP($U$1,A:B,2,))/VLOOKUP($U$1,A:B,2,))*100)+100</f>
        <v/>
      </c>
      <c r="I181" s="29">
        <f>(((Table134567891011121314151617343[[#This Row],[FRA]]-VLOOKUP($U$1,A:C,3,))/VLOOKUP($U$1,A:C,3,))*100)+100</f>
        <v/>
      </c>
      <c r="J181" s="29">
        <f>(((Table134567891011121314151617343[[#This Row],[DEU]]-VLOOKUP($U$1,A:D,4,))/VLOOKUP($U$1,A:D,4,))*100)+100</f>
        <v/>
      </c>
      <c r="K181" s="29">
        <f>(((Table134567891011121314151617343[[#This Row],[ESP]]-VLOOKUP($U$1,A:E,5,))/VLOOKUP($U$1,A:E,5,))*100)+100</f>
        <v/>
      </c>
      <c r="L181" s="29">
        <f>(((Table134567891011121314151617343[[#This Row],[EA19]]-VLOOKUP($U$1,A:F,6,))/VLOOKUP($U$1,A:F,6,))*100)+100</f>
        <v/>
      </c>
      <c r="M181" s="29">
        <f>(((Table134567891011121314151617343[[#This Row],[GBR]]-VLOOKUP($U$1,A:G,7,))/VLOOKUP($U$1,A:G,7,))*100)+100</f>
        <v/>
      </c>
      <c r="N181" s="29">
        <f>VLOOKUP(A181,Database!$E:$AY,MATCH($N$1,Database!$E$1:$AY$1,0),FALSE)</f>
        <v/>
      </c>
      <c r="O181" s="29">
        <f>(((Table134567891011121314151617343[[#This Row],[USA]]-VLOOKUP($U$1,A:N,14,))/VLOOKUP($U$1,A:N,14,))*100)+100</f>
        <v/>
      </c>
      <c r="P181" s="29">
        <f>VLOOKUP(A181,Database!$E:$AY,MATCH($P$1,Database!$E$1:$AY$1,0),FALSE)</f>
        <v/>
      </c>
      <c r="Q181" s="29">
        <f>(((Table134567891011121314151617343[[#This Row],[JPN]]-VLOOKUP($U$1,A:Q,16,))/VLOOKUP($U$1,A:Q,16,))*100)+100</f>
        <v/>
      </c>
    </row>
    <row r="182" customFormat="1" s="129">
      <c r="A182" s="28" t="n">
        <v>38353</v>
      </c>
      <c r="B182" s="29">
        <f>VLOOKUP(A182,Database!$E:$AY,MATCH($B$1,Database!$E$1:$AY$1,0),FALSE)</f>
        <v/>
      </c>
      <c r="C182" s="29">
        <f>VLOOKUP(A182,Database!$E:$AY,MATCH($C$1,Database!$E$1:$AY$1,0),FALSE)</f>
        <v/>
      </c>
      <c r="D182" s="29">
        <f>VLOOKUP(A182,Database!$E:$AY,MATCH($D$1,Database!$E$1:$AY$1,0),FALSE)</f>
        <v/>
      </c>
      <c r="E182" s="29">
        <f>VLOOKUP(A182,Database!$E:$AY,MATCH($E$1,Database!$E$1:$AY$1,0),FALSE)</f>
        <v/>
      </c>
      <c r="F182" s="29">
        <f>VLOOKUP(A182,Database!$E:$AY,MATCH($F$1,Database!$E$1:$AY$1,0),FALSE)</f>
        <v/>
      </c>
      <c r="G182" s="29">
        <f>VLOOKUP(A182,Database!$E:$AY,MATCH($G$1,Database!$E$1:$AY$1,0),FALSE)</f>
        <v/>
      </c>
      <c r="H182" s="29">
        <f>(((Table134567891011121314151617343[[#This Row],[ITA]]-VLOOKUP($U$1,A:B,2,))/VLOOKUP($U$1,A:B,2,))*100)+100</f>
        <v/>
      </c>
      <c r="I182" s="29">
        <f>(((Table134567891011121314151617343[[#This Row],[FRA]]-VLOOKUP($U$1,A:C,3,))/VLOOKUP($U$1,A:C,3,))*100)+100</f>
        <v/>
      </c>
      <c r="J182" s="29">
        <f>(((Table134567891011121314151617343[[#This Row],[DEU]]-VLOOKUP($U$1,A:D,4,))/VLOOKUP($U$1,A:D,4,))*100)+100</f>
        <v/>
      </c>
      <c r="K182" s="29">
        <f>(((Table134567891011121314151617343[[#This Row],[ESP]]-VLOOKUP($U$1,A:E,5,))/VLOOKUP($U$1,A:E,5,))*100)+100</f>
        <v/>
      </c>
      <c r="L182" s="29">
        <f>(((Table134567891011121314151617343[[#This Row],[EA19]]-VLOOKUP($U$1,A:F,6,))/VLOOKUP($U$1,A:F,6,))*100)+100</f>
        <v/>
      </c>
      <c r="M182" s="29">
        <f>(((Table134567891011121314151617343[[#This Row],[GBR]]-VLOOKUP($U$1,A:G,7,))/VLOOKUP($U$1,A:G,7,))*100)+100</f>
        <v/>
      </c>
      <c r="N182" s="29">
        <f>VLOOKUP(A182,Database!$E:$AY,MATCH($N$1,Database!$E$1:$AY$1,0),FALSE)</f>
        <v/>
      </c>
      <c r="O182" s="29">
        <f>(((Table134567891011121314151617343[[#This Row],[USA]]-VLOOKUP($U$1,A:N,14,))/VLOOKUP($U$1,A:N,14,))*100)+100</f>
        <v/>
      </c>
      <c r="P182" s="29">
        <f>VLOOKUP(A182,Database!$E:$AY,MATCH($P$1,Database!$E$1:$AY$1,0),FALSE)</f>
        <v/>
      </c>
      <c r="Q182" s="29">
        <f>(((Table134567891011121314151617343[[#This Row],[JPN]]-VLOOKUP($U$1,A:Q,16,))/VLOOKUP($U$1,A:Q,16,))*100)+100</f>
        <v/>
      </c>
    </row>
    <row r="183" customFormat="1" s="129">
      <c r="A183" s="28" t="n">
        <v>38384</v>
      </c>
      <c r="B183" s="29">
        <f>VLOOKUP(A183,Database!$E:$AY,MATCH($B$1,Database!$E$1:$AY$1,0),FALSE)</f>
        <v/>
      </c>
      <c r="C183" s="29">
        <f>VLOOKUP(A183,Database!$E:$AY,MATCH($C$1,Database!$E$1:$AY$1,0),FALSE)</f>
        <v/>
      </c>
      <c r="D183" s="29">
        <f>VLOOKUP(A183,Database!$E:$AY,MATCH($D$1,Database!$E$1:$AY$1,0),FALSE)</f>
        <v/>
      </c>
      <c r="E183" s="29">
        <f>VLOOKUP(A183,Database!$E:$AY,MATCH($E$1,Database!$E$1:$AY$1,0),FALSE)</f>
        <v/>
      </c>
      <c r="F183" s="29">
        <f>VLOOKUP(A183,Database!$E:$AY,MATCH($F$1,Database!$E$1:$AY$1,0),FALSE)</f>
        <v/>
      </c>
      <c r="G183" s="29">
        <f>VLOOKUP(A183,Database!$E:$AY,MATCH($G$1,Database!$E$1:$AY$1,0),FALSE)</f>
        <v/>
      </c>
      <c r="H183" s="29">
        <f>(((Table134567891011121314151617343[[#This Row],[ITA]]-VLOOKUP($U$1,A:B,2,))/VLOOKUP($U$1,A:B,2,))*100)+100</f>
        <v/>
      </c>
      <c r="I183" s="29">
        <f>(((Table134567891011121314151617343[[#This Row],[FRA]]-VLOOKUP($U$1,A:C,3,))/VLOOKUP($U$1,A:C,3,))*100)+100</f>
        <v/>
      </c>
      <c r="J183" s="29">
        <f>(((Table134567891011121314151617343[[#This Row],[DEU]]-VLOOKUP($U$1,A:D,4,))/VLOOKUP($U$1,A:D,4,))*100)+100</f>
        <v/>
      </c>
      <c r="K183" s="29">
        <f>(((Table134567891011121314151617343[[#This Row],[ESP]]-VLOOKUP($U$1,A:E,5,))/VLOOKUP($U$1,A:E,5,))*100)+100</f>
        <v/>
      </c>
      <c r="L183" s="29">
        <f>(((Table134567891011121314151617343[[#This Row],[EA19]]-VLOOKUP($U$1,A:F,6,))/VLOOKUP($U$1,A:F,6,))*100)+100</f>
        <v/>
      </c>
      <c r="M183" s="29">
        <f>(((Table134567891011121314151617343[[#This Row],[GBR]]-VLOOKUP($U$1,A:G,7,))/VLOOKUP($U$1,A:G,7,))*100)+100</f>
        <v/>
      </c>
      <c r="N183" s="29">
        <f>VLOOKUP(A183,Database!$E:$AY,MATCH($N$1,Database!$E$1:$AY$1,0),FALSE)</f>
        <v/>
      </c>
      <c r="O183" s="29">
        <f>(((Table134567891011121314151617343[[#This Row],[USA]]-VLOOKUP($U$1,A:N,14,))/VLOOKUP($U$1,A:N,14,))*100)+100</f>
        <v/>
      </c>
      <c r="P183" s="29">
        <f>VLOOKUP(A183,Database!$E:$AY,MATCH($P$1,Database!$E$1:$AY$1,0),FALSE)</f>
        <v/>
      </c>
      <c r="Q183" s="29">
        <f>(((Table134567891011121314151617343[[#This Row],[JPN]]-VLOOKUP($U$1,A:Q,16,))/VLOOKUP($U$1,A:Q,16,))*100)+100</f>
        <v/>
      </c>
    </row>
    <row r="184" customFormat="1" s="129">
      <c r="A184" s="28" t="n">
        <v>38412</v>
      </c>
      <c r="B184" s="29">
        <f>VLOOKUP(A184,Database!$E:$AY,MATCH($B$1,Database!$E$1:$AY$1,0),FALSE)</f>
        <v/>
      </c>
      <c r="C184" s="29">
        <f>VLOOKUP(A184,Database!$E:$AY,MATCH($C$1,Database!$E$1:$AY$1,0),FALSE)</f>
        <v/>
      </c>
      <c r="D184" s="29">
        <f>VLOOKUP(A184,Database!$E:$AY,MATCH($D$1,Database!$E$1:$AY$1,0),FALSE)</f>
        <v/>
      </c>
      <c r="E184" s="29">
        <f>VLOOKUP(A184,Database!$E:$AY,MATCH($E$1,Database!$E$1:$AY$1,0),FALSE)</f>
        <v/>
      </c>
      <c r="F184" s="29">
        <f>VLOOKUP(A184,Database!$E:$AY,MATCH($F$1,Database!$E$1:$AY$1,0),FALSE)</f>
        <v/>
      </c>
      <c r="G184" s="29">
        <f>VLOOKUP(A184,Database!$E:$AY,MATCH($G$1,Database!$E$1:$AY$1,0),FALSE)</f>
        <v/>
      </c>
      <c r="H184" s="29">
        <f>(((Table134567891011121314151617343[[#This Row],[ITA]]-VLOOKUP($U$1,A:B,2,))/VLOOKUP($U$1,A:B,2,))*100)+100</f>
        <v/>
      </c>
      <c r="I184" s="29">
        <f>(((Table134567891011121314151617343[[#This Row],[FRA]]-VLOOKUP($U$1,A:C,3,))/VLOOKUP($U$1,A:C,3,))*100)+100</f>
        <v/>
      </c>
      <c r="J184" s="29">
        <f>(((Table134567891011121314151617343[[#This Row],[DEU]]-VLOOKUP($U$1,A:D,4,))/VLOOKUP($U$1,A:D,4,))*100)+100</f>
        <v/>
      </c>
      <c r="K184" s="29">
        <f>(((Table134567891011121314151617343[[#This Row],[ESP]]-VLOOKUP($U$1,A:E,5,))/VLOOKUP($U$1,A:E,5,))*100)+100</f>
        <v/>
      </c>
      <c r="L184" s="29">
        <f>(((Table134567891011121314151617343[[#This Row],[EA19]]-VLOOKUP($U$1,A:F,6,))/VLOOKUP($U$1,A:F,6,))*100)+100</f>
        <v/>
      </c>
      <c r="M184" s="29">
        <f>(((Table134567891011121314151617343[[#This Row],[GBR]]-VLOOKUP($U$1,A:G,7,))/VLOOKUP($U$1,A:G,7,))*100)+100</f>
        <v/>
      </c>
      <c r="N184" s="29">
        <f>VLOOKUP(A184,Database!$E:$AY,MATCH($N$1,Database!$E$1:$AY$1,0),FALSE)</f>
        <v/>
      </c>
      <c r="O184" s="29">
        <f>(((Table134567891011121314151617343[[#This Row],[USA]]-VLOOKUP($U$1,A:N,14,))/VLOOKUP($U$1,A:N,14,))*100)+100</f>
        <v/>
      </c>
      <c r="P184" s="29">
        <f>VLOOKUP(A184,Database!$E:$AY,MATCH($P$1,Database!$E$1:$AY$1,0),FALSE)</f>
        <v/>
      </c>
      <c r="Q184" s="29">
        <f>(((Table134567891011121314151617343[[#This Row],[JPN]]-VLOOKUP($U$1,A:Q,16,))/VLOOKUP($U$1,A:Q,16,))*100)+100</f>
        <v/>
      </c>
    </row>
    <row r="185" customFormat="1" s="129">
      <c r="A185" s="28" t="n">
        <v>38443</v>
      </c>
      <c r="B185" s="29">
        <f>VLOOKUP(A185,Database!$E:$AY,MATCH($B$1,Database!$E$1:$AY$1,0),FALSE)</f>
        <v/>
      </c>
      <c r="C185" s="29">
        <f>VLOOKUP(A185,Database!$E:$AY,MATCH($C$1,Database!$E$1:$AY$1,0),FALSE)</f>
        <v/>
      </c>
      <c r="D185" s="29">
        <f>VLOOKUP(A185,Database!$E:$AY,MATCH($D$1,Database!$E$1:$AY$1,0),FALSE)</f>
        <v/>
      </c>
      <c r="E185" s="29">
        <f>VLOOKUP(A185,Database!$E:$AY,MATCH($E$1,Database!$E$1:$AY$1,0),FALSE)</f>
        <v/>
      </c>
      <c r="F185" s="29">
        <f>VLOOKUP(A185,Database!$E:$AY,MATCH($F$1,Database!$E$1:$AY$1,0),FALSE)</f>
        <v/>
      </c>
      <c r="G185" s="29">
        <f>VLOOKUP(A185,Database!$E:$AY,MATCH($G$1,Database!$E$1:$AY$1,0),FALSE)</f>
        <v/>
      </c>
      <c r="H185" s="29">
        <f>(((Table134567891011121314151617343[[#This Row],[ITA]]-VLOOKUP($U$1,A:B,2,))/VLOOKUP($U$1,A:B,2,))*100)+100</f>
        <v/>
      </c>
      <c r="I185" s="29">
        <f>(((Table134567891011121314151617343[[#This Row],[FRA]]-VLOOKUP($U$1,A:C,3,))/VLOOKUP($U$1,A:C,3,))*100)+100</f>
        <v/>
      </c>
      <c r="J185" s="29">
        <f>(((Table134567891011121314151617343[[#This Row],[DEU]]-VLOOKUP($U$1,A:D,4,))/VLOOKUP($U$1,A:D,4,))*100)+100</f>
        <v/>
      </c>
      <c r="K185" s="29">
        <f>(((Table134567891011121314151617343[[#This Row],[ESP]]-VLOOKUP($U$1,A:E,5,))/VLOOKUP($U$1,A:E,5,))*100)+100</f>
        <v/>
      </c>
      <c r="L185" s="29">
        <f>(((Table134567891011121314151617343[[#This Row],[EA19]]-VLOOKUP($U$1,A:F,6,))/VLOOKUP($U$1,A:F,6,))*100)+100</f>
        <v/>
      </c>
      <c r="M185" s="29">
        <f>(((Table134567891011121314151617343[[#This Row],[GBR]]-VLOOKUP($U$1,A:G,7,))/VLOOKUP($U$1,A:G,7,))*100)+100</f>
        <v/>
      </c>
      <c r="N185" s="29">
        <f>VLOOKUP(A185,Database!$E:$AY,MATCH($N$1,Database!$E$1:$AY$1,0),FALSE)</f>
        <v/>
      </c>
      <c r="O185" s="29">
        <f>(((Table134567891011121314151617343[[#This Row],[USA]]-VLOOKUP($U$1,A:N,14,))/VLOOKUP($U$1,A:N,14,))*100)+100</f>
        <v/>
      </c>
      <c r="P185" s="29">
        <f>VLOOKUP(A185,Database!$E:$AY,MATCH($P$1,Database!$E$1:$AY$1,0),FALSE)</f>
        <v/>
      </c>
      <c r="Q185" s="29">
        <f>(((Table134567891011121314151617343[[#This Row],[JPN]]-VLOOKUP($U$1,A:Q,16,))/VLOOKUP($U$1,A:Q,16,))*100)+100</f>
        <v/>
      </c>
    </row>
    <row r="186" customFormat="1" s="129">
      <c r="A186" s="28" t="n">
        <v>38473</v>
      </c>
      <c r="B186" s="29">
        <f>VLOOKUP(A186,Database!$E:$AY,MATCH($B$1,Database!$E$1:$AY$1,0),FALSE)</f>
        <v/>
      </c>
      <c r="C186" s="29">
        <f>VLOOKUP(A186,Database!$E:$AY,MATCH($C$1,Database!$E$1:$AY$1,0),FALSE)</f>
        <v/>
      </c>
      <c r="D186" s="29">
        <f>VLOOKUP(A186,Database!$E:$AY,MATCH($D$1,Database!$E$1:$AY$1,0),FALSE)</f>
        <v/>
      </c>
      <c r="E186" s="29">
        <f>VLOOKUP(A186,Database!$E:$AY,MATCH($E$1,Database!$E$1:$AY$1,0),FALSE)</f>
        <v/>
      </c>
      <c r="F186" s="29">
        <f>VLOOKUP(A186,Database!$E:$AY,MATCH($F$1,Database!$E$1:$AY$1,0),FALSE)</f>
        <v/>
      </c>
      <c r="G186" s="29">
        <f>VLOOKUP(A186,Database!$E:$AY,MATCH($G$1,Database!$E$1:$AY$1,0),FALSE)</f>
        <v/>
      </c>
      <c r="H186" s="29">
        <f>(((Table134567891011121314151617343[[#This Row],[ITA]]-VLOOKUP($U$1,A:B,2,))/VLOOKUP($U$1,A:B,2,))*100)+100</f>
        <v/>
      </c>
      <c r="I186" s="29">
        <f>(((Table134567891011121314151617343[[#This Row],[FRA]]-VLOOKUP($U$1,A:C,3,))/VLOOKUP($U$1,A:C,3,))*100)+100</f>
        <v/>
      </c>
      <c r="J186" s="29">
        <f>(((Table134567891011121314151617343[[#This Row],[DEU]]-VLOOKUP($U$1,A:D,4,))/VLOOKUP($U$1,A:D,4,))*100)+100</f>
        <v/>
      </c>
      <c r="K186" s="29">
        <f>(((Table134567891011121314151617343[[#This Row],[ESP]]-VLOOKUP($U$1,A:E,5,))/VLOOKUP($U$1,A:E,5,))*100)+100</f>
        <v/>
      </c>
      <c r="L186" s="29">
        <f>(((Table134567891011121314151617343[[#This Row],[EA19]]-VLOOKUP($U$1,A:F,6,))/VLOOKUP($U$1,A:F,6,))*100)+100</f>
        <v/>
      </c>
      <c r="M186" s="29">
        <f>(((Table134567891011121314151617343[[#This Row],[GBR]]-VLOOKUP($U$1,A:G,7,))/VLOOKUP($U$1,A:G,7,))*100)+100</f>
        <v/>
      </c>
      <c r="N186" s="29">
        <f>VLOOKUP(A186,Database!$E:$AY,MATCH($N$1,Database!$E$1:$AY$1,0),FALSE)</f>
        <v/>
      </c>
      <c r="O186" s="29">
        <f>(((Table134567891011121314151617343[[#This Row],[USA]]-VLOOKUP($U$1,A:N,14,))/VLOOKUP($U$1,A:N,14,))*100)+100</f>
        <v/>
      </c>
      <c r="P186" s="29">
        <f>VLOOKUP(A186,Database!$E:$AY,MATCH($P$1,Database!$E$1:$AY$1,0),FALSE)</f>
        <v/>
      </c>
      <c r="Q186" s="29">
        <f>(((Table134567891011121314151617343[[#This Row],[JPN]]-VLOOKUP($U$1,A:Q,16,))/VLOOKUP($U$1,A:Q,16,))*100)+100</f>
        <v/>
      </c>
    </row>
    <row r="187" customFormat="1" s="129">
      <c r="A187" s="28" t="n">
        <v>38504</v>
      </c>
      <c r="B187" s="29">
        <f>VLOOKUP(A187,Database!$E:$AY,MATCH($B$1,Database!$E$1:$AY$1,0),FALSE)</f>
        <v/>
      </c>
      <c r="C187" s="29">
        <f>VLOOKUP(A187,Database!$E:$AY,MATCH($C$1,Database!$E$1:$AY$1,0),FALSE)</f>
        <v/>
      </c>
      <c r="D187" s="29">
        <f>VLOOKUP(A187,Database!$E:$AY,MATCH($D$1,Database!$E$1:$AY$1,0),FALSE)</f>
        <v/>
      </c>
      <c r="E187" s="29">
        <f>VLOOKUP(A187,Database!$E:$AY,MATCH($E$1,Database!$E$1:$AY$1,0),FALSE)</f>
        <v/>
      </c>
      <c r="F187" s="29">
        <f>VLOOKUP(A187,Database!$E:$AY,MATCH($F$1,Database!$E$1:$AY$1,0),FALSE)</f>
        <v/>
      </c>
      <c r="G187" s="29">
        <f>VLOOKUP(A187,Database!$E:$AY,MATCH($G$1,Database!$E$1:$AY$1,0),FALSE)</f>
        <v/>
      </c>
      <c r="H187" s="29">
        <f>(((Table134567891011121314151617343[[#This Row],[ITA]]-VLOOKUP($U$1,A:B,2,))/VLOOKUP($U$1,A:B,2,))*100)+100</f>
        <v/>
      </c>
      <c r="I187" s="29">
        <f>(((Table134567891011121314151617343[[#This Row],[FRA]]-VLOOKUP($U$1,A:C,3,))/VLOOKUP($U$1,A:C,3,))*100)+100</f>
        <v/>
      </c>
      <c r="J187" s="29">
        <f>(((Table134567891011121314151617343[[#This Row],[DEU]]-VLOOKUP($U$1,A:D,4,))/VLOOKUP($U$1,A:D,4,))*100)+100</f>
        <v/>
      </c>
      <c r="K187" s="29">
        <f>(((Table134567891011121314151617343[[#This Row],[ESP]]-VLOOKUP($U$1,A:E,5,))/VLOOKUP($U$1,A:E,5,))*100)+100</f>
        <v/>
      </c>
      <c r="L187" s="29">
        <f>(((Table134567891011121314151617343[[#This Row],[EA19]]-VLOOKUP($U$1,A:F,6,))/VLOOKUP($U$1,A:F,6,))*100)+100</f>
        <v/>
      </c>
      <c r="M187" s="29">
        <f>(((Table134567891011121314151617343[[#This Row],[GBR]]-VLOOKUP($U$1,A:G,7,))/VLOOKUP($U$1,A:G,7,))*100)+100</f>
        <v/>
      </c>
      <c r="N187" s="29">
        <f>VLOOKUP(A187,Database!$E:$AY,MATCH($N$1,Database!$E$1:$AY$1,0),FALSE)</f>
        <v/>
      </c>
      <c r="O187" s="29">
        <f>(((Table134567891011121314151617343[[#This Row],[USA]]-VLOOKUP($U$1,A:N,14,))/VLOOKUP($U$1,A:N,14,))*100)+100</f>
        <v/>
      </c>
      <c r="P187" s="29">
        <f>VLOOKUP(A187,Database!$E:$AY,MATCH($P$1,Database!$E$1:$AY$1,0),FALSE)</f>
        <v/>
      </c>
      <c r="Q187" s="29">
        <f>(((Table134567891011121314151617343[[#This Row],[JPN]]-VLOOKUP($U$1,A:Q,16,))/VLOOKUP($U$1,A:Q,16,))*100)+100</f>
        <v/>
      </c>
    </row>
    <row r="188" customFormat="1" s="129">
      <c r="A188" s="28" t="n">
        <v>38534</v>
      </c>
      <c r="B188" s="29">
        <f>VLOOKUP(A188,Database!$E:$AY,MATCH($B$1,Database!$E$1:$AY$1,0),FALSE)</f>
        <v/>
      </c>
      <c r="C188" s="29">
        <f>VLOOKUP(A188,Database!$E:$AY,MATCH($C$1,Database!$E$1:$AY$1,0),FALSE)</f>
        <v/>
      </c>
      <c r="D188" s="29">
        <f>VLOOKUP(A188,Database!$E:$AY,MATCH($D$1,Database!$E$1:$AY$1,0),FALSE)</f>
        <v/>
      </c>
      <c r="E188" s="29">
        <f>VLOOKUP(A188,Database!$E:$AY,MATCH($E$1,Database!$E$1:$AY$1,0),FALSE)</f>
        <v/>
      </c>
      <c r="F188" s="29">
        <f>VLOOKUP(A188,Database!$E:$AY,MATCH($F$1,Database!$E$1:$AY$1,0),FALSE)</f>
        <v/>
      </c>
      <c r="G188" s="29">
        <f>VLOOKUP(A188,Database!$E:$AY,MATCH($G$1,Database!$E$1:$AY$1,0),FALSE)</f>
        <v/>
      </c>
      <c r="H188" s="29">
        <f>(((Table134567891011121314151617343[[#This Row],[ITA]]-VLOOKUP($U$1,A:B,2,))/VLOOKUP($U$1,A:B,2,))*100)+100</f>
        <v/>
      </c>
      <c r="I188" s="29">
        <f>(((Table134567891011121314151617343[[#This Row],[FRA]]-VLOOKUP($U$1,A:C,3,))/VLOOKUP($U$1,A:C,3,))*100)+100</f>
        <v/>
      </c>
      <c r="J188" s="29">
        <f>(((Table134567891011121314151617343[[#This Row],[DEU]]-VLOOKUP($U$1,A:D,4,))/VLOOKUP($U$1,A:D,4,))*100)+100</f>
        <v/>
      </c>
      <c r="K188" s="29">
        <f>(((Table134567891011121314151617343[[#This Row],[ESP]]-VLOOKUP($U$1,A:E,5,))/VLOOKUP($U$1,A:E,5,))*100)+100</f>
        <v/>
      </c>
      <c r="L188" s="29">
        <f>(((Table134567891011121314151617343[[#This Row],[EA19]]-VLOOKUP($U$1,A:F,6,))/VLOOKUP($U$1,A:F,6,))*100)+100</f>
        <v/>
      </c>
      <c r="M188" s="29">
        <f>(((Table134567891011121314151617343[[#This Row],[GBR]]-VLOOKUP($U$1,A:G,7,))/VLOOKUP($U$1,A:G,7,))*100)+100</f>
        <v/>
      </c>
      <c r="N188" s="29">
        <f>VLOOKUP(A188,Database!$E:$AY,MATCH($N$1,Database!$E$1:$AY$1,0),FALSE)</f>
        <v/>
      </c>
      <c r="O188" s="29">
        <f>(((Table134567891011121314151617343[[#This Row],[USA]]-VLOOKUP($U$1,A:N,14,))/VLOOKUP($U$1,A:N,14,))*100)+100</f>
        <v/>
      </c>
      <c r="P188" s="29">
        <f>VLOOKUP(A188,Database!$E:$AY,MATCH($P$1,Database!$E$1:$AY$1,0),FALSE)</f>
        <v/>
      </c>
      <c r="Q188" s="29">
        <f>(((Table134567891011121314151617343[[#This Row],[JPN]]-VLOOKUP($U$1,A:Q,16,))/VLOOKUP($U$1,A:Q,16,))*100)+100</f>
        <v/>
      </c>
    </row>
    <row r="189" customFormat="1" s="129">
      <c r="A189" s="28" t="n">
        <v>38565</v>
      </c>
      <c r="B189" s="29">
        <f>VLOOKUP(A189,Database!$E:$AY,MATCH($B$1,Database!$E$1:$AY$1,0),FALSE)</f>
        <v/>
      </c>
      <c r="C189" s="29">
        <f>VLOOKUP(A189,Database!$E:$AY,MATCH($C$1,Database!$E$1:$AY$1,0),FALSE)</f>
        <v/>
      </c>
      <c r="D189" s="29">
        <f>VLOOKUP(A189,Database!$E:$AY,MATCH($D$1,Database!$E$1:$AY$1,0),FALSE)</f>
        <v/>
      </c>
      <c r="E189" s="29">
        <f>VLOOKUP(A189,Database!$E:$AY,MATCH($E$1,Database!$E$1:$AY$1,0),FALSE)</f>
        <v/>
      </c>
      <c r="F189" s="29">
        <f>VLOOKUP(A189,Database!$E:$AY,MATCH($F$1,Database!$E$1:$AY$1,0),FALSE)</f>
        <v/>
      </c>
      <c r="G189" s="29">
        <f>VLOOKUP(A189,Database!$E:$AY,MATCH($G$1,Database!$E$1:$AY$1,0),FALSE)</f>
        <v/>
      </c>
      <c r="H189" s="29">
        <f>(((Table134567891011121314151617343[[#This Row],[ITA]]-VLOOKUP($U$1,A:B,2,))/VLOOKUP($U$1,A:B,2,))*100)+100</f>
        <v/>
      </c>
      <c r="I189" s="29">
        <f>(((Table134567891011121314151617343[[#This Row],[FRA]]-VLOOKUP($U$1,A:C,3,))/VLOOKUP($U$1,A:C,3,))*100)+100</f>
        <v/>
      </c>
      <c r="J189" s="29">
        <f>(((Table134567891011121314151617343[[#This Row],[DEU]]-VLOOKUP($U$1,A:D,4,))/VLOOKUP($U$1,A:D,4,))*100)+100</f>
        <v/>
      </c>
      <c r="K189" s="29">
        <f>(((Table134567891011121314151617343[[#This Row],[ESP]]-VLOOKUP($U$1,A:E,5,))/VLOOKUP($U$1,A:E,5,))*100)+100</f>
        <v/>
      </c>
      <c r="L189" s="29">
        <f>(((Table134567891011121314151617343[[#This Row],[EA19]]-VLOOKUP($U$1,A:F,6,))/VLOOKUP($U$1,A:F,6,))*100)+100</f>
        <v/>
      </c>
      <c r="M189" s="29">
        <f>(((Table134567891011121314151617343[[#This Row],[GBR]]-VLOOKUP($U$1,A:G,7,))/VLOOKUP($U$1,A:G,7,))*100)+100</f>
        <v/>
      </c>
      <c r="N189" s="29">
        <f>VLOOKUP(A189,Database!$E:$AY,MATCH($N$1,Database!$E$1:$AY$1,0),FALSE)</f>
        <v/>
      </c>
      <c r="O189" s="29">
        <f>(((Table134567891011121314151617343[[#This Row],[USA]]-VLOOKUP($U$1,A:N,14,))/VLOOKUP($U$1,A:N,14,))*100)+100</f>
        <v/>
      </c>
      <c r="P189" s="29">
        <f>VLOOKUP(A189,Database!$E:$AY,MATCH($P$1,Database!$E$1:$AY$1,0),FALSE)</f>
        <v/>
      </c>
      <c r="Q189" s="29">
        <f>(((Table134567891011121314151617343[[#This Row],[JPN]]-VLOOKUP($U$1,A:Q,16,))/VLOOKUP($U$1,A:Q,16,))*100)+100</f>
        <v/>
      </c>
    </row>
    <row r="190" customFormat="1" s="129">
      <c r="A190" s="28" t="n">
        <v>38596</v>
      </c>
      <c r="B190" s="29">
        <f>VLOOKUP(A190,Database!$E:$AY,MATCH($B$1,Database!$E$1:$AY$1,0),FALSE)</f>
        <v/>
      </c>
      <c r="C190" s="29">
        <f>VLOOKUP(A190,Database!$E:$AY,MATCH($C$1,Database!$E$1:$AY$1,0),FALSE)</f>
        <v/>
      </c>
      <c r="D190" s="29">
        <f>VLOOKUP(A190,Database!$E:$AY,MATCH($D$1,Database!$E$1:$AY$1,0),FALSE)</f>
        <v/>
      </c>
      <c r="E190" s="29">
        <f>VLOOKUP(A190,Database!$E:$AY,MATCH($E$1,Database!$E$1:$AY$1,0),FALSE)</f>
        <v/>
      </c>
      <c r="F190" s="29">
        <f>VLOOKUP(A190,Database!$E:$AY,MATCH($F$1,Database!$E$1:$AY$1,0),FALSE)</f>
        <v/>
      </c>
      <c r="G190" s="29">
        <f>VLOOKUP(A190,Database!$E:$AY,MATCH($G$1,Database!$E$1:$AY$1,0),FALSE)</f>
        <v/>
      </c>
      <c r="H190" s="29">
        <f>(((Table134567891011121314151617343[[#This Row],[ITA]]-VLOOKUP($U$1,A:B,2,))/VLOOKUP($U$1,A:B,2,))*100)+100</f>
        <v/>
      </c>
      <c r="I190" s="29">
        <f>(((Table134567891011121314151617343[[#This Row],[FRA]]-VLOOKUP($U$1,A:C,3,))/VLOOKUP($U$1,A:C,3,))*100)+100</f>
        <v/>
      </c>
      <c r="J190" s="29">
        <f>(((Table134567891011121314151617343[[#This Row],[DEU]]-VLOOKUP($U$1,A:D,4,))/VLOOKUP($U$1,A:D,4,))*100)+100</f>
        <v/>
      </c>
      <c r="K190" s="29">
        <f>(((Table134567891011121314151617343[[#This Row],[ESP]]-VLOOKUP($U$1,A:E,5,))/VLOOKUP($U$1,A:E,5,))*100)+100</f>
        <v/>
      </c>
      <c r="L190" s="29">
        <f>(((Table134567891011121314151617343[[#This Row],[EA19]]-VLOOKUP($U$1,A:F,6,))/VLOOKUP($U$1,A:F,6,))*100)+100</f>
        <v/>
      </c>
      <c r="M190" s="29">
        <f>(((Table134567891011121314151617343[[#This Row],[GBR]]-VLOOKUP($U$1,A:G,7,))/VLOOKUP($U$1,A:G,7,))*100)+100</f>
        <v/>
      </c>
      <c r="N190" s="29">
        <f>VLOOKUP(A190,Database!$E:$AY,MATCH($N$1,Database!$E$1:$AY$1,0),FALSE)</f>
        <v/>
      </c>
      <c r="O190" s="29">
        <f>(((Table134567891011121314151617343[[#This Row],[USA]]-VLOOKUP($U$1,A:N,14,))/VLOOKUP($U$1,A:N,14,))*100)+100</f>
        <v/>
      </c>
      <c r="P190" s="29">
        <f>VLOOKUP(A190,Database!$E:$AY,MATCH($P$1,Database!$E$1:$AY$1,0),FALSE)</f>
        <v/>
      </c>
      <c r="Q190" s="29">
        <f>(((Table134567891011121314151617343[[#This Row],[JPN]]-VLOOKUP($U$1,A:Q,16,))/VLOOKUP($U$1,A:Q,16,))*100)+100</f>
        <v/>
      </c>
    </row>
    <row r="191" customFormat="1" s="129">
      <c r="A191" s="28" t="n">
        <v>38626</v>
      </c>
      <c r="B191" s="29">
        <f>VLOOKUP(A191,Database!$E:$AY,MATCH($B$1,Database!$E$1:$AY$1,0),FALSE)</f>
        <v/>
      </c>
      <c r="C191" s="29">
        <f>VLOOKUP(A191,Database!$E:$AY,MATCH($C$1,Database!$E$1:$AY$1,0),FALSE)</f>
        <v/>
      </c>
      <c r="D191" s="29">
        <f>VLOOKUP(A191,Database!$E:$AY,MATCH($D$1,Database!$E$1:$AY$1,0),FALSE)</f>
        <v/>
      </c>
      <c r="E191" s="29">
        <f>VLOOKUP(A191,Database!$E:$AY,MATCH($E$1,Database!$E$1:$AY$1,0),FALSE)</f>
        <v/>
      </c>
      <c r="F191" s="29">
        <f>VLOOKUP(A191,Database!$E:$AY,MATCH($F$1,Database!$E$1:$AY$1,0),FALSE)</f>
        <v/>
      </c>
      <c r="G191" s="29">
        <f>VLOOKUP(A191,Database!$E:$AY,MATCH($G$1,Database!$E$1:$AY$1,0),FALSE)</f>
        <v/>
      </c>
      <c r="H191" s="29">
        <f>(((Table134567891011121314151617343[[#This Row],[ITA]]-VLOOKUP($U$1,A:B,2,))/VLOOKUP($U$1,A:B,2,))*100)+100</f>
        <v/>
      </c>
      <c r="I191" s="29">
        <f>(((Table134567891011121314151617343[[#This Row],[FRA]]-VLOOKUP($U$1,A:C,3,))/VLOOKUP($U$1,A:C,3,))*100)+100</f>
        <v/>
      </c>
      <c r="J191" s="29">
        <f>(((Table134567891011121314151617343[[#This Row],[DEU]]-VLOOKUP($U$1,A:D,4,))/VLOOKUP($U$1,A:D,4,))*100)+100</f>
        <v/>
      </c>
      <c r="K191" s="29">
        <f>(((Table134567891011121314151617343[[#This Row],[ESP]]-VLOOKUP($U$1,A:E,5,))/VLOOKUP($U$1,A:E,5,))*100)+100</f>
        <v/>
      </c>
      <c r="L191" s="29">
        <f>(((Table134567891011121314151617343[[#This Row],[EA19]]-VLOOKUP($U$1,A:F,6,))/VLOOKUP($U$1,A:F,6,))*100)+100</f>
        <v/>
      </c>
      <c r="M191" s="29">
        <f>(((Table134567891011121314151617343[[#This Row],[GBR]]-VLOOKUP($U$1,A:G,7,))/VLOOKUP($U$1,A:G,7,))*100)+100</f>
        <v/>
      </c>
      <c r="N191" s="29">
        <f>VLOOKUP(A191,Database!$E:$AY,MATCH($N$1,Database!$E$1:$AY$1,0),FALSE)</f>
        <v/>
      </c>
      <c r="O191" s="29">
        <f>(((Table134567891011121314151617343[[#This Row],[USA]]-VLOOKUP($U$1,A:N,14,))/VLOOKUP($U$1,A:N,14,))*100)+100</f>
        <v/>
      </c>
      <c r="P191" s="29">
        <f>VLOOKUP(A191,Database!$E:$AY,MATCH($P$1,Database!$E$1:$AY$1,0),FALSE)</f>
        <v/>
      </c>
      <c r="Q191" s="29">
        <f>(((Table134567891011121314151617343[[#This Row],[JPN]]-VLOOKUP($U$1,A:Q,16,))/VLOOKUP($U$1,A:Q,16,))*100)+100</f>
        <v/>
      </c>
    </row>
    <row r="192" customFormat="1" s="129">
      <c r="A192" s="28" t="n">
        <v>38657</v>
      </c>
      <c r="B192" s="29">
        <f>VLOOKUP(A192,Database!$E:$AY,MATCH($B$1,Database!$E$1:$AY$1,0),FALSE)</f>
        <v/>
      </c>
      <c r="C192" s="29">
        <f>VLOOKUP(A192,Database!$E:$AY,MATCH($C$1,Database!$E$1:$AY$1,0),FALSE)</f>
        <v/>
      </c>
      <c r="D192" s="29">
        <f>VLOOKUP(A192,Database!$E:$AY,MATCH($D$1,Database!$E$1:$AY$1,0),FALSE)</f>
        <v/>
      </c>
      <c r="E192" s="29">
        <f>VLOOKUP(A192,Database!$E:$AY,MATCH($E$1,Database!$E$1:$AY$1,0),FALSE)</f>
        <v/>
      </c>
      <c r="F192" s="29">
        <f>VLOOKUP(A192,Database!$E:$AY,MATCH($F$1,Database!$E$1:$AY$1,0),FALSE)</f>
        <v/>
      </c>
      <c r="G192" s="29">
        <f>VLOOKUP(A192,Database!$E:$AY,MATCH($G$1,Database!$E$1:$AY$1,0),FALSE)</f>
        <v/>
      </c>
      <c r="H192" s="29">
        <f>(((Table134567891011121314151617343[[#This Row],[ITA]]-VLOOKUP($U$1,A:B,2,))/VLOOKUP($U$1,A:B,2,))*100)+100</f>
        <v/>
      </c>
      <c r="I192" s="29">
        <f>(((Table134567891011121314151617343[[#This Row],[FRA]]-VLOOKUP($U$1,A:C,3,))/VLOOKUP($U$1,A:C,3,))*100)+100</f>
        <v/>
      </c>
      <c r="J192" s="29">
        <f>(((Table134567891011121314151617343[[#This Row],[DEU]]-VLOOKUP($U$1,A:D,4,))/VLOOKUP($U$1,A:D,4,))*100)+100</f>
        <v/>
      </c>
      <c r="K192" s="29">
        <f>(((Table134567891011121314151617343[[#This Row],[ESP]]-VLOOKUP($U$1,A:E,5,))/VLOOKUP($U$1,A:E,5,))*100)+100</f>
        <v/>
      </c>
      <c r="L192" s="29">
        <f>(((Table134567891011121314151617343[[#This Row],[EA19]]-VLOOKUP($U$1,A:F,6,))/VLOOKUP($U$1,A:F,6,))*100)+100</f>
        <v/>
      </c>
      <c r="M192" s="29">
        <f>(((Table134567891011121314151617343[[#This Row],[GBR]]-VLOOKUP($U$1,A:G,7,))/VLOOKUP($U$1,A:G,7,))*100)+100</f>
        <v/>
      </c>
      <c r="N192" s="29">
        <f>VLOOKUP(A192,Database!$E:$AY,MATCH($N$1,Database!$E$1:$AY$1,0),FALSE)</f>
        <v/>
      </c>
      <c r="O192" s="29">
        <f>(((Table134567891011121314151617343[[#This Row],[USA]]-VLOOKUP($U$1,A:N,14,))/VLOOKUP($U$1,A:N,14,))*100)+100</f>
        <v/>
      </c>
      <c r="P192" s="29">
        <f>VLOOKUP(A192,Database!$E:$AY,MATCH($P$1,Database!$E$1:$AY$1,0),FALSE)</f>
        <v/>
      </c>
      <c r="Q192" s="29">
        <f>(((Table134567891011121314151617343[[#This Row],[JPN]]-VLOOKUP($U$1,A:Q,16,))/VLOOKUP($U$1,A:Q,16,))*100)+100</f>
        <v/>
      </c>
    </row>
    <row r="193" customFormat="1" s="129">
      <c r="A193" s="28" t="n">
        <v>38687</v>
      </c>
      <c r="B193" s="29">
        <f>VLOOKUP(A193,Database!$E:$AY,MATCH($B$1,Database!$E$1:$AY$1,0),FALSE)</f>
        <v/>
      </c>
      <c r="C193" s="29">
        <f>VLOOKUP(A193,Database!$E:$AY,MATCH($C$1,Database!$E$1:$AY$1,0),FALSE)</f>
        <v/>
      </c>
      <c r="D193" s="29">
        <f>VLOOKUP(A193,Database!$E:$AY,MATCH($D$1,Database!$E$1:$AY$1,0),FALSE)</f>
        <v/>
      </c>
      <c r="E193" s="29">
        <f>VLOOKUP(A193,Database!$E:$AY,MATCH($E$1,Database!$E$1:$AY$1,0),FALSE)</f>
        <v/>
      </c>
      <c r="F193" s="29">
        <f>VLOOKUP(A193,Database!$E:$AY,MATCH($F$1,Database!$E$1:$AY$1,0),FALSE)</f>
        <v/>
      </c>
      <c r="G193" s="29">
        <f>VLOOKUP(A193,Database!$E:$AY,MATCH($G$1,Database!$E$1:$AY$1,0),FALSE)</f>
        <v/>
      </c>
      <c r="H193" s="29">
        <f>(((Table134567891011121314151617343[[#This Row],[ITA]]-VLOOKUP($U$1,A:B,2,))/VLOOKUP($U$1,A:B,2,))*100)+100</f>
        <v/>
      </c>
      <c r="I193" s="29">
        <f>(((Table134567891011121314151617343[[#This Row],[FRA]]-VLOOKUP($U$1,A:C,3,))/VLOOKUP($U$1,A:C,3,))*100)+100</f>
        <v/>
      </c>
      <c r="J193" s="29">
        <f>(((Table134567891011121314151617343[[#This Row],[DEU]]-VLOOKUP($U$1,A:D,4,))/VLOOKUP($U$1,A:D,4,))*100)+100</f>
        <v/>
      </c>
      <c r="K193" s="29">
        <f>(((Table134567891011121314151617343[[#This Row],[ESP]]-VLOOKUP($U$1,A:E,5,))/VLOOKUP($U$1,A:E,5,))*100)+100</f>
        <v/>
      </c>
      <c r="L193" s="29">
        <f>(((Table134567891011121314151617343[[#This Row],[EA19]]-VLOOKUP($U$1,A:F,6,))/VLOOKUP($U$1,A:F,6,))*100)+100</f>
        <v/>
      </c>
      <c r="M193" s="29">
        <f>(((Table134567891011121314151617343[[#This Row],[GBR]]-VLOOKUP($U$1,A:G,7,))/VLOOKUP($U$1,A:G,7,))*100)+100</f>
        <v/>
      </c>
      <c r="N193" s="29">
        <f>VLOOKUP(A193,Database!$E:$AY,MATCH($N$1,Database!$E$1:$AY$1,0),FALSE)</f>
        <v/>
      </c>
      <c r="O193" s="29">
        <f>(((Table134567891011121314151617343[[#This Row],[USA]]-VLOOKUP($U$1,A:N,14,))/VLOOKUP($U$1,A:N,14,))*100)+100</f>
        <v/>
      </c>
      <c r="P193" s="29">
        <f>VLOOKUP(A193,Database!$E:$AY,MATCH($P$1,Database!$E$1:$AY$1,0),FALSE)</f>
        <v/>
      </c>
      <c r="Q193" s="29">
        <f>(((Table134567891011121314151617343[[#This Row],[JPN]]-VLOOKUP($U$1,A:Q,16,))/VLOOKUP($U$1,A:Q,16,))*100)+100</f>
        <v/>
      </c>
    </row>
    <row r="194" customFormat="1" s="129">
      <c r="A194" s="28" t="n">
        <v>38718</v>
      </c>
      <c r="B194" s="29">
        <f>VLOOKUP(A194,Database!$E:$AY,MATCH($B$1,Database!$E$1:$AY$1,0),FALSE)</f>
        <v/>
      </c>
      <c r="C194" s="29">
        <f>VLOOKUP(A194,Database!$E:$AY,MATCH($C$1,Database!$E$1:$AY$1,0),FALSE)</f>
        <v/>
      </c>
      <c r="D194" s="29">
        <f>VLOOKUP(A194,Database!$E:$AY,MATCH($D$1,Database!$E$1:$AY$1,0),FALSE)</f>
        <v/>
      </c>
      <c r="E194" s="29">
        <f>VLOOKUP(A194,Database!$E:$AY,MATCH($E$1,Database!$E$1:$AY$1,0),FALSE)</f>
        <v/>
      </c>
      <c r="F194" s="29">
        <f>VLOOKUP(A194,Database!$E:$AY,MATCH($F$1,Database!$E$1:$AY$1,0),FALSE)</f>
        <v/>
      </c>
      <c r="G194" s="29">
        <f>VLOOKUP(A194,Database!$E:$AY,MATCH($G$1,Database!$E$1:$AY$1,0),FALSE)</f>
        <v/>
      </c>
      <c r="H194" s="29">
        <f>(((Table134567891011121314151617343[[#This Row],[ITA]]-VLOOKUP($U$1,A:B,2,))/VLOOKUP($U$1,A:B,2,))*100)+100</f>
        <v/>
      </c>
      <c r="I194" s="29">
        <f>(((Table134567891011121314151617343[[#This Row],[FRA]]-VLOOKUP($U$1,A:C,3,))/VLOOKUP($U$1,A:C,3,))*100)+100</f>
        <v/>
      </c>
      <c r="J194" s="29">
        <f>(((Table134567891011121314151617343[[#This Row],[DEU]]-VLOOKUP($U$1,A:D,4,))/VLOOKUP($U$1,A:D,4,))*100)+100</f>
        <v/>
      </c>
      <c r="K194" s="29">
        <f>(((Table134567891011121314151617343[[#This Row],[ESP]]-VLOOKUP($U$1,A:E,5,))/VLOOKUP($U$1,A:E,5,))*100)+100</f>
        <v/>
      </c>
      <c r="L194" s="29">
        <f>(((Table134567891011121314151617343[[#This Row],[EA19]]-VLOOKUP($U$1,A:F,6,))/VLOOKUP($U$1,A:F,6,))*100)+100</f>
        <v/>
      </c>
      <c r="M194" s="29">
        <f>(((Table134567891011121314151617343[[#This Row],[GBR]]-VLOOKUP($U$1,A:G,7,))/VLOOKUP($U$1,A:G,7,))*100)+100</f>
        <v/>
      </c>
      <c r="N194" s="29">
        <f>VLOOKUP(A194,Database!$E:$AY,MATCH($N$1,Database!$E$1:$AY$1,0),FALSE)</f>
        <v/>
      </c>
      <c r="O194" s="29">
        <f>(((Table134567891011121314151617343[[#This Row],[USA]]-VLOOKUP($U$1,A:N,14,))/VLOOKUP($U$1,A:N,14,))*100)+100</f>
        <v/>
      </c>
      <c r="P194" s="29">
        <f>VLOOKUP(A194,Database!$E:$AY,MATCH($P$1,Database!$E$1:$AY$1,0),FALSE)</f>
        <v/>
      </c>
      <c r="Q194" s="29">
        <f>(((Table134567891011121314151617343[[#This Row],[JPN]]-VLOOKUP($U$1,A:Q,16,))/VLOOKUP($U$1,A:Q,16,))*100)+100</f>
        <v/>
      </c>
    </row>
    <row r="195" customFormat="1" s="129">
      <c r="A195" s="28" t="n">
        <v>38749</v>
      </c>
      <c r="B195" s="29">
        <f>VLOOKUP(A195,Database!$E:$AY,MATCH($B$1,Database!$E$1:$AY$1,0),FALSE)</f>
        <v/>
      </c>
      <c r="C195" s="29">
        <f>VLOOKUP(A195,Database!$E:$AY,MATCH($C$1,Database!$E$1:$AY$1,0),FALSE)</f>
        <v/>
      </c>
      <c r="D195" s="29">
        <f>VLOOKUP(A195,Database!$E:$AY,MATCH($D$1,Database!$E$1:$AY$1,0),FALSE)</f>
        <v/>
      </c>
      <c r="E195" s="29">
        <f>VLOOKUP(A195,Database!$E:$AY,MATCH($E$1,Database!$E$1:$AY$1,0),FALSE)</f>
        <v/>
      </c>
      <c r="F195" s="29">
        <f>VLOOKUP(A195,Database!$E:$AY,MATCH($F$1,Database!$E$1:$AY$1,0),FALSE)</f>
        <v/>
      </c>
      <c r="G195" s="29">
        <f>VLOOKUP(A195,Database!$E:$AY,MATCH($G$1,Database!$E$1:$AY$1,0),FALSE)</f>
        <v/>
      </c>
      <c r="H195" s="29">
        <f>(((Table134567891011121314151617343[[#This Row],[ITA]]-VLOOKUP($U$1,A:B,2,))/VLOOKUP($U$1,A:B,2,))*100)+100</f>
        <v/>
      </c>
      <c r="I195" s="29">
        <f>(((Table134567891011121314151617343[[#This Row],[FRA]]-VLOOKUP($U$1,A:C,3,))/VLOOKUP($U$1,A:C,3,))*100)+100</f>
        <v/>
      </c>
      <c r="J195" s="29">
        <f>(((Table134567891011121314151617343[[#This Row],[DEU]]-VLOOKUP($U$1,A:D,4,))/VLOOKUP($U$1,A:D,4,))*100)+100</f>
        <v/>
      </c>
      <c r="K195" s="29">
        <f>(((Table134567891011121314151617343[[#This Row],[ESP]]-VLOOKUP($U$1,A:E,5,))/VLOOKUP($U$1,A:E,5,))*100)+100</f>
        <v/>
      </c>
      <c r="L195" s="29">
        <f>(((Table134567891011121314151617343[[#This Row],[EA19]]-VLOOKUP($U$1,A:F,6,))/VLOOKUP($U$1,A:F,6,))*100)+100</f>
        <v/>
      </c>
      <c r="M195" s="29">
        <f>(((Table134567891011121314151617343[[#This Row],[GBR]]-VLOOKUP($U$1,A:G,7,))/VLOOKUP($U$1,A:G,7,))*100)+100</f>
        <v/>
      </c>
      <c r="N195" s="29">
        <f>VLOOKUP(A195,Database!$E:$AY,MATCH($N$1,Database!$E$1:$AY$1,0),FALSE)</f>
        <v/>
      </c>
      <c r="O195" s="29">
        <f>(((Table134567891011121314151617343[[#This Row],[USA]]-VLOOKUP($U$1,A:N,14,))/VLOOKUP($U$1,A:N,14,))*100)+100</f>
        <v/>
      </c>
      <c r="P195" s="29">
        <f>VLOOKUP(A195,Database!$E:$AY,MATCH($P$1,Database!$E$1:$AY$1,0),FALSE)</f>
        <v/>
      </c>
      <c r="Q195" s="29">
        <f>(((Table134567891011121314151617343[[#This Row],[JPN]]-VLOOKUP($U$1,A:Q,16,))/VLOOKUP($U$1,A:Q,16,))*100)+100</f>
        <v/>
      </c>
    </row>
    <row r="196" customFormat="1" s="129">
      <c r="A196" s="28" t="n">
        <v>38777</v>
      </c>
      <c r="B196" s="29">
        <f>VLOOKUP(A196,Database!$E:$AY,MATCH($B$1,Database!$E$1:$AY$1,0),FALSE)</f>
        <v/>
      </c>
      <c r="C196" s="29">
        <f>VLOOKUP(A196,Database!$E:$AY,MATCH($C$1,Database!$E$1:$AY$1,0),FALSE)</f>
        <v/>
      </c>
      <c r="D196" s="29">
        <f>VLOOKUP(A196,Database!$E:$AY,MATCH($D$1,Database!$E$1:$AY$1,0),FALSE)</f>
        <v/>
      </c>
      <c r="E196" s="29">
        <f>VLOOKUP(A196,Database!$E:$AY,MATCH($E$1,Database!$E$1:$AY$1,0),FALSE)</f>
        <v/>
      </c>
      <c r="F196" s="29">
        <f>VLOOKUP(A196,Database!$E:$AY,MATCH($F$1,Database!$E$1:$AY$1,0),FALSE)</f>
        <v/>
      </c>
      <c r="G196" s="29">
        <f>VLOOKUP(A196,Database!$E:$AY,MATCH($G$1,Database!$E$1:$AY$1,0),FALSE)</f>
        <v/>
      </c>
      <c r="H196" s="29">
        <f>(((Table134567891011121314151617343[[#This Row],[ITA]]-VLOOKUP($U$1,A:B,2,))/VLOOKUP($U$1,A:B,2,))*100)+100</f>
        <v/>
      </c>
      <c r="I196" s="29">
        <f>(((Table134567891011121314151617343[[#This Row],[FRA]]-VLOOKUP($U$1,A:C,3,))/VLOOKUP($U$1,A:C,3,))*100)+100</f>
        <v/>
      </c>
      <c r="J196" s="29">
        <f>(((Table134567891011121314151617343[[#This Row],[DEU]]-VLOOKUP($U$1,A:D,4,))/VLOOKUP($U$1,A:D,4,))*100)+100</f>
        <v/>
      </c>
      <c r="K196" s="29">
        <f>(((Table134567891011121314151617343[[#This Row],[ESP]]-VLOOKUP($U$1,A:E,5,))/VLOOKUP($U$1,A:E,5,))*100)+100</f>
        <v/>
      </c>
      <c r="L196" s="29">
        <f>(((Table134567891011121314151617343[[#This Row],[EA19]]-VLOOKUP($U$1,A:F,6,))/VLOOKUP($U$1,A:F,6,))*100)+100</f>
        <v/>
      </c>
      <c r="M196" s="29">
        <f>(((Table134567891011121314151617343[[#This Row],[GBR]]-VLOOKUP($U$1,A:G,7,))/VLOOKUP($U$1,A:G,7,))*100)+100</f>
        <v/>
      </c>
      <c r="N196" s="29">
        <f>VLOOKUP(A196,Database!$E:$AY,MATCH($N$1,Database!$E$1:$AY$1,0),FALSE)</f>
        <v/>
      </c>
      <c r="O196" s="29">
        <f>(((Table134567891011121314151617343[[#This Row],[USA]]-VLOOKUP($U$1,A:N,14,))/VLOOKUP($U$1,A:N,14,))*100)+100</f>
        <v/>
      </c>
      <c r="P196" s="29">
        <f>VLOOKUP(A196,Database!$E:$AY,MATCH($P$1,Database!$E$1:$AY$1,0),FALSE)</f>
        <v/>
      </c>
      <c r="Q196" s="29">
        <f>(((Table134567891011121314151617343[[#This Row],[JPN]]-VLOOKUP($U$1,A:Q,16,))/VLOOKUP($U$1,A:Q,16,))*100)+100</f>
        <v/>
      </c>
    </row>
    <row r="197" customFormat="1" s="129">
      <c r="A197" s="28" t="n">
        <v>38808</v>
      </c>
      <c r="B197" s="29">
        <f>VLOOKUP(A197,Database!$E:$AY,MATCH($B$1,Database!$E$1:$AY$1,0),FALSE)</f>
        <v/>
      </c>
      <c r="C197" s="29">
        <f>VLOOKUP(A197,Database!$E:$AY,MATCH($C$1,Database!$E$1:$AY$1,0),FALSE)</f>
        <v/>
      </c>
      <c r="D197" s="29">
        <f>VLOOKUP(A197,Database!$E:$AY,MATCH($D$1,Database!$E$1:$AY$1,0),FALSE)</f>
        <v/>
      </c>
      <c r="E197" s="29">
        <f>VLOOKUP(A197,Database!$E:$AY,MATCH($E$1,Database!$E$1:$AY$1,0),FALSE)</f>
        <v/>
      </c>
      <c r="F197" s="29">
        <f>VLOOKUP(A197,Database!$E:$AY,MATCH($F$1,Database!$E$1:$AY$1,0),FALSE)</f>
        <v/>
      </c>
      <c r="G197" s="29">
        <f>VLOOKUP(A197,Database!$E:$AY,MATCH($G$1,Database!$E$1:$AY$1,0),FALSE)</f>
        <v/>
      </c>
      <c r="H197" s="29">
        <f>(((Table134567891011121314151617343[[#This Row],[ITA]]-VLOOKUP($U$1,A:B,2,))/VLOOKUP($U$1,A:B,2,))*100)+100</f>
        <v/>
      </c>
      <c r="I197" s="29">
        <f>(((Table134567891011121314151617343[[#This Row],[FRA]]-VLOOKUP($U$1,A:C,3,))/VLOOKUP($U$1,A:C,3,))*100)+100</f>
        <v/>
      </c>
      <c r="J197" s="29">
        <f>(((Table134567891011121314151617343[[#This Row],[DEU]]-VLOOKUP($U$1,A:D,4,))/VLOOKUP($U$1,A:D,4,))*100)+100</f>
        <v/>
      </c>
      <c r="K197" s="29">
        <f>(((Table134567891011121314151617343[[#This Row],[ESP]]-VLOOKUP($U$1,A:E,5,))/VLOOKUP($U$1,A:E,5,))*100)+100</f>
        <v/>
      </c>
      <c r="L197" s="29">
        <f>(((Table134567891011121314151617343[[#This Row],[EA19]]-VLOOKUP($U$1,A:F,6,))/VLOOKUP($U$1,A:F,6,))*100)+100</f>
        <v/>
      </c>
      <c r="M197" s="29">
        <f>(((Table134567891011121314151617343[[#This Row],[GBR]]-VLOOKUP($U$1,A:G,7,))/VLOOKUP($U$1,A:G,7,))*100)+100</f>
        <v/>
      </c>
      <c r="N197" s="29">
        <f>VLOOKUP(A197,Database!$E:$AY,MATCH($N$1,Database!$E$1:$AY$1,0),FALSE)</f>
        <v/>
      </c>
      <c r="O197" s="29">
        <f>(((Table134567891011121314151617343[[#This Row],[USA]]-VLOOKUP($U$1,A:N,14,))/VLOOKUP($U$1,A:N,14,))*100)+100</f>
        <v/>
      </c>
      <c r="P197" s="29">
        <f>VLOOKUP(A197,Database!$E:$AY,MATCH($P$1,Database!$E$1:$AY$1,0),FALSE)</f>
        <v/>
      </c>
      <c r="Q197" s="29">
        <f>(((Table134567891011121314151617343[[#This Row],[JPN]]-VLOOKUP($U$1,A:Q,16,))/VLOOKUP($U$1,A:Q,16,))*100)+100</f>
        <v/>
      </c>
    </row>
    <row r="198" customFormat="1" s="129">
      <c r="A198" s="28" t="n">
        <v>38838</v>
      </c>
      <c r="B198" s="29">
        <f>VLOOKUP(A198,Database!$E:$AY,MATCH($B$1,Database!$E$1:$AY$1,0),FALSE)</f>
        <v/>
      </c>
      <c r="C198" s="29">
        <f>VLOOKUP(A198,Database!$E:$AY,MATCH($C$1,Database!$E$1:$AY$1,0),FALSE)</f>
        <v/>
      </c>
      <c r="D198" s="29">
        <f>VLOOKUP(A198,Database!$E:$AY,MATCH($D$1,Database!$E$1:$AY$1,0),FALSE)</f>
        <v/>
      </c>
      <c r="E198" s="29">
        <f>VLOOKUP(A198,Database!$E:$AY,MATCH($E$1,Database!$E$1:$AY$1,0),FALSE)</f>
        <v/>
      </c>
      <c r="F198" s="29">
        <f>VLOOKUP(A198,Database!$E:$AY,MATCH($F$1,Database!$E$1:$AY$1,0),FALSE)</f>
        <v/>
      </c>
      <c r="G198" s="29">
        <f>VLOOKUP(A198,Database!$E:$AY,MATCH($G$1,Database!$E$1:$AY$1,0),FALSE)</f>
        <v/>
      </c>
      <c r="H198" s="29">
        <f>(((Table134567891011121314151617343[[#This Row],[ITA]]-VLOOKUP($U$1,A:B,2,))/VLOOKUP($U$1,A:B,2,))*100)+100</f>
        <v/>
      </c>
      <c r="I198" s="29">
        <f>(((Table134567891011121314151617343[[#This Row],[FRA]]-VLOOKUP($U$1,A:C,3,))/VLOOKUP($U$1,A:C,3,))*100)+100</f>
        <v/>
      </c>
      <c r="J198" s="29">
        <f>(((Table134567891011121314151617343[[#This Row],[DEU]]-VLOOKUP($U$1,A:D,4,))/VLOOKUP($U$1,A:D,4,))*100)+100</f>
        <v/>
      </c>
      <c r="K198" s="29">
        <f>(((Table134567891011121314151617343[[#This Row],[ESP]]-VLOOKUP($U$1,A:E,5,))/VLOOKUP($U$1,A:E,5,))*100)+100</f>
        <v/>
      </c>
      <c r="L198" s="29">
        <f>(((Table134567891011121314151617343[[#This Row],[EA19]]-VLOOKUP($U$1,A:F,6,))/VLOOKUP($U$1,A:F,6,))*100)+100</f>
        <v/>
      </c>
      <c r="M198" s="29">
        <f>(((Table134567891011121314151617343[[#This Row],[GBR]]-VLOOKUP($U$1,A:G,7,))/VLOOKUP($U$1,A:G,7,))*100)+100</f>
        <v/>
      </c>
      <c r="N198" s="29">
        <f>VLOOKUP(A198,Database!$E:$AY,MATCH($N$1,Database!$E$1:$AY$1,0),FALSE)</f>
        <v/>
      </c>
      <c r="O198" s="29">
        <f>(((Table134567891011121314151617343[[#This Row],[USA]]-VLOOKUP($U$1,A:N,14,))/VLOOKUP($U$1,A:N,14,))*100)+100</f>
        <v/>
      </c>
      <c r="P198" s="29">
        <f>VLOOKUP(A198,Database!$E:$AY,MATCH($P$1,Database!$E$1:$AY$1,0),FALSE)</f>
        <v/>
      </c>
      <c r="Q198" s="29">
        <f>(((Table134567891011121314151617343[[#This Row],[JPN]]-VLOOKUP($U$1,A:Q,16,))/VLOOKUP($U$1,A:Q,16,))*100)+100</f>
        <v/>
      </c>
    </row>
    <row r="199" customFormat="1" s="129">
      <c r="A199" s="28" t="n">
        <v>38869</v>
      </c>
      <c r="B199" s="29">
        <f>VLOOKUP(A199,Database!$E:$AY,MATCH($B$1,Database!$E$1:$AY$1,0),FALSE)</f>
        <v/>
      </c>
      <c r="C199" s="29">
        <f>VLOOKUP(A199,Database!$E:$AY,MATCH($C$1,Database!$E$1:$AY$1,0),FALSE)</f>
        <v/>
      </c>
      <c r="D199" s="29">
        <f>VLOOKUP(A199,Database!$E:$AY,MATCH($D$1,Database!$E$1:$AY$1,0),FALSE)</f>
        <v/>
      </c>
      <c r="E199" s="29">
        <f>VLOOKUP(A199,Database!$E:$AY,MATCH($E$1,Database!$E$1:$AY$1,0),FALSE)</f>
        <v/>
      </c>
      <c r="F199" s="29">
        <f>VLOOKUP(A199,Database!$E:$AY,MATCH($F$1,Database!$E$1:$AY$1,0),FALSE)</f>
        <v/>
      </c>
      <c r="G199" s="29">
        <f>VLOOKUP(A199,Database!$E:$AY,MATCH($G$1,Database!$E$1:$AY$1,0),FALSE)</f>
        <v/>
      </c>
      <c r="H199" s="29">
        <f>(((Table134567891011121314151617343[[#This Row],[ITA]]-VLOOKUP($U$1,A:B,2,))/VLOOKUP($U$1,A:B,2,))*100)+100</f>
        <v/>
      </c>
      <c r="I199" s="29">
        <f>(((Table134567891011121314151617343[[#This Row],[FRA]]-VLOOKUP($U$1,A:C,3,))/VLOOKUP($U$1,A:C,3,))*100)+100</f>
        <v/>
      </c>
      <c r="J199" s="29">
        <f>(((Table134567891011121314151617343[[#This Row],[DEU]]-VLOOKUP($U$1,A:D,4,))/VLOOKUP($U$1,A:D,4,))*100)+100</f>
        <v/>
      </c>
      <c r="K199" s="29">
        <f>(((Table134567891011121314151617343[[#This Row],[ESP]]-VLOOKUP($U$1,A:E,5,))/VLOOKUP($U$1,A:E,5,))*100)+100</f>
        <v/>
      </c>
      <c r="L199" s="29">
        <f>(((Table134567891011121314151617343[[#This Row],[EA19]]-VLOOKUP($U$1,A:F,6,))/VLOOKUP($U$1,A:F,6,))*100)+100</f>
        <v/>
      </c>
      <c r="M199" s="29">
        <f>(((Table134567891011121314151617343[[#This Row],[GBR]]-VLOOKUP($U$1,A:G,7,))/VLOOKUP($U$1,A:G,7,))*100)+100</f>
        <v/>
      </c>
      <c r="N199" s="29">
        <f>VLOOKUP(A199,Database!$E:$AY,MATCH($N$1,Database!$E$1:$AY$1,0),FALSE)</f>
        <v/>
      </c>
      <c r="O199" s="29">
        <f>(((Table134567891011121314151617343[[#This Row],[USA]]-VLOOKUP($U$1,A:N,14,))/VLOOKUP($U$1,A:N,14,))*100)+100</f>
        <v/>
      </c>
      <c r="P199" s="29">
        <f>VLOOKUP(A199,Database!$E:$AY,MATCH($P$1,Database!$E$1:$AY$1,0),FALSE)</f>
        <v/>
      </c>
      <c r="Q199" s="29">
        <f>(((Table134567891011121314151617343[[#This Row],[JPN]]-VLOOKUP($U$1,A:Q,16,))/VLOOKUP($U$1,A:Q,16,))*100)+100</f>
        <v/>
      </c>
    </row>
    <row r="200" customFormat="1" s="129">
      <c r="A200" s="28" t="n">
        <v>38899</v>
      </c>
      <c r="B200" s="29">
        <f>VLOOKUP(A200,Database!$E:$AY,MATCH($B$1,Database!$E$1:$AY$1,0),FALSE)</f>
        <v/>
      </c>
      <c r="C200" s="29">
        <f>VLOOKUP(A200,Database!$E:$AY,MATCH($C$1,Database!$E$1:$AY$1,0),FALSE)</f>
        <v/>
      </c>
      <c r="D200" s="29">
        <f>VLOOKUP(A200,Database!$E:$AY,MATCH($D$1,Database!$E$1:$AY$1,0),FALSE)</f>
        <v/>
      </c>
      <c r="E200" s="29">
        <f>VLOOKUP(A200,Database!$E:$AY,MATCH($E$1,Database!$E$1:$AY$1,0),FALSE)</f>
        <v/>
      </c>
      <c r="F200" s="29">
        <f>VLOOKUP(A200,Database!$E:$AY,MATCH($F$1,Database!$E$1:$AY$1,0),FALSE)</f>
        <v/>
      </c>
      <c r="G200" s="29">
        <f>VLOOKUP(A200,Database!$E:$AY,MATCH($G$1,Database!$E$1:$AY$1,0),FALSE)</f>
        <v/>
      </c>
      <c r="H200" s="29">
        <f>(((Table134567891011121314151617343[[#This Row],[ITA]]-VLOOKUP($U$1,A:B,2,))/VLOOKUP($U$1,A:B,2,))*100)+100</f>
        <v/>
      </c>
      <c r="I200" s="29">
        <f>(((Table134567891011121314151617343[[#This Row],[FRA]]-VLOOKUP($U$1,A:C,3,))/VLOOKUP($U$1,A:C,3,))*100)+100</f>
        <v/>
      </c>
      <c r="J200" s="29">
        <f>(((Table134567891011121314151617343[[#This Row],[DEU]]-VLOOKUP($U$1,A:D,4,))/VLOOKUP($U$1,A:D,4,))*100)+100</f>
        <v/>
      </c>
      <c r="K200" s="29">
        <f>(((Table134567891011121314151617343[[#This Row],[ESP]]-VLOOKUP($U$1,A:E,5,))/VLOOKUP($U$1,A:E,5,))*100)+100</f>
        <v/>
      </c>
      <c r="L200" s="29">
        <f>(((Table134567891011121314151617343[[#This Row],[EA19]]-VLOOKUP($U$1,A:F,6,))/VLOOKUP($U$1,A:F,6,))*100)+100</f>
        <v/>
      </c>
      <c r="M200" s="29">
        <f>(((Table134567891011121314151617343[[#This Row],[GBR]]-VLOOKUP($U$1,A:G,7,))/VLOOKUP($U$1,A:G,7,))*100)+100</f>
        <v/>
      </c>
      <c r="N200" s="29">
        <f>VLOOKUP(A200,Database!$E:$AY,MATCH($N$1,Database!$E$1:$AY$1,0),FALSE)</f>
        <v/>
      </c>
      <c r="O200" s="29">
        <f>(((Table134567891011121314151617343[[#This Row],[USA]]-VLOOKUP($U$1,A:N,14,))/VLOOKUP($U$1,A:N,14,))*100)+100</f>
        <v/>
      </c>
      <c r="P200" s="29">
        <f>VLOOKUP(A200,Database!$E:$AY,MATCH($P$1,Database!$E$1:$AY$1,0),FALSE)</f>
        <v/>
      </c>
      <c r="Q200" s="29">
        <f>(((Table134567891011121314151617343[[#This Row],[JPN]]-VLOOKUP($U$1,A:Q,16,))/VLOOKUP($U$1,A:Q,16,))*100)+100</f>
        <v/>
      </c>
    </row>
    <row r="201" customFormat="1" s="129">
      <c r="A201" s="28" t="n">
        <v>38930</v>
      </c>
      <c r="B201" s="29">
        <f>VLOOKUP(A201,Database!$E:$AY,MATCH($B$1,Database!$E$1:$AY$1,0),FALSE)</f>
        <v/>
      </c>
      <c r="C201" s="29">
        <f>VLOOKUP(A201,Database!$E:$AY,MATCH($C$1,Database!$E$1:$AY$1,0),FALSE)</f>
        <v/>
      </c>
      <c r="D201" s="29">
        <f>VLOOKUP(A201,Database!$E:$AY,MATCH($D$1,Database!$E$1:$AY$1,0),FALSE)</f>
        <v/>
      </c>
      <c r="E201" s="29">
        <f>VLOOKUP(A201,Database!$E:$AY,MATCH($E$1,Database!$E$1:$AY$1,0),FALSE)</f>
        <v/>
      </c>
      <c r="F201" s="29">
        <f>VLOOKUP(A201,Database!$E:$AY,MATCH($F$1,Database!$E$1:$AY$1,0),FALSE)</f>
        <v/>
      </c>
      <c r="G201" s="29">
        <f>VLOOKUP(A201,Database!$E:$AY,MATCH($G$1,Database!$E$1:$AY$1,0),FALSE)</f>
        <v/>
      </c>
      <c r="H201" s="29">
        <f>(((Table134567891011121314151617343[[#This Row],[ITA]]-VLOOKUP($U$1,A:B,2,))/VLOOKUP($U$1,A:B,2,))*100)+100</f>
        <v/>
      </c>
      <c r="I201" s="29">
        <f>(((Table134567891011121314151617343[[#This Row],[FRA]]-VLOOKUP($U$1,A:C,3,))/VLOOKUP($U$1,A:C,3,))*100)+100</f>
        <v/>
      </c>
      <c r="J201" s="29">
        <f>(((Table134567891011121314151617343[[#This Row],[DEU]]-VLOOKUP($U$1,A:D,4,))/VLOOKUP($U$1,A:D,4,))*100)+100</f>
        <v/>
      </c>
      <c r="K201" s="29">
        <f>(((Table134567891011121314151617343[[#This Row],[ESP]]-VLOOKUP($U$1,A:E,5,))/VLOOKUP($U$1,A:E,5,))*100)+100</f>
        <v/>
      </c>
      <c r="L201" s="29">
        <f>(((Table134567891011121314151617343[[#This Row],[EA19]]-VLOOKUP($U$1,A:F,6,))/VLOOKUP($U$1,A:F,6,))*100)+100</f>
        <v/>
      </c>
      <c r="M201" s="29">
        <f>(((Table134567891011121314151617343[[#This Row],[GBR]]-VLOOKUP($U$1,A:G,7,))/VLOOKUP($U$1,A:G,7,))*100)+100</f>
        <v/>
      </c>
      <c r="N201" s="29">
        <f>VLOOKUP(A201,Database!$E:$AY,MATCH($N$1,Database!$E$1:$AY$1,0),FALSE)</f>
        <v/>
      </c>
      <c r="O201" s="29">
        <f>(((Table134567891011121314151617343[[#This Row],[USA]]-VLOOKUP($U$1,A:N,14,))/VLOOKUP($U$1,A:N,14,))*100)+100</f>
        <v/>
      </c>
      <c r="P201" s="29">
        <f>VLOOKUP(A201,Database!$E:$AY,MATCH($P$1,Database!$E$1:$AY$1,0),FALSE)</f>
        <v/>
      </c>
      <c r="Q201" s="29">
        <f>(((Table134567891011121314151617343[[#This Row],[JPN]]-VLOOKUP($U$1,A:Q,16,))/VLOOKUP($U$1,A:Q,16,))*100)+100</f>
        <v/>
      </c>
    </row>
    <row r="202" customFormat="1" s="129">
      <c r="A202" s="28" t="n">
        <v>38961</v>
      </c>
      <c r="B202" s="29">
        <f>VLOOKUP(A202,Database!$E:$AY,MATCH($B$1,Database!$E$1:$AY$1,0),FALSE)</f>
        <v/>
      </c>
      <c r="C202" s="29">
        <f>VLOOKUP(A202,Database!$E:$AY,MATCH($C$1,Database!$E$1:$AY$1,0),FALSE)</f>
        <v/>
      </c>
      <c r="D202" s="29">
        <f>VLOOKUP(A202,Database!$E:$AY,MATCH($D$1,Database!$E$1:$AY$1,0),FALSE)</f>
        <v/>
      </c>
      <c r="E202" s="29">
        <f>VLOOKUP(A202,Database!$E:$AY,MATCH($E$1,Database!$E$1:$AY$1,0),FALSE)</f>
        <v/>
      </c>
      <c r="F202" s="29">
        <f>VLOOKUP(A202,Database!$E:$AY,MATCH($F$1,Database!$E$1:$AY$1,0),FALSE)</f>
        <v/>
      </c>
      <c r="G202" s="29">
        <f>VLOOKUP(A202,Database!$E:$AY,MATCH($G$1,Database!$E$1:$AY$1,0),FALSE)</f>
        <v/>
      </c>
      <c r="H202" s="29">
        <f>(((Table134567891011121314151617343[[#This Row],[ITA]]-VLOOKUP($U$1,A:B,2,))/VLOOKUP($U$1,A:B,2,))*100)+100</f>
        <v/>
      </c>
      <c r="I202" s="29">
        <f>(((Table134567891011121314151617343[[#This Row],[FRA]]-VLOOKUP($U$1,A:C,3,))/VLOOKUP($U$1,A:C,3,))*100)+100</f>
        <v/>
      </c>
      <c r="J202" s="29">
        <f>(((Table134567891011121314151617343[[#This Row],[DEU]]-VLOOKUP($U$1,A:D,4,))/VLOOKUP($U$1,A:D,4,))*100)+100</f>
        <v/>
      </c>
      <c r="K202" s="29">
        <f>(((Table134567891011121314151617343[[#This Row],[ESP]]-VLOOKUP($U$1,A:E,5,))/VLOOKUP($U$1,A:E,5,))*100)+100</f>
        <v/>
      </c>
      <c r="L202" s="29">
        <f>(((Table134567891011121314151617343[[#This Row],[EA19]]-VLOOKUP($U$1,A:F,6,))/VLOOKUP($U$1,A:F,6,))*100)+100</f>
        <v/>
      </c>
      <c r="M202" s="29">
        <f>(((Table134567891011121314151617343[[#This Row],[GBR]]-VLOOKUP($U$1,A:G,7,))/VLOOKUP($U$1,A:G,7,))*100)+100</f>
        <v/>
      </c>
      <c r="N202" s="29">
        <f>VLOOKUP(A202,Database!$E:$AY,MATCH($N$1,Database!$E$1:$AY$1,0),FALSE)</f>
        <v/>
      </c>
      <c r="O202" s="29">
        <f>(((Table134567891011121314151617343[[#This Row],[USA]]-VLOOKUP($U$1,A:N,14,))/VLOOKUP($U$1,A:N,14,))*100)+100</f>
        <v/>
      </c>
      <c r="P202" s="29">
        <f>VLOOKUP(A202,Database!$E:$AY,MATCH($P$1,Database!$E$1:$AY$1,0),FALSE)</f>
        <v/>
      </c>
      <c r="Q202" s="29">
        <f>(((Table134567891011121314151617343[[#This Row],[JPN]]-VLOOKUP($U$1,A:Q,16,))/VLOOKUP($U$1,A:Q,16,))*100)+100</f>
        <v/>
      </c>
    </row>
    <row r="203" customFormat="1" s="129">
      <c r="A203" s="28" t="n">
        <v>38991</v>
      </c>
      <c r="B203" s="29">
        <f>VLOOKUP(A203,Database!$E:$AY,MATCH($B$1,Database!$E$1:$AY$1,0),FALSE)</f>
        <v/>
      </c>
      <c r="C203" s="29">
        <f>VLOOKUP(A203,Database!$E:$AY,MATCH($C$1,Database!$E$1:$AY$1,0),FALSE)</f>
        <v/>
      </c>
      <c r="D203" s="29">
        <f>VLOOKUP(A203,Database!$E:$AY,MATCH($D$1,Database!$E$1:$AY$1,0),FALSE)</f>
        <v/>
      </c>
      <c r="E203" s="29">
        <f>VLOOKUP(A203,Database!$E:$AY,MATCH($E$1,Database!$E$1:$AY$1,0),FALSE)</f>
        <v/>
      </c>
      <c r="F203" s="29">
        <f>VLOOKUP(A203,Database!$E:$AY,MATCH($F$1,Database!$E$1:$AY$1,0),FALSE)</f>
        <v/>
      </c>
      <c r="G203" s="29">
        <f>VLOOKUP(A203,Database!$E:$AY,MATCH($G$1,Database!$E$1:$AY$1,0),FALSE)</f>
        <v/>
      </c>
      <c r="H203" s="29">
        <f>(((Table134567891011121314151617343[[#This Row],[ITA]]-VLOOKUP($U$1,A:B,2,))/VLOOKUP($U$1,A:B,2,))*100)+100</f>
        <v/>
      </c>
      <c r="I203" s="29">
        <f>(((Table134567891011121314151617343[[#This Row],[FRA]]-VLOOKUP($U$1,A:C,3,))/VLOOKUP($U$1,A:C,3,))*100)+100</f>
        <v/>
      </c>
      <c r="J203" s="29">
        <f>(((Table134567891011121314151617343[[#This Row],[DEU]]-VLOOKUP($U$1,A:D,4,))/VLOOKUP($U$1,A:D,4,))*100)+100</f>
        <v/>
      </c>
      <c r="K203" s="29">
        <f>(((Table134567891011121314151617343[[#This Row],[ESP]]-VLOOKUP($U$1,A:E,5,))/VLOOKUP($U$1,A:E,5,))*100)+100</f>
        <v/>
      </c>
      <c r="L203" s="29">
        <f>(((Table134567891011121314151617343[[#This Row],[EA19]]-VLOOKUP($U$1,A:F,6,))/VLOOKUP($U$1,A:F,6,))*100)+100</f>
        <v/>
      </c>
      <c r="M203" s="29">
        <f>(((Table134567891011121314151617343[[#This Row],[GBR]]-VLOOKUP($U$1,A:G,7,))/VLOOKUP($U$1,A:G,7,))*100)+100</f>
        <v/>
      </c>
      <c r="N203" s="29">
        <f>VLOOKUP(A203,Database!$E:$AY,MATCH($N$1,Database!$E$1:$AY$1,0),FALSE)</f>
        <v/>
      </c>
      <c r="O203" s="29">
        <f>(((Table134567891011121314151617343[[#This Row],[USA]]-VLOOKUP($U$1,A:N,14,))/VLOOKUP($U$1,A:N,14,))*100)+100</f>
        <v/>
      </c>
      <c r="P203" s="29">
        <f>VLOOKUP(A203,Database!$E:$AY,MATCH($P$1,Database!$E$1:$AY$1,0),FALSE)</f>
        <v/>
      </c>
      <c r="Q203" s="29">
        <f>(((Table134567891011121314151617343[[#This Row],[JPN]]-VLOOKUP($U$1,A:Q,16,))/VLOOKUP($U$1,A:Q,16,))*100)+100</f>
        <v/>
      </c>
    </row>
    <row r="204" customFormat="1" s="129">
      <c r="A204" s="28" t="n">
        <v>39022</v>
      </c>
      <c r="B204" s="29">
        <f>VLOOKUP(A204,Database!$E:$AY,MATCH($B$1,Database!$E$1:$AY$1,0),FALSE)</f>
        <v/>
      </c>
      <c r="C204" s="29">
        <f>VLOOKUP(A204,Database!$E:$AY,MATCH($C$1,Database!$E$1:$AY$1,0),FALSE)</f>
        <v/>
      </c>
      <c r="D204" s="29">
        <f>VLOOKUP(A204,Database!$E:$AY,MATCH($D$1,Database!$E$1:$AY$1,0),FALSE)</f>
        <v/>
      </c>
      <c r="E204" s="29">
        <f>VLOOKUP(A204,Database!$E:$AY,MATCH($E$1,Database!$E$1:$AY$1,0),FALSE)</f>
        <v/>
      </c>
      <c r="F204" s="29">
        <f>VLOOKUP(A204,Database!$E:$AY,MATCH($F$1,Database!$E$1:$AY$1,0),FALSE)</f>
        <v/>
      </c>
      <c r="G204" s="29">
        <f>VLOOKUP(A204,Database!$E:$AY,MATCH($G$1,Database!$E$1:$AY$1,0),FALSE)</f>
        <v/>
      </c>
      <c r="H204" s="29">
        <f>(((Table134567891011121314151617343[[#This Row],[ITA]]-VLOOKUP($U$1,A:B,2,))/VLOOKUP($U$1,A:B,2,))*100)+100</f>
        <v/>
      </c>
      <c r="I204" s="29">
        <f>(((Table134567891011121314151617343[[#This Row],[FRA]]-VLOOKUP($U$1,A:C,3,))/VLOOKUP($U$1,A:C,3,))*100)+100</f>
        <v/>
      </c>
      <c r="J204" s="29">
        <f>(((Table134567891011121314151617343[[#This Row],[DEU]]-VLOOKUP($U$1,A:D,4,))/VLOOKUP($U$1,A:D,4,))*100)+100</f>
        <v/>
      </c>
      <c r="K204" s="29">
        <f>(((Table134567891011121314151617343[[#This Row],[ESP]]-VLOOKUP($U$1,A:E,5,))/VLOOKUP($U$1,A:E,5,))*100)+100</f>
        <v/>
      </c>
      <c r="L204" s="29">
        <f>(((Table134567891011121314151617343[[#This Row],[EA19]]-VLOOKUP($U$1,A:F,6,))/VLOOKUP($U$1,A:F,6,))*100)+100</f>
        <v/>
      </c>
      <c r="M204" s="29">
        <f>(((Table134567891011121314151617343[[#This Row],[GBR]]-VLOOKUP($U$1,A:G,7,))/VLOOKUP($U$1,A:G,7,))*100)+100</f>
        <v/>
      </c>
      <c r="N204" s="29">
        <f>VLOOKUP(A204,Database!$E:$AY,MATCH($N$1,Database!$E$1:$AY$1,0),FALSE)</f>
        <v/>
      </c>
      <c r="O204" s="29">
        <f>(((Table134567891011121314151617343[[#This Row],[USA]]-VLOOKUP($U$1,A:N,14,))/VLOOKUP($U$1,A:N,14,))*100)+100</f>
        <v/>
      </c>
      <c r="P204" s="29">
        <f>VLOOKUP(A204,Database!$E:$AY,MATCH($P$1,Database!$E$1:$AY$1,0),FALSE)</f>
        <v/>
      </c>
      <c r="Q204" s="29">
        <f>(((Table134567891011121314151617343[[#This Row],[JPN]]-VLOOKUP($U$1,A:Q,16,))/VLOOKUP($U$1,A:Q,16,))*100)+100</f>
        <v/>
      </c>
    </row>
    <row r="205" customFormat="1" s="129">
      <c r="A205" s="28" t="n">
        <v>39052</v>
      </c>
      <c r="B205" s="29">
        <f>VLOOKUP(A205,Database!$E:$AY,MATCH($B$1,Database!$E$1:$AY$1,0),FALSE)</f>
        <v/>
      </c>
      <c r="C205" s="29">
        <f>VLOOKUP(A205,Database!$E:$AY,MATCH($C$1,Database!$E$1:$AY$1,0),FALSE)</f>
        <v/>
      </c>
      <c r="D205" s="29">
        <f>VLOOKUP(A205,Database!$E:$AY,MATCH($D$1,Database!$E$1:$AY$1,0),FALSE)</f>
        <v/>
      </c>
      <c r="E205" s="29">
        <f>VLOOKUP(A205,Database!$E:$AY,MATCH($E$1,Database!$E$1:$AY$1,0),FALSE)</f>
        <v/>
      </c>
      <c r="F205" s="29">
        <f>VLOOKUP(A205,Database!$E:$AY,MATCH($F$1,Database!$E$1:$AY$1,0),FALSE)</f>
        <v/>
      </c>
      <c r="G205" s="29">
        <f>VLOOKUP(A205,Database!$E:$AY,MATCH($G$1,Database!$E$1:$AY$1,0),FALSE)</f>
        <v/>
      </c>
      <c r="H205" s="29">
        <f>(((Table134567891011121314151617343[[#This Row],[ITA]]-VLOOKUP($U$1,A:B,2,))/VLOOKUP($U$1,A:B,2,))*100)+100</f>
        <v/>
      </c>
      <c r="I205" s="29">
        <f>(((Table134567891011121314151617343[[#This Row],[FRA]]-VLOOKUP($U$1,A:C,3,))/VLOOKUP($U$1,A:C,3,))*100)+100</f>
        <v/>
      </c>
      <c r="J205" s="29">
        <f>(((Table134567891011121314151617343[[#This Row],[DEU]]-VLOOKUP($U$1,A:D,4,))/VLOOKUP($U$1,A:D,4,))*100)+100</f>
        <v/>
      </c>
      <c r="K205" s="29">
        <f>(((Table134567891011121314151617343[[#This Row],[ESP]]-VLOOKUP($U$1,A:E,5,))/VLOOKUP($U$1,A:E,5,))*100)+100</f>
        <v/>
      </c>
      <c r="L205" s="29">
        <f>(((Table134567891011121314151617343[[#This Row],[EA19]]-VLOOKUP($U$1,A:F,6,))/VLOOKUP($U$1,A:F,6,))*100)+100</f>
        <v/>
      </c>
      <c r="M205" s="29">
        <f>(((Table134567891011121314151617343[[#This Row],[GBR]]-VLOOKUP($U$1,A:G,7,))/VLOOKUP($U$1,A:G,7,))*100)+100</f>
        <v/>
      </c>
      <c r="N205" s="29">
        <f>VLOOKUP(A205,Database!$E:$AY,MATCH($N$1,Database!$E$1:$AY$1,0),FALSE)</f>
        <v/>
      </c>
      <c r="O205" s="29">
        <f>(((Table134567891011121314151617343[[#This Row],[USA]]-VLOOKUP($U$1,A:N,14,))/VLOOKUP($U$1,A:N,14,))*100)+100</f>
        <v/>
      </c>
      <c r="P205" s="29">
        <f>VLOOKUP(A205,Database!$E:$AY,MATCH($P$1,Database!$E$1:$AY$1,0),FALSE)</f>
        <v/>
      </c>
      <c r="Q205" s="29">
        <f>(((Table134567891011121314151617343[[#This Row],[JPN]]-VLOOKUP($U$1,A:Q,16,))/VLOOKUP($U$1,A:Q,16,))*100)+100</f>
        <v/>
      </c>
    </row>
    <row r="206" customFormat="1" s="129">
      <c r="A206" s="28" t="n">
        <v>39083</v>
      </c>
      <c r="B206" s="29">
        <f>VLOOKUP(A206,Database!$E:$AY,MATCH($B$1,Database!$E$1:$AY$1,0),FALSE)</f>
        <v/>
      </c>
      <c r="C206" s="29">
        <f>VLOOKUP(A206,Database!$E:$AY,MATCH($C$1,Database!$E$1:$AY$1,0),FALSE)</f>
        <v/>
      </c>
      <c r="D206" s="29">
        <f>VLOOKUP(A206,Database!$E:$AY,MATCH($D$1,Database!$E$1:$AY$1,0),FALSE)</f>
        <v/>
      </c>
      <c r="E206" s="29">
        <f>VLOOKUP(A206,Database!$E:$AY,MATCH($E$1,Database!$E$1:$AY$1,0),FALSE)</f>
        <v/>
      </c>
      <c r="F206" s="29">
        <f>VLOOKUP(A206,Database!$E:$AY,MATCH($F$1,Database!$E$1:$AY$1,0),FALSE)</f>
        <v/>
      </c>
      <c r="G206" s="29">
        <f>VLOOKUP(A206,Database!$E:$AY,MATCH($G$1,Database!$E$1:$AY$1,0),FALSE)</f>
        <v/>
      </c>
      <c r="H206" s="29">
        <f>(((Table134567891011121314151617343[[#This Row],[ITA]]-VLOOKUP($U$1,A:B,2,))/VLOOKUP($U$1,A:B,2,))*100)+100</f>
        <v/>
      </c>
      <c r="I206" s="29">
        <f>(((Table134567891011121314151617343[[#This Row],[FRA]]-VLOOKUP($U$1,A:C,3,))/VLOOKUP($U$1,A:C,3,))*100)+100</f>
        <v/>
      </c>
      <c r="J206" s="29">
        <f>(((Table134567891011121314151617343[[#This Row],[DEU]]-VLOOKUP($U$1,A:D,4,))/VLOOKUP($U$1,A:D,4,))*100)+100</f>
        <v/>
      </c>
      <c r="K206" s="29">
        <f>(((Table134567891011121314151617343[[#This Row],[ESP]]-VLOOKUP($U$1,A:E,5,))/VLOOKUP($U$1,A:E,5,))*100)+100</f>
        <v/>
      </c>
      <c r="L206" s="29">
        <f>(((Table134567891011121314151617343[[#This Row],[EA19]]-VLOOKUP($U$1,A:F,6,))/VLOOKUP($U$1,A:F,6,))*100)+100</f>
        <v/>
      </c>
      <c r="M206" s="29">
        <f>(((Table134567891011121314151617343[[#This Row],[GBR]]-VLOOKUP($U$1,A:G,7,))/VLOOKUP($U$1,A:G,7,))*100)+100</f>
        <v/>
      </c>
      <c r="N206" s="29">
        <f>VLOOKUP(A206,Database!$E:$AY,MATCH($N$1,Database!$E$1:$AY$1,0),FALSE)</f>
        <v/>
      </c>
      <c r="O206" s="29">
        <f>(((Table134567891011121314151617343[[#This Row],[USA]]-VLOOKUP($U$1,A:N,14,))/VLOOKUP($U$1,A:N,14,))*100)+100</f>
        <v/>
      </c>
      <c r="P206" s="29">
        <f>VLOOKUP(A206,Database!$E:$AY,MATCH($P$1,Database!$E$1:$AY$1,0),FALSE)</f>
        <v/>
      </c>
      <c r="Q206" s="29">
        <f>(((Table134567891011121314151617343[[#This Row],[JPN]]-VLOOKUP($U$1,A:Q,16,))/VLOOKUP($U$1,A:Q,16,))*100)+100</f>
        <v/>
      </c>
    </row>
    <row r="207" customFormat="1" s="129">
      <c r="A207" s="28" t="n">
        <v>39114</v>
      </c>
      <c r="B207" s="29">
        <f>VLOOKUP(A207,Database!$E:$AY,MATCH($B$1,Database!$E$1:$AY$1,0),FALSE)</f>
        <v/>
      </c>
      <c r="C207" s="29">
        <f>VLOOKUP(A207,Database!$E:$AY,MATCH($C$1,Database!$E$1:$AY$1,0),FALSE)</f>
        <v/>
      </c>
      <c r="D207" s="29">
        <f>VLOOKUP(A207,Database!$E:$AY,MATCH($D$1,Database!$E$1:$AY$1,0),FALSE)</f>
        <v/>
      </c>
      <c r="E207" s="29">
        <f>VLOOKUP(A207,Database!$E:$AY,MATCH($E$1,Database!$E$1:$AY$1,0),FALSE)</f>
        <v/>
      </c>
      <c r="F207" s="29">
        <f>VLOOKUP(A207,Database!$E:$AY,MATCH($F$1,Database!$E$1:$AY$1,0),FALSE)</f>
        <v/>
      </c>
      <c r="G207" s="29">
        <f>VLOOKUP(A207,Database!$E:$AY,MATCH($G$1,Database!$E$1:$AY$1,0),FALSE)</f>
        <v/>
      </c>
      <c r="H207" s="29">
        <f>(((Table134567891011121314151617343[[#This Row],[ITA]]-VLOOKUP($U$1,A:B,2,))/VLOOKUP($U$1,A:B,2,))*100)+100</f>
        <v/>
      </c>
      <c r="I207" s="29">
        <f>(((Table134567891011121314151617343[[#This Row],[FRA]]-VLOOKUP($U$1,A:C,3,))/VLOOKUP($U$1,A:C,3,))*100)+100</f>
        <v/>
      </c>
      <c r="J207" s="29">
        <f>(((Table134567891011121314151617343[[#This Row],[DEU]]-VLOOKUP($U$1,A:D,4,))/VLOOKUP($U$1,A:D,4,))*100)+100</f>
        <v/>
      </c>
      <c r="K207" s="29">
        <f>(((Table134567891011121314151617343[[#This Row],[ESP]]-VLOOKUP($U$1,A:E,5,))/VLOOKUP($U$1,A:E,5,))*100)+100</f>
        <v/>
      </c>
      <c r="L207" s="29">
        <f>(((Table134567891011121314151617343[[#This Row],[EA19]]-VLOOKUP($U$1,A:F,6,))/VLOOKUP($U$1,A:F,6,))*100)+100</f>
        <v/>
      </c>
      <c r="M207" s="29">
        <f>(((Table134567891011121314151617343[[#This Row],[GBR]]-VLOOKUP($U$1,A:G,7,))/VLOOKUP($U$1,A:G,7,))*100)+100</f>
        <v/>
      </c>
      <c r="N207" s="29">
        <f>VLOOKUP(A207,Database!$E:$AY,MATCH($N$1,Database!$E$1:$AY$1,0),FALSE)</f>
        <v/>
      </c>
      <c r="O207" s="29">
        <f>(((Table134567891011121314151617343[[#This Row],[USA]]-VLOOKUP($U$1,A:N,14,))/VLOOKUP($U$1,A:N,14,))*100)+100</f>
        <v/>
      </c>
      <c r="P207" s="29">
        <f>VLOOKUP(A207,Database!$E:$AY,MATCH($P$1,Database!$E$1:$AY$1,0),FALSE)</f>
        <v/>
      </c>
      <c r="Q207" s="29">
        <f>(((Table134567891011121314151617343[[#This Row],[JPN]]-VLOOKUP($U$1,A:Q,16,))/VLOOKUP($U$1,A:Q,16,))*100)+100</f>
        <v/>
      </c>
    </row>
    <row r="208" customFormat="1" s="129">
      <c r="A208" s="28" t="n">
        <v>39142</v>
      </c>
      <c r="B208" s="29">
        <f>VLOOKUP(A208,Database!$E:$AY,MATCH($B$1,Database!$E$1:$AY$1,0),FALSE)</f>
        <v/>
      </c>
      <c r="C208" s="29">
        <f>VLOOKUP(A208,Database!$E:$AY,MATCH($C$1,Database!$E$1:$AY$1,0),FALSE)</f>
        <v/>
      </c>
      <c r="D208" s="29">
        <f>VLOOKUP(A208,Database!$E:$AY,MATCH($D$1,Database!$E$1:$AY$1,0),FALSE)</f>
        <v/>
      </c>
      <c r="E208" s="29">
        <f>VLOOKUP(A208,Database!$E:$AY,MATCH($E$1,Database!$E$1:$AY$1,0),FALSE)</f>
        <v/>
      </c>
      <c r="F208" s="29">
        <f>VLOOKUP(A208,Database!$E:$AY,MATCH($F$1,Database!$E$1:$AY$1,0),FALSE)</f>
        <v/>
      </c>
      <c r="G208" s="29">
        <f>VLOOKUP(A208,Database!$E:$AY,MATCH($G$1,Database!$E$1:$AY$1,0),FALSE)</f>
        <v/>
      </c>
      <c r="H208" s="29">
        <f>(((Table134567891011121314151617343[[#This Row],[ITA]]-VLOOKUP($U$1,A:B,2,))/VLOOKUP($U$1,A:B,2,))*100)+100</f>
        <v/>
      </c>
      <c r="I208" s="29">
        <f>(((Table134567891011121314151617343[[#This Row],[FRA]]-VLOOKUP($U$1,A:C,3,))/VLOOKUP($U$1,A:C,3,))*100)+100</f>
        <v/>
      </c>
      <c r="J208" s="29">
        <f>(((Table134567891011121314151617343[[#This Row],[DEU]]-VLOOKUP($U$1,A:D,4,))/VLOOKUP($U$1,A:D,4,))*100)+100</f>
        <v/>
      </c>
      <c r="K208" s="29">
        <f>(((Table134567891011121314151617343[[#This Row],[ESP]]-VLOOKUP($U$1,A:E,5,))/VLOOKUP($U$1,A:E,5,))*100)+100</f>
        <v/>
      </c>
      <c r="L208" s="29">
        <f>(((Table134567891011121314151617343[[#This Row],[EA19]]-VLOOKUP($U$1,A:F,6,))/VLOOKUP($U$1,A:F,6,))*100)+100</f>
        <v/>
      </c>
      <c r="M208" s="29">
        <f>(((Table134567891011121314151617343[[#This Row],[GBR]]-VLOOKUP($U$1,A:G,7,))/VLOOKUP($U$1,A:G,7,))*100)+100</f>
        <v/>
      </c>
      <c r="N208" s="29">
        <f>VLOOKUP(A208,Database!$E:$AY,MATCH($N$1,Database!$E$1:$AY$1,0),FALSE)</f>
        <v/>
      </c>
      <c r="O208" s="29">
        <f>(((Table134567891011121314151617343[[#This Row],[USA]]-VLOOKUP($U$1,A:N,14,))/VLOOKUP($U$1,A:N,14,))*100)+100</f>
        <v/>
      </c>
      <c r="P208" s="29">
        <f>VLOOKUP(A208,Database!$E:$AY,MATCH($P$1,Database!$E$1:$AY$1,0),FALSE)</f>
        <v/>
      </c>
      <c r="Q208" s="29">
        <f>(((Table134567891011121314151617343[[#This Row],[JPN]]-VLOOKUP($U$1,A:Q,16,))/VLOOKUP($U$1,A:Q,16,))*100)+100</f>
        <v/>
      </c>
    </row>
    <row r="209" customFormat="1" s="129">
      <c r="A209" s="28" t="n">
        <v>39173</v>
      </c>
      <c r="B209" s="29">
        <f>VLOOKUP(A209,Database!$E:$AY,MATCH($B$1,Database!$E$1:$AY$1,0),FALSE)</f>
        <v/>
      </c>
      <c r="C209" s="29">
        <f>VLOOKUP(A209,Database!$E:$AY,MATCH($C$1,Database!$E$1:$AY$1,0),FALSE)</f>
        <v/>
      </c>
      <c r="D209" s="29">
        <f>VLOOKUP(A209,Database!$E:$AY,MATCH($D$1,Database!$E$1:$AY$1,0),FALSE)</f>
        <v/>
      </c>
      <c r="E209" s="29">
        <f>VLOOKUP(A209,Database!$E:$AY,MATCH($E$1,Database!$E$1:$AY$1,0),FALSE)</f>
        <v/>
      </c>
      <c r="F209" s="29">
        <f>VLOOKUP(A209,Database!$E:$AY,MATCH($F$1,Database!$E$1:$AY$1,0),FALSE)</f>
        <v/>
      </c>
      <c r="G209" s="29">
        <f>VLOOKUP(A209,Database!$E:$AY,MATCH($G$1,Database!$E$1:$AY$1,0),FALSE)</f>
        <v/>
      </c>
      <c r="H209" s="29">
        <f>(((Table134567891011121314151617343[[#This Row],[ITA]]-VLOOKUP($U$1,A:B,2,))/VLOOKUP($U$1,A:B,2,))*100)+100</f>
        <v/>
      </c>
      <c r="I209" s="29">
        <f>(((Table134567891011121314151617343[[#This Row],[FRA]]-VLOOKUP($U$1,A:C,3,))/VLOOKUP($U$1,A:C,3,))*100)+100</f>
        <v/>
      </c>
      <c r="J209" s="29">
        <f>(((Table134567891011121314151617343[[#This Row],[DEU]]-VLOOKUP($U$1,A:D,4,))/VLOOKUP($U$1,A:D,4,))*100)+100</f>
        <v/>
      </c>
      <c r="K209" s="29">
        <f>(((Table134567891011121314151617343[[#This Row],[ESP]]-VLOOKUP($U$1,A:E,5,))/VLOOKUP($U$1,A:E,5,))*100)+100</f>
        <v/>
      </c>
      <c r="L209" s="29">
        <f>(((Table134567891011121314151617343[[#This Row],[EA19]]-VLOOKUP($U$1,A:F,6,))/VLOOKUP($U$1,A:F,6,))*100)+100</f>
        <v/>
      </c>
      <c r="M209" s="29">
        <f>(((Table134567891011121314151617343[[#This Row],[GBR]]-VLOOKUP($U$1,A:G,7,))/VLOOKUP($U$1,A:G,7,))*100)+100</f>
        <v/>
      </c>
      <c r="N209" s="29">
        <f>VLOOKUP(A209,Database!$E:$AY,MATCH($N$1,Database!$E$1:$AY$1,0),FALSE)</f>
        <v/>
      </c>
      <c r="O209" s="29">
        <f>(((Table134567891011121314151617343[[#This Row],[USA]]-VLOOKUP($U$1,A:N,14,))/VLOOKUP($U$1,A:N,14,))*100)+100</f>
        <v/>
      </c>
      <c r="P209" s="29">
        <f>VLOOKUP(A209,Database!$E:$AY,MATCH($P$1,Database!$E$1:$AY$1,0),FALSE)</f>
        <v/>
      </c>
      <c r="Q209" s="29">
        <f>(((Table134567891011121314151617343[[#This Row],[JPN]]-VLOOKUP($U$1,A:Q,16,))/VLOOKUP($U$1,A:Q,16,))*100)+100</f>
        <v/>
      </c>
    </row>
    <row r="210" customFormat="1" s="129">
      <c r="A210" s="28" t="n">
        <v>39203</v>
      </c>
      <c r="B210" s="29">
        <f>VLOOKUP(A210,Database!$E:$AY,MATCH($B$1,Database!$E$1:$AY$1,0),FALSE)</f>
        <v/>
      </c>
      <c r="C210" s="29">
        <f>VLOOKUP(A210,Database!$E:$AY,MATCH($C$1,Database!$E$1:$AY$1,0),FALSE)</f>
        <v/>
      </c>
      <c r="D210" s="29">
        <f>VLOOKUP(A210,Database!$E:$AY,MATCH($D$1,Database!$E$1:$AY$1,0),FALSE)</f>
        <v/>
      </c>
      <c r="E210" s="29">
        <f>VLOOKUP(A210,Database!$E:$AY,MATCH($E$1,Database!$E$1:$AY$1,0),FALSE)</f>
        <v/>
      </c>
      <c r="F210" s="29">
        <f>VLOOKUP(A210,Database!$E:$AY,MATCH($F$1,Database!$E$1:$AY$1,0),FALSE)</f>
        <v/>
      </c>
      <c r="G210" s="29">
        <f>VLOOKUP(A210,Database!$E:$AY,MATCH($G$1,Database!$E$1:$AY$1,0),FALSE)</f>
        <v/>
      </c>
      <c r="H210" s="29">
        <f>(((Table134567891011121314151617343[[#This Row],[ITA]]-VLOOKUP($U$1,A:B,2,))/VLOOKUP($U$1,A:B,2,))*100)+100</f>
        <v/>
      </c>
      <c r="I210" s="29">
        <f>(((Table134567891011121314151617343[[#This Row],[FRA]]-VLOOKUP($U$1,A:C,3,))/VLOOKUP($U$1,A:C,3,))*100)+100</f>
        <v/>
      </c>
      <c r="J210" s="29">
        <f>(((Table134567891011121314151617343[[#This Row],[DEU]]-VLOOKUP($U$1,A:D,4,))/VLOOKUP($U$1,A:D,4,))*100)+100</f>
        <v/>
      </c>
      <c r="K210" s="29">
        <f>(((Table134567891011121314151617343[[#This Row],[ESP]]-VLOOKUP($U$1,A:E,5,))/VLOOKUP($U$1,A:E,5,))*100)+100</f>
        <v/>
      </c>
      <c r="L210" s="29">
        <f>(((Table134567891011121314151617343[[#This Row],[EA19]]-VLOOKUP($U$1,A:F,6,))/VLOOKUP($U$1,A:F,6,))*100)+100</f>
        <v/>
      </c>
      <c r="M210" s="29">
        <f>(((Table134567891011121314151617343[[#This Row],[GBR]]-VLOOKUP($U$1,A:G,7,))/VLOOKUP($U$1,A:G,7,))*100)+100</f>
        <v/>
      </c>
      <c r="N210" s="29">
        <f>VLOOKUP(A210,Database!$E:$AY,MATCH($N$1,Database!$E$1:$AY$1,0),FALSE)</f>
        <v/>
      </c>
      <c r="O210" s="29">
        <f>(((Table134567891011121314151617343[[#This Row],[USA]]-VLOOKUP($U$1,A:N,14,))/VLOOKUP($U$1,A:N,14,))*100)+100</f>
        <v/>
      </c>
      <c r="P210" s="29">
        <f>VLOOKUP(A210,Database!$E:$AY,MATCH($P$1,Database!$E$1:$AY$1,0),FALSE)</f>
        <v/>
      </c>
      <c r="Q210" s="29">
        <f>(((Table134567891011121314151617343[[#This Row],[JPN]]-VLOOKUP($U$1,A:Q,16,))/VLOOKUP($U$1,A:Q,16,))*100)+100</f>
        <v/>
      </c>
    </row>
    <row r="211" customFormat="1" s="129">
      <c r="A211" s="28" t="n">
        <v>39234</v>
      </c>
      <c r="B211" s="29">
        <f>VLOOKUP(A211,Database!$E:$AY,MATCH($B$1,Database!$E$1:$AY$1,0),FALSE)</f>
        <v/>
      </c>
      <c r="C211" s="29">
        <f>VLOOKUP(A211,Database!$E:$AY,MATCH($C$1,Database!$E$1:$AY$1,0),FALSE)</f>
        <v/>
      </c>
      <c r="D211" s="29">
        <f>VLOOKUP(A211,Database!$E:$AY,MATCH($D$1,Database!$E$1:$AY$1,0),FALSE)</f>
        <v/>
      </c>
      <c r="E211" s="29">
        <f>VLOOKUP(A211,Database!$E:$AY,MATCH($E$1,Database!$E$1:$AY$1,0),FALSE)</f>
        <v/>
      </c>
      <c r="F211" s="29">
        <f>VLOOKUP(A211,Database!$E:$AY,MATCH($F$1,Database!$E$1:$AY$1,0),FALSE)</f>
        <v/>
      </c>
      <c r="G211" s="29">
        <f>VLOOKUP(A211,Database!$E:$AY,MATCH($G$1,Database!$E$1:$AY$1,0),FALSE)</f>
        <v/>
      </c>
      <c r="H211" s="29">
        <f>(((Table134567891011121314151617343[[#This Row],[ITA]]-VLOOKUP($U$1,A:B,2,))/VLOOKUP($U$1,A:B,2,))*100)+100</f>
        <v/>
      </c>
      <c r="I211" s="29">
        <f>(((Table134567891011121314151617343[[#This Row],[FRA]]-VLOOKUP($U$1,A:C,3,))/VLOOKUP($U$1,A:C,3,))*100)+100</f>
        <v/>
      </c>
      <c r="J211" s="29">
        <f>(((Table134567891011121314151617343[[#This Row],[DEU]]-VLOOKUP($U$1,A:D,4,))/VLOOKUP($U$1,A:D,4,))*100)+100</f>
        <v/>
      </c>
      <c r="K211" s="29">
        <f>(((Table134567891011121314151617343[[#This Row],[ESP]]-VLOOKUP($U$1,A:E,5,))/VLOOKUP($U$1,A:E,5,))*100)+100</f>
        <v/>
      </c>
      <c r="L211" s="29">
        <f>(((Table134567891011121314151617343[[#This Row],[EA19]]-VLOOKUP($U$1,A:F,6,))/VLOOKUP($U$1,A:F,6,))*100)+100</f>
        <v/>
      </c>
      <c r="M211" s="29">
        <f>(((Table134567891011121314151617343[[#This Row],[GBR]]-VLOOKUP($U$1,A:G,7,))/VLOOKUP($U$1,A:G,7,))*100)+100</f>
        <v/>
      </c>
      <c r="N211" s="29">
        <f>VLOOKUP(A211,Database!$E:$AY,MATCH($N$1,Database!$E$1:$AY$1,0),FALSE)</f>
        <v/>
      </c>
      <c r="O211" s="29">
        <f>(((Table134567891011121314151617343[[#This Row],[USA]]-VLOOKUP($U$1,A:N,14,))/VLOOKUP($U$1,A:N,14,))*100)+100</f>
        <v/>
      </c>
      <c r="P211" s="29">
        <f>VLOOKUP(A211,Database!$E:$AY,MATCH($P$1,Database!$E$1:$AY$1,0),FALSE)</f>
        <v/>
      </c>
      <c r="Q211" s="29">
        <f>(((Table134567891011121314151617343[[#This Row],[JPN]]-VLOOKUP($U$1,A:Q,16,))/VLOOKUP($U$1,A:Q,16,))*100)+100</f>
        <v/>
      </c>
    </row>
    <row r="212" customFormat="1" s="129">
      <c r="A212" s="28" t="n">
        <v>39264</v>
      </c>
      <c r="B212" s="29">
        <f>VLOOKUP(A212,Database!$E:$AY,MATCH($B$1,Database!$E$1:$AY$1,0),FALSE)</f>
        <v/>
      </c>
      <c r="C212" s="29">
        <f>VLOOKUP(A212,Database!$E:$AY,MATCH($C$1,Database!$E$1:$AY$1,0),FALSE)</f>
        <v/>
      </c>
      <c r="D212" s="29">
        <f>VLOOKUP(A212,Database!$E:$AY,MATCH($D$1,Database!$E$1:$AY$1,0),FALSE)</f>
        <v/>
      </c>
      <c r="E212" s="29">
        <f>VLOOKUP(A212,Database!$E:$AY,MATCH($E$1,Database!$E$1:$AY$1,0),FALSE)</f>
        <v/>
      </c>
      <c r="F212" s="29">
        <f>VLOOKUP(A212,Database!$E:$AY,MATCH($F$1,Database!$E$1:$AY$1,0),FALSE)</f>
        <v/>
      </c>
      <c r="G212" s="29">
        <f>VLOOKUP(A212,Database!$E:$AY,MATCH($G$1,Database!$E$1:$AY$1,0),FALSE)</f>
        <v/>
      </c>
      <c r="H212" s="29">
        <f>(((Table134567891011121314151617343[[#This Row],[ITA]]-VLOOKUP($U$1,A:B,2,))/VLOOKUP($U$1,A:B,2,))*100)+100</f>
        <v/>
      </c>
      <c r="I212" s="29">
        <f>(((Table134567891011121314151617343[[#This Row],[FRA]]-VLOOKUP($U$1,A:C,3,))/VLOOKUP($U$1,A:C,3,))*100)+100</f>
        <v/>
      </c>
      <c r="J212" s="29">
        <f>(((Table134567891011121314151617343[[#This Row],[DEU]]-VLOOKUP($U$1,A:D,4,))/VLOOKUP($U$1,A:D,4,))*100)+100</f>
        <v/>
      </c>
      <c r="K212" s="29">
        <f>(((Table134567891011121314151617343[[#This Row],[ESP]]-VLOOKUP($U$1,A:E,5,))/VLOOKUP($U$1,A:E,5,))*100)+100</f>
        <v/>
      </c>
      <c r="L212" s="29">
        <f>(((Table134567891011121314151617343[[#This Row],[EA19]]-VLOOKUP($U$1,A:F,6,))/VLOOKUP($U$1,A:F,6,))*100)+100</f>
        <v/>
      </c>
      <c r="M212" s="29">
        <f>(((Table134567891011121314151617343[[#This Row],[GBR]]-VLOOKUP($U$1,A:G,7,))/VLOOKUP($U$1,A:G,7,))*100)+100</f>
        <v/>
      </c>
      <c r="N212" s="29">
        <f>VLOOKUP(A212,Database!$E:$AY,MATCH($N$1,Database!$E$1:$AY$1,0),FALSE)</f>
        <v/>
      </c>
      <c r="O212" s="29">
        <f>(((Table134567891011121314151617343[[#This Row],[USA]]-VLOOKUP($U$1,A:N,14,))/VLOOKUP($U$1,A:N,14,))*100)+100</f>
        <v/>
      </c>
      <c r="P212" s="29">
        <f>VLOOKUP(A212,Database!$E:$AY,MATCH($P$1,Database!$E$1:$AY$1,0),FALSE)</f>
        <v/>
      </c>
      <c r="Q212" s="29">
        <f>(((Table134567891011121314151617343[[#This Row],[JPN]]-VLOOKUP($U$1,A:Q,16,))/VLOOKUP($U$1,A:Q,16,))*100)+100</f>
        <v/>
      </c>
    </row>
    <row r="213" customFormat="1" s="129">
      <c r="A213" s="28" t="n">
        <v>39295</v>
      </c>
      <c r="B213" s="29">
        <f>VLOOKUP(A213,Database!$E:$AY,MATCH($B$1,Database!$E$1:$AY$1,0),FALSE)</f>
        <v/>
      </c>
      <c r="C213" s="29">
        <f>VLOOKUP(A213,Database!$E:$AY,MATCH($C$1,Database!$E$1:$AY$1,0),FALSE)</f>
        <v/>
      </c>
      <c r="D213" s="29">
        <f>VLOOKUP(A213,Database!$E:$AY,MATCH($D$1,Database!$E$1:$AY$1,0),FALSE)</f>
        <v/>
      </c>
      <c r="E213" s="29">
        <f>VLOOKUP(A213,Database!$E:$AY,MATCH($E$1,Database!$E$1:$AY$1,0),FALSE)</f>
        <v/>
      </c>
      <c r="F213" s="29">
        <f>VLOOKUP(A213,Database!$E:$AY,MATCH($F$1,Database!$E$1:$AY$1,0),FALSE)</f>
        <v/>
      </c>
      <c r="G213" s="29">
        <f>VLOOKUP(A213,Database!$E:$AY,MATCH($G$1,Database!$E$1:$AY$1,0),FALSE)</f>
        <v/>
      </c>
      <c r="H213" s="29">
        <f>(((Table134567891011121314151617343[[#This Row],[ITA]]-VLOOKUP($U$1,A:B,2,))/VLOOKUP($U$1,A:B,2,))*100)+100</f>
        <v/>
      </c>
      <c r="I213" s="29">
        <f>(((Table134567891011121314151617343[[#This Row],[FRA]]-VLOOKUP($U$1,A:C,3,))/VLOOKUP($U$1,A:C,3,))*100)+100</f>
        <v/>
      </c>
      <c r="J213" s="29">
        <f>(((Table134567891011121314151617343[[#This Row],[DEU]]-VLOOKUP($U$1,A:D,4,))/VLOOKUP($U$1,A:D,4,))*100)+100</f>
        <v/>
      </c>
      <c r="K213" s="29">
        <f>(((Table134567891011121314151617343[[#This Row],[ESP]]-VLOOKUP($U$1,A:E,5,))/VLOOKUP($U$1,A:E,5,))*100)+100</f>
        <v/>
      </c>
      <c r="L213" s="29">
        <f>(((Table134567891011121314151617343[[#This Row],[EA19]]-VLOOKUP($U$1,A:F,6,))/VLOOKUP($U$1,A:F,6,))*100)+100</f>
        <v/>
      </c>
      <c r="M213" s="29">
        <f>(((Table134567891011121314151617343[[#This Row],[GBR]]-VLOOKUP($U$1,A:G,7,))/VLOOKUP($U$1,A:G,7,))*100)+100</f>
        <v/>
      </c>
      <c r="N213" s="29">
        <f>VLOOKUP(A213,Database!$E:$AY,MATCH($N$1,Database!$E$1:$AY$1,0),FALSE)</f>
        <v/>
      </c>
      <c r="O213" s="29">
        <f>(((Table134567891011121314151617343[[#This Row],[USA]]-VLOOKUP($U$1,A:N,14,))/VLOOKUP($U$1,A:N,14,))*100)+100</f>
        <v/>
      </c>
      <c r="P213" s="29">
        <f>VLOOKUP(A213,Database!$E:$AY,MATCH($P$1,Database!$E$1:$AY$1,0),FALSE)</f>
        <v/>
      </c>
      <c r="Q213" s="29">
        <f>(((Table134567891011121314151617343[[#This Row],[JPN]]-VLOOKUP($U$1,A:Q,16,))/VLOOKUP($U$1,A:Q,16,))*100)+100</f>
        <v/>
      </c>
    </row>
    <row r="214" customFormat="1" s="129">
      <c r="A214" s="28" t="n">
        <v>39326</v>
      </c>
      <c r="B214" s="29">
        <f>VLOOKUP(A214,Database!$E:$AY,MATCH($B$1,Database!$E$1:$AY$1,0),FALSE)</f>
        <v/>
      </c>
      <c r="C214" s="29">
        <f>VLOOKUP(A214,Database!$E:$AY,MATCH($C$1,Database!$E$1:$AY$1,0),FALSE)</f>
        <v/>
      </c>
      <c r="D214" s="29">
        <f>VLOOKUP(A214,Database!$E:$AY,MATCH($D$1,Database!$E$1:$AY$1,0),FALSE)</f>
        <v/>
      </c>
      <c r="E214" s="29">
        <f>VLOOKUP(A214,Database!$E:$AY,MATCH($E$1,Database!$E$1:$AY$1,0),FALSE)</f>
        <v/>
      </c>
      <c r="F214" s="29">
        <f>VLOOKUP(A214,Database!$E:$AY,MATCH($F$1,Database!$E$1:$AY$1,0),FALSE)</f>
        <v/>
      </c>
      <c r="G214" s="29">
        <f>VLOOKUP(A214,Database!$E:$AY,MATCH($G$1,Database!$E$1:$AY$1,0),FALSE)</f>
        <v/>
      </c>
      <c r="H214" s="29">
        <f>(((Table134567891011121314151617343[[#This Row],[ITA]]-VLOOKUP($U$1,A:B,2,))/VLOOKUP($U$1,A:B,2,))*100)+100</f>
        <v/>
      </c>
      <c r="I214" s="29">
        <f>(((Table134567891011121314151617343[[#This Row],[FRA]]-VLOOKUP($U$1,A:C,3,))/VLOOKUP($U$1,A:C,3,))*100)+100</f>
        <v/>
      </c>
      <c r="J214" s="29">
        <f>(((Table134567891011121314151617343[[#This Row],[DEU]]-VLOOKUP($U$1,A:D,4,))/VLOOKUP($U$1,A:D,4,))*100)+100</f>
        <v/>
      </c>
      <c r="K214" s="29">
        <f>(((Table134567891011121314151617343[[#This Row],[ESP]]-VLOOKUP($U$1,A:E,5,))/VLOOKUP($U$1,A:E,5,))*100)+100</f>
        <v/>
      </c>
      <c r="L214" s="29">
        <f>(((Table134567891011121314151617343[[#This Row],[EA19]]-VLOOKUP($U$1,A:F,6,))/VLOOKUP($U$1,A:F,6,))*100)+100</f>
        <v/>
      </c>
      <c r="M214" s="29">
        <f>(((Table134567891011121314151617343[[#This Row],[GBR]]-VLOOKUP($U$1,A:G,7,))/VLOOKUP($U$1,A:G,7,))*100)+100</f>
        <v/>
      </c>
      <c r="N214" s="29">
        <f>VLOOKUP(A214,Database!$E:$AY,MATCH($N$1,Database!$E$1:$AY$1,0),FALSE)</f>
        <v/>
      </c>
      <c r="O214" s="29">
        <f>(((Table134567891011121314151617343[[#This Row],[USA]]-VLOOKUP($U$1,A:N,14,))/VLOOKUP($U$1,A:N,14,))*100)+100</f>
        <v/>
      </c>
      <c r="P214" s="29">
        <f>VLOOKUP(A214,Database!$E:$AY,MATCH($P$1,Database!$E$1:$AY$1,0),FALSE)</f>
        <v/>
      </c>
      <c r="Q214" s="29">
        <f>(((Table134567891011121314151617343[[#This Row],[JPN]]-VLOOKUP($U$1,A:Q,16,))/VLOOKUP($U$1,A:Q,16,))*100)+100</f>
        <v/>
      </c>
    </row>
    <row r="215" customFormat="1" s="129">
      <c r="A215" s="28" t="n">
        <v>39356</v>
      </c>
      <c r="B215" s="29">
        <f>VLOOKUP(A215,Database!$E:$AY,MATCH($B$1,Database!$E$1:$AY$1,0),FALSE)</f>
        <v/>
      </c>
      <c r="C215" s="29">
        <f>VLOOKUP(A215,Database!$E:$AY,MATCH($C$1,Database!$E$1:$AY$1,0),FALSE)</f>
        <v/>
      </c>
      <c r="D215" s="29">
        <f>VLOOKUP(A215,Database!$E:$AY,MATCH($D$1,Database!$E$1:$AY$1,0),FALSE)</f>
        <v/>
      </c>
      <c r="E215" s="29">
        <f>VLOOKUP(A215,Database!$E:$AY,MATCH($E$1,Database!$E$1:$AY$1,0),FALSE)</f>
        <v/>
      </c>
      <c r="F215" s="29">
        <f>VLOOKUP(A215,Database!$E:$AY,MATCH($F$1,Database!$E$1:$AY$1,0),FALSE)</f>
        <v/>
      </c>
      <c r="G215" s="29">
        <f>VLOOKUP(A215,Database!$E:$AY,MATCH($G$1,Database!$E$1:$AY$1,0),FALSE)</f>
        <v/>
      </c>
      <c r="H215" s="29">
        <f>(((Table134567891011121314151617343[[#This Row],[ITA]]-VLOOKUP($U$1,A:B,2,))/VLOOKUP($U$1,A:B,2,))*100)+100</f>
        <v/>
      </c>
      <c r="I215" s="29">
        <f>(((Table134567891011121314151617343[[#This Row],[FRA]]-VLOOKUP($U$1,A:C,3,))/VLOOKUP($U$1,A:C,3,))*100)+100</f>
        <v/>
      </c>
      <c r="J215" s="29">
        <f>(((Table134567891011121314151617343[[#This Row],[DEU]]-VLOOKUP($U$1,A:D,4,))/VLOOKUP($U$1,A:D,4,))*100)+100</f>
        <v/>
      </c>
      <c r="K215" s="29">
        <f>(((Table134567891011121314151617343[[#This Row],[ESP]]-VLOOKUP($U$1,A:E,5,))/VLOOKUP($U$1,A:E,5,))*100)+100</f>
        <v/>
      </c>
      <c r="L215" s="29">
        <f>(((Table134567891011121314151617343[[#This Row],[EA19]]-VLOOKUP($U$1,A:F,6,))/VLOOKUP($U$1,A:F,6,))*100)+100</f>
        <v/>
      </c>
      <c r="M215" s="29">
        <f>(((Table134567891011121314151617343[[#This Row],[GBR]]-VLOOKUP($U$1,A:G,7,))/VLOOKUP($U$1,A:G,7,))*100)+100</f>
        <v/>
      </c>
      <c r="N215" s="29">
        <f>VLOOKUP(A215,Database!$E:$AY,MATCH($N$1,Database!$E$1:$AY$1,0),FALSE)</f>
        <v/>
      </c>
      <c r="O215" s="29">
        <f>(((Table134567891011121314151617343[[#This Row],[USA]]-VLOOKUP($U$1,A:N,14,))/VLOOKUP($U$1,A:N,14,))*100)+100</f>
        <v/>
      </c>
      <c r="P215" s="29">
        <f>VLOOKUP(A215,Database!$E:$AY,MATCH($P$1,Database!$E$1:$AY$1,0),FALSE)</f>
        <v/>
      </c>
      <c r="Q215" s="29">
        <f>(((Table134567891011121314151617343[[#This Row],[JPN]]-VLOOKUP($U$1,A:Q,16,))/VLOOKUP($U$1,A:Q,16,))*100)+100</f>
        <v/>
      </c>
    </row>
    <row r="216" customFormat="1" s="129">
      <c r="A216" s="28" t="n">
        <v>39387</v>
      </c>
      <c r="B216" s="29">
        <f>VLOOKUP(A216,Database!$E:$AY,MATCH($B$1,Database!$E$1:$AY$1,0),FALSE)</f>
        <v/>
      </c>
      <c r="C216" s="29">
        <f>VLOOKUP(A216,Database!$E:$AY,MATCH($C$1,Database!$E$1:$AY$1,0),FALSE)</f>
        <v/>
      </c>
      <c r="D216" s="29">
        <f>VLOOKUP(A216,Database!$E:$AY,MATCH($D$1,Database!$E$1:$AY$1,0),FALSE)</f>
        <v/>
      </c>
      <c r="E216" s="29">
        <f>VLOOKUP(A216,Database!$E:$AY,MATCH($E$1,Database!$E$1:$AY$1,0),FALSE)</f>
        <v/>
      </c>
      <c r="F216" s="29">
        <f>VLOOKUP(A216,Database!$E:$AY,MATCH($F$1,Database!$E$1:$AY$1,0),FALSE)</f>
        <v/>
      </c>
      <c r="G216" s="29">
        <f>VLOOKUP(A216,Database!$E:$AY,MATCH($G$1,Database!$E$1:$AY$1,0),FALSE)</f>
        <v/>
      </c>
      <c r="H216" s="29">
        <f>(((Table134567891011121314151617343[[#This Row],[ITA]]-VLOOKUP($U$1,A:B,2,))/VLOOKUP($U$1,A:B,2,))*100)+100</f>
        <v/>
      </c>
      <c r="I216" s="29">
        <f>(((Table134567891011121314151617343[[#This Row],[FRA]]-VLOOKUP($U$1,A:C,3,))/VLOOKUP($U$1,A:C,3,))*100)+100</f>
        <v/>
      </c>
      <c r="J216" s="29">
        <f>(((Table134567891011121314151617343[[#This Row],[DEU]]-VLOOKUP($U$1,A:D,4,))/VLOOKUP($U$1,A:D,4,))*100)+100</f>
        <v/>
      </c>
      <c r="K216" s="29">
        <f>(((Table134567891011121314151617343[[#This Row],[ESP]]-VLOOKUP($U$1,A:E,5,))/VLOOKUP($U$1,A:E,5,))*100)+100</f>
        <v/>
      </c>
      <c r="L216" s="29">
        <f>(((Table134567891011121314151617343[[#This Row],[EA19]]-VLOOKUP($U$1,A:F,6,))/VLOOKUP($U$1,A:F,6,))*100)+100</f>
        <v/>
      </c>
      <c r="M216" s="29">
        <f>(((Table134567891011121314151617343[[#This Row],[GBR]]-VLOOKUP($U$1,A:G,7,))/VLOOKUP($U$1,A:G,7,))*100)+100</f>
        <v/>
      </c>
      <c r="N216" s="29">
        <f>VLOOKUP(A216,Database!$E:$AY,MATCH($N$1,Database!$E$1:$AY$1,0),FALSE)</f>
        <v/>
      </c>
      <c r="O216" s="29">
        <f>(((Table134567891011121314151617343[[#This Row],[USA]]-VLOOKUP($U$1,A:N,14,))/VLOOKUP($U$1,A:N,14,))*100)+100</f>
        <v/>
      </c>
      <c r="P216" s="29">
        <f>VLOOKUP(A216,Database!$E:$AY,MATCH($P$1,Database!$E$1:$AY$1,0),FALSE)</f>
        <v/>
      </c>
      <c r="Q216" s="29">
        <f>(((Table134567891011121314151617343[[#This Row],[JPN]]-VLOOKUP($U$1,A:Q,16,))/VLOOKUP($U$1,A:Q,16,))*100)+100</f>
        <v/>
      </c>
    </row>
    <row r="217" customFormat="1" s="129">
      <c r="A217" s="28" t="n">
        <v>39417</v>
      </c>
      <c r="B217" s="29">
        <f>VLOOKUP(A217,Database!$E:$AY,MATCH($B$1,Database!$E$1:$AY$1,0),FALSE)</f>
        <v/>
      </c>
      <c r="C217" s="29">
        <f>VLOOKUP(A217,Database!$E:$AY,MATCH($C$1,Database!$E$1:$AY$1,0),FALSE)</f>
        <v/>
      </c>
      <c r="D217" s="29">
        <f>VLOOKUP(A217,Database!$E:$AY,MATCH($D$1,Database!$E$1:$AY$1,0),FALSE)</f>
        <v/>
      </c>
      <c r="E217" s="29">
        <f>VLOOKUP(A217,Database!$E:$AY,MATCH($E$1,Database!$E$1:$AY$1,0),FALSE)</f>
        <v/>
      </c>
      <c r="F217" s="29">
        <f>VLOOKUP(A217,Database!$E:$AY,MATCH($F$1,Database!$E$1:$AY$1,0),FALSE)</f>
        <v/>
      </c>
      <c r="G217" s="29">
        <f>VLOOKUP(A217,Database!$E:$AY,MATCH($G$1,Database!$E$1:$AY$1,0),FALSE)</f>
        <v/>
      </c>
      <c r="H217" s="29">
        <f>(((Table134567891011121314151617343[[#This Row],[ITA]]-VLOOKUP($U$1,A:B,2,))/VLOOKUP($U$1,A:B,2,))*100)+100</f>
        <v/>
      </c>
      <c r="I217" s="29">
        <f>(((Table134567891011121314151617343[[#This Row],[FRA]]-VLOOKUP($U$1,A:C,3,))/VLOOKUP($U$1,A:C,3,))*100)+100</f>
        <v/>
      </c>
      <c r="J217" s="29">
        <f>(((Table134567891011121314151617343[[#This Row],[DEU]]-VLOOKUP($U$1,A:D,4,))/VLOOKUP($U$1,A:D,4,))*100)+100</f>
        <v/>
      </c>
      <c r="K217" s="29">
        <f>(((Table134567891011121314151617343[[#This Row],[ESP]]-VLOOKUP($U$1,A:E,5,))/VLOOKUP($U$1,A:E,5,))*100)+100</f>
        <v/>
      </c>
      <c r="L217" s="29">
        <f>(((Table134567891011121314151617343[[#This Row],[EA19]]-VLOOKUP($U$1,A:F,6,))/VLOOKUP($U$1,A:F,6,))*100)+100</f>
        <v/>
      </c>
      <c r="M217" s="29">
        <f>(((Table134567891011121314151617343[[#This Row],[GBR]]-VLOOKUP($U$1,A:G,7,))/VLOOKUP($U$1,A:G,7,))*100)+100</f>
        <v/>
      </c>
      <c r="N217" s="29">
        <f>VLOOKUP(A217,Database!$E:$AY,MATCH($N$1,Database!$E$1:$AY$1,0),FALSE)</f>
        <v/>
      </c>
      <c r="O217" s="29">
        <f>(((Table134567891011121314151617343[[#This Row],[USA]]-VLOOKUP($U$1,A:N,14,))/VLOOKUP($U$1,A:N,14,))*100)+100</f>
        <v/>
      </c>
      <c r="P217" s="29">
        <f>VLOOKUP(A217,Database!$E:$AY,MATCH($P$1,Database!$E$1:$AY$1,0),FALSE)</f>
        <v/>
      </c>
      <c r="Q217" s="29">
        <f>(((Table134567891011121314151617343[[#This Row],[JPN]]-VLOOKUP($U$1,A:Q,16,))/VLOOKUP($U$1,A:Q,16,))*100)+100</f>
        <v/>
      </c>
    </row>
    <row r="218" customFormat="1" s="129">
      <c r="A218" s="28" t="n">
        <v>39448</v>
      </c>
      <c r="B218" s="29">
        <f>VLOOKUP(A218,Database!$E:$AY,MATCH($B$1,Database!$E$1:$AY$1,0),FALSE)</f>
        <v/>
      </c>
      <c r="C218" s="29">
        <f>VLOOKUP(A218,Database!$E:$AY,MATCH($C$1,Database!$E$1:$AY$1,0),FALSE)</f>
        <v/>
      </c>
      <c r="D218" s="29">
        <f>VLOOKUP(A218,Database!$E:$AY,MATCH($D$1,Database!$E$1:$AY$1,0),FALSE)</f>
        <v/>
      </c>
      <c r="E218" s="29">
        <f>VLOOKUP(A218,Database!$E:$AY,MATCH($E$1,Database!$E$1:$AY$1,0),FALSE)</f>
        <v/>
      </c>
      <c r="F218" s="29">
        <f>VLOOKUP(A218,Database!$E:$AY,MATCH($F$1,Database!$E$1:$AY$1,0),FALSE)</f>
        <v/>
      </c>
      <c r="G218" s="29">
        <f>VLOOKUP(A218,Database!$E:$AY,MATCH($G$1,Database!$E$1:$AY$1,0),FALSE)</f>
        <v/>
      </c>
      <c r="H218" s="29">
        <f>(((Table134567891011121314151617343[[#This Row],[ITA]]-VLOOKUP($U$1,A:B,2,))/VLOOKUP($U$1,A:B,2,))*100)+100</f>
        <v/>
      </c>
      <c r="I218" s="29">
        <f>(((Table134567891011121314151617343[[#This Row],[FRA]]-VLOOKUP($U$1,A:C,3,))/VLOOKUP($U$1,A:C,3,))*100)+100</f>
        <v/>
      </c>
      <c r="J218" s="29">
        <f>(((Table134567891011121314151617343[[#This Row],[DEU]]-VLOOKUP($U$1,A:D,4,))/VLOOKUP($U$1,A:D,4,))*100)+100</f>
        <v/>
      </c>
      <c r="K218" s="29">
        <f>(((Table134567891011121314151617343[[#This Row],[ESP]]-VLOOKUP($U$1,A:E,5,))/VLOOKUP($U$1,A:E,5,))*100)+100</f>
        <v/>
      </c>
      <c r="L218" s="29">
        <f>(((Table134567891011121314151617343[[#This Row],[EA19]]-VLOOKUP($U$1,A:F,6,))/VLOOKUP($U$1,A:F,6,))*100)+100</f>
        <v/>
      </c>
      <c r="M218" s="29">
        <f>(((Table134567891011121314151617343[[#This Row],[GBR]]-VLOOKUP($U$1,A:G,7,))/VLOOKUP($U$1,A:G,7,))*100)+100</f>
        <v/>
      </c>
      <c r="N218" s="29">
        <f>VLOOKUP(A218,Database!$E:$AY,MATCH($N$1,Database!$E$1:$AY$1,0),FALSE)</f>
        <v/>
      </c>
      <c r="O218" s="29">
        <f>(((Table134567891011121314151617343[[#This Row],[USA]]-VLOOKUP($U$1,A:N,14,))/VLOOKUP($U$1,A:N,14,))*100)+100</f>
        <v/>
      </c>
      <c r="P218" s="29">
        <f>VLOOKUP(A218,Database!$E:$AY,MATCH($P$1,Database!$E$1:$AY$1,0),FALSE)</f>
        <v/>
      </c>
      <c r="Q218" s="29">
        <f>(((Table134567891011121314151617343[[#This Row],[JPN]]-VLOOKUP($U$1,A:Q,16,))/VLOOKUP($U$1,A:Q,16,))*100)+100</f>
        <v/>
      </c>
    </row>
    <row r="219" customFormat="1" s="129">
      <c r="A219" s="28" t="n">
        <v>39479</v>
      </c>
      <c r="B219" s="29">
        <f>VLOOKUP(A219,Database!$E:$AY,MATCH($B$1,Database!$E$1:$AY$1,0),FALSE)</f>
        <v/>
      </c>
      <c r="C219" s="29">
        <f>VLOOKUP(A219,Database!$E:$AY,MATCH($C$1,Database!$E$1:$AY$1,0),FALSE)</f>
        <v/>
      </c>
      <c r="D219" s="29">
        <f>VLOOKUP(A219,Database!$E:$AY,MATCH($D$1,Database!$E$1:$AY$1,0),FALSE)</f>
        <v/>
      </c>
      <c r="E219" s="29">
        <f>VLOOKUP(A219,Database!$E:$AY,MATCH($E$1,Database!$E$1:$AY$1,0),FALSE)</f>
        <v/>
      </c>
      <c r="F219" s="29">
        <f>VLOOKUP(A219,Database!$E:$AY,MATCH($F$1,Database!$E$1:$AY$1,0),FALSE)</f>
        <v/>
      </c>
      <c r="G219" s="29">
        <f>VLOOKUP(A219,Database!$E:$AY,MATCH($G$1,Database!$E$1:$AY$1,0),FALSE)</f>
        <v/>
      </c>
      <c r="H219" s="29">
        <f>(((Table134567891011121314151617343[[#This Row],[ITA]]-VLOOKUP($U$1,A:B,2,))/VLOOKUP($U$1,A:B,2,))*100)+100</f>
        <v/>
      </c>
      <c r="I219" s="29">
        <f>(((Table134567891011121314151617343[[#This Row],[FRA]]-VLOOKUP($U$1,A:C,3,))/VLOOKUP($U$1,A:C,3,))*100)+100</f>
        <v/>
      </c>
      <c r="J219" s="29">
        <f>(((Table134567891011121314151617343[[#This Row],[DEU]]-VLOOKUP($U$1,A:D,4,))/VLOOKUP($U$1,A:D,4,))*100)+100</f>
        <v/>
      </c>
      <c r="K219" s="29">
        <f>(((Table134567891011121314151617343[[#This Row],[ESP]]-VLOOKUP($U$1,A:E,5,))/VLOOKUP($U$1,A:E,5,))*100)+100</f>
        <v/>
      </c>
      <c r="L219" s="29">
        <f>(((Table134567891011121314151617343[[#This Row],[EA19]]-VLOOKUP($U$1,A:F,6,))/VLOOKUP($U$1,A:F,6,))*100)+100</f>
        <v/>
      </c>
      <c r="M219" s="29">
        <f>(((Table134567891011121314151617343[[#This Row],[GBR]]-VLOOKUP($U$1,A:G,7,))/VLOOKUP($U$1,A:G,7,))*100)+100</f>
        <v/>
      </c>
      <c r="N219" s="29">
        <f>VLOOKUP(A219,Database!$E:$AY,MATCH($N$1,Database!$E$1:$AY$1,0),FALSE)</f>
        <v/>
      </c>
      <c r="O219" s="29">
        <f>(((Table134567891011121314151617343[[#This Row],[USA]]-VLOOKUP($U$1,A:N,14,))/VLOOKUP($U$1,A:N,14,))*100)+100</f>
        <v/>
      </c>
      <c r="P219" s="29">
        <f>VLOOKUP(A219,Database!$E:$AY,MATCH($P$1,Database!$E$1:$AY$1,0),FALSE)</f>
        <v/>
      </c>
      <c r="Q219" s="29">
        <f>(((Table134567891011121314151617343[[#This Row],[JPN]]-VLOOKUP($U$1,A:Q,16,))/VLOOKUP($U$1,A:Q,16,))*100)+100</f>
        <v/>
      </c>
    </row>
    <row r="220" customFormat="1" s="129">
      <c r="A220" s="28" t="n">
        <v>39508</v>
      </c>
      <c r="B220" s="29">
        <f>VLOOKUP(A220,Database!$E:$AY,MATCH($B$1,Database!$E$1:$AY$1,0),FALSE)</f>
        <v/>
      </c>
      <c r="C220" s="29">
        <f>VLOOKUP(A220,Database!$E:$AY,MATCH($C$1,Database!$E$1:$AY$1,0),FALSE)</f>
        <v/>
      </c>
      <c r="D220" s="29">
        <f>VLOOKUP(A220,Database!$E:$AY,MATCH($D$1,Database!$E$1:$AY$1,0),FALSE)</f>
        <v/>
      </c>
      <c r="E220" s="29">
        <f>VLOOKUP(A220,Database!$E:$AY,MATCH($E$1,Database!$E$1:$AY$1,0),FALSE)</f>
        <v/>
      </c>
      <c r="F220" s="29">
        <f>VLOOKUP(A220,Database!$E:$AY,MATCH($F$1,Database!$E$1:$AY$1,0),FALSE)</f>
        <v/>
      </c>
      <c r="G220" s="29">
        <f>VLOOKUP(A220,Database!$E:$AY,MATCH($G$1,Database!$E$1:$AY$1,0),FALSE)</f>
        <v/>
      </c>
      <c r="H220" s="29">
        <f>(((Table134567891011121314151617343[[#This Row],[ITA]]-VLOOKUP($U$1,A:B,2,))/VLOOKUP($U$1,A:B,2,))*100)+100</f>
        <v/>
      </c>
      <c r="I220" s="29">
        <f>(((Table134567891011121314151617343[[#This Row],[FRA]]-VLOOKUP($U$1,A:C,3,))/VLOOKUP($U$1,A:C,3,))*100)+100</f>
        <v/>
      </c>
      <c r="J220" s="29">
        <f>(((Table134567891011121314151617343[[#This Row],[DEU]]-VLOOKUP($U$1,A:D,4,))/VLOOKUP($U$1,A:D,4,))*100)+100</f>
        <v/>
      </c>
      <c r="K220" s="29">
        <f>(((Table134567891011121314151617343[[#This Row],[ESP]]-VLOOKUP($U$1,A:E,5,))/VLOOKUP($U$1,A:E,5,))*100)+100</f>
        <v/>
      </c>
      <c r="L220" s="29">
        <f>(((Table134567891011121314151617343[[#This Row],[EA19]]-VLOOKUP($U$1,A:F,6,))/VLOOKUP($U$1,A:F,6,))*100)+100</f>
        <v/>
      </c>
      <c r="M220" s="29">
        <f>(((Table134567891011121314151617343[[#This Row],[GBR]]-VLOOKUP($U$1,A:G,7,))/VLOOKUP($U$1,A:G,7,))*100)+100</f>
        <v/>
      </c>
      <c r="N220" s="29">
        <f>VLOOKUP(A220,Database!$E:$AY,MATCH($N$1,Database!$E$1:$AY$1,0),FALSE)</f>
        <v/>
      </c>
      <c r="O220" s="29">
        <f>(((Table134567891011121314151617343[[#This Row],[USA]]-VLOOKUP($U$1,A:N,14,))/VLOOKUP($U$1,A:N,14,))*100)+100</f>
        <v/>
      </c>
      <c r="P220" s="29">
        <f>VLOOKUP(A220,Database!$E:$AY,MATCH($P$1,Database!$E$1:$AY$1,0),FALSE)</f>
        <v/>
      </c>
      <c r="Q220" s="29">
        <f>(((Table134567891011121314151617343[[#This Row],[JPN]]-VLOOKUP($U$1,A:Q,16,))/VLOOKUP($U$1,A:Q,16,))*100)+100</f>
        <v/>
      </c>
    </row>
    <row r="221" customFormat="1" s="129">
      <c r="A221" s="28" t="n">
        <v>39539</v>
      </c>
      <c r="B221" s="29">
        <f>VLOOKUP(A221,Database!$E:$AY,MATCH($B$1,Database!$E$1:$AY$1,0),FALSE)</f>
        <v/>
      </c>
      <c r="C221" s="29">
        <f>VLOOKUP(A221,Database!$E:$AY,MATCH($C$1,Database!$E$1:$AY$1,0),FALSE)</f>
        <v/>
      </c>
      <c r="D221" s="29">
        <f>VLOOKUP(A221,Database!$E:$AY,MATCH($D$1,Database!$E$1:$AY$1,0),FALSE)</f>
        <v/>
      </c>
      <c r="E221" s="29">
        <f>VLOOKUP(A221,Database!$E:$AY,MATCH($E$1,Database!$E$1:$AY$1,0),FALSE)</f>
        <v/>
      </c>
      <c r="F221" s="29">
        <f>VLOOKUP(A221,Database!$E:$AY,MATCH($F$1,Database!$E$1:$AY$1,0),FALSE)</f>
        <v/>
      </c>
      <c r="G221" s="29">
        <f>VLOOKUP(A221,Database!$E:$AY,MATCH($G$1,Database!$E$1:$AY$1,0),FALSE)</f>
        <v/>
      </c>
      <c r="H221" s="29">
        <f>(((Table134567891011121314151617343[[#This Row],[ITA]]-VLOOKUP($U$1,A:B,2,))/VLOOKUP($U$1,A:B,2,))*100)+100</f>
        <v/>
      </c>
      <c r="I221" s="29">
        <f>(((Table134567891011121314151617343[[#This Row],[FRA]]-VLOOKUP($U$1,A:C,3,))/VLOOKUP($U$1,A:C,3,))*100)+100</f>
        <v/>
      </c>
      <c r="J221" s="29">
        <f>(((Table134567891011121314151617343[[#This Row],[DEU]]-VLOOKUP($U$1,A:D,4,))/VLOOKUP($U$1,A:D,4,))*100)+100</f>
        <v/>
      </c>
      <c r="K221" s="29">
        <f>(((Table134567891011121314151617343[[#This Row],[ESP]]-VLOOKUP($U$1,A:E,5,))/VLOOKUP($U$1,A:E,5,))*100)+100</f>
        <v/>
      </c>
      <c r="L221" s="29">
        <f>(((Table134567891011121314151617343[[#This Row],[EA19]]-VLOOKUP($U$1,A:F,6,))/VLOOKUP($U$1,A:F,6,))*100)+100</f>
        <v/>
      </c>
      <c r="M221" s="29">
        <f>(((Table134567891011121314151617343[[#This Row],[GBR]]-VLOOKUP($U$1,A:G,7,))/VLOOKUP($U$1,A:G,7,))*100)+100</f>
        <v/>
      </c>
      <c r="N221" s="29">
        <f>VLOOKUP(A221,Database!$E:$AY,MATCH($N$1,Database!$E$1:$AY$1,0),FALSE)</f>
        <v/>
      </c>
      <c r="O221" s="29">
        <f>(((Table134567891011121314151617343[[#This Row],[USA]]-VLOOKUP($U$1,A:N,14,))/VLOOKUP($U$1,A:N,14,))*100)+100</f>
        <v/>
      </c>
      <c r="P221" s="29">
        <f>VLOOKUP(A221,Database!$E:$AY,MATCH($P$1,Database!$E$1:$AY$1,0),FALSE)</f>
        <v/>
      </c>
      <c r="Q221" s="29">
        <f>(((Table134567891011121314151617343[[#This Row],[JPN]]-VLOOKUP($U$1,A:Q,16,))/VLOOKUP($U$1,A:Q,16,))*100)+100</f>
        <v/>
      </c>
    </row>
    <row r="222" customFormat="1" s="129">
      <c r="A222" s="28" t="n">
        <v>39569</v>
      </c>
      <c r="B222" s="29">
        <f>VLOOKUP(A222,Database!$E:$AY,MATCH($B$1,Database!$E$1:$AY$1,0),FALSE)</f>
        <v/>
      </c>
      <c r="C222" s="29">
        <f>VLOOKUP(A222,Database!$E:$AY,MATCH($C$1,Database!$E$1:$AY$1,0),FALSE)</f>
        <v/>
      </c>
      <c r="D222" s="29">
        <f>VLOOKUP(A222,Database!$E:$AY,MATCH($D$1,Database!$E$1:$AY$1,0),FALSE)</f>
        <v/>
      </c>
      <c r="E222" s="29">
        <f>VLOOKUP(A222,Database!$E:$AY,MATCH($E$1,Database!$E$1:$AY$1,0),FALSE)</f>
        <v/>
      </c>
      <c r="F222" s="29">
        <f>VLOOKUP(A222,Database!$E:$AY,MATCH($F$1,Database!$E$1:$AY$1,0),FALSE)</f>
        <v/>
      </c>
      <c r="G222" s="29">
        <f>VLOOKUP(A222,Database!$E:$AY,MATCH($G$1,Database!$E$1:$AY$1,0),FALSE)</f>
        <v/>
      </c>
      <c r="H222" s="29">
        <f>(((Table134567891011121314151617343[[#This Row],[ITA]]-VLOOKUP($U$1,A:B,2,))/VLOOKUP($U$1,A:B,2,))*100)+100</f>
        <v/>
      </c>
      <c r="I222" s="29">
        <f>(((Table134567891011121314151617343[[#This Row],[FRA]]-VLOOKUP($U$1,A:C,3,))/VLOOKUP($U$1,A:C,3,))*100)+100</f>
        <v/>
      </c>
      <c r="J222" s="29">
        <f>(((Table134567891011121314151617343[[#This Row],[DEU]]-VLOOKUP($U$1,A:D,4,))/VLOOKUP($U$1,A:D,4,))*100)+100</f>
        <v/>
      </c>
      <c r="K222" s="29">
        <f>(((Table134567891011121314151617343[[#This Row],[ESP]]-VLOOKUP($U$1,A:E,5,))/VLOOKUP($U$1,A:E,5,))*100)+100</f>
        <v/>
      </c>
      <c r="L222" s="29">
        <f>(((Table134567891011121314151617343[[#This Row],[EA19]]-VLOOKUP($U$1,A:F,6,))/VLOOKUP($U$1,A:F,6,))*100)+100</f>
        <v/>
      </c>
      <c r="M222" s="29">
        <f>(((Table134567891011121314151617343[[#This Row],[GBR]]-VLOOKUP($U$1,A:G,7,))/VLOOKUP($U$1,A:G,7,))*100)+100</f>
        <v/>
      </c>
      <c r="N222" s="29">
        <f>VLOOKUP(A222,Database!$E:$AY,MATCH($N$1,Database!$E$1:$AY$1,0),FALSE)</f>
        <v/>
      </c>
      <c r="O222" s="29">
        <f>(((Table134567891011121314151617343[[#This Row],[USA]]-VLOOKUP($U$1,A:N,14,))/VLOOKUP($U$1,A:N,14,))*100)+100</f>
        <v/>
      </c>
      <c r="P222" s="29">
        <f>VLOOKUP(A222,Database!$E:$AY,MATCH($P$1,Database!$E$1:$AY$1,0),FALSE)</f>
        <v/>
      </c>
      <c r="Q222" s="29">
        <f>(((Table134567891011121314151617343[[#This Row],[JPN]]-VLOOKUP($U$1,A:Q,16,))/VLOOKUP($U$1,A:Q,16,))*100)+100</f>
        <v/>
      </c>
    </row>
    <row r="223" customFormat="1" s="129">
      <c r="A223" s="28" t="n">
        <v>39600</v>
      </c>
      <c r="B223" s="29">
        <f>VLOOKUP(A223,Database!$E:$AY,MATCH($B$1,Database!$E$1:$AY$1,0),FALSE)</f>
        <v/>
      </c>
      <c r="C223" s="29">
        <f>VLOOKUP(A223,Database!$E:$AY,MATCH($C$1,Database!$E$1:$AY$1,0),FALSE)</f>
        <v/>
      </c>
      <c r="D223" s="29">
        <f>VLOOKUP(A223,Database!$E:$AY,MATCH($D$1,Database!$E$1:$AY$1,0),FALSE)</f>
        <v/>
      </c>
      <c r="E223" s="29">
        <f>VLOOKUP(A223,Database!$E:$AY,MATCH($E$1,Database!$E$1:$AY$1,0),FALSE)</f>
        <v/>
      </c>
      <c r="F223" s="29">
        <f>VLOOKUP(A223,Database!$E:$AY,MATCH($F$1,Database!$E$1:$AY$1,0),FALSE)</f>
        <v/>
      </c>
      <c r="G223" s="29">
        <f>VLOOKUP(A223,Database!$E:$AY,MATCH($G$1,Database!$E$1:$AY$1,0),FALSE)</f>
        <v/>
      </c>
      <c r="H223" s="29">
        <f>(((Table134567891011121314151617343[[#This Row],[ITA]]-VLOOKUP($U$1,A:B,2,))/VLOOKUP($U$1,A:B,2,))*100)+100</f>
        <v/>
      </c>
      <c r="I223" s="29">
        <f>(((Table134567891011121314151617343[[#This Row],[FRA]]-VLOOKUP($U$1,A:C,3,))/VLOOKUP($U$1,A:C,3,))*100)+100</f>
        <v/>
      </c>
      <c r="J223" s="29">
        <f>(((Table134567891011121314151617343[[#This Row],[DEU]]-VLOOKUP($U$1,A:D,4,))/VLOOKUP($U$1,A:D,4,))*100)+100</f>
        <v/>
      </c>
      <c r="K223" s="29">
        <f>(((Table134567891011121314151617343[[#This Row],[ESP]]-VLOOKUP($U$1,A:E,5,))/VLOOKUP($U$1,A:E,5,))*100)+100</f>
        <v/>
      </c>
      <c r="L223" s="29">
        <f>(((Table134567891011121314151617343[[#This Row],[EA19]]-VLOOKUP($U$1,A:F,6,))/VLOOKUP($U$1,A:F,6,))*100)+100</f>
        <v/>
      </c>
      <c r="M223" s="29">
        <f>(((Table134567891011121314151617343[[#This Row],[GBR]]-VLOOKUP($U$1,A:G,7,))/VLOOKUP($U$1,A:G,7,))*100)+100</f>
        <v/>
      </c>
      <c r="N223" s="29">
        <f>VLOOKUP(A223,Database!$E:$AY,MATCH($N$1,Database!$E$1:$AY$1,0),FALSE)</f>
        <v/>
      </c>
      <c r="O223" s="29">
        <f>(((Table134567891011121314151617343[[#This Row],[USA]]-VLOOKUP($U$1,A:N,14,))/VLOOKUP($U$1,A:N,14,))*100)+100</f>
        <v/>
      </c>
      <c r="P223" s="29">
        <f>VLOOKUP(A223,Database!$E:$AY,MATCH($P$1,Database!$E$1:$AY$1,0),FALSE)</f>
        <v/>
      </c>
      <c r="Q223" s="29">
        <f>(((Table134567891011121314151617343[[#This Row],[JPN]]-VLOOKUP($U$1,A:Q,16,))/VLOOKUP($U$1,A:Q,16,))*100)+100</f>
        <v/>
      </c>
    </row>
    <row r="224" customFormat="1" s="129">
      <c r="A224" s="28" t="n">
        <v>39630</v>
      </c>
      <c r="B224" s="29">
        <f>VLOOKUP(A224,Database!$E:$AY,MATCH($B$1,Database!$E$1:$AY$1,0),FALSE)</f>
        <v/>
      </c>
      <c r="C224" s="29">
        <f>VLOOKUP(A224,Database!$E:$AY,MATCH($C$1,Database!$E$1:$AY$1,0),FALSE)</f>
        <v/>
      </c>
      <c r="D224" s="29">
        <f>VLOOKUP(A224,Database!$E:$AY,MATCH($D$1,Database!$E$1:$AY$1,0),FALSE)</f>
        <v/>
      </c>
      <c r="E224" s="29">
        <f>VLOOKUP(A224,Database!$E:$AY,MATCH($E$1,Database!$E$1:$AY$1,0),FALSE)</f>
        <v/>
      </c>
      <c r="F224" s="29">
        <f>VLOOKUP(A224,Database!$E:$AY,MATCH($F$1,Database!$E$1:$AY$1,0),FALSE)</f>
        <v/>
      </c>
      <c r="G224" s="29">
        <f>VLOOKUP(A224,Database!$E:$AY,MATCH($G$1,Database!$E$1:$AY$1,0),FALSE)</f>
        <v/>
      </c>
      <c r="H224" s="29">
        <f>(((Table134567891011121314151617343[[#This Row],[ITA]]-VLOOKUP($U$1,A:B,2,))/VLOOKUP($U$1,A:B,2,))*100)+100</f>
        <v/>
      </c>
      <c r="I224" s="29">
        <f>(((Table134567891011121314151617343[[#This Row],[FRA]]-VLOOKUP($U$1,A:C,3,))/VLOOKUP($U$1,A:C,3,))*100)+100</f>
        <v/>
      </c>
      <c r="J224" s="29">
        <f>(((Table134567891011121314151617343[[#This Row],[DEU]]-VLOOKUP($U$1,A:D,4,))/VLOOKUP($U$1,A:D,4,))*100)+100</f>
        <v/>
      </c>
      <c r="K224" s="29">
        <f>(((Table134567891011121314151617343[[#This Row],[ESP]]-VLOOKUP($U$1,A:E,5,))/VLOOKUP($U$1,A:E,5,))*100)+100</f>
        <v/>
      </c>
      <c r="L224" s="29">
        <f>(((Table134567891011121314151617343[[#This Row],[EA19]]-VLOOKUP($U$1,A:F,6,))/VLOOKUP($U$1,A:F,6,))*100)+100</f>
        <v/>
      </c>
      <c r="M224" s="29">
        <f>(((Table134567891011121314151617343[[#This Row],[GBR]]-VLOOKUP($U$1,A:G,7,))/VLOOKUP($U$1,A:G,7,))*100)+100</f>
        <v/>
      </c>
      <c r="N224" s="29">
        <f>VLOOKUP(A224,Database!$E:$AY,MATCH($N$1,Database!$E$1:$AY$1,0),FALSE)</f>
        <v/>
      </c>
      <c r="O224" s="29">
        <f>(((Table134567891011121314151617343[[#This Row],[USA]]-VLOOKUP($U$1,A:N,14,))/VLOOKUP($U$1,A:N,14,))*100)+100</f>
        <v/>
      </c>
      <c r="P224" s="29">
        <f>VLOOKUP(A224,Database!$E:$AY,MATCH($P$1,Database!$E$1:$AY$1,0),FALSE)</f>
        <v/>
      </c>
      <c r="Q224" s="29">
        <f>(((Table134567891011121314151617343[[#This Row],[JPN]]-VLOOKUP($U$1,A:Q,16,))/VLOOKUP($U$1,A:Q,16,))*100)+100</f>
        <v/>
      </c>
    </row>
    <row r="225" customFormat="1" s="129">
      <c r="A225" s="28" t="n">
        <v>39661</v>
      </c>
      <c r="B225" s="29">
        <f>VLOOKUP(A225,Database!$E:$AY,MATCH($B$1,Database!$E$1:$AY$1,0),FALSE)</f>
        <v/>
      </c>
      <c r="C225" s="29">
        <f>VLOOKUP(A225,Database!$E:$AY,MATCH($C$1,Database!$E$1:$AY$1,0),FALSE)</f>
        <v/>
      </c>
      <c r="D225" s="29">
        <f>VLOOKUP(A225,Database!$E:$AY,MATCH($D$1,Database!$E$1:$AY$1,0),FALSE)</f>
        <v/>
      </c>
      <c r="E225" s="29">
        <f>VLOOKUP(A225,Database!$E:$AY,MATCH($E$1,Database!$E$1:$AY$1,0),FALSE)</f>
        <v/>
      </c>
      <c r="F225" s="29">
        <f>VLOOKUP(A225,Database!$E:$AY,MATCH($F$1,Database!$E$1:$AY$1,0),FALSE)</f>
        <v/>
      </c>
      <c r="G225" s="29">
        <f>VLOOKUP(A225,Database!$E:$AY,MATCH($G$1,Database!$E$1:$AY$1,0),FALSE)</f>
        <v/>
      </c>
      <c r="H225" s="29">
        <f>(((Table134567891011121314151617343[[#This Row],[ITA]]-VLOOKUP($U$1,A:B,2,))/VLOOKUP($U$1,A:B,2,))*100)+100</f>
        <v/>
      </c>
      <c r="I225" s="29">
        <f>(((Table134567891011121314151617343[[#This Row],[FRA]]-VLOOKUP($U$1,A:C,3,))/VLOOKUP($U$1,A:C,3,))*100)+100</f>
        <v/>
      </c>
      <c r="J225" s="29">
        <f>(((Table134567891011121314151617343[[#This Row],[DEU]]-VLOOKUP($U$1,A:D,4,))/VLOOKUP($U$1,A:D,4,))*100)+100</f>
        <v/>
      </c>
      <c r="K225" s="29">
        <f>(((Table134567891011121314151617343[[#This Row],[ESP]]-VLOOKUP($U$1,A:E,5,))/VLOOKUP($U$1,A:E,5,))*100)+100</f>
        <v/>
      </c>
      <c r="L225" s="29">
        <f>(((Table134567891011121314151617343[[#This Row],[EA19]]-VLOOKUP($U$1,A:F,6,))/VLOOKUP($U$1,A:F,6,))*100)+100</f>
        <v/>
      </c>
      <c r="M225" s="29">
        <f>(((Table134567891011121314151617343[[#This Row],[GBR]]-VLOOKUP($U$1,A:G,7,))/VLOOKUP($U$1,A:G,7,))*100)+100</f>
        <v/>
      </c>
      <c r="N225" s="29">
        <f>VLOOKUP(A225,Database!$E:$AY,MATCH($N$1,Database!$E$1:$AY$1,0),FALSE)</f>
        <v/>
      </c>
      <c r="O225" s="29">
        <f>(((Table134567891011121314151617343[[#This Row],[USA]]-VLOOKUP($U$1,A:N,14,))/VLOOKUP($U$1,A:N,14,))*100)+100</f>
        <v/>
      </c>
      <c r="P225" s="29">
        <f>VLOOKUP(A225,Database!$E:$AY,MATCH($P$1,Database!$E$1:$AY$1,0),FALSE)</f>
        <v/>
      </c>
      <c r="Q225" s="29">
        <f>(((Table134567891011121314151617343[[#This Row],[JPN]]-VLOOKUP($U$1,A:Q,16,))/VLOOKUP($U$1,A:Q,16,))*100)+100</f>
        <v/>
      </c>
    </row>
    <row r="226" customFormat="1" s="129">
      <c r="A226" s="28" t="n">
        <v>39692</v>
      </c>
      <c r="B226" s="29">
        <f>VLOOKUP(A226,Database!$E:$AY,MATCH($B$1,Database!$E$1:$AY$1,0),FALSE)</f>
        <v/>
      </c>
      <c r="C226" s="29">
        <f>VLOOKUP(A226,Database!$E:$AY,MATCH($C$1,Database!$E$1:$AY$1,0),FALSE)</f>
        <v/>
      </c>
      <c r="D226" s="29">
        <f>VLOOKUP(A226,Database!$E:$AY,MATCH($D$1,Database!$E$1:$AY$1,0),FALSE)</f>
        <v/>
      </c>
      <c r="E226" s="29">
        <f>VLOOKUP(A226,Database!$E:$AY,MATCH($E$1,Database!$E$1:$AY$1,0),FALSE)</f>
        <v/>
      </c>
      <c r="F226" s="29">
        <f>VLOOKUP(A226,Database!$E:$AY,MATCH($F$1,Database!$E$1:$AY$1,0),FALSE)</f>
        <v/>
      </c>
      <c r="G226" s="29">
        <f>VLOOKUP(A226,Database!$E:$AY,MATCH($G$1,Database!$E$1:$AY$1,0),FALSE)</f>
        <v/>
      </c>
      <c r="H226" s="29">
        <f>(((Table134567891011121314151617343[[#This Row],[ITA]]-VLOOKUP($U$1,A:B,2,))/VLOOKUP($U$1,A:B,2,))*100)+100</f>
        <v/>
      </c>
      <c r="I226" s="29">
        <f>(((Table134567891011121314151617343[[#This Row],[FRA]]-VLOOKUP($U$1,A:C,3,))/VLOOKUP($U$1,A:C,3,))*100)+100</f>
        <v/>
      </c>
      <c r="J226" s="29">
        <f>(((Table134567891011121314151617343[[#This Row],[DEU]]-VLOOKUP($U$1,A:D,4,))/VLOOKUP($U$1,A:D,4,))*100)+100</f>
        <v/>
      </c>
      <c r="K226" s="29">
        <f>(((Table134567891011121314151617343[[#This Row],[ESP]]-VLOOKUP($U$1,A:E,5,))/VLOOKUP($U$1,A:E,5,))*100)+100</f>
        <v/>
      </c>
      <c r="L226" s="29">
        <f>(((Table134567891011121314151617343[[#This Row],[EA19]]-VLOOKUP($U$1,A:F,6,))/VLOOKUP($U$1,A:F,6,))*100)+100</f>
        <v/>
      </c>
      <c r="M226" s="29">
        <f>(((Table134567891011121314151617343[[#This Row],[GBR]]-VLOOKUP($U$1,A:G,7,))/VLOOKUP($U$1,A:G,7,))*100)+100</f>
        <v/>
      </c>
      <c r="N226" s="29">
        <f>VLOOKUP(A226,Database!$E:$AY,MATCH($N$1,Database!$E$1:$AY$1,0),FALSE)</f>
        <v/>
      </c>
      <c r="O226" s="29">
        <f>(((Table134567891011121314151617343[[#This Row],[USA]]-VLOOKUP($U$1,A:N,14,))/VLOOKUP($U$1,A:N,14,))*100)+100</f>
        <v/>
      </c>
      <c r="P226" s="29">
        <f>VLOOKUP(A226,Database!$E:$AY,MATCH($P$1,Database!$E$1:$AY$1,0),FALSE)</f>
        <v/>
      </c>
      <c r="Q226" s="29">
        <f>(((Table134567891011121314151617343[[#This Row],[JPN]]-VLOOKUP($U$1,A:Q,16,))/VLOOKUP($U$1,A:Q,16,))*100)+100</f>
        <v/>
      </c>
    </row>
    <row r="227" customFormat="1" s="129">
      <c r="A227" s="28" t="n">
        <v>39722</v>
      </c>
      <c r="B227" s="29">
        <f>VLOOKUP(A227,Database!$E:$AY,MATCH($B$1,Database!$E$1:$AY$1,0),FALSE)</f>
        <v/>
      </c>
      <c r="C227" s="29">
        <f>VLOOKUP(A227,Database!$E:$AY,MATCH($C$1,Database!$E$1:$AY$1,0),FALSE)</f>
        <v/>
      </c>
      <c r="D227" s="29">
        <f>VLOOKUP(A227,Database!$E:$AY,MATCH($D$1,Database!$E$1:$AY$1,0),FALSE)</f>
        <v/>
      </c>
      <c r="E227" s="29">
        <f>VLOOKUP(A227,Database!$E:$AY,MATCH($E$1,Database!$E$1:$AY$1,0),FALSE)</f>
        <v/>
      </c>
      <c r="F227" s="29">
        <f>VLOOKUP(A227,Database!$E:$AY,MATCH($F$1,Database!$E$1:$AY$1,0),FALSE)</f>
        <v/>
      </c>
      <c r="G227" s="29">
        <f>VLOOKUP(A227,Database!$E:$AY,MATCH($G$1,Database!$E$1:$AY$1,0),FALSE)</f>
        <v/>
      </c>
      <c r="H227" s="29">
        <f>(((Table134567891011121314151617343[[#This Row],[ITA]]-VLOOKUP($U$1,A:B,2,))/VLOOKUP($U$1,A:B,2,))*100)+100</f>
        <v/>
      </c>
      <c r="I227" s="29">
        <f>(((Table134567891011121314151617343[[#This Row],[FRA]]-VLOOKUP($U$1,A:C,3,))/VLOOKUP($U$1,A:C,3,))*100)+100</f>
        <v/>
      </c>
      <c r="J227" s="29">
        <f>(((Table134567891011121314151617343[[#This Row],[DEU]]-VLOOKUP($U$1,A:D,4,))/VLOOKUP($U$1,A:D,4,))*100)+100</f>
        <v/>
      </c>
      <c r="K227" s="29">
        <f>(((Table134567891011121314151617343[[#This Row],[ESP]]-VLOOKUP($U$1,A:E,5,))/VLOOKUP($U$1,A:E,5,))*100)+100</f>
        <v/>
      </c>
      <c r="L227" s="29">
        <f>(((Table134567891011121314151617343[[#This Row],[EA19]]-VLOOKUP($U$1,A:F,6,))/VLOOKUP($U$1,A:F,6,))*100)+100</f>
        <v/>
      </c>
      <c r="M227" s="29">
        <f>(((Table134567891011121314151617343[[#This Row],[GBR]]-VLOOKUP($U$1,A:G,7,))/VLOOKUP($U$1,A:G,7,))*100)+100</f>
        <v/>
      </c>
      <c r="N227" s="29">
        <f>VLOOKUP(A227,Database!$E:$AY,MATCH($N$1,Database!$E$1:$AY$1,0),FALSE)</f>
        <v/>
      </c>
      <c r="O227" s="29">
        <f>(((Table134567891011121314151617343[[#This Row],[USA]]-VLOOKUP($U$1,A:N,14,))/VLOOKUP($U$1,A:N,14,))*100)+100</f>
        <v/>
      </c>
      <c r="P227" s="29">
        <f>VLOOKUP(A227,Database!$E:$AY,MATCH($P$1,Database!$E$1:$AY$1,0),FALSE)</f>
        <v/>
      </c>
      <c r="Q227" s="29">
        <f>(((Table134567891011121314151617343[[#This Row],[JPN]]-VLOOKUP($U$1,A:Q,16,))/VLOOKUP($U$1,A:Q,16,))*100)+100</f>
        <v/>
      </c>
    </row>
    <row r="228" customFormat="1" s="129">
      <c r="A228" s="28" t="n">
        <v>39753</v>
      </c>
      <c r="B228" s="29">
        <f>VLOOKUP(A228,Database!$E:$AY,MATCH($B$1,Database!$E$1:$AY$1,0),FALSE)</f>
        <v/>
      </c>
      <c r="C228" s="29">
        <f>VLOOKUP(A228,Database!$E:$AY,MATCH($C$1,Database!$E$1:$AY$1,0),FALSE)</f>
        <v/>
      </c>
      <c r="D228" s="29">
        <f>VLOOKUP(A228,Database!$E:$AY,MATCH($D$1,Database!$E$1:$AY$1,0),FALSE)</f>
        <v/>
      </c>
      <c r="E228" s="29">
        <f>VLOOKUP(A228,Database!$E:$AY,MATCH($E$1,Database!$E$1:$AY$1,0),FALSE)</f>
        <v/>
      </c>
      <c r="F228" s="29">
        <f>VLOOKUP(A228,Database!$E:$AY,MATCH($F$1,Database!$E$1:$AY$1,0),FALSE)</f>
        <v/>
      </c>
      <c r="G228" s="29">
        <f>VLOOKUP(A228,Database!$E:$AY,MATCH($G$1,Database!$E$1:$AY$1,0),FALSE)</f>
        <v/>
      </c>
      <c r="H228" s="29">
        <f>(((Table134567891011121314151617343[[#This Row],[ITA]]-VLOOKUP($U$1,A:B,2,))/VLOOKUP($U$1,A:B,2,))*100)+100</f>
        <v/>
      </c>
      <c r="I228" s="29">
        <f>(((Table134567891011121314151617343[[#This Row],[FRA]]-VLOOKUP($U$1,A:C,3,))/VLOOKUP($U$1,A:C,3,))*100)+100</f>
        <v/>
      </c>
      <c r="J228" s="29">
        <f>(((Table134567891011121314151617343[[#This Row],[DEU]]-VLOOKUP($U$1,A:D,4,))/VLOOKUP($U$1,A:D,4,))*100)+100</f>
        <v/>
      </c>
      <c r="K228" s="29">
        <f>(((Table134567891011121314151617343[[#This Row],[ESP]]-VLOOKUP($U$1,A:E,5,))/VLOOKUP($U$1,A:E,5,))*100)+100</f>
        <v/>
      </c>
      <c r="L228" s="29">
        <f>(((Table134567891011121314151617343[[#This Row],[EA19]]-VLOOKUP($U$1,A:F,6,))/VLOOKUP($U$1,A:F,6,))*100)+100</f>
        <v/>
      </c>
      <c r="M228" s="29">
        <f>(((Table134567891011121314151617343[[#This Row],[GBR]]-VLOOKUP($U$1,A:G,7,))/VLOOKUP($U$1,A:G,7,))*100)+100</f>
        <v/>
      </c>
      <c r="N228" s="29">
        <f>VLOOKUP(A228,Database!$E:$AY,MATCH($N$1,Database!$E$1:$AY$1,0),FALSE)</f>
        <v/>
      </c>
      <c r="O228" s="29">
        <f>(((Table134567891011121314151617343[[#This Row],[USA]]-VLOOKUP($U$1,A:N,14,))/VLOOKUP($U$1,A:N,14,))*100)+100</f>
        <v/>
      </c>
      <c r="P228" s="29">
        <f>VLOOKUP(A228,Database!$E:$AY,MATCH($P$1,Database!$E$1:$AY$1,0),FALSE)</f>
        <v/>
      </c>
      <c r="Q228" s="29">
        <f>(((Table134567891011121314151617343[[#This Row],[JPN]]-VLOOKUP($U$1,A:Q,16,))/VLOOKUP($U$1,A:Q,16,))*100)+100</f>
        <v/>
      </c>
    </row>
    <row r="229" customFormat="1" s="129">
      <c r="A229" s="28" t="n">
        <v>39783</v>
      </c>
      <c r="B229" s="29">
        <f>VLOOKUP(A229,Database!$E:$AY,MATCH($B$1,Database!$E$1:$AY$1,0),FALSE)</f>
        <v/>
      </c>
      <c r="C229" s="29">
        <f>VLOOKUP(A229,Database!$E:$AY,MATCH($C$1,Database!$E$1:$AY$1,0),FALSE)</f>
        <v/>
      </c>
      <c r="D229" s="29">
        <f>VLOOKUP(A229,Database!$E:$AY,MATCH($D$1,Database!$E$1:$AY$1,0),FALSE)</f>
        <v/>
      </c>
      <c r="E229" s="29">
        <f>VLOOKUP(A229,Database!$E:$AY,MATCH($E$1,Database!$E$1:$AY$1,0),FALSE)</f>
        <v/>
      </c>
      <c r="F229" s="29">
        <f>VLOOKUP(A229,Database!$E:$AY,MATCH($F$1,Database!$E$1:$AY$1,0),FALSE)</f>
        <v/>
      </c>
      <c r="G229" s="29">
        <f>VLOOKUP(A229,Database!$E:$AY,MATCH($G$1,Database!$E$1:$AY$1,0),FALSE)</f>
        <v/>
      </c>
      <c r="H229" s="29">
        <f>(((Table134567891011121314151617343[[#This Row],[ITA]]-VLOOKUP($U$1,A:B,2,))/VLOOKUP($U$1,A:B,2,))*100)+100</f>
        <v/>
      </c>
      <c r="I229" s="29">
        <f>(((Table134567891011121314151617343[[#This Row],[FRA]]-VLOOKUP($U$1,A:C,3,))/VLOOKUP($U$1,A:C,3,))*100)+100</f>
        <v/>
      </c>
      <c r="J229" s="29">
        <f>(((Table134567891011121314151617343[[#This Row],[DEU]]-VLOOKUP($U$1,A:D,4,))/VLOOKUP($U$1,A:D,4,))*100)+100</f>
        <v/>
      </c>
      <c r="K229" s="29">
        <f>(((Table134567891011121314151617343[[#This Row],[ESP]]-VLOOKUP($U$1,A:E,5,))/VLOOKUP($U$1,A:E,5,))*100)+100</f>
        <v/>
      </c>
      <c r="L229" s="29">
        <f>(((Table134567891011121314151617343[[#This Row],[EA19]]-VLOOKUP($U$1,A:F,6,))/VLOOKUP($U$1,A:F,6,))*100)+100</f>
        <v/>
      </c>
      <c r="M229" s="29">
        <f>(((Table134567891011121314151617343[[#This Row],[GBR]]-VLOOKUP($U$1,A:G,7,))/VLOOKUP($U$1,A:G,7,))*100)+100</f>
        <v/>
      </c>
      <c r="N229" s="29">
        <f>VLOOKUP(A229,Database!$E:$AY,MATCH($N$1,Database!$E$1:$AY$1,0),FALSE)</f>
        <v/>
      </c>
      <c r="O229" s="29">
        <f>(((Table134567891011121314151617343[[#This Row],[USA]]-VLOOKUP($U$1,A:N,14,))/VLOOKUP($U$1,A:N,14,))*100)+100</f>
        <v/>
      </c>
      <c r="P229" s="29">
        <f>VLOOKUP(A229,Database!$E:$AY,MATCH($P$1,Database!$E$1:$AY$1,0),FALSE)</f>
        <v/>
      </c>
      <c r="Q229" s="29">
        <f>(((Table134567891011121314151617343[[#This Row],[JPN]]-VLOOKUP($U$1,A:Q,16,))/VLOOKUP($U$1,A:Q,16,))*100)+100</f>
        <v/>
      </c>
    </row>
    <row r="230" customFormat="1" s="129">
      <c r="A230" s="28" t="n">
        <v>39814</v>
      </c>
      <c r="B230" s="29">
        <f>VLOOKUP(A230,Database!$E:$AY,MATCH($B$1,Database!$E$1:$AY$1,0),FALSE)</f>
        <v/>
      </c>
      <c r="C230" s="29">
        <f>VLOOKUP(A230,Database!$E:$AY,MATCH($C$1,Database!$E$1:$AY$1,0),FALSE)</f>
        <v/>
      </c>
      <c r="D230" s="29">
        <f>VLOOKUP(A230,Database!$E:$AY,MATCH($D$1,Database!$E$1:$AY$1,0),FALSE)</f>
        <v/>
      </c>
      <c r="E230" s="29">
        <f>VLOOKUP(A230,Database!$E:$AY,MATCH($E$1,Database!$E$1:$AY$1,0),FALSE)</f>
        <v/>
      </c>
      <c r="F230" s="29">
        <f>VLOOKUP(A230,Database!$E:$AY,MATCH($F$1,Database!$E$1:$AY$1,0),FALSE)</f>
        <v/>
      </c>
      <c r="G230" s="29">
        <f>VLOOKUP(A230,Database!$E:$AY,MATCH($G$1,Database!$E$1:$AY$1,0),FALSE)</f>
        <v/>
      </c>
      <c r="H230" s="29">
        <f>(((Table134567891011121314151617343[[#This Row],[ITA]]-VLOOKUP($U$1,A:B,2,))/VLOOKUP($U$1,A:B,2,))*100)+100</f>
        <v/>
      </c>
      <c r="I230" s="29">
        <f>(((Table134567891011121314151617343[[#This Row],[FRA]]-VLOOKUP($U$1,A:C,3,))/VLOOKUP($U$1,A:C,3,))*100)+100</f>
        <v/>
      </c>
      <c r="J230" s="29">
        <f>(((Table134567891011121314151617343[[#This Row],[DEU]]-VLOOKUP($U$1,A:D,4,))/VLOOKUP($U$1,A:D,4,))*100)+100</f>
        <v/>
      </c>
      <c r="K230" s="29">
        <f>(((Table134567891011121314151617343[[#This Row],[ESP]]-VLOOKUP($U$1,A:E,5,))/VLOOKUP($U$1,A:E,5,))*100)+100</f>
        <v/>
      </c>
      <c r="L230" s="29">
        <f>(((Table134567891011121314151617343[[#This Row],[EA19]]-VLOOKUP($U$1,A:F,6,))/VLOOKUP($U$1,A:F,6,))*100)+100</f>
        <v/>
      </c>
      <c r="M230" s="29">
        <f>(((Table134567891011121314151617343[[#This Row],[GBR]]-VLOOKUP($U$1,A:G,7,))/VLOOKUP($U$1,A:G,7,))*100)+100</f>
        <v/>
      </c>
      <c r="N230" s="29">
        <f>VLOOKUP(A230,Database!$E:$AY,MATCH($N$1,Database!$E$1:$AY$1,0),FALSE)</f>
        <v/>
      </c>
      <c r="O230" s="29">
        <f>(((Table134567891011121314151617343[[#This Row],[USA]]-VLOOKUP($U$1,A:N,14,))/VLOOKUP($U$1,A:N,14,))*100)+100</f>
        <v/>
      </c>
      <c r="P230" s="29">
        <f>VLOOKUP(A230,Database!$E:$AY,MATCH($P$1,Database!$E$1:$AY$1,0),FALSE)</f>
        <v/>
      </c>
      <c r="Q230" s="29">
        <f>(((Table134567891011121314151617343[[#This Row],[JPN]]-VLOOKUP($U$1,A:Q,16,))/VLOOKUP($U$1,A:Q,16,))*100)+100</f>
        <v/>
      </c>
    </row>
    <row r="231" customFormat="1" s="129">
      <c r="A231" s="28" t="n">
        <v>39845</v>
      </c>
      <c r="B231" s="29">
        <f>VLOOKUP(A231,Database!$E:$AY,MATCH($B$1,Database!$E$1:$AY$1,0),FALSE)</f>
        <v/>
      </c>
      <c r="C231" s="29">
        <f>VLOOKUP(A231,Database!$E:$AY,MATCH($C$1,Database!$E$1:$AY$1,0),FALSE)</f>
        <v/>
      </c>
      <c r="D231" s="29">
        <f>VLOOKUP(A231,Database!$E:$AY,MATCH($D$1,Database!$E$1:$AY$1,0),FALSE)</f>
        <v/>
      </c>
      <c r="E231" s="29">
        <f>VLOOKUP(A231,Database!$E:$AY,MATCH($E$1,Database!$E$1:$AY$1,0),FALSE)</f>
        <v/>
      </c>
      <c r="F231" s="29">
        <f>VLOOKUP(A231,Database!$E:$AY,MATCH($F$1,Database!$E$1:$AY$1,0),FALSE)</f>
        <v/>
      </c>
      <c r="G231" s="29">
        <f>VLOOKUP(A231,Database!$E:$AY,MATCH($G$1,Database!$E$1:$AY$1,0),FALSE)</f>
        <v/>
      </c>
      <c r="H231" s="29">
        <f>(((Table134567891011121314151617343[[#This Row],[ITA]]-VLOOKUP($U$1,A:B,2,))/VLOOKUP($U$1,A:B,2,))*100)+100</f>
        <v/>
      </c>
      <c r="I231" s="29">
        <f>(((Table134567891011121314151617343[[#This Row],[FRA]]-VLOOKUP($U$1,A:C,3,))/VLOOKUP($U$1,A:C,3,))*100)+100</f>
        <v/>
      </c>
      <c r="J231" s="29">
        <f>(((Table134567891011121314151617343[[#This Row],[DEU]]-VLOOKUP($U$1,A:D,4,))/VLOOKUP($U$1,A:D,4,))*100)+100</f>
        <v/>
      </c>
      <c r="K231" s="29">
        <f>(((Table134567891011121314151617343[[#This Row],[ESP]]-VLOOKUP($U$1,A:E,5,))/VLOOKUP($U$1,A:E,5,))*100)+100</f>
        <v/>
      </c>
      <c r="L231" s="29">
        <f>(((Table134567891011121314151617343[[#This Row],[EA19]]-VLOOKUP($U$1,A:F,6,))/VLOOKUP($U$1,A:F,6,))*100)+100</f>
        <v/>
      </c>
      <c r="M231" s="29">
        <f>(((Table134567891011121314151617343[[#This Row],[GBR]]-VLOOKUP($U$1,A:G,7,))/VLOOKUP($U$1,A:G,7,))*100)+100</f>
        <v/>
      </c>
      <c r="N231" s="29">
        <f>VLOOKUP(A231,Database!$E:$AY,MATCH($N$1,Database!$E$1:$AY$1,0),FALSE)</f>
        <v/>
      </c>
      <c r="O231" s="29">
        <f>(((Table134567891011121314151617343[[#This Row],[USA]]-VLOOKUP($U$1,A:N,14,))/VLOOKUP($U$1,A:N,14,))*100)+100</f>
        <v/>
      </c>
      <c r="P231" s="29">
        <f>VLOOKUP(A231,Database!$E:$AY,MATCH($P$1,Database!$E$1:$AY$1,0),FALSE)</f>
        <v/>
      </c>
      <c r="Q231" s="29">
        <f>(((Table134567891011121314151617343[[#This Row],[JPN]]-VLOOKUP($U$1,A:Q,16,))/VLOOKUP($U$1,A:Q,16,))*100)+100</f>
        <v/>
      </c>
    </row>
    <row r="232" customFormat="1" s="129">
      <c r="A232" s="28" t="n">
        <v>39873</v>
      </c>
      <c r="B232" s="29">
        <f>VLOOKUP(A232,Database!$E:$AY,MATCH($B$1,Database!$E$1:$AY$1,0),FALSE)</f>
        <v/>
      </c>
      <c r="C232" s="29">
        <f>VLOOKUP(A232,Database!$E:$AY,MATCH($C$1,Database!$E$1:$AY$1,0),FALSE)</f>
        <v/>
      </c>
      <c r="D232" s="29">
        <f>VLOOKUP(A232,Database!$E:$AY,MATCH($D$1,Database!$E$1:$AY$1,0),FALSE)</f>
        <v/>
      </c>
      <c r="E232" s="29">
        <f>VLOOKUP(A232,Database!$E:$AY,MATCH($E$1,Database!$E$1:$AY$1,0),FALSE)</f>
        <v/>
      </c>
      <c r="F232" s="29">
        <f>VLOOKUP(A232,Database!$E:$AY,MATCH($F$1,Database!$E$1:$AY$1,0),FALSE)</f>
        <v/>
      </c>
      <c r="G232" s="29">
        <f>VLOOKUP(A232,Database!$E:$AY,MATCH($G$1,Database!$E$1:$AY$1,0),FALSE)</f>
        <v/>
      </c>
      <c r="H232" s="29">
        <f>(((Table134567891011121314151617343[[#This Row],[ITA]]-VLOOKUP($U$1,A:B,2,))/VLOOKUP($U$1,A:B,2,))*100)+100</f>
        <v/>
      </c>
      <c r="I232" s="29">
        <f>(((Table134567891011121314151617343[[#This Row],[FRA]]-VLOOKUP($U$1,A:C,3,))/VLOOKUP($U$1,A:C,3,))*100)+100</f>
        <v/>
      </c>
      <c r="J232" s="29">
        <f>(((Table134567891011121314151617343[[#This Row],[DEU]]-VLOOKUP($U$1,A:D,4,))/VLOOKUP($U$1,A:D,4,))*100)+100</f>
        <v/>
      </c>
      <c r="K232" s="29">
        <f>(((Table134567891011121314151617343[[#This Row],[ESP]]-VLOOKUP($U$1,A:E,5,))/VLOOKUP($U$1,A:E,5,))*100)+100</f>
        <v/>
      </c>
      <c r="L232" s="29">
        <f>(((Table134567891011121314151617343[[#This Row],[EA19]]-VLOOKUP($U$1,A:F,6,))/VLOOKUP($U$1,A:F,6,))*100)+100</f>
        <v/>
      </c>
      <c r="M232" s="29">
        <f>(((Table134567891011121314151617343[[#This Row],[GBR]]-VLOOKUP($U$1,A:G,7,))/VLOOKUP($U$1,A:G,7,))*100)+100</f>
        <v/>
      </c>
      <c r="N232" s="29">
        <f>VLOOKUP(A232,Database!$E:$AY,MATCH($N$1,Database!$E$1:$AY$1,0),FALSE)</f>
        <v/>
      </c>
      <c r="O232" s="29">
        <f>(((Table134567891011121314151617343[[#This Row],[USA]]-VLOOKUP($U$1,A:N,14,))/VLOOKUP($U$1,A:N,14,))*100)+100</f>
        <v/>
      </c>
      <c r="P232" s="29">
        <f>VLOOKUP(A232,Database!$E:$AY,MATCH($P$1,Database!$E$1:$AY$1,0),FALSE)</f>
        <v/>
      </c>
      <c r="Q232" s="29">
        <f>(((Table134567891011121314151617343[[#This Row],[JPN]]-VLOOKUP($U$1,A:Q,16,))/VLOOKUP($U$1,A:Q,16,))*100)+100</f>
        <v/>
      </c>
    </row>
    <row r="233" customFormat="1" s="129">
      <c r="A233" s="28" t="n">
        <v>39904</v>
      </c>
      <c r="B233" s="29">
        <f>VLOOKUP(A233,Database!$E:$AY,MATCH($B$1,Database!$E$1:$AY$1,0),FALSE)</f>
        <v/>
      </c>
      <c r="C233" s="29">
        <f>VLOOKUP(A233,Database!$E:$AY,MATCH($C$1,Database!$E$1:$AY$1,0),FALSE)</f>
        <v/>
      </c>
      <c r="D233" s="29">
        <f>VLOOKUP(A233,Database!$E:$AY,MATCH($D$1,Database!$E$1:$AY$1,0),FALSE)</f>
        <v/>
      </c>
      <c r="E233" s="29">
        <f>VLOOKUP(A233,Database!$E:$AY,MATCH($E$1,Database!$E$1:$AY$1,0),FALSE)</f>
        <v/>
      </c>
      <c r="F233" s="29">
        <f>VLOOKUP(A233,Database!$E:$AY,MATCH($F$1,Database!$E$1:$AY$1,0),FALSE)</f>
        <v/>
      </c>
      <c r="G233" s="29">
        <f>VLOOKUP(A233,Database!$E:$AY,MATCH($G$1,Database!$E$1:$AY$1,0),FALSE)</f>
        <v/>
      </c>
      <c r="H233" s="29">
        <f>(((Table134567891011121314151617343[[#This Row],[ITA]]-VLOOKUP($U$1,A:B,2,))/VLOOKUP($U$1,A:B,2,))*100)+100</f>
        <v/>
      </c>
      <c r="I233" s="29">
        <f>(((Table134567891011121314151617343[[#This Row],[FRA]]-VLOOKUP($U$1,A:C,3,))/VLOOKUP($U$1,A:C,3,))*100)+100</f>
        <v/>
      </c>
      <c r="J233" s="29">
        <f>(((Table134567891011121314151617343[[#This Row],[DEU]]-VLOOKUP($U$1,A:D,4,))/VLOOKUP($U$1,A:D,4,))*100)+100</f>
        <v/>
      </c>
      <c r="K233" s="29">
        <f>(((Table134567891011121314151617343[[#This Row],[ESP]]-VLOOKUP($U$1,A:E,5,))/VLOOKUP($U$1,A:E,5,))*100)+100</f>
        <v/>
      </c>
      <c r="L233" s="29">
        <f>(((Table134567891011121314151617343[[#This Row],[EA19]]-VLOOKUP($U$1,A:F,6,))/VLOOKUP($U$1,A:F,6,))*100)+100</f>
        <v/>
      </c>
      <c r="M233" s="29">
        <f>(((Table134567891011121314151617343[[#This Row],[GBR]]-VLOOKUP($U$1,A:G,7,))/VLOOKUP($U$1,A:G,7,))*100)+100</f>
        <v/>
      </c>
      <c r="N233" s="29">
        <f>VLOOKUP(A233,Database!$E:$AY,MATCH($N$1,Database!$E$1:$AY$1,0),FALSE)</f>
        <v/>
      </c>
      <c r="O233" s="29">
        <f>(((Table134567891011121314151617343[[#This Row],[USA]]-VLOOKUP($U$1,A:N,14,))/VLOOKUP($U$1,A:N,14,))*100)+100</f>
        <v/>
      </c>
      <c r="P233" s="29">
        <f>VLOOKUP(A233,Database!$E:$AY,MATCH($P$1,Database!$E$1:$AY$1,0),FALSE)</f>
        <v/>
      </c>
      <c r="Q233" s="29">
        <f>(((Table134567891011121314151617343[[#This Row],[JPN]]-VLOOKUP($U$1,A:Q,16,))/VLOOKUP($U$1,A:Q,16,))*100)+100</f>
        <v/>
      </c>
    </row>
    <row r="234" customFormat="1" s="129">
      <c r="A234" s="28" t="n">
        <v>39934</v>
      </c>
      <c r="B234" s="29">
        <f>VLOOKUP(A234,Database!$E:$AY,MATCH($B$1,Database!$E$1:$AY$1,0),FALSE)</f>
        <v/>
      </c>
      <c r="C234" s="29">
        <f>VLOOKUP(A234,Database!$E:$AY,MATCH($C$1,Database!$E$1:$AY$1,0),FALSE)</f>
        <v/>
      </c>
      <c r="D234" s="29">
        <f>VLOOKUP(A234,Database!$E:$AY,MATCH($D$1,Database!$E$1:$AY$1,0),FALSE)</f>
        <v/>
      </c>
      <c r="E234" s="29">
        <f>VLOOKUP(A234,Database!$E:$AY,MATCH($E$1,Database!$E$1:$AY$1,0),FALSE)</f>
        <v/>
      </c>
      <c r="F234" s="29">
        <f>VLOOKUP(A234,Database!$E:$AY,MATCH($F$1,Database!$E$1:$AY$1,0),FALSE)</f>
        <v/>
      </c>
      <c r="G234" s="29">
        <f>VLOOKUP(A234,Database!$E:$AY,MATCH($G$1,Database!$E$1:$AY$1,0),FALSE)</f>
        <v/>
      </c>
      <c r="H234" s="29">
        <f>(((Table134567891011121314151617343[[#This Row],[ITA]]-VLOOKUP($U$1,A:B,2,))/VLOOKUP($U$1,A:B,2,))*100)+100</f>
        <v/>
      </c>
      <c r="I234" s="29">
        <f>(((Table134567891011121314151617343[[#This Row],[FRA]]-VLOOKUP($U$1,A:C,3,))/VLOOKUP($U$1,A:C,3,))*100)+100</f>
        <v/>
      </c>
      <c r="J234" s="29">
        <f>(((Table134567891011121314151617343[[#This Row],[DEU]]-VLOOKUP($U$1,A:D,4,))/VLOOKUP($U$1,A:D,4,))*100)+100</f>
        <v/>
      </c>
      <c r="K234" s="29">
        <f>(((Table134567891011121314151617343[[#This Row],[ESP]]-VLOOKUP($U$1,A:E,5,))/VLOOKUP($U$1,A:E,5,))*100)+100</f>
        <v/>
      </c>
      <c r="L234" s="29">
        <f>(((Table134567891011121314151617343[[#This Row],[EA19]]-VLOOKUP($U$1,A:F,6,))/VLOOKUP($U$1,A:F,6,))*100)+100</f>
        <v/>
      </c>
      <c r="M234" s="29">
        <f>(((Table134567891011121314151617343[[#This Row],[GBR]]-VLOOKUP($U$1,A:G,7,))/VLOOKUP($U$1,A:G,7,))*100)+100</f>
        <v/>
      </c>
      <c r="N234" s="29">
        <f>VLOOKUP(A234,Database!$E:$AY,MATCH($N$1,Database!$E$1:$AY$1,0),FALSE)</f>
        <v/>
      </c>
      <c r="O234" s="29">
        <f>(((Table134567891011121314151617343[[#This Row],[USA]]-VLOOKUP($U$1,A:N,14,))/VLOOKUP($U$1,A:N,14,))*100)+100</f>
        <v/>
      </c>
      <c r="P234" s="29">
        <f>VLOOKUP(A234,Database!$E:$AY,MATCH($P$1,Database!$E$1:$AY$1,0),FALSE)</f>
        <v/>
      </c>
      <c r="Q234" s="29">
        <f>(((Table134567891011121314151617343[[#This Row],[JPN]]-VLOOKUP($U$1,A:Q,16,))/VLOOKUP($U$1,A:Q,16,))*100)+100</f>
        <v/>
      </c>
    </row>
    <row r="235" customFormat="1" s="129">
      <c r="A235" s="28" t="n">
        <v>39965</v>
      </c>
      <c r="B235" s="29">
        <f>VLOOKUP(A235,Database!$E:$AY,MATCH($B$1,Database!$E$1:$AY$1,0),FALSE)</f>
        <v/>
      </c>
      <c r="C235" s="29">
        <f>VLOOKUP(A235,Database!$E:$AY,MATCH($C$1,Database!$E$1:$AY$1,0),FALSE)</f>
        <v/>
      </c>
      <c r="D235" s="29">
        <f>VLOOKUP(A235,Database!$E:$AY,MATCH($D$1,Database!$E$1:$AY$1,0),FALSE)</f>
        <v/>
      </c>
      <c r="E235" s="29">
        <f>VLOOKUP(A235,Database!$E:$AY,MATCH($E$1,Database!$E$1:$AY$1,0),FALSE)</f>
        <v/>
      </c>
      <c r="F235" s="29">
        <f>VLOOKUP(A235,Database!$E:$AY,MATCH($F$1,Database!$E$1:$AY$1,0),FALSE)</f>
        <v/>
      </c>
      <c r="G235" s="29">
        <f>VLOOKUP(A235,Database!$E:$AY,MATCH($G$1,Database!$E$1:$AY$1,0),FALSE)</f>
        <v/>
      </c>
      <c r="H235" s="29">
        <f>(((Table134567891011121314151617343[[#This Row],[ITA]]-VLOOKUP($U$1,A:B,2,))/VLOOKUP($U$1,A:B,2,))*100)+100</f>
        <v/>
      </c>
      <c r="I235" s="29">
        <f>(((Table134567891011121314151617343[[#This Row],[FRA]]-VLOOKUP($U$1,A:C,3,))/VLOOKUP($U$1,A:C,3,))*100)+100</f>
        <v/>
      </c>
      <c r="J235" s="29">
        <f>(((Table134567891011121314151617343[[#This Row],[DEU]]-VLOOKUP($U$1,A:D,4,))/VLOOKUP($U$1,A:D,4,))*100)+100</f>
        <v/>
      </c>
      <c r="K235" s="29">
        <f>(((Table134567891011121314151617343[[#This Row],[ESP]]-VLOOKUP($U$1,A:E,5,))/VLOOKUP($U$1,A:E,5,))*100)+100</f>
        <v/>
      </c>
      <c r="L235" s="29">
        <f>(((Table134567891011121314151617343[[#This Row],[EA19]]-VLOOKUP($U$1,A:F,6,))/VLOOKUP($U$1,A:F,6,))*100)+100</f>
        <v/>
      </c>
      <c r="M235" s="29">
        <f>(((Table134567891011121314151617343[[#This Row],[GBR]]-VLOOKUP($U$1,A:G,7,))/VLOOKUP($U$1,A:G,7,))*100)+100</f>
        <v/>
      </c>
      <c r="N235" s="29">
        <f>VLOOKUP(A235,Database!$E:$AY,MATCH($N$1,Database!$E$1:$AY$1,0),FALSE)</f>
        <v/>
      </c>
      <c r="O235" s="29">
        <f>(((Table134567891011121314151617343[[#This Row],[USA]]-VLOOKUP($U$1,A:N,14,))/VLOOKUP($U$1,A:N,14,))*100)+100</f>
        <v/>
      </c>
      <c r="P235" s="29">
        <f>VLOOKUP(A235,Database!$E:$AY,MATCH($P$1,Database!$E$1:$AY$1,0),FALSE)</f>
        <v/>
      </c>
      <c r="Q235" s="29">
        <f>(((Table134567891011121314151617343[[#This Row],[JPN]]-VLOOKUP($U$1,A:Q,16,))/VLOOKUP($U$1,A:Q,16,))*100)+100</f>
        <v/>
      </c>
    </row>
    <row r="236" customFormat="1" s="129">
      <c r="A236" s="28" t="n">
        <v>39995</v>
      </c>
      <c r="B236" s="29">
        <f>VLOOKUP(A236,Database!$E:$AY,MATCH($B$1,Database!$E$1:$AY$1,0),FALSE)</f>
        <v/>
      </c>
      <c r="C236" s="29">
        <f>VLOOKUP(A236,Database!$E:$AY,MATCH($C$1,Database!$E$1:$AY$1,0),FALSE)</f>
        <v/>
      </c>
      <c r="D236" s="29">
        <f>VLOOKUP(A236,Database!$E:$AY,MATCH($D$1,Database!$E$1:$AY$1,0),FALSE)</f>
        <v/>
      </c>
      <c r="E236" s="29">
        <f>VLOOKUP(A236,Database!$E:$AY,MATCH($E$1,Database!$E$1:$AY$1,0),FALSE)</f>
        <v/>
      </c>
      <c r="F236" s="29">
        <f>VLOOKUP(A236,Database!$E:$AY,MATCH($F$1,Database!$E$1:$AY$1,0),FALSE)</f>
        <v/>
      </c>
      <c r="G236" s="29">
        <f>VLOOKUP(A236,Database!$E:$AY,MATCH($G$1,Database!$E$1:$AY$1,0),FALSE)</f>
        <v/>
      </c>
      <c r="H236" s="29">
        <f>(((Table134567891011121314151617343[[#This Row],[ITA]]-VLOOKUP($U$1,A:B,2,))/VLOOKUP($U$1,A:B,2,))*100)+100</f>
        <v/>
      </c>
      <c r="I236" s="29">
        <f>(((Table134567891011121314151617343[[#This Row],[FRA]]-VLOOKUP($U$1,A:C,3,))/VLOOKUP($U$1,A:C,3,))*100)+100</f>
        <v/>
      </c>
      <c r="J236" s="29">
        <f>(((Table134567891011121314151617343[[#This Row],[DEU]]-VLOOKUP($U$1,A:D,4,))/VLOOKUP($U$1,A:D,4,))*100)+100</f>
        <v/>
      </c>
      <c r="K236" s="29">
        <f>(((Table134567891011121314151617343[[#This Row],[ESP]]-VLOOKUP($U$1,A:E,5,))/VLOOKUP($U$1,A:E,5,))*100)+100</f>
        <v/>
      </c>
      <c r="L236" s="29">
        <f>(((Table134567891011121314151617343[[#This Row],[EA19]]-VLOOKUP($U$1,A:F,6,))/VLOOKUP($U$1,A:F,6,))*100)+100</f>
        <v/>
      </c>
      <c r="M236" s="29">
        <f>(((Table134567891011121314151617343[[#This Row],[GBR]]-VLOOKUP($U$1,A:G,7,))/VLOOKUP($U$1,A:G,7,))*100)+100</f>
        <v/>
      </c>
      <c r="N236" s="29">
        <f>VLOOKUP(A236,Database!$E:$AY,MATCH($N$1,Database!$E$1:$AY$1,0),FALSE)</f>
        <v/>
      </c>
      <c r="O236" s="29">
        <f>(((Table134567891011121314151617343[[#This Row],[USA]]-VLOOKUP($U$1,A:N,14,))/VLOOKUP($U$1,A:N,14,))*100)+100</f>
        <v/>
      </c>
      <c r="P236" s="29">
        <f>VLOOKUP(A236,Database!$E:$AY,MATCH($P$1,Database!$E$1:$AY$1,0),FALSE)</f>
        <v/>
      </c>
      <c r="Q236" s="29">
        <f>(((Table134567891011121314151617343[[#This Row],[JPN]]-VLOOKUP($U$1,A:Q,16,))/VLOOKUP($U$1,A:Q,16,))*100)+100</f>
        <v/>
      </c>
    </row>
    <row r="237" customFormat="1" s="129">
      <c r="A237" s="28" t="n">
        <v>40026</v>
      </c>
      <c r="B237" s="29">
        <f>VLOOKUP(A237,Database!$E:$AY,MATCH($B$1,Database!$E$1:$AY$1,0),FALSE)</f>
        <v/>
      </c>
      <c r="C237" s="29">
        <f>VLOOKUP(A237,Database!$E:$AY,MATCH($C$1,Database!$E$1:$AY$1,0),FALSE)</f>
        <v/>
      </c>
      <c r="D237" s="29">
        <f>VLOOKUP(A237,Database!$E:$AY,MATCH($D$1,Database!$E$1:$AY$1,0),FALSE)</f>
        <v/>
      </c>
      <c r="E237" s="29">
        <f>VLOOKUP(A237,Database!$E:$AY,MATCH($E$1,Database!$E$1:$AY$1,0),FALSE)</f>
        <v/>
      </c>
      <c r="F237" s="29">
        <f>VLOOKUP(A237,Database!$E:$AY,MATCH($F$1,Database!$E$1:$AY$1,0),FALSE)</f>
        <v/>
      </c>
      <c r="G237" s="29">
        <f>VLOOKUP(A237,Database!$E:$AY,MATCH($G$1,Database!$E$1:$AY$1,0),FALSE)</f>
        <v/>
      </c>
      <c r="H237" s="29">
        <f>(((Table134567891011121314151617343[[#This Row],[ITA]]-VLOOKUP($U$1,A:B,2,))/VLOOKUP($U$1,A:B,2,))*100)+100</f>
        <v/>
      </c>
      <c r="I237" s="29">
        <f>(((Table134567891011121314151617343[[#This Row],[FRA]]-VLOOKUP($U$1,A:C,3,))/VLOOKUP($U$1,A:C,3,))*100)+100</f>
        <v/>
      </c>
      <c r="J237" s="29">
        <f>(((Table134567891011121314151617343[[#This Row],[DEU]]-VLOOKUP($U$1,A:D,4,))/VLOOKUP($U$1,A:D,4,))*100)+100</f>
        <v/>
      </c>
      <c r="K237" s="29">
        <f>(((Table134567891011121314151617343[[#This Row],[ESP]]-VLOOKUP($U$1,A:E,5,))/VLOOKUP($U$1,A:E,5,))*100)+100</f>
        <v/>
      </c>
      <c r="L237" s="29">
        <f>(((Table134567891011121314151617343[[#This Row],[EA19]]-VLOOKUP($U$1,A:F,6,))/VLOOKUP($U$1,A:F,6,))*100)+100</f>
        <v/>
      </c>
      <c r="M237" s="29">
        <f>(((Table134567891011121314151617343[[#This Row],[GBR]]-VLOOKUP($U$1,A:G,7,))/VLOOKUP($U$1,A:G,7,))*100)+100</f>
        <v/>
      </c>
      <c r="N237" s="29">
        <f>VLOOKUP(A237,Database!$E:$AY,MATCH($N$1,Database!$E$1:$AY$1,0),FALSE)</f>
        <v/>
      </c>
      <c r="O237" s="29">
        <f>(((Table134567891011121314151617343[[#This Row],[USA]]-VLOOKUP($U$1,A:N,14,))/VLOOKUP($U$1,A:N,14,))*100)+100</f>
        <v/>
      </c>
      <c r="P237" s="29">
        <f>VLOOKUP(A237,Database!$E:$AY,MATCH($P$1,Database!$E$1:$AY$1,0),FALSE)</f>
        <v/>
      </c>
      <c r="Q237" s="29">
        <f>(((Table134567891011121314151617343[[#This Row],[JPN]]-VLOOKUP($U$1,A:Q,16,))/VLOOKUP($U$1,A:Q,16,))*100)+100</f>
        <v/>
      </c>
    </row>
    <row r="238" customFormat="1" s="129">
      <c r="A238" s="28" t="n">
        <v>40057</v>
      </c>
      <c r="B238" s="29">
        <f>VLOOKUP(A238,Database!$E:$AY,MATCH($B$1,Database!$E$1:$AY$1,0),FALSE)</f>
        <v/>
      </c>
      <c r="C238" s="29">
        <f>VLOOKUP(A238,Database!$E:$AY,MATCH($C$1,Database!$E$1:$AY$1,0),FALSE)</f>
        <v/>
      </c>
      <c r="D238" s="29">
        <f>VLOOKUP(A238,Database!$E:$AY,MATCH($D$1,Database!$E$1:$AY$1,0),FALSE)</f>
        <v/>
      </c>
      <c r="E238" s="29">
        <f>VLOOKUP(A238,Database!$E:$AY,MATCH($E$1,Database!$E$1:$AY$1,0),FALSE)</f>
        <v/>
      </c>
      <c r="F238" s="29">
        <f>VLOOKUP(A238,Database!$E:$AY,MATCH($F$1,Database!$E$1:$AY$1,0),FALSE)</f>
        <v/>
      </c>
      <c r="G238" s="29">
        <f>VLOOKUP(A238,Database!$E:$AY,MATCH($G$1,Database!$E$1:$AY$1,0),FALSE)</f>
        <v/>
      </c>
      <c r="H238" s="29">
        <f>(((Table134567891011121314151617343[[#This Row],[ITA]]-VLOOKUP($U$1,A:B,2,))/VLOOKUP($U$1,A:B,2,))*100)+100</f>
        <v/>
      </c>
      <c r="I238" s="29">
        <f>(((Table134567891011121314151617343[[#This Row],[FRA]]-VLOOKUP($U$1,A:C,3,))/VLOOKUP($U$1,A:C,3,))*100)+100</f>
        <v/>
      </c>
      <c r="J238" s="29">
        <f>(((Table134567891011121314151617343[[#This Row],[DEU]]-VLOOKUP($U$1,A:D,4,))/VLOOKUP($U$1,A:D,4,))*100)+100</f>
        <v/>
      </c>
      <c r="K238" s="29">
        <f>(((Table134567891011121314151617343[[#This Row],[ESP]]-VLOOKUP($U$1,A:E,5,))/VLOOKUP($U$1,A:E,5,))*100)+100</f>
        <v/>
      </c>
      <c r="L238" s="29">
        <f>(((Table134567891011121314151617343[[#This Row],[EA19]]-VLOOKUP($U$1,A:F,6,))/VLOOKUP($U$1,A:F,6,))*100)+100</f>
        <v/>
      </c>
      <c r="M238" s="29">
        <f>(((Table134567891011121314151617343[[#This Row],[GBR]]-VLOOKUP($U$1,A:G,7,))/VLOOKUP($U$1,A:G,7,))*100)+100</f>
        <v/>
      </c>
      <c r="N238" s="29">
        <f>VLOOKUP(A238,Database!$E:$AY,MATCH($N$1,Database!$E$1:$AY$1,0),FALSE)</f>
        <v/>
      </c>
      <c r="O238" s="29">
        <f>(((Table134567891011121314151617343[[#This Row],[USA]]-VLOOKUP($U$1,A:N,14,))/VLOOKUP($U$1,A:N,14,))*100)+100</f>
        <v/>
      </c>
      <c r="P238" s="29">
        <f>VLOOKUP(A238,Database!$E:$AY,MATCH($P$1,Database!$E$1:$AY$1,0),FALSE)</f>
        <v/>
      </c>
      <c r="Q238" s="29">
        <f>(((Table134567891011121314151617343[[#This Row],[JPN]]-VLOOKUP($U$1,A:Q,16,))/VLOOKUP($U$1,A:Q,16,))*100)+100</f>
        <v/>
      </c>
    </row>
    <row r="239" customFormat="1" s="129">
      <c r="A239" s="28" t="n">
        <v>40087</v>
      </c>
      <c r="B239" s="29">
        <f>VLOOKUP(A239,Database!$E:$AY,MATCH($B$1,Database!$E$1:$AY$1,0),FALSE)</f>
        <v/>
      </c>
      <c r="C239" s="29">
        <f>VLOOKUP(A239,Database!$E:$AY,MATCH($C$1,Database!$E$1:$AY$1,0),FALSE)</f>
        <v/>
      </c>
      <c r="D239" s="29">
        <f>VLOOKUP(A239,Database!$E:$AY,MATCH($D$1,Database!$E$1:$AY$1,0),FALSE)</f>
        <v/>
      </c>
      <c r="E239" s="29">
        <f>VLOOKUP(A239,Database!$E:$AY,MATCH($E$1,Database!$E$1:$AY$1,0),FALSE)</f>
        <v/>
      </c>
      <c r="F239" s="29">
        <f>VLOOKUP(A239,Database!$E:$AY,MATCH($F$1,Database!$E$1:$AY$1,0),FALSE)</f>
        <v/>
      </c>
      <c r="G239" s="29">
        <f>VLOOKUP(A239,Database!$E:$AY,MATCH($G$1,Database!$E$1:$AY$1,0),FALSE)</f>
        <v/>
      </c>
      <c r="H239" s="29">
        <f>(((Table134567891011121314151617343[[#This Row],[ITA]]-VLOOKUP($U$1,A:B,2,))/VLOOKUP($U$1,A:B,2,))*100)+100</f>
        <v/>
      </c>
      <c r="I239" s="29">
        <f>(((Table134567891011121314151617343[[#This Row],[FRA]]-VLOOKUP($U$1,A:C,3,))/VLOOKUP($U$1,A:C,3,))*100)+100</f>
        <v/>
      </c>
      <c r="J239" s="29">
        <f>(((Table134567891011121314151617343[[#This Row],[DEU]]-VLOOKUP($U$1,A:D,4,))/VLOOKUP($U$1,A:D,4,))*100)+100</f>
        <v/>
      </c>
      <c r="K239" s="29">
        <f>(((Table134567891011121314151617343[[#This Row],[ESP]]-VLOOKUP($U$1,A:E,5,))/VLOOKUP($U$1,A:E,5,))*100)+100</f>
        <v/>
      </c>
      <c r="L239" s="29">
        <f>(((Table134567891011121314151617343[[#This Row],[EA19]]-VLOOKUP($U$1,A:F,6,))/VLOOKUP($U$1,A:F,6,))*100)+100</f>
        <v/>
      </c>
      <c r="M239" s="29">
        <f>(((Table134567891011121314151617343[[#This Row],[GBR]]-VLOOKUP($U$1,A:G,7,))/VLOOKUP($U$1,A:G,7,))*100)+100</f>
        <v/>
      </c>
      <c r="N239" s="29">
        <f>VLOOKUP(A239,Database!$E:$AY,MATCH($N$1,Database!$E$1:$AY$1,0),FALSE)</f>
        <v/>
      </c>
      <c r="O239" s="29">
        <f>(((Table134567891011121314151617343[[#This Row],[USA]]-VLOOKUP($U$1,A:N,14,))/VLOOKUP($U$1,A:N,14,))*100)+100</f>
        <v/>
      </c>
      <c r="P239" s="29">
        <f>VLOOKUP(A239,Database!$E:$AY,MATCH($P$1,Database!$E$1:$AY$1,0),FALSE)</f>
        <v/>
      </c>
      <c r="Q239" s="29">
        <f>(((Table134567891011121314151617343[[#This Row],[JPN]]-VLOOKUP($U$1,A:Q,16,))/VLOOKUP($U$1,A:Q,16,))*100)+100</f>
        <v/>
      </c>
    </row>
    <row r="240" customFormat="1" s="129">
      <c r="A240" s="28" t="n">
        <v>40118</v>
      </c>
      <c r="B240" s="29">
        <f>VLOOKUP(A240,Database!$E:$AY,MATCH($B$1,Database!$E$1:$AY$1,0),FALSE)</f>
        <v/>
      </c>
      <c r="C240" s="29">
        <f>VLOOKUP(A240,Database!$E:$AY,MATCH($C$1,Database!$E$1:$AY$1,0),FALSE)</f>
        <v/>
      </c>
      <c r="D240" s="29">
        <f>VLOOKUP(A240,Database!$E:$AY,MATCH($D$1,Database!$E$1:$AY$1,0),FALSE)</f>
        <v/>
      </c>
      <c r="E240" s="29">
        <f>VLOOKUP(A240,Database!$E:$AY,MATCH($E$1,Database!$E$1:$AY$1,0),FALSE)</f>
        <v/>
      </c>
      <c r="F240" s="29">
        <f>VLOOKUP(A240,Database!$E:$AY,MATCH($F$1,Database!$E$1:$AY$1,0),FALSE)</f>
        <v/>
      </c>
      <c r="G240" s="29">
        <f>VLOOKUP(A240,Database!$E:$AY,MATCH($G$1,Database!$E$1:$AY$1,0),FALSE)</f>
        <v/>
      </c>
      <c r="H240" s="29">
        <f>(((Table134567891011121314151617343[[#This Row],[ITA]]-VLOOKUP($U$1,A:B,2,))/VLOOKUP($U$1,A:B,2,))*100)+100</f>
        <v/>
      </c>
      <c r="I240" s="29">
        <f>(((Table134567891011121314151617343[[#This Row],[FRA]]-VLOOKUP($U$1,A:C,3,))/VLOOKUP($U$1,A:C,3,))*100)+100</f>
        <v/>
      </c>
      <c r="J240" s="29">
        <f>(((Table134567891011121314151617343[[#This Row],[DEU]]-VLOOKUP($U$1,A:D,4,))/VLOOKUP($U$1,A:D,4,))*100)+100</f>
        <v/>
      </c>
      <c r="K240" s="29">
        <f>(((Table134567891011121314151617343[[#This Row],[ESP]]-VLOOKUP($U$1,A:E,5,))/VLOOKUP($U$1,A:E,5,))*100)+100</f>
        <v/>
      </c>
      <c r="L240" s="29">
        <f>(((Table134567891011121314151617343[[#This Row],[EA19]]-VLOOKUP($U$1,A:F,6,))/VLOOKUP($U$1,A:F,6,))*100)+100</f>
        <v/>
      </c>
      <c r="M240" s="29">
        <f>(((Table134567891011121314151617343[[#This Row],[GBR]]-VLOOKUP($U$1,A:G,7,))/VLOOKUP($U$1,A:G,7,))*100)+100</f>
        <v/>
      </c>
      <c r="N240" s="29">
        <f>VLOOKUP(A240,Database!$E:$AY,MATCH($N$1,Database!$E$1:$AY$1,0),FALSE)</f>
        <v/>
      </c>
      <c r="O240" s="29">
        <f>(((Table134567891011121314151617343[[#This Row],[USA]]-VLOOKUP($U$1,A:N,14,))/VLOOKUP($U$1,A:N,14,))*100)+100</f>
        <v/>
      </c>
      <c r="P240" s="29">
        <f>VLOOKUP(A240,Database!$E:$AY,MATCH($P$1,Database!$E$1:$AY$1,0),FALSE)</f>
        <v/>
      </c>
      <c r="Q240" s="29">
        <f>(((Table134567891011121314151617343[[#This Row],[JPN]]-VLOOKUP($U$1,A:Q,16,))/VLOOKUP($U$1,A:Q,16,))*100)+100</f>
        <v/>
      </c>
    </row>
    <row r="241" customFormat="1" s="129">
      <c r="A241" s="28" t="n">
        <v>40148</v>
      </c>
      <c r="B241" s="29">
        <f>VLOOKUP(A241,Database!$E:$AY,MATCH($B$1,Database!$E$1:$AY$1,0),FALSE)</f>
        <v/>
      </c>
      <c r="C241" s="29">
        <f>VLOOKUP(A241,Database!$E:$AY,MATCH($C$1,Database!$E$1:$AY$1,0),FALSE)</f>
        <v/>
      </c>
      <c r="D241" s="29">
        <f>VLOOKUP(A241,Database!$E:$AY,MATCH($D$1,Database!$E$1:$AY$1,0),FALSE)</f>
        <v/>
      </c>
      <c r="E241" s="29">
        <f>VLOOKUP(A241,Database!$E:$AY,MATCH($E$1,Database!$E$1:$AY$1,0),FALSE)</f>
        <v/>
      </c>
      <c r="F241" s="29">
        <f>VLOOKUP(A241,Database!$E:$AY,MATCH($F$1,Database!$E$1:$AY$1,0),FALSE)</f>
        <v/>
      </c>
      <c r="G241" s="29">
        <f>VLOOKUP(A241,Database!$E:$AY,MATCH($G$1,Database!$E$1:$AY$1,0),FALSE)</f>
        <v/>
      </c>
      <c r="H241" s="29">
        <f>(((Table134567891011121314151617343[[#This Row],[ITA]]-VLOOKUP($U$1,A:B,2,))/VLOOKUP($U$1,A:B,2,))*100)+100</f>
        <v/>
      </c>
      <c r="I241" s="29">
        <f>(((Table134567891011121314151617343[[#This Row],[FRA]]-VLOOKUP($U$1,A:C,3,))/VLOOKUP($U$1,A:C,3,))*100)+100</f>
        <v/>
      </c>
      <c r="J241" s="29">
        <f>(((Table134567891011121314151617343[[#This Row],[DEU]]-VLOOKUP($U$1,A:D,4,))/VLOOKUP($U$1,A:D,4,))*100)+100</f>
        <v/>
      </c>
      <c r="K241" s="29">
        <f>(((Table134567891011121314151617343[[#This Row],[ESP]]-VLOOKUP($U$1,A:E,5,))/VLOOKUP($U$1,A:E,5,))*100)+100</f>
        <v/>
      </c>
      <c r="L241" s="29">
        <f>(((Table134567891011121314151617343[[#This Row],[EA19]]-VLOOKUP($U$1,A:F,6,))/VLOOKUP($U$1,A:F,6,))*100)+100</f>
        <v/>
      </c>
      <c r="M241" s="29">
        <f>(((Table134567891011121314151617343[[#This Row],[GBR]]-VLOOKUP($U$1,A:G,7,))/VLOOKUP($U$1,A:G,7,))*100)+100</f>
        <v/>
      </c>
      <c r="N241" s="29">
        <f>VLOOKUP(A241,Database!$E:$AY,MATCH($N$1,Database!$E$1:$AY$1,0),FALSE)</f>
        <v/>
      </c>
      <c r="O241" s="29">
        <f>(((Table134567891011121314151617343[[#This Row],[USA]]-VLOOKUP($U$1,A:N,14,))/VLOOKUP($U$1,A:N,14,))*100)+100</f>
        <v/>
      </c>
      <c r="P241" s="29">
        <f>VLOOKUP(A241,Database!$E:$AY,MATCH($P$1,Database!$E$1:$AY$1,0),FALSE)</f>
        <v/>
      </c>
      <c r="Q241" s="29">
        <f>(((Table134567891011121314151617343[[#This Row],[JPN]]-VLOOKUP($U$1,A:Q,16,))/VLOOKUP($U$1,A:Q,16,))*100)+100</f>
        <v/>
      </c>
    </row>
    <row r="242" customFormat="1" s="129">
      <c r="A242" s="28" t="n">
        <v>40179</v>
      </c>
      <c r="B242" s="29">
        <f>VLOOKUP(A242,Database!$E:$AY,MATCH($B$1,Database!$E$1:$AY$1,0),FALSE)</f>
        <v/>
      </c>
      <c r="C242" s="29">
        <f>VLOOKUP(A242,Database!$E:$AY,MATCH($C$1,Database!$E$1:$AY$1,0),FALSE)</f>
        <v/>
      </c>
      <c r="D242" s="29">
        <f>VLOOKUP(A242,Database!$E:$AY,MATCH($D$1,Database!$E$1:$AY$1,0),FALSE)</f>
        <v/>
      </c>
      <c r="E242" s="29">
        <f>VLOOKUP(A242,Database!$E:$AY,MATCH($E$1,Database!$E$1:$AY$1,0),FALSE)</f>
        <v/>
      </c>
      <c r="F242" s="29">
        <f>VLOOKUP(A242,Database!$E:$AY,MATCH($F$1,Database!$E$1:$AY$1,0),FALSE)</f>
        <v/>
      </c>
      <c r="G242" s="29">
        <f>VLOOKUP(A242,Database!$E:$AY,MATCH($G$1,Database!$E$1:$AY$1,0),FALSE)</f>
        <v/>
      </c>
      <c r="H242" s="29">
        <f>(((Table134567891011121314151617343[[#This Row],[ITA]]-VLOOKUP($U$1,A:B,2,))/VLOOKUP($U$1,A:B,2,))*100)+100</f>
        <v/>
      </c>
      <c r="I242" s="29">
        <f>(((Table134567891011121314151617343[[#This Row],[FRA]]-VLOOKUP($U$1,A:C,3,))/VLOOKUP($U$1,A:C,3,))*100)+100</f>
        <v/>
      </c>
      <c r="J242" s="29">
        <f>(((Table134567891011121314151617343[[#This Row],[DEU]]-VLOOKUP($U$1,A:D,4,))/VLOOKUP($U$1,A:D,4,))*100)+100</f>
        <v/>
      </c>
      <c r="K242" s="29">
        <f>(((Table134567891011121314151617343[[#This Row],[ESP]]-VLOOKUP($U$1,A:E,5,))/VLOOKUP($U$1,A:E,5,))*100)+100</f>
        <v/>
      </c>
      <c r="L242" s="29">
        <f>(((Table134567891011121314151617343[[#This Row],[EA19]]-VLOOKUP($U$1,A:F,6,))/VLOOKUP($U$1,A:F,6,))*100)+100</f>
        <v/>
      </c>
      <c r="M242" s="29">
        <f>(((Table134567891011121314151617343[[#This Row],[GBR]]-VLOOKUP($U$1,A:G,7,))/VLOOKUP($U$1,A:G,7,))*100)+100</f>
        <v/>
      </c>
      <c r="N242" s="29">
        <f>VLOOKUP(A242,Database!$E:$AY,MATCH($N$1,Database!$E$1:$AY$1,0),FALSE)</f>
        <v/>
      </c>
      <c r="O242" s="29">
        <f>(((Table134567891011121314151617343[[#This Row],[USA]]-VLOOKUP($U$1,A:N,14,))/VLOOKUP($U$1,A:N,14,))*100)+100</f>
        <v/>
      </c>
      <c r="P242" s="29">
        <f>VLOOKUP(A242,Database!$E:$AY,MATCH($P$1,Database!$E$1:$AY$1,0),FALSE)</f>
        <v/>
      </c>
      <c r="Q242" s="29">
        <f>(((Table134567891011121314151617343[[#This Row],[JPN]]-VLOOKUP($U$1,A:Q,16,))/VLOOKUP($U$1,A:Q,16,))*100)+100</f>
        <v/>
      </c>
    </row>
    <row r="243" customFormat="1" s="129">
      <c r="A243" s="28" t="n">
        <v>40210</v>
      </c>
      <c r="B243" s="29">
        <f>VLOOKUP(A243,Database!$E:$AY,MATCH($B$1,Database!$E$1:$AY$1,0),FALSE)</f>
        <v/>
      </c>
      <c r="C243" s="29">
        <f>VLOOKUP(A243,Database!$E:$AY,MATCH($C$1,Database!$E$1:$AY$1,0),FALSE)</f>
        <v/>
      </c>
      <c r="D243" s="29">
        <f>VLOOKUP(A243,Database!$E:$AY,MATCH($D$1,Database!$E$1:$AY$1,0),FALSE)</f>
        <v/>
      </c>
      <c r="E243" s="29">
        <f>VLOOKUP(A243,Database!$E:$AY,MATCH($E$1,Database!$E$1:$AY$1,0),FALSE)</f>
        <v/>
      </c>
      <c r="F243" s="29">
        <f>VLOOKUP(A243,Database!$E:$AY,MATCH($F$1,Database!$E$1:$AY$1,0),FALSE)</f>
        <v/>
      </c>
      <c r="G243" s="29">
        <f>VLOOKUP(A243,Database!$E:$AY,MATCH($G$1,Database!$E$1:$AY$1,0),FALSE)</f>
        <v/>
      </c>
      <c r="H243" s="29">
        <f>(((Table134567891011121314151617343[[#This Row],[ITA]]-VLOOKUP($U$1,A:B,2,))/VLOOKUP($U$1,A:B,2,))*100)+100</f>
        <v/>
      </c>
      <c r="I243" s="29">
        <f>(((Table134567891011121314151617343[[#This Row],[FRA]]-VLOOKUP($U$1,A:C,3,))/VLOOKUP($U$1,A:C,3,))*100)+100</f>
        <v/>
      </c>
      <c r="J243" s="29">
        <f>(((Table134567891011121314151617343[[#This Row],[DEU]]-VLOOKUP($U$1,A:D,4,))/VLOOKUP($U$1,A:D,4,))*100)+100</f>
        <v/>
      </c>
      <c r="K243" s="29">
        <f>(((Table134567891011121314151617343[[#This Row],[ESP]]-VLOOKUP($U$1,A:E,5,))/VLOOKUP($U$1,A:E,5,))*100)+100</f>
        <v/>
      </c>
      <c r="L243" s="29">
        <f>(((Table134567891011121314151617343[[#This Row],[EA19]]-VLOOKUP($U$1,A:F,6,))/VLOOKUP($U$1,A:F,6,))*100)+100</f>
        <v/>
      </c>
      <c r="M243" s="29">
        <f>(((Table134567891011121314151617343[[#This Row],[GBR]]-VLOOKUP($U$1,A:G,7,))/VLOOKUP($U$1,A:G,7,))*100)+100</f>
        <v/>
      </c>
      <c r="N243" s="29">
        <f>VLOOKUP(A243,Database!$E:$AY,MATCH($N$1,Database!$E$1:$AY$1,0),FALSE)</f>
        <v/>
      </c>
      <c r="O243" s="29">
        <f>(((Table134567891011121314151617343[[#This Row],[USA]]-VLOOKUP($U$1,A:N,14,))/VLOOKUP($U$1,A:N,14,))*100)+100</f>
        <v/>
      </c>
      <c r="P243" s="29">
        <f>VLOOKUP(A243,Database!$E:$AY,MATCH($P$1,Database!$E$1:$AY$1,0),FALSE)</f>
        <v/>
      </c>
      <c r="Q243" s="29">
        <f>(((Table134567891011121314151617343[[#This Row],[JPN]]-VLOOKUP($U$1,A:Q,16,))/VLOOKUP($U$1,A:Q,16,))*100)+100</f>
        <v/>
      </c>
    </row>
    <row r="244" customFormat="1" s="129">
      <c r="A244" s="28" t="n">
        <v>40238</v>
      </c>
      <c r="B244" s="29">
        <f>VLOOKUP(A244,Database!$E:$AY,MATCH($B$1,Database!$E$1:$AY$1,0),FALSE)</f>
        <v/>
      </c>
      <c r="C244" s="29">
        <f>VLOOKUP(A244,Database!$E:$AY,MATCH($C$1,Database!$E$1:$AY$1,0),FALSE)</f>
        <v/>
      </c>
      <c r="D244" s="29">
        <f>VLOOKUP(A244,Database!$E:$AY,MATCH($D$1,Database!$E$1:$AY$1,0),FALSE)</f>
        <v/>
      </c>
      <c r="E244" s="29">
        <f>VLOOKUP(A244,Database!$E:$AY,MATCH($E$1,Database!$E$1:$AY$1,0),FALSE)</f>
        <v/>
      </c>
      <c r="F244" s="29">
        <f>VLOOKUP(A244,Database!$E:$AY,MATCH($F$1,Database!$E$1:$AY$1,0),FALSE)</f>
        <v/>
      </c>
      <c r="G244" s="29">
        <f>VLOOKUP(A244,Database!$E:$AY,MATCH($G$1,Database!$E$1:$AY$1,0),FALSE)</f>
        <v/>
      </c>
      <c r="H244" s="29">
        <f>(((Table134567891011121314151617343[[#This Row],[ITA]]-VLOOKUP($U$1,A:B,2,))/VLOOKUP($U$1,A:B,2,))*100)+100</f>
        <v/>
      </c>
      <c r="I244" s="29">
        <f>(((Table134567891011121314151617343[[#This Row],[FRA]]-VLOOKUP($U$1,A:C,3,))/VLOOKUP($U$1,A:C,3,))*100)+100</f>
        <v/>
      </c>
      <c r="J244" s="29">
        <f>(((Table134567891011121314151617343[[#This Row],[DEU]]-VLOOKUP($U$1,A:D,4,))/VLOOKUP($U$1,A:D,4,))*100)+100</f>
        <v/>
      </c>
      <c r="K244" s="29">
        <f>(((Table134567891011121314151617343[[#This Row],[ESP]]-VLOOKUP($U$1,A:E,5,))/VLOOKUP($U$1,A:E,5,))*100)+100</f>
        <v/>
      </c>
      <c r="L244" s="29">
        <f>(((Table134567891011121314151617343[[#This Row],[EA19]]-VLOOKUP($U$1,A:F,6,))/VLOOKUP($U$1,A:F,6,))*100)+100</f>
        <v/>
      </c>
      <c r="M244" s="29">
        <f>(((Table134567891011121314151617343[[#This Row],[GBR]]-VLOOKUP($U$1,A:G,7,))/VLOOKUP($U$1,A:G,7,))*100)+100</f>
        <v/>
      </c>
      <c r="N244" s="29">
        <f>VLOOKUP(A244,Database!$E:$AY,MATCH($N$1,Database!$E$1:$AY$1,0),FALSE)</f>
        <v/>
      </c>
      <c r="O244" s="29">
        <f>(((Table134567891011121314151617343[[#This Row],[USA]]-VLOOKUP($U$1,A:N,14,))/VLOOKUP($U$1,A:N,14,))*100)+100</f>
        <v/>
      </c>
      <c r="P244" s="29">
        <f>VLOOKUP(A244,Database!$E:$AY,MATCH($P$1,Database!$E$1:$AY$1,0),FALSE)</f>
        <v/>
      </c>
      <c r="Q244" s="29">
        <f>(((Table134567891011121314151617343[[#This Row],[JPN]]-VLOOKUP($U$1,A:Q,16,))/VLOOKUP($U$1,A:Q,16,))*100)+100</f>
        <v/>
      </c>
    </row>
    <row r="245" customFormat="1" s="129">
      <c r="A245" s="28" t="n">
        <v>40269</v>
      </c>
      <c r="B245" s="29">
        <f>VLOOKUP(A245,Database!$E:$AY,MATCH($B$1,Database!$E$1:$AY$1,0),FALSE)</f>
        <v/>
      </c>
      <c r="C245" s="29">
        <f>VLOOKUP(A245,Database!$E:$AY,MATCH($C$1,Database!$E$1:$AY$1,0),FALSE)</f>
        <v/>
      </c>
      <c r="D245" s="29">
        <f>VLOOKUP(A245,Database!$E:$AY,MATCH($D$1,Database!$E$1:$AY$1,0),FALSE)</f>
        <v/>
      </c>
      <c r="E245" s="29">
        <f>VLOOKUP(A245,Database!$E:$AY,MATCH($E$1,Database!$E$1:$AY$1,0),FALSE)</f>
        <v/>
      </c>
      <c r="F245" s="29">
        <f>VLOOKUP(A245,Database!$E:$AY,MATCH($F$1,Database!$E$1:$AY$1,0),FALSE)</f>
        <v/>
      </c>
      <c r="G245" s="29">
        <f>VLOOKUP(A245,Database!$E:$AY,MATCH($G$1,Database!$E$1:$AY$1,0),FALSE)</f>
        <v/>
      </c>
      <c r="H245" s="29">
        <f>(((Table134567891011121314151617343[[#This Row],[ITA]]-VLOOKUP($U$1,A:B,2,))/VLOOKUP($U$1,A:B,2,))*100)+100</f>
        <v/>
      </c>
      <c r="I245" s="29">
        <f>(((Table134567891011121314151617343[[#This Row],[FRA]]-VLOOKUP($U$1,A:C,3,))/VLOOKUP($U$1,A:C,3,))*100)+100</f>
        <v/>
      </c>
      <c r="J245" s="29">
        <f>(((Table134567891011121314151617343[[#This Row],[DEU]]-VLOOKUP($U$1,A:D,4,))/VLOOKUP($U$1,A:D,4,))*100)+100</f>
        <v/>
      </c>
      <c r="K245" s="29">
        <f>(((Table134567891011121314151617343[[#This Row],[ESP]]-VLOOKUP($U$1,A:E,5,))/VLOOKUP($U$1,A:E,5,))*100)+100</f>
        <v/>
      </c>
      <c r="L245" s="29">
        <f>(((Table134567891011121314151617343[[#This Row],[EA19]]-VLOOKUP($U$1,A:F,6,))/VLOOKUP($U$1,A:F,6,))*100)+100</f>
        <v/>
      </c>
      <c r="M245" s="29">
        <f>(((Table134567891011121314151617343[[#This Row],[GBR]]-VLOOKUP($U$1,A:G,7,))/VLOOKUP($U$1,A:G,7,))*100)+100</f>
        <v/>
      </c>
      <c r="N245" s="29">
        <f>VLOOKUP(A245,Database!$E:$AY,MATCH($N$1,Database!$E$1:$AY$1,0),FALSE)</f>
        <v/>
      </c>
      <c r="O245" s="29">
        <f>(((Table134567891011121314151617343[[#This Row],[USA]]-VLOOKUP($U$1,A:N,14,))/VLOOKUP($U$1,A:N,14,))*100)+100</f>
        <v/>
      </c>
      <c r="P245" s="29">
        <f>VLOOKUP(A245,Database!$E:$AY,MATCH($P$1,Database!$E$1:$AY$1,0),FALSE)</f>
        <v/>
      </c>
      <c r="Q245" s="29">
        <f>(((Table134567891011121314151617343[[#This Row],[JPN]]-VLOOKUP($U$1,A:Q,16,))/VLOOKUP($U$1,A:Q,16,))*100)+100</f>
        <v/>
      </c>
    </row>
    <row r="246" customFormat="1" s="129">
      <c r="A246" s="28" t="n">
        <v>40299</v>
      </c>
      <c r="B246" s="29">
        <f>VLOOKUP(A246,Database!$E:$AY,MATCH($B$1,Database!$E$1:$AY$1,0),FALSE)</f>
        <v/>
      </c>
      <c r="C246" s="29">
        <f>VLOOKUP(A246,Database!$E:$AY,MATCH($C$1,Database!$E$1:$AY$1,0),FALSE)</f>
        <v/>
      </c>
      <c r="D246" s="29">
        <f>VLOOKUP(A246,Database!$E:$AY,MATCH($D$1,Database!$E$1:$AY$1,0),FALSE)</f>
        <v/>
      </c>
      <c r="E246" s="29">
        <f>VLOOKUP(A246,Database!$E:$AY,MATCH($E$1,Database!$E$1:$AY$1,0),FALSE)</f>
        <v/>
      </c>
      <c r="F246" s="29">
        <f>VLOOKUP(A246,Database!$E:$AY,MATCH($F$1,Database!$E$1:$AY$1,0),FALSE)</f>
        <v/>
      </c>
      <c r="G246" s="29">
        <f>VLOOKUP(A246,Database!$E:$AY,MATCH($G$1,Database!$E$1:$AY$1,0),FALSE)</f>
        <v/>
      </c>
      <c r="H246" s="29">
        <f>(((Table134567891011121314151617343[[#This Row],[ITA]]-VLOOKUP($U$1,A:B,2,))/VLOOKUP($U$1,A:B,2,))*100)+100</f>
        <v/>
      </c>
      <c r="I246" s="29">
        <f>(((Table134567891011121314151617343[[#This Row],[FRA]]-VLOOKUP($U$1,A:C,3,))/VLOOKUP($U$1,A:C,3,))*100)+100</f>
        <v/>
      </c>
      <c r="J246" s="29">
        <f>(((Table134567891011121314151617343[[#This Row],[DEU]]-VLOOKUP($U$1,A:D,4,))/VLOOKUP($U$1,A:D,4,))*100)+100</f>
        <v/>
      </c>
      <c r="K246" s="29">
        <f>(((Table134567891011121314151617343[[#This Row],[ESP]]-VLOOKUP($U$1,A:E,5,))/VLOOKUP($U$1,A:E,5,))*100)+100</f>
        <v/>
      </c>
      <c r="L246" s="29">
        <f>(((Table134567891011121314151617343[[#This Row],[EA19]]-VLOOKUP($U$1,A:F,6,))/VLOOKUP($U$1,A:F,6,))*100)+100</f>
        <v/>
      </c>
      <c r="M246" s="29">
        <f>(((Table134567891011121314151617343[[#This Row],[GBR]]-VLOOKUP($U$1,A:G,7,))/VLOOKUP($U$1,A:G,7,))*100)+100</f>
        <v/>
      </c>
      <c r="N246" s="29">
        <f>VLOOKUP(A246,Database!$E:$AY,MATCH($N$1,Database!$E$1:$AY$1,0),FALSE)</f>
        <v/>
      </c>
      <c r="O246" s="29">
        <f>(((Table134567891011121314151617343[[#This Row],[USA]]-VLOOKUP($U$1,A:N,14,))/VLOOKUP($U$1,A:N,14,))*100)+100</f>
        <v/>
      </c>
      <c r="P246" s="29">
        <f>VLOOKUP(A246,Database!$E:$AY,MATCH($P$1,Database!$E$1:$AY$1,0),FALSE)</f>
        <v/>
      </c>
      <c r="Q246" s="29">
        <f>(((Table134567891011121314151617343[[#This Row],[JPN]]-VLOOKUP($U$1,A:Q,16,))/VLOOKUP($U$1,A:Q,16,))*100)+100</f>
        <v/>
      </c>
    </row>
    <row r="247" customFormat="1" s="129">
      <c r="A247" s="28" t="n">
        <v>40330</v>
      </c>
      <c r="B247" s="29">
        <f>VLOOKUP(A247,Database!$E:$AY,MATCH($B$1,Database!$E$1:$AY$1,0),FALSE)</f>
        <v/>
      </c>
      <c r="C247" s="29">
        <f>VLOOKUP(A247,Database!$E:$AY,MATCH($C$1,Database!$E$1:$AY$1,0),FALSE)</f>
        <v/>
      </c>
      <c r="D247" s="29">
        <f>VLOOKUP(A247,Database!$E:$AY,MATCH($D$1,Database!$E$1:$AY$1,0),FALSE)</f>
        <v/>
      </c>
      <c r="E247" s="29">
        <f>VLOOKUP(A247,Database!$E:$AY,MATCH($E$1,Database!$E$1:$AY$1,0),FALSE)</f>
        <v/>
      </c>
      <c r="F247" s="29">
        <f>VLOOKUP(A247,Database!$E:$AY,MATCH($F$1,Database!$E$1:$AY$1,0),FALSE)</f>
        <v/>
      </c>
      <c r="G247" s="29">
        <f>VLOOKUP(A247,Database!$E:$AY,MATCH($G$1,Database!$E$1:$AY$1,0),FALSE)</f>
        <v/>
      </c>
      <c r="H247" s="29">
        <f>(((Table134567891011121314151617343[[#This Row],[ITA]]-VLOOKUP($U$1,A:B,2,))/VLOOKUP($U$1,A:B,2,))*100)+100</f>
        <v/>
      </c>
      <c r="I247" s="29">
        <f>(((Table134567891011121314151617343[[#This Row],[FRA]]-VLOOKUP($U$1,A:C,3,))/VLOOKUP($U$1,A:C,3,))*100)+100</f>
        <v/>
      </c>
      <c r="J247" s="29">
        <f>(((Table134567891011121314151617343[[#This Row],[DEU]]-VLOOKUP($U$1,A:D,4,))/VLOOKUP($U$1,A:D,4,))*100)+100</f>
        <v/>
      </c>
      <c r="K247" s="29">
        <f>(((Table134567891011121314151617343[[#This Row],[ESP]]-VLOOKUP($U$1,A:E,5,))/VLOOKUP($U$1,A:E,5,))*100)+100</f>
        <v/>
      </c>
      <c r="L247" s="29">
        <f>(((Table134567891011121314151617343[[#This Row],[EA19]]-VLOOKUP($U$1,A:F,6,))/VLOOKUP($U$1,A:F,6,))*100)+100</f>
        <v/>
      </c>
      <c r="M247" s="29">
        <f>(((Table134567891011121314151617343[[#This Row],[GBR]]-VLOOKUP($U$1,A:G,7,))/VLOOKUP($U$1,A:G,7,))*100)+100</f>
        <v/>
      </c>
      <c r="N247" s="29">
        <f>VLOOKUP(A247,Database!$E:$AY,MATCH($N$1,Database!$E$1:$AY$1,0),FALSE)</f>
        <v/>
      </c>
      <c r="O247" s="29">
        <f>(((Table134567891011121314151617343[[#This Row],[USA]]-VLOOKUP($U$1,A:N,14,))/VLOOKUP($U$1,A:N,14,))*100)+100</f>
        <v/>
      </c>
      <c r="P247" s="29">
        <f>VLOOKUP(A247,Database!$E:$AY,MATCH($P$1,Database!$E$1:$AY$1,0),FALSE)</f>
        <v/>
      </c>
      <c r="Q247" s="29">
        <f>(((Table134567891011121314151617343[[#This Row],[JPN]]-VLOOKUP($U$1,A:Q,16,))/VLOOKUP($U$1,A:Q,16,))*100)+100</f>
        <v/>
      </c>
    </row>
    <row r="248" customFormat="1" s="129">
      <c r="A248" s="28" t="n">
        <v>40360</v>
      </c>
      <c r="B248" s="29">
        <f>VLOOKUP(A248,Database!$E:$AY,MATCH($B$1,Database!$E$1:$AY$1,0),FALSE)</f>
        <v/>
      </c>
      <c r="C248" s="29">
        <f>VLOOKUP(A248,Database!$E:$AY,MATCH($C$1,Database!$E$1:$AY$1,0),FALSE)</f>
        <v/>
      </c>
      <c r="D248" s="29">
        <f>VLOOKUP(A248,Database!$E:$AY,MATCH($D$1,Database!$E$1:$AY$1,0),FALSE)</f>
        <v/>
      </c>
      <c r="E248" s="29">
        <f>VLOOKUP(A248,Database!$E:$AY,MATCH($E$1,Database!$E$1:$AY$1,0),FALSE)</f>
        <v/>
      </c>
      <c r="F248" s="29">
        <f>VLOOKUP(A248,Database!$E:$AY,MATCH($F$1,Database!$E$1:$AY$1,0),FALSE)</f>
        <v/>
      </c>
      <c r="G248" s="29">
        <f>VLOOKUP(A248,Database!$E:$AY,MATCH($G$1,Database!$E$1:$AY$1,0),FALSE)</f>
        <v/>
      </c>
      <c r="H248" s="29">
        <f>(((Table134567891011121314151617343[[#This Row],[ITA]]-VLOOKUP($U$1,A:B,2,))/VLOOKUP($U$1,A:B,2,))*100)+100</f>
        <v/>
      </c>
      <c r="I248" s="29">
        <f>(((Table134567891011121314151617343[[#This Row],[FRA]]-VLOOKUP($U$1,A:C,3,))/VLOOKUP($U$1,A:C,3,))*100)+100</f>
        <v/>
      </c>
      <c r="J248" s="29">
        <f>(((Table134567891011121314151617343[[#This Row],[DEU]]-VLOOKUP($U$1,A:D,4,))/VLOOKUP($U$1,A:D,4,))*100)+100</f>
        <v/>
      </c>
      <c r="K248" s="29">
        <f>(((Table134567891011121314151617343[[#This Row],[ESP]]-VLOOKUP($U$1,A:E,5,))/VLOOKUP($U$1,A:E,5,))*100)+100</f>
        <v/>
      </c>
      <c r="L248" s="29">
        <f>(((Table134567891011121314151617343[[#This Row],[EA19]]-VLOOKUP($U$1,A:F,6,))/VLOOKUP($U$1,A:F,6,))*100)+100</f>
        <v/>
      </c>
      <c r="M248" s="29">
        <f>(((Table134567891011121314151617343[[#This Row],[GBR]]-VLOOKUP($U$1,A:G,7,))/VLOOKUP($U$1,A:G,7,))*100)+100</f>
        <v/>
      </c>
      <c r="N248" s="29">
        <f>VLOOKUP(A248,Database!$E:$AY,MATCH($N$1,Database!$E$1:$AY$1,0),FALSE)</f>
        <v/>
      </c>
      <c r="O248" s="29">
        <f>(((Table134567891011121314151617343[[#This Row],[USA]]-VLOOKUP($U$1,A:N,14,))/VLOOKUP($U$1,A:N,14,))*100)+100</f>
        <v/>
      </c>
      <c r="P248" s="29">
        <f>VLOOKUP(A248,Database!$E:$AY,MATCH($P$1,Database!$E$1:$AY$1,0),FALSE)</f>
        <v/>
      </c>
      <c r="Q248" s="29">
        <f>(((Table134567891011121314151617343[[#This Row],[JPN]]-VLOOKUP($U$1,A:Q,16,))/VLOOKUP($U$1,A:Q,16,))*100)+100</f>
        <v/>
      </c>
    </row>
    <row r="249" customFormat="1" s="129">
      <c r="A249" s="28" t="n">
        <v>40391</v>
      </c>
      <c r="B249" s="29">
        <f>VLOOKUP(A249,Database!$E:$AY,MATCH($B$1,Database!$E$1:$AY$1,0),FALSE)</f>
        <v/>
      </c>
      <c r="C249" s="29">
        <f>VLOOKUP(A249,Database!$E:$AY,MATCH($C$1,Database!$E$1:$AY$1,0),FALSE)</f>
        <v/>
      </c>
      <c r="D249" s="29">
        <f>VLOOKUP(A249,Database!$E:$AY,MATCH($D$1,Database!$E$1:$AY$1,0),FALSE)</f>
        <v/>
      </c>
      <c r="E249" s="29">
        <f>VLOOKUP(A249,Database!$E:$AY,MATCH($E$1,Database!$E$1:$AY$1,0),FALSE)</f>
        <v/>
      </c>
      <c r="F249" s="29">
        <f>VLOOKUP(A249,Database!$E:$AY,MATCH($F$1,Database!$E$1:$AY$1,0),FALSE)</f>
        <v/>
      </c>
      <c r="G249" s="29">
        <f>VLOOKUP(A249,Database!$E:$AY,MATCH($G$1,Database!$E$1:$AY$1,0),FALSE)</f>
        <v/>
      </c>
      <c r="H249" s="29">
        <f>(((Table134567891011121314151617343[[#This Row],[ITA]]-VLOOKUP($U$1,A:B,2,))/VLOOKUP($U$1,A:B,2,))*100)+100</f>
        <v/>
      </c>
      <c r="I249" s="29">
        <f>(((Table134567891011121314151617343[[#This Row],[FRA]]-VLOOKUP($U$1,A:C,3,))/VLOOKUP($U$1,A:C,3,))*100)+100</f>
        <v/>
      </c>
      <c r="J249" s="29">
        <f>(((Table134567891011121314151617343[[#This Row],[DEU]]-VLOOKUP($U$1,A:D,4,))/VLOOKUP($U$1,A:D,4,))*100)+100</f>
        <v/>
      </c>
      <c r="K249" s="29">
        <f>(((Table134567891011121314151617343[[#This Row],[ESP]]-VLOOKUP($U$1,A:E,5,))/VLOOKUP($U$1,A:E,5,))*100)+100</f>
        <v/>
      </c>
      <c r="L249" s="29">
        <f>(((Table134567891011121314151617343[[#This Row],[EA19]]-VLOOKUP($U$1,A:F,6,))/VLOOKUP($U$1,A:F,6,))*100)+100</f>
        <v/>
      </c>
      <c r="M249" s="29">
        <f>(((Table134567891011121314151617343[[#This Row],[GBR]]-VLOOKUP($U$1,A:G,7,))/VLOOKUP($U$1,A:G,7,))*100)+100</f>
        <v/>
      </c>
      <c r="N249" s="29">
        <f>VLOOKUP(A249,Database!$E:$AY,MATCH($N$1,Database!$E$1:$AY$1,0),FALSE)</f>
        <v/>
      </c>
      <c r="O249" s="29">
        <f>(((Table134567891011121314151617343[[#This Row],[USA]]-VLOOKUP($U$1,A:N,14,))/VLOOKUP($U$1,A:N,14,))*100)+100</f>
        <v/>
      </c>
      <c r="P249" s="29">
        <f>VLOOKUP(A249,Database!$E:$AY,MATCH($P$1,Database!$E$1:$AY$1,0),FALSE)</f>
        <v/>
      </c>
      <c r="Q249" s="29">
        <f>(((Table134567891011121314151617343[[#This Row],[JPN]]-VLOOKUP($U$1,A:Q,16,))/VLOOKUP($U$1,A:Q,16,))*100)+100</f>
        <v/>
      </c>
    </row>
    <row r="250" customFormat="1" s="129">
      <c r="A250" s="28" t="n">
        <v>40422</v>
      </c>
      <c r="B250" s="29">
        <f>VLOOKUP(A250,Database!$E:$AY,MATCH($B$1,Database!$E$1:$AY$1,0),FALSE)</f>
        <v/>
      </c>
      <c r="C250" s="29">
        <f>VLOOKUP(A250,Database!$E:$AY,MATCH($C$1,Database!$E$1:$AY$1,0),FALSE)</f>
        <v/>
      </c>
      <c r="D250" s="29">
        <f>VLOOKUP(A250,Database!$E:$AY,MATCH($D$1,Database!$E$1:$AY$1,0),FALSE)</f>
        <v/>
      </c>
      <c r="E250" s="29">
        <f>VLOOKUP(A250,Database!$E:$AY,MATCH($E$1,Database!$E$1:$AY$1,0),FALSE)</f>
        <v/>
      </c>
      <c r="F250" s="29">
        <f>VLOOKUP(A250,Database!$E:$AY,MATCH($F$1,Database!$E$1:$AY$1,0),FALSE)</f>
        <v/>
      </c>
      <c r="G250" s="29">
        <f>VLOOKUP(A250,Database!$E:$AY,MATCH($G$1,Database!$E$1:$AY$1,0),FALSE)</f>
        <v/>
      </c>
      <c r="H250" s="29">
        <f>(((Table134567891011121314151617343[[#This Row],[ITA]]-VLOOKUP($U$1,A:B,2,))/VLOOKUP($U$1,A:B,2,))*100)+100</f>
        <v/>
      </c>
      <c r="I250" s="29">
        <f>(((Table134567891011121314151617343[[#This Row],[FRA]]-VLOOKUP($U$1,A:C,3,))/VLOOKUP($U$1,A:C,3,))*100)+100</f>
        <v/>
      </c>
      <c r="J250" s="29">
        <f>(((Table134567891011121314151617343[[#This Row],[DEU]]-VLOOKUP($U$1,A:D,4,))/VLOOKUP($U$1,A:D,4,))*100)+100</f>
        <v/>
      </c>
      <c r="K250" s="29">
        <f>(((Table134567891011121314151617343[[#This Row],[ESP]]-VLOOKUP($U$1,A:E,5,))/VLOOKUP($U$1,A:E,5,))*100)+100</f>
        <v/>
      </c>
      <c r="L250" s="29">
        <f>(((Table134567891011121314151617343[[#This Row],[EA19]]-VLOOKUP($U$1,A:F,6,))/VLOOKUP($U$1,A:F,6,))*100)+100</f>
        <v/>
      </c>
      <c r="M250" s="29">
        <f>(((Table134567891011121314151617343[[#This Row],[GBR]]-VLOOKUP($U$1,A:G,7,))/VLOOKUP($U$1,A:G,7,))*100)+100</f>
        <v/>
      </c>
      <c r="N250" s="29">
        <f>VLOOKUP(A250,Database!$E:$AY,MATCH($N$1,Database!$E$1:$AY$1,0),FALSE)</f>
        <v/>
      </c>
      <c r="O250" s="29">
        <f>(((Table134567891011121314151617343[[#This Row],[USA]]-VLOOKUP($U$1,A:N,14,))/VLOOKUP($U$1,A:N,14,))*100)+100</f>
        <v/>
      </c>
      <c r="P250" s="29">
        <f>VLOOKUP(A250,Database!$E:$AY,MATCH($P$1,Database!$E$1:$AY$1,0),FALSE)</f>
        <v/>
      </c>
      <c r="Q250" s="29">
        <f>(((Table134567891011121314151617343[[#This Row],[JPN]]-VLOOKUP($U$1,A:Q,16,))/VLOOKUP($U$1,A:Q,16,))*100)+100</f>
        <v/>
      </c>
    </row>
    <row r="251" customFormat="1" s="129">
      <c r="A251" s="28" t="n">
        <v>40452</v>
      </c>
      <c r="B251" s="29">
        <f>VLOOKUP(A251,Database!$E:$AY,MATCH($B$1,Database!$E$1:$AY$1,0),FALSE)</f>
        <v/>
      </c>
      <c r="C251" s="29">
        <f>VLOOKUP(A251,Database!$E:$AY,MATCH($C$1,Database!$E$1:$AY$1,0),FALSE)</f>
        <v/>
      </c>
      <c r="D251" s="29">
        <f>VLOOKUP(A251,Database!$E:$AY,MATCH($D$1,Database!$E$1:$AY$1,0),FALSE)</f>
        <v/>
      </c>
      <c r="E251" s="29">
        <f>VLOOKUP(A251,Database!$E:$AY,MATCH($E$1,Database!$E$1:$AY$1,0),FALSE)</f>
        <v/>
      </c>
      <c r="F251" s="29">
        <f>VLOOKUP(A251,Database!$E:$AY,MATCH($F$1,Database!$E$1:$AY$1,0),FALSE)</f>
        <v/>
      </c>
      <c r="G251" s="29">
        <f>VLOOKUP(A251,Database!$E:$AY,MATCH($G$1,Database!$E$1:$AY$1,0),FALSE)</f>
        <v/>
      </c>
      <c r="H251" s="29">
        <f>(((Table134567891011121314151617343[[#This Row],[ITA]]-VLOOKUP($U$1,A:B,2,))/VLOOKUP($U$1,A:B,2,))*100)+100</f>
        <v/>
      </c>
      <c r="I251" s="29">
        <f>(((Table134567891011121314151617343[[#This Row],[FRA]]-VLOOKUP($U$1,A:C,3,))/VLOOKUP($U$1,A:C,3,))*100)+100</f>
        <v/>
      </c>
      <c r="J251" s="29">
        <f>(((Table134567891011121314151617343[[#This Row],[DEU]]-VLOOKUP($U$1,A:D,4,))/VLOOKUP($U$1,A:D,4,))*100)+100</f>
        <v/>
      </c>
      <c r="K251" s="29">
        <f>(((Table134567891011121314151617343[[#This Row],[ESP]]-VLOOKUP($U$1,A:E,5,))/VLOOKUP($U$1,A:E,5,))*100)+100</f>
        <v/>
      </c>
      <c r="L251" s="29">
        <f>(((Table134567891011121314151617343[[#This Row],[EA19]]-VLOOKUP($U$1,A:F,6,))/VLOOKUP($U$1,A:F,6,))*100)+100</f>
        <v/>
      </c>
      <c r="M251" s="29">
        <f>(((Table134567891011121314151617343[[#This Row],[GBR]]-VLOOKUP($U$1,A:G,7,))/VLOOKUP($U$1,A:G,7,))*100)+100</f>
        <v/>
      </c>
      <c r="N251" s="29">
        <f>VLOOKUP(A251,Database!$E:$AY,MATCH($N$1,Database!$E$1:$AY$1,0),FALSE)</f>
        <v/>
      </c>
      <c r="O251" s="29">
        <f>(((Table134567891011121314151617343[[#This Row],[USA]]-VLOOKUP($U$1,A:N,14,))/VLOOKUP($U$1,A:N,14,))*100)+100</f>
        <v/>
      </c>
      <c r="P251" s="29">
        <f>VLOOKUP(A251,Database!$E:$AY,MATCH($P$1,Database!$E$1:$AY$1,0),FALSE)</f>
        <v/>
      </c>
      <c r="Q251" s="29">
        <f>(((Table134567891011121314151617343[[#This Row],[JPN]]-VLOOKUP($U$1,A:Q,16,))/VLOOKUP($U$1,A:Q,16,))*100)+100</f>
        <v/>
      </c>
    </row>
    <row r="252" customFormat="1" s="129">
      <c r="A252" s="28" t="n">
        <v>40483</v>
      </c>
      <c r="B252" s="29">
        <f>VLOOKUP(A252,Database!$E:$AY,MATCH($B$1,Database!$E$1:$AY$1,0),FALSE)</f>
        <v/>
      </c>
      <c r="C252" s="29">
        <f>VLOOKUP(A252,Database!$E:$AY,MATCH($C$1,Database!$E$1:$AY$1,0),FALSE)</f>
        <v/>
      </c>
      <c r="D252" s="29">
        <f>VLOOKUP(A252,Database!$E:$AY,MATCH($D$1,Database!$E$1:$AY$1,0),FALSE)</f>
        <v/>
      </c>
      <c r="E252" s="29">
        <f>VLOOKUP(A252,Database!$E:$AY,MATCH($E$1,Database!$E$1:$AY$1,0),FALSE)</f>
        <v/>
      </c>
      <c r="F252" s="29">
        <f>VLOOKUP(A252,Database!$E:$AY,MATCH($F$1,Database!$E$1:$AY$1,0),FALSE)</f>
        <v/>
      </c>
      <c r="G252" s="29">
        <f>VLOOKUP(A252,Database!$E:$AY,MATCH($G$1,Database!$E$1:$AY$1,0),FALSE)</f>
        <v/>
      </c>
      <c r="H252" s="29">
        <f>(((Table134567891011121314151617343[[#This Row],[ITA]]-VLOOKUP($U$1,A:B,2,))/VLOOKUP($U$1,A:B,2,))*100)+100</f>
        <v/>
      </c>
      <c r="I252" s="29">
        <f>(((Table134567891011121314151617343[[#This Row],[FRA]]-VLOOKUP($U$1,A:C,3,))/VLOOKUP($U$1,A:C,3,))*100)+100</f>
        <v/>
      </c>
      <c r="J252" s="29">
        <f>(((Table134567891011121314151617343[[#This Row],[DEU]]-VLOOKUP($U$1,A:D,4,))/VLOOKUP($U$1,A:D,4,))*100)+100</f>
        <v/>
      </c>
      <c r="K252" s="29">
        <f>(((Table134567891011121314151617343[[#This Row],[ESP]]-VLOOKUP($U$1,A:E,5,))/VLOOKUP($U$1,A:E,5,))*100)+100</f>
        <v/>
      </c>
      <c r="L252" s="29">
        <f>(((Table134567891011121314151617343[[#This Row],[EA19]]-VLOOKUP($U$1,A:F,6,))/VLOOKUP($U$1,A:F,6,))*100)+100</f>
        <v/>
      </c>
      <c r="M252" s="29">
        <f>(((Table134567891011121314151617343[[#This Row],[GBR]]-VLOOKUP($U$1,A:G,7,))/VLOOKUP($U$1,A:G,7,))*100)+100</f>
        <v/>
      </c>
      <c r="N252" s="29">
        <f>VLOOKUP(A252,Database!$E:$AY,MATCH($N$1,Database!$E$1:$AY$1,0),FALSE)</f>
        <v/>
      </c>
      <c r="O252" s="29">
        <f>(((Table134567891011121314151617343[[#This Row],[USA]]-VLOOKUP($U$1,A:N,14,))/VLOOKUP($U$1,A:N,14,))*100)+100</f>
        <v/>
      </c>
      <c r="P252" s="29">
        <f>VLOOKUP(A252,Database!$E:$AY,MATCH($P$1,Database!$E$1:$AY$1,0),FALSE)</f>
        <v/>
      </c>
      <c r="Q252" s="29">
        <f>(((Table134567891011121314151617343[[#This Row],[JPN]]-VLOOKUP($U$1,A:Q,16,))/VLOOKUP($U$1,A:Q,16,))*100)+100</f>
        <v/>
      </c>
    </row>
    <row r="253" customFormat="1" s="129">
      <c r="A253" s="28" t="n">
        <v>40513</v>
      </c>
      <c r="B253" s="29">
        <f>VLOOKUP(A253,Database!$E:$AY,MATCH($B$1,Database!$E$1:$AY$1,0),FALSE)</f>
        <v/>
      </c>
      <c r="C253" s="29">
        <f>VLOOKUP(A253,Database!$E:$AY,MATCH($C$1,Database!$E$1:$AY$1,0),FALSE)</f>
        <v/>
      </c>
      <c r="D253" s="29">
        <f>VLOOKUP(A253,Database!$E:$AY,MATCH($D$1,Database!$E$1:$AY$1,0),FALSE)</f>
        <v/>
      </c>
      <c r="E253" s="29">
        <f>VLOOKUP(A253,Database!$E:$AY,MATCH($E$1,Database!$E$1:$AY$1,0),FALSE)</f>
        <v/>
      </c>
      <c r="F253" s="29">
        <f>VLOOKUP(A253,Database!$E:$AY,MATCH($F$1,Database!$E$1:$AY$1,0),FALSE)</f>
        <v/>
      </c>
      <c r="G253" s="29">
        <f>VLOOKUP(A253,Database!$E:$AY,MATCH($G$1,Database!$E$1:$AY$1,0),FALSE)</f>
        <v/>
      </c>
      <c r="H253" s="29">
        <f>(((Table134567891011121314151617343[[#This Row],[ITA]]-VLOOKUP($U$1,A:B,2,))/VLOOKUP($U$1,A:B,2,))*100)+100</f>
        <v/>
      </c>
      <c r="I253" s="29">
        <f>(((Table134567891011121314151617343[[#This Row],[FRA]]-VLOOKUP($U$1,A:C,3,))/VLOOKUP($U$1,A:C,3,))*100)+100</f>
        <v/>
      </c>
      <c r="J253" s="29">
        <f>(((Table134567891011121314151617343[[#This Row],[DEU]]-VLOOKUP($U$1,A:D,4,))/VLOOKUP($U$1,A:D,4,))*100)+100</f>
        <v/>
      </c>
      <c r="K253" s="29">
        <f>(((Table134567891011121314151617343[[#This Row],[ESP]]-VLOOKUP($U$1,A:E,5,))/VLOOKUP($U$1,A:E,5,))*100)+100</f>
        <v/>
      </c>
      <c r="L253" s="29">
        <f>(((Table134567891011121314151617343[[#This Row],[EA19]]-VLOOKUP($U$1,A:F,6,))/VLOOKUP($U$1,A:F,6,))*100)+100</f>
        <v/>
      </c>
      <c r="M253" s="29">
        <f>(((Table134567891011121314151617343[[#This Row],[GBR]]-VLOOKUP($U$1,A:G,7,))/VLOOKUP($U$1,A:G,7,))*100)+100</f>
        <v/>
      </c>
      <c r="N253" s="29">
        <f>VLOOKUP(A253,Database!$E:$AY,MATCH($N$1,Database!$E$1:$AY$1,0),FALSE)</f>
        <v/>
      </c>
      <c r="O253" s="29">
        <f>(((Table134567891011121314151617343[[#This Row],[USA]]-VLOOKUP($U$1,A:N,14,))/VLOOKUP($U$1,A:N,14,))*100)+100</f>
        <v/>
      </c>
      <c r="P253" s="29">
        <f>VLOOKUP(A253,Database!$E:$AY,MATCH($P$1,Database!$E$1:$AY$1,0),FALSE)</f>
        <v/>
      </c>
      <c r="Q253" s="29">
        <f>(((Table134567891011121314151617343[[#This Row],[JPN]]-VLOOKUP($U$1,A:Q,16,))/VLOOKUP($U$1,A:Q,16,))*100)+100</f>
        <v/>
      </c>
    </row>
    <row r="254" customFormat="1" s="129">
      <c r="A254" s="28" t="n">
        <v>40544</v>
      </c>
      <c r="B254" s="29">
        <f>VLOOKUP(A254,Database!$E:$AY,MATCH($B$1,Database!$E$1:$AY$1,0),FALSE)</f>
        <v/>
      </c>
      <c r="C254" s="29">
        <f>VLOOKUP(A254,Database!$E:$AY,MATCH($C$1,Database!$E$1:$AY$1,0),FALSE)</f>
        <v/>
      </c>
      <c r="D254" s="29">
        <f>VLOOKUP(A254,Database!$E:$AY,MATCH($D$1,Database!$E$1:$AY$1,0),FALSE)</f>
        <v/>
      </c>
      <c r="E254" s="29">
        <f>VLOOKUP(A254,Database!$E:$AY,MATCH($E$1,Database!$E$1:$AY$1,0),FALSE)</f>
        <v/>
      </c>
      <c r="F254" s="29">
        <f>VLOOKUP(A254,Database!$E:$AY,MATCH($F$1,Database!$E$1:$AY$1,0),FALSE)</f>
        <v/>
      </c>
      <c r="G254" s="29">
        <f>VLOOKUP(A254,Database!$E:$AY,MATCH($G$1,Database!$E$1:$AY$1,0),FALSE)</f>
        <v/>
      </c>
      <c r="H254" s="29">
        <f>(((Table134567891011121314151617343[[#This Row],[ITA]]-VLOOKUP($U$1,A:B,2,))/VLOOKUP($U$1,A:B,2,))*100)+100</f>
        <v/>
      </c>
      <c r="I254" s="29">
        <f>(((Table134567891011121314151617343[[#This Row],[FRA]]-VLOOKUP($U$1,A:C,3,))/VLOOKUP($U$1,A:C,3,))*100)+100</f>
        <v/>
      </c>
      <c r="J254" s="29">
        <f>(((Table134567891011121314151617343[[#This Row],[DEU]]-VLOOKUP($U$1,A:D,4,))/VLOOKUP($U$1,A:D,4,))*100)+100</f>
        <v/>
      </c>
      <c r="K254" s="29">
        <f>(((Table134567891011121314151617343[[#This Row],[ESP]]-VLOOKUP($U$1,A:E,5,))/VLOOKUP($U$1,A:E,5,))*100)+100</f>
        <v/>
      </c>
      <c r="L254" s="29">
        <f>(((Table134567891011121314151617343[[#This Row],[EA19]]-VLOOKUP($U$1,A:F,6,))/VLOOKUP($U$1,A:F,6,))*100)+100</f>
        <v/>
      </c>
      <c r="M254" s="29">
        <f>(((Table134567891011121314151617343[[#This Row],[GBR]]-VLOOKUP($U$1,A:G,7,))/VLOOKUP($U$1,A:G,7,))*100)+100</f>
        <v/>
      </c>
      <c r="N254" s="29">
        <f>VLOOKUP(A254,Database!$E:$AY,MATCH($N$1,Database!$E$1:$AY$1,0),FALSE)</f>
        <v/>
      </c>
      <c r="O254" s="29">
        <f>(((Table134567891011121314151617343[[#This Row],[USA]]-VLOOKUP($U$1,A:N,14,))/VLOOKUP($U$1,A:N,14,))*100)+100</f>
        <v/>
      </c>
      <c r="P254" s="29">
        <f>VLOOKUP(A254,Database!$E:$AY,MATCH($P$1,Database!$E$1:$AY$1,0),FALSE)</f>
        <v/>
      </c>
      <c r="Q254" s="29">
        <f>(((Table134567891011121314151617343[[#This Row],[JPN]]-VLOOKUP($U$1,A:Q,16,))/VLOOKUP($U$1,A:Q,16,))*100)+100</f>
        <v/>
      </c>
    </row>
    <row r="255" customFormat="1" s="129">
      <c r="A255" s="28" t="n">
        <v>40575</v>
      </c>
      <c r="B255" s="29">
        <f>VLOOKUP(A255,Database!$E:$AY,MATCH($B$1,Database!$E$1:$AY$1,0),FALSE)</f>
        <v/>
      </c>
      <c r="C255" s="29">
        <f>VLOOKUP(A255,Database!$E:$AY,MATCH($C$1,Database!$E$1:$AY$1,0),FALSE)</f>
        <v/>
      </c>
      <c r="D255" s="29">
        <f>VLOOKUP(A255,Database!$E:$AY,MATCH($D$1,Database!$E$1:$AY$1,0),FALSE)</f>
        <v/>
      </c>
      <c r="E255" s="29">
        <f>VLOOKUP(A255,Database!$E:$AY,MATCH($E$1,Database!$E$1:$AY$1,0),FALSE)</f>
        <v/>
      </c>
      <c r="F255" s="29">
        <f>VLOOKUP(A255,Database!$E:$AY,MATCH($F$1,Database!$E$1:$AY$1,0),FALSE)</f>
        <v/>
      </c>
      <c r="G255" s="29">
        <f>VLOOKUP(A255,Database!$E:$AY,MATCH($G$1,Database!$E$1:$AY$1,0),FALSE)</f>
        <v/>
      </c>
      <c r="H255" s="29">
        <f>(((Table134567891011121314151617343[[#This Row],[ITA]]-VLOOKUP($U$1,A:B,2,))/VLOOKUP($U$1,A:B,2,))*100)+100</f>
        <v/>
      </c>
      <c r="I255" s="29">
        <f>(((Table134567891011121314151617343[[#This Row],[FRA]]-VLOOKUP($U$1,A:C,3,))/VLOOKUP($U$1,A:C,3,))*100)+100</f>
        <v/>
      </c>
      <c r="J255" s="29">
        <f>(((Table134567891011121314151617343[[#This Row],[DEU]]-VLOOKUP($U$1,A:D,4,))/VLOOKUP($U$1,A:D,4,))*100)+100</f>
        <v/>
      </c>
      <c r="K255" s="29">
        <f>(((Table134567891011121314151617343[[#This Row],[ESP]]-VLOOKUP($U$1,A:E,5,))/VLOOKUP($U$1,A:E,5,))*100)+100</f>
        <v/>
      </c>
      <c r="L255" s="29">
        <f>(((Table134567891011121314151617343[[#This Row],[EA19]]-VLOOKUP($U$1,A:F,6,))/VLOOKUP($U$1,A:F,6,))*100)+100</f>
        <v/>
      </c>
      <c r="M255" s="29">
        <f>(((Table134567891011121314151617343[[#This Row],[GBR]]-VLOOKUP($U$1,A:G,7,))/VLOOKUP($U$1,A:G,7,))*100)+100</f>
        <v/>
      </c>
      <c r="N255" s="29">
        <f>VLOOKUP(A255,Database!$E:$AY,MATCH($N$1,Database!$E$1:$AY$1,0),FALSE)</f>
        <v/>
      </c>
      <c r="O255" s="29">
        <f>(((Table134567891011121314151617343[[#This Row],[USA]]-VLOOKUP($U$1,A:N,14,))/VLOOKUP($U$1,A:N,14,))*100)+100</f>
        <v/>
      </c>
      <c r="P255" s="29">
        <f>VLOOKUP(A255,Database!$E:$AY,MATCH($P$1,Database!$E$1:$AY$1,0),FALSE)</f>
        <v/>
      </c>
      <c r="Q255" s="29">
        <f>(((Table134567891011121314151617343[[#This Row],[JPN]]-VLOOKUP($U$1,A:Q,16,))/VLOOKUP($U$1,A:Q,16,))*100)+100</f>
        <v/>
      </c>
    </row>
    <row r="256" customFormat="1" s="129">
      <c r="A256" s="28" t="n">
        <v>40603</v>
      </c>
      <c r="B256" s="29">
        <f>VLOOKUP(A256,Database!$E:$AY,MATCH($B$1,Database!$E$1:$AY$1,0),FALSE)</f>
        <v/>
      </c>
      <c r="C256" s="29">
        <f>VLOOKUP(A256,Database!$E:$AY,MATCH($C$1,Database!$E$1:$AY$1,0),FALSE)</f>
        <v/>
      </c>
      <c r="D256" s="29">
        <f>VLOOKUP(A256,Database!$E:$AY,MATCH($D$1,Database!$E$1:$AY$1,0),FALSE)</f>
        <v/>
      </c>
      <c r="E256" s="29">
        <f>VLOOKUP(A256,Database!$E:$AY,MATCH($E$1,Database!$E$1:$AY$1,0),FALSE)</f>
        <v/>
      </c>
      <c r="F256" s="29">
        <f>VLOOKUP(A256,Database!$E:$AY,MATCH($F$1,Database!$E$1:$AY$1,0),FALSE)</f>
        <v/>
      </c>
      <c r="G256" s="29">
        <f>VLOOKUP(A256,Database!$E:$AY,MATCH($G$1,Database!$E$1:$AY$1,0),FALSE)</f>
        <v/>
      </c>
      <c r="H256" s="29">
        <f>(((Table134567891011121314151617343[[#This Row],[ITA]]-VLOOKUP($U$1,A:B,2,))/VLOOKUP($U$1,A:B,2,))*100)+100</f>
        <v/>
      </c>
      <c r="I256" s="29">
        <f>(((Table134567891011121314151617343[[#This Row],[FRA]]-VLOOKUP($U$1,A:C,3,))/VLOOKUP($U$1,A:C,3,))*100)+100</f>
        <v/>
      </c>
      <c r="J256" s="29">
        <f>(((Table134567891011121314151617343[[#This Row],[DEU]]-VLOOKUP($U$1,A:D,4,))/VLOOKUP($U$1,A:D,4,))*100)+100</f>
        <v/>
      </c>
      <c r="K256" s="29">
        <f>(((Table134567891011121314151617343[[#This Row],[ESP]]-VLOOKUP($U$1,A:E,5,))/VLOOKUP($U$1,A:E,5,))*100)+100</f>
        <v/>
      </c>
      <c r="L256" s="29">
        <f>(((Table134567891011121314151617343[[#This Row],[EA19]]-VLOOKUP($U$1,A:F,6,))/VLOOKUP($U$1,A:F,6,))*100)+100</f>
        <v/>
      </c>
      <c r="M256" s="29">
        <f>(((Table134567891011121314151617343[[#This Row],[GBR]]-VLOOKUP($U$1,A:G,7,))/VLOOKUP($U$1,A:G,7,))*100)+100</f>
        <v/>
      </c>
      <c r="N256" s="29">
        <f>VLOOKUP(A256,Database!$E:$AY,MATCH($N$1,Database!$E$1:$AY$1,0),FALSE)</f>
        <v/>
      </c>
      <c r="O256" s="29">
        <f>(((Table134567891011121314151617343[[#This Row],[USA]]-VLOOKUP($U$1,A:N,14,))/VLOOKUP($U$1,A:N,14,))*100)+100</f>
        <v/>
      </c>
      <c r="P256" s="29">
        <f>VLOOKUP(A256,Database!$E:$AY,MATCH($P$1,Database!$E$1:$AY$1,0),FALSE)</f>
        <v/>
      </c>
      <c r="Q256" s="29">
        <f>(((Table134567891011121314151617343[[#This Row],[JPN]]-VLOOKUP($U$1,A:Q,16,))/VLOOKUP($U$1,A:Q,16,))*100)+100</f>
        <v/>
      </c>
    </row>
    <row r="257" customFormat="1" s="129">
      <c r="A257" s="28" t="n">
        <v>40634</v>
      </c>
      <c r="B257" s="29">
        <f>VLOOKUP(A257,Database!$E:$AY,MATCH($B$1,Database!$E$1:$AY$1,0),FALSE)</f>
        <v/>
      </c>
      <c r="C257" s="29">
        <f>VLOOKUP(A257,Database!$E:$AY,MATCH($C$1,Database!$E$1:$AY$1,0),FALSE)</f>
        <v/>
      </c>
      <c r="D257" s="29">
        <f>VLOOKUP(A257,Database!$E:$AY,MATCH($D$1,Database!$E$1:$AY$1,0),FALSE)</f>
        <v/>
      </c>
      <c r="E257" s="29">
        <f>VLOOKUP(A257,Database!$E:$AY,MATCH($E$1,Database!$E$1:$AY$1,0),FALSE)</f>
        <v/>
      </c>
      <c r="F257" s="29">
        <f>VLOOKUP(A257,Database!$E:$AY,MATCH($F$1,Database!$E$1:$AY$1,0),FALSE)</f>
        <v/>
      </c>
      <c r="G257" s="29">
        <f>VLOOKUP(A257,Database!$E:$AY,MATCH($G$1,Database!$E$1:$AY$1,0),FALSE)</f>
        <v/>
      </c>
      <c r="H257" s="29">
        <f>(((Table134567891011121314151617343[[#This Row],[ITA]]-VLOOKUP($U$1,A:B,2,))/VLOOKUP($U$1,A:B,2,))*100)+100</f>
        <v/>
      </c>
      <c r="I257" s="29">
        <f>(((Table134567891011121314151617343[[#This Row],[FRA]]-VLOOKUP($U$1,A:C,3,))/VLOOKUP($U$1,A:C,3,))*100)+100</f>
        <v/>
      </c>
      <c r="J257" s="29">
        <f>(((Table134567891011121314151617343[[#This Row],[DEU]]-VLOOKUP($U$1,A:D,4,))/VLOOKUP($U$1,A:D,4,))*100)+100</f>
        <v/>
      </c>
      <c r="K257" s="29">
        <f>(((Table134567891011121314151617343[[#This Row],[ESP]]-VLOOKUP($U$1,A:E,5,))/VLOOKUP($U$1,A:E,5,))*100)+100</f>
        <v/>
      </c>
      <c r="L257" s="29">
        <f>(((Table134567891011121314151617343[[#This Row],[EA19]]-VLOOKUP($U$1,A:F,6,))/VLOOKUP($U$1,A:F,6,))*100)+100</f>
        <v/>
      </c>
      <c r="M257" s="29">
        <f>(((Table134567891011121314151617343[[#This Row],[GBR]]-VLOOKUP($U$1,A:G,7,))/VLOOKUP($U$1,A:G,7,))*100)+100</f>
        <v/>
      </c>
      <c r="N257" s="29">
        <f>VLOOKUP(A257,Database!$E:$AY,MATCH($N$1,Database!$E$1:$AY$1,0),FALSE)</f>
        <v/>
      </c>
      <c r="O257" s="29">
        <f>(((Table134567891011121314151617343[[#This Row],[USA]]-VLOOKUP($U$1,A:N,14,))/VLOOKUP($U$1,A:N,14,))*100)+100</f>
        <v/>
      </c>
      <c r="P257" s="29">
        <f>VLOOKUP(A257,Database!$E:$AY,MATCH($P$1,Database!$E$1:$AY$1,0),FALSE)</f>
        <v/>
      </c>
      <c r="Q257" s="29">
        <f>(((Table134567891011121314151617343[[#This Row],[JPN]]-VLOOKUP($U$1,A:Q,16,))/VLOOKUP($U$1,A:Q,16,))*100)+100</f>
        <v/>
      </c>
    </row>
    <row r="258" customFormat="1" s="129">
      <c r="A258" s="28" t="n">
        <v>40664</v>
      </c>
      <c r="B258" s="29">
        <f>VLOOKUP(A258,Database!$E:$AY,MATCH($B$1,Database!$E$1:$AY$1,0),FALSE)</f>
        <v/>
      </c>
      <c r="C258" s="29">
        <f>VLOOKUP(A258,Database!$E:$AY,MATCH($C$1,Database!$E$1:$AY$1,0),FALSE)</f>
        <v/>
      </c>
      <c r="D258" s="29">
        <f>VLOOKUP(A258,Database!$E:$AY,MATCH($D$1,Database!$E$1:$AY$1,0),FALSE)</f>
        <v/>
      </c>
      <c r="E258" s="29">
        <f>VLOOKUP(A258,Database!$E:$AY,MATCH($E$1,Database!$E$1:$AY$1,0),FALSE)</f>
        <v/>
      </c>
      <c r="F258" s="29">
        <f>VLOOKUP(A258,Database!$E:$AY,MATCH($F$1,Database!$E$1:$AY$1,0),FALSE)</f>
        <v/>
      </c>
      <c r="G258" s="29">
        <f>VLOOKUP(A258,Database!$E:$AY,MATCH($G$1,Database!$E$1:$AY$1,0),FALSE)</f>
        <v/>
      </c>
      <c r="H258" s="29">
        <f>(((Table134567891011121314151617343[[#This Row],[ITA]]-VLOOKUP($U$1,A:B,2,))/VLOOKUP($U$1,A:B,2,))*100)+100</f>
        <v/>
      </c>
      <c r="I258" s="29">
        <f>(((Table134567891011121314151617343[[#This Row],[FRA]]-VLOOKUP($U$1,A:C,3,))/VLOOKUP($U$1,A:C,3,))*100)+100</f>
        <v/>
      </c>
      <c r="J258" s="29">
        <f>(((Table134567891011121314151617343[[#This Row],[DEU]]-VLOOKUP($U$1,A:D,4,))/VLOOKUP($U$1,A:D,4,))*100)+100</f>
        <v/>
      </c>
      <c r="K258" s="29">
        <f>(((Table134567891011121314151617343[[#This Row],[ESP]]-VLOOKUP($U$1,A:E,5,))/VLOOKUP($U$1,A:E,5,))*100)+100</f>
        <v/>
      </c>
      <c r="L258" s="29">
        <f>(((Table134567891011121314151617343[[#This Row],[EA19]]-VLOOKUP($U$1,A:F,6,))/VLOOKUP($U$1,A:F,6,))*100)+100</f>
        <v/>
      </c>
      <c r="M258" s="29">
        <f>(((Table134567891011121314151617343[[#This Row],[GBR]]-VLOOKUP($U$1,A:G,7,))/VLOOKUP($U$1,A:G,7,))*100)+100</f>
        <v/>
      </c>
      <c r="N258" s="29">
        <f>VLOOKUP(A258,Database!$E:$AY,MATCH($N$1,Database!$E$1:$AY$1,0),FALSE)</f>
        <v/>
      </c>
      <c r="O258" s="29">
        <f>(((Table134567891011121314151617343[[#This Row],[USA]]-VLOOKUP($U$1,A:N,14,))/VLOOKUP($U$1,A:N,14,))*100)+100</f>
        <v/>
      </c>
      <c r="P258" s="29">
        <f>VLOOKUP(A258,Database!$E:$AY,MATCH($P$1,Database!$E$1:$AY$1,0),FALSE)</f>
        <v/>
      </c>
      <c r="Q258" s="29">
        <f>(((Table134567891011121314151617343[[#This Row],[JPN]]-VLOOKUP($U$1,A:Q,16,))/VLOOKUP($U$1,A:Q,16,))*100)+100</f>
        <v/>
      </c>
    </row>
    <row r="259" customFormat="1" s="129">
      <c r="A259" s="28" t="n">
        <v>40695</v>
      </c>
      <c r="B259" s="29">
        <f>VLOOKUP(A259,Database!$E:$AY,MATCH($B$1,Database!$E$1:$AY$1,0),FALSE)</f>
        <v/>
      </c>
      <c r="C259" s="29">
        <f>VLOOKUP(A259,Database!$E:$AY,MATCH($C$1,Database!$E$1:$AY$1,0),FALSE)</f>
        <v/>
      </c>
      <c r="D259" s="29">
        <f>VLOOKUP(A259,Database!$E:$AY,MATCH($D$1,Database!$E$1:$AY$1,0),FALSE)</f>
        <v/>
      </c>
      <c r="E259" s="29">
        <f>VLOOKUP(A259,Database!$E:$AY,MATCH($E$1,Database!$E$1:$AY$1,0),FALSE)</f>
        <v/>
      </c>
      <c r="F259" s="29">
        <f>VLOOKUP(A259,Database!$E:$AY,MATCH($F$1,Database!$E$1:$AY$1,0),FALSE)</f>
        <v/>
      </c>
      <c r="G259" s="29">
        <f>VLOOKUP(A259,Database!$E:$AY,MATCH($G$1,Database!$E$1:$AY$1,0),FALSE)</f>
        <v/>
      </c>
      <c r="H259" s="29">
        <f>(((Table134567891011121314151617343[[#This Row],[ITA]]-VLOOKUP($U$1,A:B,2,))/VLOOKUP($U$1,A:B,2,))*100)+100</f>
        <v/>
      </c>
      <c r="I259" s="29">
        <f>(((Table134567891011121314151617343[[#This Row],[FRA]]-VLOOKUP($U$1,A:C,3,))/VLOOKUP($U$1,A:C,3,))*100)+100</f>
        <v/>
      </c>
      <c r="J259" s="29">
        <f>(((Table134567891011121314151617343[[#This Row],[DEU]]-VLOOKUP($U$1,A:D,4,))/VLOOKUP($U$1,A:D,4,))*100)+100</f>
        <v/>
      </c>
      <c r="K259" s="29">
        <f>(((Table134567891011121314151617343[[#This Row],[ESP]]-VLOOKUP($U$1,A:E,5,))/VLOOKUP($U$1,A:E,5,))*100)+100</f>
        <v/>
      </c>
      <c r="L259" s="29">
        <f>(((Table134567891011121314151617343[[#This Row],[EA19]]-VLOOKUP($U$1,A:F,6,))/VLOOKUP($U$1,A:F,6,))*100)+100</f>
        <v/>
      </c>
      <c r="M259" s="29">
        <f>(((Table134567891011121314151617343[[#This Row],[GBR]]-VLOOKUP($U$1,A:G,7,))/VLOOKUP($U$1,A:G,7,))*100)+100</f>
        <v/>
      </c>
      <c r="N259" s="29">
        <f>VLOOKUP(A259,Database!$E:$AY,MATCH($N$1,Database!$E$1:$AY$1,0),FALSE)</f>
        <v/>
      </c>
      <c r="O259" s="29">
        <f>(((Table134567891011121314151617343[[#This Row],[USA]]-VLOOKUP($U$1,A:N,14,))/VLOOKUP($U$1,A:N,14,))*100)+100</f>
        <v/>
      </c>
      <c r="P259" s="29">
        <f>VLOOKUP(A259,Database!$E:$AY,MATCH($P$1,Database!$E$1:$AY$1,0),FALSE)</f>
        <v/>
      </c>
      <c r="Q259" s="29">
        <f>(((Table134567891011121314151617343[[#This Row],[JPN]]-VLOOKUP($U$1,A:Q,16,))/VLOOKUP($U$1,A:Q,16,))*100)+100</f>
        <v/>
      </c>
    </row>
    <row r="260" customFormat="1" s="129">
      <c r="A260" s="28" t="n">
        <v>40725</v>
      </c>
      <c r="B260" s="29">
        <f>VLOOKUP(A260,Database!$E:$AY,MATCH($B$1,Database!$E$1:$AY$1,0),FALSE)</f>
        <v/>
      </c>
      <c r="C260" s="29">
        <f>VLOOKUP(A260,Database!$E:$AY,MATCH($C$1,Database!$E$1:$AY$1,0),FALSE)</f>
        <v/>
      </c>
      <c r="D260" s="29">
        <f>VLOOKUP(A260,Database!$E:$AY,MATCH($D$1,Database!$E$1:$AY$1,0),FALSE)</f>
        <v/>
      </c>
      <c r="E260" s="29">
        <f>VLOOKUP(A260,Database!$E:$AY,MATCH($E$1,Database!$E$1:$AY$1,0),FALSE)</f>
        <v/>
      </c>
      <c r="F260" s="29">
        <f>VLOOKUP(A260,Database!$E:$AY,MATCH($F$1,Database!$E$1:$AY$1,0),FALSE)</f>
        <v/>
      </c>
      <c r="G260" s="29">
        <f>VLOOKUP(A260,Database!$E:$AY,MATCH($G$1,Database!$E$1:$AY$1,0),FALSE)</f>
        <v/>
      </c>
      <c r="H260" s="29">
        <f>(((Table134567891011121314151617343[[#This Row],[ITA]]-VLOOKUP($U$1,A:B,2,))/VLOOKUP($U$1,A:B,2,))*100)+100</f>
        <v/>
      </c>
      <c r="I260" s="29">
        <f>(((Table134567891011121314151617343[[#This Row],[FRA]]-VLOOKUP($U$1,A:C,3,))/VLOOKUP($U$1,A:C,3,))*100)+100</f>
        <v/>
      </c>
      <c r="J260" s="29">
        <f>(((Table134567891011121314151617343[[#This Row],[DEU]]-VLOOKUP($U$1,A:D,4,))/VLOOKUP($U$1,A:D,4,))*100)+100</f>
        <v/>
      </c>
      <c r="K260" s="29">
        <f>(((Table134567891011121314151617343[[#This Row],[ESP]]-VLOOKUP($U$1,A:E,5,))/VLOOKUP($U$1,A:E,5,))*100)+100</f>
        <v/>
      </c>
      <c r="L260" s="29">
        <f>(((Table134567891011121314151617343[[#This Row],[EA19]]-VLOOKUP($U$1,A:F,6,))/VLOOKUP($U$1,A:F,6,))*100)+100</f>
        <v/>
      </c>
      <c r="M260" s="29">
        <f>(((Table134567891011121314151617343[[#This Row],[GBR]]-VLOOKUP($U$1,A:G,7,))/VLOOKUP($U$1,A:G,7,))*100)+100</f>
        <v/>
      </c>
      <c r="N260" s="29">
        <f>VLOOKUP(A260,Database!$E:$AY,MATCH($N$1,Database!$E$1:$AY$1,0),FALSE)</f>
        <v/>
      </c>
      <c r="O260" s="29">
        <f>(((Table134567891011121314151617343[[#This Row],[USA]]-VLOOKUP($U$1,A:N,14,))/VLOOKUP($U$1,A:N,14,))*100)+100</f>
        <v/>
      </c>
      <c r="P260" s="29">
        <f>VLOOKUP(A260,Database!$E:$AY,MATCH($P$1,Database!$E$1:$AY$1,0),FALSE)</f>
        <v/>
      </c>
      <c r="Q260" s="29">
        <f>(((Table134567891011121314151617343[[#This Row],[JPN]]-VLOOKUP($U$1,A:Q,16,))/VLOOKUP($U$1,A:Q,16,))*100)+100</f>
        <v/>
      </c>
    </row>
    <row r="261" customFormat="1" s="129">
      <c r="A261" s="28" t="n">
        <v>40756</v>
      </c>
      <c r="B261" s="29">
        <f>VLOOKUP(A261,Database!$E:$AY,MATCH($B$1,Database!$E$1:$AY$1,0),FALSE)</f>
        <v/>
      </c>
      <c r="C261" s="29">
        <f>VLOOKUP(A261,Database!$E:$AY,MATCH($C$1,Database!$E$1:$AY$1,0),FALSE)</f>
        <v/>
      </c>
      <c r="D261" s="29">
        <f>VLOOKUP(A261,Database!$E:$AY,MATCH($D$1,Database!$E$1:$AY$1,0),FALSE)</f>
        <v/>
      </c>
      <c r="E261" s="29">
        <f>VLOOKUP(A261,Database!$E:$AY,MATCH($E$1,Database!$E$1:$AY$1,0),FALSE)</f>
        <v/>
      </c>
      <c r="F261" s="29">
        <f>VLOOKUP(A261,Database!$E:$AY,MATCH($F$1,Database!$E$1:$AY$1,0),FALSE)</f>
        <v/>
      </c>
      <c r="G261" s="29">
        <f>VLOOKUP(A261,Database!$E:$AY,MATCH($G$1,Database!$E$1:$AY$1,0),FALSE)</f>
        <v/>
      </c>
      <c r="H261" s="29">
        <f>(((Table134567891011121314151617343[[#This Row],[ITA]]-VLOOKUP($U$1,A:B,2,))/VLOOKUP($U$1,A:B,2,))*100)+100</f>
        <v/>
      </c>
      <c r="I261" s="29">
        <f>(((Table134567891011121314151617343[[#This Row],[FRA]]-VLOOKUP($U$1,A:C,3,))/VLOOKUP($U$1,A:C,3,))*100)+100</f>
        <v/>
      </c>
      <c r="J261" s="29">
        <f>(((Table134567891011121314151617343[[#This Row],[DEU]]-VLOOKUP($U$1,A:D,4,))/VLOOKUP($U$1,A:D,4,))*100)+100</f>
        <v/>
      </c>
      <c r="K261" s="29">
        <f>(((Table134567891011121314151617343[[#This Row],[ESP]]-VLOOKUP($U$1,A:E,5,))/VLOOKUP($U$1,A:E,5,))*100)+100</f>
        <v/>
      </c>
      <c r="L261" s="29">
        <f>(((Table134567891011121314151617343[[#This Row],[EA19]]-VLOOKUP($U$1,A:F,6,))/VLOOKUP($U$1,A:F,6,))*100)+100</f>
        <v/>
      </c>
      <c r="M261" s="29">
        <f>(((Table134567891011121314151617343[[#This Row],[GBR]]-VLOOKUP($U$1,A:G,7,))/VLOOKUP($U$1,A:G,7,))*100)+100</f>
        <v/>
      </c>
      <c r="N261" s="29">
        <f>VLOOKUP(A261,Database!$E:$AY,MATCH($N$1,Database!$E$1:$AY$1,0),FALSE)</f>
        <v/>
      </c>
      <c r="O261" s="29">
        <f>(((Table134567891011121314151617343[[#This Row],[USA]]-VLOOKUP($U$1,A:N,14,))/VLOOKUP($U$1,A:N,14,))*100)+100</f>
        <v/>
      </c>
      <c r="P261" s="29">
        <f>VLOOKUP(A261,Database!$E:$AY,MATCH($P$1,Database!$E$1:$AY$1,0),FALSE)</f>
        <v/>
      </c>
      <c r="Q261" s="29">
        <f>(((Table134567891011121314151617343[[#This Row],[JPN]]-VLOOKUP($U$1,A:Q,16,))/VLOOKUP($U$1,A:Q,16,))*100)+100</f>
        <v/>
      </c>
    </row>
    <row r="262" customFormat="1" s="129">
      <c r="A262" s="28" t="n">
        <v>40787</v>
      </c>
      <c r="B262" s="29">
        <f>VLOOKUP(A262,Database!$E:$AY,MATCH($B$1,Database!$E$1:$AY$1,0),FALSE)</f>
        <v/>
      </c>
      <c r="C262" s="29">
        <f>VLOOKUP(A262,Database!$E:$AY,MATCH($C$1,Database!$E$1:$AY$1,0),FALSE)</f>
        <v/>
      </c>
      <c r="D262" s="29">
        <f>VLOOKUP(A262,Database!$E:$AY,MATCH($D$1,Database!$E$1:$AY$1,0),FALSE)</f>
        <v/>
      </c>
      <c r="E262" s="29">
        <f>VLOOKUP(A262,Database!$E:$AY,MATCH($E$1,Database!$E$1:$AY$1,0),FALSE)</f>
        <v/>
      </c>
      <c r="F262" s="29">
        <f>VLOOKUP(A262,Database!$E:$AY,MATCH($F$1,Database!$E$1:$AY$1,0),FALSE)</f>
        <v/>
      </c>
      <c r="G262" s="29">
        <f>VLOOKUP(A262,Database!$E:$AY,MATCH($G$1,Database!$E$1:$AY$1,0),FALSE)</f>
        <v/>
      </c>
      <c r="H262" s="29">
        <f>(((Table134567891011121314151617343[[#This Row],[ITA]]-VLOOKUP($U$1,A:B,2,))/VLOOKUP($U$1,A:B,2,))*100)+100</f>
        <v/>
      </c>
      <c r="I262" s="29">
        <f>(((Table134567891011121314151617343[[#This Row],[FRA]]-VLOOKUP($U$1,A:C,3,))/VLOOKUP($U$1,A:C,3,))*100)+100</f>
        <v/>
      </c>
      <c r="J262" s="29">
        <f>(((Table134567891011121314151617343[[#This Row],[DEU]]-VLOOKUP($U$1,A:D,4,))/VLOOKUP($U$1,A:D,4,))*100)+100</f>
        <v/>
      </c>
      <c r="K262" s="29">
        <f>(((Table134567891011121314151617343[[#This Row],[ESP]]-VLOOKUP($U$1,A:E,5,))/VLOOKUP($U$1,A:E,5,))*100)+100</f>
        <v/>
      </c>
      <c r="L262" s="29">
        <f>(((Table134567891011121314151617343[[#This Row],[EA19]]-VLOOKUP($U$1,A:F,6,))/VLOOKUP($U$1,A:F,6,))*100)+100</f>
        <v/>
      </c>
      <c r="M262" s="29">
        <f>(((Table134567891011121314151617343[[#This Row],[GBR]]-VLOOKUP($U$1,A:G,7,))/VLOOKUP($U$1,A:G,7,))*100)+100</f>
        <v/>
      </c>
      <c r="N262" s="29">
        <f>VLOOKUP(A262,Database!$E:$AY,MATCH($N$1,Database!$E$1:$AY$1,0),FALSE)</f>
        <v/>
      </c>
      <c r="O262" s="29">
        <f>(((Table134567891011121314151617343[[#This Row],[USA]]-VLOOKUP($U$1,A:N,14,))/VLOOKUP($U$1,A:N,14,))*100)+100</f>
        <v/>
      </c>
      <c r="P262" s="29">
        <f>VLOOKUP(A262,Database!$E:$AY,MATCH($P$1,Database!$E$1:$AY$1,0),FALSE)</f>
        <v/>
      </c>
      <c r="Q262" s="29">
        <f>(((Table134567891011121314151617343[[#This Row],[JPN]]-VLOOKUP($U$1,A:Q,16,))/VLOOKUP($U$1,A:Q,16,))*100)+100</f>
        <v/>
      </c>
    </row>
    <row r="263" customFormat="1" s="129">
      <c r="A263" s="28" t="n">
        <v>40817</v>
      </c>
      <c r="B263" s="29">
        <f>VLOOKUP(A263,Database!$E:$AY,MATCH($B$1,Database!$E$1:$AY$1,0),FALSE)</f>
        <v/>
      </c>
      <c r="C263" s="29">
        <f>VLOOKUP(A263,Database!$E:$AY,MATCH($C$1,Database!$E$1:$AY$1,0),FALSE)</f>
        <v/>
      </c>
      <c r="D263" s="29">
        <f>VLOOKUP(A263,Database!$E:$AY,MATCH($D$1,Database!$E$1:$AY$1,0),FALSE)</f>
        <v/>
      </c>
      <c r="E263" s="29">
        <f>VLOOKUP(A263,Database!$E:$AY,MATCH($E$1,Database!$E$1:$AY$1,0),FALSE)</f>
        <v/>
      </c>
      <c r="F263" s="29">
        <f>VLOOKUP(A263,Database!$E:$AY,MATCH($F$1,Database!$E$1:$AY$1,0),FALSE)</f>
        <v/>
      </c>
      <c r="G263" s="29">
        <f>VLOOKUP(A263,Database!$E:$AY,MATCH($G$1,Database!$E$1:$AY$1,0),FALSE)</f>
        <v/>
      </c>
      <c r="H263" s="29">
        <f>(((Table134567891011121314151617343[[#This Row],[ITA]]-VLOOKUP($U$1,A:B,2,))/VLOOKUP($U$1,A:B,2,))*100)+100</f>
        <v/>
      </c>
      <c r="I263" s="29">
        <f>(((Table134567891011121314151617343[[#This Row],[FRA]]-VLOOKUP($U$1,A:C,3,))/VLOOKUP($U$1,A:C,3,))*100)+100</f>
        <v/>
      </c>
      <c r="J263" s="29">
        <f>(((Table134567891011121314151617343[[#This Row],[DEU]]-VLOOKUP($U$1,A:D,4,))/VLOOKUP($U$1,A:D,4,))*100)+100</f>
        <v/>
      </c>
      <c r="K263" s="29">
        <f>(((Table134567891011121314151617343[[#This Row],[ESP]]-VLOOKUP($U$1,A:E,5,))/VLOOKUP($U$1,A:E,5,))*100)+100</f>
        <v/>
      </c>
      <c r="L263" s="29">
        <f>(((Table134567891011121314151617343[[#This Row],[EA19]]-VLOOKUP($U$1,A:F,6,))/VLOOKUP($U$1,A:F,6,))*100)+100</f>
        <v/>
      </c>
      <c r="M263" s="29">
        <f>(((Table134567891011121314151617343[[#This Row],[GBR]]-VLOOKUP($U$1,A:G,7,))/VLOOKUP($U$1,A:G,7,))*100)+100</f>
        <v/>
      </c>
      <c r="N263" s="29">
        <f>VLOOKUP(A263,Database!$E:$AY,MATCH($N$1,Database!$E$1:$AY$1,0),FALSE)</f>
        <v/>
      </c>
      <c r="O263" s="29">
        <f>(((Table134567891011121314151617343[[#This Row],[USA]]-VLOOKUP($U$1,A:N,14,))/VLOOKUP($U$1,A:N,14,))*100)+100</f>
        <v/>
      </c>
      <c r="P263" s="29">
        <f>VLOOKUP(A263,Database!$E:$AY,MATCH($P$1,Database!$E$1:$AY$1,0),FALSE)</f>
        <v/>
      </c>
      <c r="Q263" s="29">
        <f>(((Table134567891011121314151617343[[#This Row],[JPN]]-VLOOKUP($U$1,A:Q,16,))/VLOOKUP($U$1,A:Q,16,))*100)+100</f>
        <v/>
      </c>
    </row>
    <row r="264" customFormat="1" s="129">
      <c r="A264" s="28" t="n">
        <v>40848</v>
      </c>
      <c r="B264" s="29">
        <f>VLOOKUP(A264,Database!$E:$AY,MATCH($B$1,Database!$E$1:$AY$1,0),FALSE)</f>
        <v/>
      </c>
      <c r="C264" s="29">
        <f>VLOOKUP(A264,Database!$E:$AY,MATCH($C$1,Database!$E$1:$AY$1,0),FALSE)</f>
        <v/>
      </c>
      <c r="D264" s="29">
        <f>VLOOKUP(A264,Database!$E:$AY,MATCH($D$1,Database!$E$1:$AY$1,0),FALSE)</f>
        <v/>
      </c>
      <c r="E264" s="29">
        <f>VLOOKUP(A264,Database!$E:$AY,MATCH($E$1,Database!$E$1:$AY$1,0),FALSE)</f>
        <v/>
      </c>
      <c r="F264" s="29">
        <f>VLOOKUP(A264,Database!$E:$AY,MATCH($F$1,Database!$E$1:$AY$1,0),FALSE)</f>
        <v/>
      </c>
      <c r="G264" s="29">
        <f>VLOOKUP(A264,Database!$E:$AY,MATCH($G$1,Database!$E$1:$AY$1,0),FALSE)</f>
        <v/>
      </c>
      <c r="H264" s="29">
        <f>(((Table134567891011121314151617343[[#This Row],[ITA]]-VLOOKUP($U$1,A:B,2,))/VLOOKUP($U$1,A:B,2,))*100)+100</f>
        <v/>
      </c>
      <c r="I264" s="29">
        <f>(((Table134567891011121314151617343[[#This Row],[FRA]]-VLOOKUP($U$1,A:C,3,))/VLOOKUP($U$1,A:C,3,))*100)+100</f>
        <v/>
      </c>
      <c r="J264" s="29">
        <f>(((Table134567891011121314151617343[[#This Row],[DEU]]-VLOOKUP($U$1,A:D,4,))/VLOOKUP($U$1,A:D,4,))*100)+100</f>
        <v/>
      </c>
      <c r="K264" s="29">
        <f>(((Table134567891011121314151617343[[#This Row],[ESP]]-VLOOKUP($U$1,A:E,5,))/VLOOKUP($U$1,A:E,5,))*100)+100</f>
        <v/>
      </c>
      <c r="L264" s="29">
        <f>(((Table134567891011121314151617343[[#This Row],[EA19]]-VLOOKUP($U$1,A:F,6,))/VLOOKUP($U$1,A:F,6,))*100)+100</f>
        <v/>
      </c>
      <c r="M264" s="29">
        <f>(((Table134567891011121314151617343[[#This Row],[GBR]]-VLOOKUP($U$1,A:G,7,))/VLOOKUP($U$1,A:G,7,))*100)+100</f>
        <v/>
      </c>
      <c r="N264" s="29">
        <f>VLOOKUP(A264,Database!$E:$AY,MATCH($N$1,Database!$E$1:$AY$1,0),FALSE)</f>
        <v/>
      </c>
      <c r="O264" s="29">
        <f>(((Table134567891011121314151617343[[#This Row],[USA]]-VLOOKUP($U$1,A:N,14,))/VLOOKUP($U$1,A:N,14,))*100)+100</f>
        <v/>
      </c>
      <c r="P264" s="29">
        <f>VLOOKUP(A264,Database!$E:$AY,MATCH($P$1,Database!$E$1:$AY$1,0),FALSE)</f>
        <v/>
      </c>
      <c r="Q264" s="29">
        <f>(((Table134567891011121314151617343[[#This Row],[JPN]]-VLOOKUP($U$1,A:Q,16,))/VLOOKUP($U$1,A:Q,16,))*100)+100</f>
        <v/>
      </c>
    </row>
    <row r="265" customFormat="1" s="129">
      <c r="A265" s="28" t="n">
        <v>40878</v>
      </c>
      <c r="B265" s="29">
        <f>VLOOKUP(A265,Database!$E:$AY,MATCH($B$1,Database!$E$1:$AY$1,0),FALSE)</f>
        <v/>
      </c>
      <c r="C265" s="29">
        <f>VLOOKUP(A265,Database!$E:$AY,MATCH($C$1,Database!$E$1:$AY$1,0),FALSE)</f>
        <v/>
      </c>
      <c r="D265" s="29">
        <f>VLOOKUP(A265,Database!$E:$AY,MATCH($D$1,Database!$E$1:$AY$1,0),FALSE)</f>
        <v/>
      </c>
      <c r="E265" s="29">
        <f>VLOOKUP(A265,Database!$E:$AY,MATCH($E$1,Database!$E$1:$AY$1,0),FALSE)</f>
        <v/>
      </c>
      <c r="F265" s="29">
        <f>VLOOKUP(A265,Database!$E:$AY,MATCH($F$1,Database!$E$1:$AY$1,0),FALSE)</f>
        <v/>
      </c>
      <c r="G265" s="29">
        <f>VLOOKUP(A265,Database!$E:$AY,MATCH($G$1,Database!$E$1:$AY$1,0),FALSE)</f>
        <v/>
      </c>
      <c r="H265" s="29">
        <f>(((Table134567891011121314151617343[[#This Row],[ITA]]-VLOOKUP($U$1,A:B,2,))/VLOOKUP($U$1,A:B,2,))*100)+100</f>
        <v/>
      </c>
      <c r="I265" s="29">
        <f>(((Table134567891011121314151617343[[#This Row],[FRA]]-VLOOKUP($U$1,A:C,3,))/VLOOKUP($U$1,A:C,3,))*100)+100</f>
        <v/>
      </c>
      <c r="J265" s="29">
        <f>(((Table134567891011121314151617343[[#This Row],[DEU]]-VLOOKUP($U$1,A:D,4,))/VLOOKUP($U$1,A:D,4,))*100)+100</f>
        <v/>
      </c>
      <c r="K265" s="29">
        <f>(((Table134567891011121314151617343[[#This Row],[ESP]]-VLOOKUP($U$1,A:E,5,))/VLOOKUP($U$1,A:E,5,))*100)+100</f>
        <v/>
      </c>
      <c r="L265" s="29">
        <f>(((Table134567891011121314151617343[[#This Row],[EA19]]-VLOOKUP($U$1,A:F,6,))/VLOOKUP($U$1,A:F,6,))*100)+100</f>
        <v/>
      </c>
      <c r="M265" s="29">
        <f>(((Table134567891011121314151617343[[#This Row],[GBR]]-VLOOKUP($U$1,A:G,7,))/VLOOKUP($U$1,A:G,7,))*100)+100</f>
        <v/>
      </c>
      <c r="N265" s="29">
        <f>VLOOKUP(A265,Database!$E:$AY,MATCH($N$1,Database!$E$1:$AY$1,0),FALSE)</f>
        <v/>
      </c>
      <c r="O265" s="29">
        <f>(((Table134567891011121314151617343[[#This Row],[USA]]-VLOOKUP($U$1,A:N,14,))/VLOOKUP($U$1,A:N,14,))*100)+100</f>
        <v/>
      </c>
      <c r="P265" s="29">
        <f>VLOOKUP(A265,Database!$E:$AY,MATCH($P$1,Database!$E$1:$AY$1,0),FALSE)</f>
        <v/>
      </c>
      <c r="Q265" s="29">
        <f>(((Table134567891011121314151617343[[#This Row],[JPN]]-VLOOKUP($U$1,A:Q,16,))/VLOOKUP($U$1,A:Q,16,))*100)+100</f>
        <v/>
      </c>
    </row>
    <row r="266" customFormat="1" s="129">
      <c r="A266" s="28" t="n">
        <v>40909</v>
      </c>
      <c r="B266" s="29">
        <f>VLOOKUP(A266,Database!$E:$AY,MATCH($B$1,Database!$E$1:$AY$1,0),FALSE)</f>
        <v/>
      </c>
      <c r="C266" s="29">
        <f>VLOOKUP(A266,Database!$E:$AY,MATCH($C$1,Database!$E$1:$AY$1,0),FALSE)</f>
        <v/>
      </c>
      <c r="D266" s="29">
        <f>VLOOKUP(A266,Database!$E:$AY,MATCH($D$1,Database!$E$1:$AY$1,0),FALSE)</f>
        <v/>
      </c>
      <c r="E266" s="29">
        <f>VLOOKUP(A266,Database!$E:$AY,MATCH($E$1,Database!$E$1:$AY$1,0),FALSE)</f>
        <v/>
      </c>
      <c r="F266" s="29">
        <f>VLOOKUP(A266,Database!$E:$AY,MATCH($F$1,Database!$E$1:$AY$1,0),FALSE)</f>
        <v/>
      </c>
      <c r="G266" s="29">
        <f>VLOOKUP(A266,Database!$E:$AY,MATCH($G$1,Database!$E$1:$AY$1,0),FALSE)</f>
        <v/>
      </c>
      <c r="H266" s="29">
        <f>(((Table134567891011121314151617343[[#This Row],[ITA]]-VLOOKUP($U$1,A:B,2,))/VLOOKUP($U$1,A:B,2,))*100)+100</f>
        <v/>
      </c>
      <c r="I266" s="29">
        <f>(((Table134567891011121314151617343[[#This Row],[FRA]]-VLOOKUP($U$1,A:C,3,))/VLOOKUP($U$1,A:C,3,))*100)+100</f>
        <v/>
      </c>
      <c r="J266" s="29">
        <f>(((Table134567891011121314151617343[[#This Row],[DEU]]-VLOOKUP($U$1,A:D,4,))/VLOOKUP($U$1,A:D,4,))*100)+100</f>
        <v/>
      </c>
      <c r="K266" s="29">
        <f>(((Table134567891011121314151617343[[#This Row],[ESP]]-VLOOKUP($U$1,A:E,5,))/VLOOKUP($U$1,A:E,5,))*100)+100</f>
        <v/>
      </c>
      <c r="L266" s="29">
        <f>(((Table134567891011121314151617343[[#This Row],[EA19]]-VLOOKUP($U$1,A:F,6,))/VLOOKUP($U$1,A:F,6,))*100)+100</f>
        <v/>
      </c>
      <c r="M266" s="29">
        <f>(((Table134567891011121314151617343[[#This Row],[GBR]]-VLOOKUP($U$1,A:G,7,))/VLOOKUP($U$1,A:G,7,))*100)+100</f>
        <v/>
      </c>
      <c r="N266" s="29">
        <f>VLOOKUP(A266,Database!$E:$AY,MATCH($N$1,Database!$E$1:$AY$1,0),FALSE)</f>
        <v/>
      </c>
      <c r="O266" s="29">
        <f>(((Table134567891011121314151617343[[#This Row],[USA]]-VLOOKUP($U$1,A:N,14,))/VLOOKUP($U$1,A:N,14,))*100)+100</f>
        <v/>
      </c>
      <c r="P266" s="29">
        <f>VLOOKUP(A266,Database!$E:$AY,MATCH($P$1,Database!$E$1:$AY$1,0),FALSE)</f>
        <v/>
      </c>
      <c r="Q266" s="29">
        <f>(((Table134567891011121314151617343[[#This Row],[JPN]]-VLOOKUP($U$1,A:Q,16,))/VLOOKUP($U$1,A:Q,16,))*100)+100</f>
        <v/>
      </c>
    </row>
    <row r="267" customFormat="1" s="129">
      <c r="A267" s="28" t="n">
        <v>40940</v>
      </c>
      <c r="B267" s="29">
        <f>VLOOKUP(A267,Database!$E:$AY,MATCH($B$1,Database!$E$1:$AY$1,0),FALSE)</f>
        <v/>
      </c>
      <c r="C267" s="29">
        <f>VLOOKUP(A267,Database!$E:$AY,MATCH($C$1,Database!$E$1:$AY$1,0),FALSE)</f>
        <v/>
      </c>
      <c r="D267" s="29">
        <f>VLOOKUP(A267,Database!$E:$AY,MATCH($D$1,Database!$E$1:$AY$1,0),FALSE)</f>
        <v/>
      </c>
      <c r="E267" s="29">
        <f>VLOOKUP(A267,Database!$E:$AY,MATCH($E$1,Database!$E$1:$AY$1,0),FALSE)</f>
        <v/>
      </c>
      <c r="F267" s="29">
        <f>VLOOKUP(A267,Database!$E:$AY,MATCH($F$1,Database!$E$1:$AY$1,0),FALSE)</f>
        <v/>
      </c>
      <c r="G267" s="29">
        <f>VLOOKUP(A267,Database!$E:$AY,MATCH($G$1,Database!$E$1:$AY$1,0),FALSE)</f>
        <v/>
      </c>
      <c r="H267" s="29">
        <f>(((Table134567891011121314151617343[[#This Row],[ITA]]-VLOOKUP($U$1,A:B,2,))/VLOOKUP($U$1,A:B,2,))*100)+100</f>
        <v/>
      </c>
      <c r="I267" s="29">
        <f>(((Table134567891011121314151617343[[#This Row],[FRA]]-VLOOKUP($U$1,A:C,3,))/VLOOKUP($U$1,A:C,3,))*100)+100</f>
        <v/>
      </c>
      <c r="J267" s="29">
        <f>(((Table134567891011121314151617343[[#This Row],[DEU]]-VLOOKUP($U$1,A:D,4,))/VLOOKUP($U$1,A:D,4,))*100)+100</f>
        <v/>
      </c>
      <c r="K267" s="29">
        <f>(((Table134567891011121314151617343[[#This Row],[ESP]]-VLOOKUP($U$1,A:E,5,))/VLOOKUP($U$1,A:E,5,))*100)+100</f>
        <v/>
      </c>
      <c r="L267" s="29">
        <f>(((Table134567891011121314151617343[[#This Row],[EA19]]-VLOOKUP($U$1,A:F,6,))/VLOOKUP($U$1,A:F,6,))*100)+100</f>
        <v/>
      </c>
      <c r="M267" s="29">
        <f>(((Table134567891011121314151617343[[#This Row],[GBR]]-VLOOKUP($U$1,A:G,7,))/VLOOKUP($U$1,A:G,7,))*100)+100</f>
        <v/>
      </c>
      <c r="N267" s="29">
        <f>VLOOKUP(A267,Database!$E:$AY,MATCH($N$1,Database!$E$1:$AY$1,0),FALSE)</f>
        <v/>
      </c>
      <c r="O267" s="29">
        <f>(((Table134567891011121314151617343[[#This Row],[USA]]-VLOOKUP($U$1,A:N,14,))/VLOOKUP($U$1,A:N,14,))*100)+100</f>
        <v/>
      </c>
      <c r="P267" s="29">
        <f>VLOOKUP(A267,Database!$E:$AY,MATCH($P$1,Database!$E$1:$AY$1,0),FALSE)</f>
        <v/>
      </c>
      <c r="Q267" s="29">
        <f>(((Table134567891011121314151617343[[#This Row],[JPN]]-VLOOKUP($U$1,A:Q,16,))/VLOOKUP($U$1,A:Q,16,))*100)+100</f>
        <v/>
      </c>
    </row>
    <row r="268" customFormat="1" s="129">
      <c r="A268" s="28" t="n">
        <v>40969</v>
      </c>
      <c r="B268" s="29">
        <f>VLOOKUP(A268,Database!$E:$AY,MATCH($B$1,Database!$E$1:$AY$1,0),FALSE)</f>
        <v/>
      </c>
      <c r="C268" s="29">
        <f>VLOOKUP(A268,Database!$E:$AY,MATCH($C$1,Database!$E$1:$AY$1,0),FALSE)</f>
        <v/>
      </c>
      <c r="D268" s="29">
        <f>VLOOKUP(A268,Database!$E:$AY,MATCH($D$1,Database!$E$1:$AY$1,0),FALSE)</f>
        <v/>
      </c>
      <c r="E268" s="29">
        <f>VLOOKUP(A268,Database!$E:$AY,MATCH($E$1,Database!$E$1:$AY$1,0),FALSE)</f>
        <v/>
      </c>
      <c r="F268" s="29">
        <f>VLOOKUP(A268,Database!$E:$AY,MATCH($F$1,Database!$E$1:$AY$1,0),FALSE)</f>
        <v/>
      </c>
      <c r="G268" s="29">
        <f>VLOOKUP(A268,Database!$E:$AY,MATCH($G$1,Database!$E$1:$AY$1,0),FALSE)</f>
        <v/>
      </c>
      <c r="H268" s="29">
        <f>(((Table134567891011121314151617343[[#This Row],[ITA]]-VLOOKUP($U$1,A:B,2,))/VLOOKUP($U$1,A:B,2,))*100)+100</f>
        <v/>
      </c>
      <c r="I268" s="29">
        <f>(((Table134567891011121314151617343[[#This Row],[FRA]]-VLOOKUP($U$1,A:C,3,))/VLOOKUP($U$1,A:C,3,))*100)+100</f>
        <v/>
      </c>
      <c r="J268" s="29">
        <f>(((Table134567891011121314151617343[[#This Row],[DEU]]-VLOOKUP($U$1,A:D,4,))/VLOOKUP($U$1,A:D,4,))*100)+100</f>
        <v/>
      </c>
      <c r="K268" s="29">
        <f>(((Table134567891011121314151617343[[#This Row],[ESP]]-VLOOKUP($U$1,A:E,5,))/VLOOKUP($U$1,A:E,5,))*100)+100</f>
        <v/>
      </c>
      <c r="L268" s="29">
        <f>(((Table134567891011121314151617343[[#This Row],[EA19]]-VLOOKUP($U$1,A:F,6,))/VLOOKUP($U$1,A:F,6,))*100)+100</f>
        <v/>
      </c>
      <c r="M268" s="29">
        <f>(((Table134567891011121314151617343[[#This Row],[GBR]]-VLOOKUP($U$1,A:G,7,))/VLOOKUP($U$1,A:G,7,))*100)+100</f>
        <v/>
      </c>
      <c r="N268" s="29">
        <f>VLOOKUP(A268,Database!$E:$AY,MATCH($N$1,Database!$E$1:$AY$1,0),FALSE)</f>
        <v/>
      </c>
      <c r="O268" s="29">
        <f>(((Table134567891011121314151617343[[#This Row],[USA]]-VLOOKUP($U$1,A:N,14,))/VLOOKUP($U$1,A:N,14,))*100)+100</f>
        <v/>
      </c>
      <c r="P268" s="29">
        <f>VLOOKUP(A268,Database!$E:$AY,MATCH($P$1,Database!$E$1:$AY$1,0),FALSE)</f>
        <v/>
      </c>
      <c r="Q268" s="29">
        <f>(((Table134567891011121314151617343[[#This Row],[JPN]]-VLOOKUP($U$1,A:Q,16,))/VLOOKUP($U$1,A:Q,16,))*100)+100</f>
        <v/>
      </c>
    </row>
    <row r="269" customFormat="1" s="129">
      <c r="A269" s="28" t="n">
        <v>41000</v>
      </c>
      <c r="B269" s="29">
        <f>VLOOKUP(A269,Database!$E:$AY,MATCH($B$1,Database!$E$1:$AY$1,0),FALSE)</f>
        <v/>
      </c>
      <c r="C269" s="29">
        <f>VLOOKUP(A269,Database!$E:$AY,MATCH($C$1,Database!$E$1:$AY$1,0),FALSE)</f>
        <v/>
      </c>
      <c r="D269" s="29">
        <f>VLOOKUP(A269,Database!$E:$AY,MATCH($D$1,Database!$E$1:$AY$1,0),FALSE)</f>
        <v/>
      </c>
      <c r="E269" s="29">
        <f>VLOOKUP(A269,Database!$E:$AY,MATCH($E$1,Database!$E$1:$AY$1,0),FALSE)</f>
        <v/>
      </c>
      <c r="F269" s="29">
        <f>VLOOKUP(A269,Database!$E:$AY,MATCH($F$1,Database!$E$1:$AY$1,0),FALSE)</f>
        <v/>
      </c>
      <c r="G269" s="29">
        <f>VLOOKUP(A269,Database!$E:$AY,MATCH($G$1,Database!$E$1:$AY$1,0),FALSE)</f>
        <v/>
      </c>
      <c r="H269" s="29">
        <f>(((Table134567891011121314151617343[[#This Row],[ITA]]-VLOOKUP($U$1,A:B,2,))/VLOOKUP($U$1,A:B,2,))*100)+100</f>
        <v/>
      </c>
      <c r="I269" s="29">
        <f>(((Table134567891011121314151617343[[#This Row],[FRA]]-VLOOKUP($U$1,A:C,3,))/VLOOKUP($U$1,A:C,3,))*100)+100</f>
        <v/>
      </c>
      <c r="J269" s="29">
        <f>(((Table134567891011121314151617343[[#This Row],[DEU]]-VLOOKUP($U$1,A:D,4,))/VLOOKUP($U$1,A:D,4,))*100)+100</f>
        <v/>
      </c>
      <c r="K269" s="29">
        <f>(((Table134567891011121314151617343[[#This Row],[ESP]]-VLOOKUP($U$1,A:E,5,))/VLOOKUP($U$1,A:E,5,))*100)+100</f>
        <v/>
      </c>
      <c r="L269" s="29">
        <f>(((Table134567891011121314151617343[[#This Row],[EA19]]-VLOOKUP($U$1,A:F,6,))/VLOOKUP($U$1,A:F,6,))*100)+100</f>
        <v/>
      </c>
      <c r="M269" s="29">
        <f>(((Table134567891011121314151617343[[#This Row],[GBR]]-VLOOKUP($U$1,A:G,7,))/VLOOKUP($U$1,A:G,7,))*100)+100</f>
        <v/>
      </c>
      <c r="N269" s="29">
        <f>VLOOKUP(A269,Database!$E:$AY,MATCH($N$1,Database!$E$1:$AY$1,0),FALSE)</f>
        <v/>
      </c>
      <c r="O269" s="29">
        <f>(((Table134567891011121314151617343[[#This Row],[USA]]-VLOOKUP($U$1,A:N,14,))/VLOOKUP($U$1,A:N,14,))*100)+100</f>
        <v/>
      </c>
      <c r="P269" s="29">
        <f>VLOOKUP(A269,Database!$E:$AY,MATCH($P$1,Database!$E$1:$AY$1,0),FALSE)</f>
        <v/>
      </c>
      <c r="Q269" s="29">
        <f>(((Table134567891011121314151617343[[#This Row],[JPN]]-VLOOKUP($U$1,A:Q,16,))/VLOOKUP($U$1,A:Q,16,))*100)+100</f>
        <v/>
      </c>
    </row>
    <row r="270" customFormat="1" s="129">
      <c r="A270" s="28" t="n">
        <v>41030</v>
      </c>
      <c r="B270" s="29">
        <f>VLOOKUP(A270,Database!$E:$AY,MATCH($B$1,Database!$E$1:$AY$1,0),FALSE)</f>
        <v/>
      </c>
      <c r="C270" s="29">
        <f>VLOOKUP(A270,Database!$E:$AY,MATCH($C$1,Database!$E$1:$AY$1,0),FALSE)</f>
        <v/>
      </c>
      <c r="D270" s="29">
        <f>VLOOKUP(A270,Database!$E:$AY,MATCH($D$1,Database!$E$1:$AY$1,0),FALSE)</f>
        <v/>
      </c>
      <c r="E270" s="29">
        <f>VLOOKUP(A270,Database!$E:$AY,MATCH($E$1,Database!$E$1:$AY$1,0),FALSE)</f>
        <v/>
      </c>
      <c r="F270" s="29">
        <f>VLOOKUP(A270,Database!$E:$AY,MATCH($F$1,Database!$E$1:$AY$1,0),FALSE)</f>
        <v/>
      </c>
      <c r="G270" s="29">
        <f>VLOOKUP(A270,Database!$E:$AY,MATCH($G$1,Database!$E$1:$AY$1,0),FALSE)</f>
        <v/>
      </c>
      <c r="H270" s="29">
        <f>(((Table134567891011121314151617343[[#This Row],[ITA]]-VLOOKUP($U$1,A:B,2,))/VLOOKUP($U$1,A:B,2,))*100)+100</f>
        <v/>
      </c>
      <c r="I270" s="29">
        <f>(((Table134567891011121314151617343[[#This Row],[FRA]]-VLOOKUP($U$1,A:C,3,))/VLOOKUP($U$1,A:C,3,))*100)+100</f>
        <v/>
      </c>
      <c r="J270" s="29">
        <f>(((Table134567891011121314151617343[[#This Row],[DEU]]-VLOOKUP($U$1,A:D,4,))/VLOOKUP($U$1,A:D,4,))*100)+100</f>
        <v/>
      </c>
      <c r="K270" s="29">
        <f>(((Table134567891011121314151617343[[#This Row],[ESP]]-VLOOKUP($U$1,A:E,5,))/VLOOKUP($U$1,A:E,5,))*100)+100</f>
        <v/>
      </c>
      <c r="L270" s="29">
        <f>(((Table134567891011121314151617343[[#This Row],[EA19]]-VLOOKUP($U$1,A:F,6,))/VLOOKUP($U$1,A:F,6,))*100)+100</f>
        <v/>
      </c>
      <c r="M270" s="29">
        <f>(((Table134567891011121314151617343[[#This Row],[GBR]]-VLOOKUP($U$1,A:G,7,))/VLOOKUP($U$1,A:G,7,))*100)+100</f>
        <v/>
      </c>
      <c r="N270" s="29">
        <f>VLOOKUP(A270,Database!$E:$AY,MATCH($N$1,Database!$E$1:$AY$1,0),FALSE)</f>
        <v/>
      </c>
      <c r="O270" s="29">
        <f>(((Table134567891011121314151617343[[#This Row],[USA]]-VLOOKUP($U$1,A:N,14,))/VLOOKUP($U$1,A:N,14,))*100)+100</f>
        <v/>
      </c>
      <c r="P270" s="29">
        <f>VLOOKUP(A270,Database!$E:$AY,MATCH($P$1,Database!$E$1:$AY$1,0),FALSE)</f>
        <v/>
      </c>
      <c r="Q270" s="29">
        <f>(((Table134567891011121314151617343[[#This Row],[JPN]]-VLOOKUP($U$1,A:Q,16,))/VLOOKUP($U$1,A:Q,16,))*100)+100</f>
        <v/>
      </c>
    </row>
    <row r="271" customFormat="1" s="129">
      <c r="A271" s="28" t="n">
        <v>41061</v>
      </c>
      <c r="B271" s="29">
        <f>VLOOKUP(A271,Database!$E:$AY,MATCH($B$1,Database!$E$1:$AY$1,0),FALSE)</f>
        <v/>
      </c>
      <c r="C271" s="29">
        <f>VLOOKUP(A271,Database!$E:$AY,MATCH($C$1,Database!$E$1:$AY$1,0),FALSE)</f>
        <v/>
      </c>
      <c r="D271" s="29">
        <f>VLOOKUP(A271,Database!$E:$AY,MATCH($D$1,Database!$E$1:$AY$1,0),FALSE)</f>
        <v/>
      </c>
      <c r="E271" s="29">
        <f>VLOOKUP(A271,Database!$E:$AY,MATCH($E$1,Database!$E$1:$AY$1,0),FALSE)</f>
        <v/>
      </c>
      <c r="F271" s="29">
        <f>VLOOKUP(A271,Database!$E:$AY,MATCH($F$1,Database!$E$1:$AY$1,0),FALSE)</f>
        <v/>
      </c>
      <c r="G271" s="29">
        <f>VLOOKUP(A271,Database!$E:$AY,MATCH($G$1,Database!$E$1:$AY$1,0),FALSE)</f>
        <v/>
      </c>
      <c r="H271" s="29">
        <f>(((Table134567891011121314151617343[[#This Row],[ITA]]-VLOOKUP($U$1,A:B,2,))/VLOOKUP($U$1,A:B,2,))*100)+100</f>
        <v/>
      </c>
      <c r="I271" s="29">
        <f>(((Table134567891011121314151617343[[#This Row],[FRA]]-VLOOKUP($U$1,A:C,3,))/VLOOKUP($U$1,A:C,3,))*100)+100</f>
        <v/>
      </c>
      <c r="J271" s="29">
        <f>(((Table134567891011121314151617343[[#This Row],[DEU]]-VLOOKUP($U$1,A:D,4,))/VLOOKUP($U$1,A:D,4,))*100)+100</f>
        <v/>
      </c>
      <c r="K271" s="29">
        <f>(((Table134567891011121314151617343[[#This Row],[ESP]]-VLOOKUP($U$1,A:E,5,))/VLOOKUP($U$1,A:E,5,))*100)+100</f>
        <v/>
      </c>
      <c r="L271" s="29">
        <f>(((Table134567891011121314151617343[[#This Row],[EA19]]-VLOOKUP($U$1,A:F,6,))/VLOOKUP($U$1,A:F,6,))*100)+100</f>
        <v/>
      </c>
      <c r="M271" s="29">
        <f>(((Table134567891011121314151617343[[#This Row],[GBR]]-VLOOKUP($U$1,A:G,7,))/VLOOKUP($U$1,A:G,7,))*100)+100</f>
        <v/>
      </c>
      <c r="N271" s="29">
        <f>VLOOKUP(A271,Database!$E:$AY,MATCH($N$1,Database!$E$1:$AY$1,0),FALSE)</f>
        <v/>
      </c>
      <c r="O271" s="29">
        <f>(((Table134567891011121314151617343[[#This Row],[USA]]-VLOOKUP($U$1,A:N,14,))/VLOOKUP($U$1,A:N,14,))*100)+100</f>
        <v/>
      </c>
      <c r="P271" s="29">
        <f>VLOOKUP(A271,Database!$E:$AY,MATCH($P$1,Database!$E$1:$AY$1,0),FALSE)</f>
        <v/>
      </c>
      <c r="Q271" s="29">
        <f>(((Table134567891011121314151617343[[#This Row],[JPN]]-VLOOKUP($U$1,A:Q,16,))/VLOOKUP($U$1,A:Q,16,))*100)+100</f>
        <v/>
      </c>
    </row>
    <row r="272" customFormat="1" s="129">
      <c r="A272" s="28" t="n">
        <v>41091</v>
      </c>
      <c r="B272" s="29">
        <f>VLOOKUP(A272,Database!$E:$AY,MATCH($B$1,Database!$E$1:$AY$1,0),FALSE)</f>
        <v/>
      </c>
      <c r="C272" s="29">
        <f>VLOOKUP(A272,Database!$E:$AY,MATCH($C$1,Database!$E$1:$AY$1,0),FALSE)</f>
        <v/>
      </c>
      <c r="D272" s="29">
        <f>VLOOKUP(A272,Database!$E:$AY,MATCH($D$1,Database!$E$1:$AY$1,0),FALSE)</f>
        <v/>
      </c>
      <c r="E272" s="29">
        <f>VLOOKUP(A272,Database!$E:$AY,MATCH($E$1,Database!$E$1:$AY$1,0),FALSE)</f>
        <v/>
      </c>
      <c r="F272" s="29">
        <f>VLOOKUP(A272,Database!$E:$AY,MATCH($F$1,Database!$E$1:$AY$1,0),FALSE)</f>
        <v/>
      </c>
      <c r="G272" s="29">
        <f>VLOOKUP(A272,Database!$E:$AY,MATCH($G$1,Database!$E$1:$AY$1,0),FALSE)</f>
        <v/>
      </c>
      <c r="H272" s="29">
        <f>(((Table134567891011121314151617343[[#This Row],[ITA]]-VLOOKUP($U$1,A:B,2,))/VLOOKUP($U$1,A:B,2,))*100)+100</f>
        <v/>
      </c>
      <c r="I272" s="29">
        <f>(((Table134567891011121314151617343[[#This Row],[FRA]]-VLOOKUP($U$1,A:C,3,))/VLOOKUP($U$1,A:C,3,))*100)+100</f>
        <v/>
      </c>
      <c r="J272" s="29">
        <f>(((Table134567891011121314151617343[[#This Row],[DEU]]-VLOOKUP($U$1,A:D,4,))/VLOOKUP($U$1,A:D,4,))*100)+100</f>
        <v/>
      </c>
      <c r="K272" s="29">
        <f>(((Table134567891011121314151617343[[#This Row],[ESP]]-VLOOKUP($U$1,A:E,5,))/VLOOKUP($U$1,A:E,5,))*100)+100</f>
        <v/>
      </c>
      <c r="L272" s="29">
        <f>(((Table134567891011121314151617343[[#This Row],[EA19]]-VLOOKUP($U$1,A:F,6,))/VLOOKUP($U$1,A:F,6,))*100)+100</f>
        <v/>
      </c>
      <c r="M272" s="29">
        <f>(((Table134567891011121314151617343[[#This Row],[GBR]]-VLOOKUP($U$1,A:G,7,))/VLOOKUP($U$1,A:G,7,))*100)+100</f>
        <v/>
      </c>
      <c r="N272" s="29">
        <f>VLOOKUP(A272,Database!$E:$AY,MATCH($N$1,Database!$E$1:$AY$1,0),FALSE)</f>
        <v/>
      </c>
      <c r="O272" s="29">
        <f>(((Table134567891011121314151617343[[#This Row],[USA]]-VLOOKUP($U$1,A:N,14,))/VLOOKUP($U$1,A:N,14,))*100)+100</f>
        <v/>
      </c>
      <c r="P272" s="29">
        <f>VLOOKUP(A272,Database!$E:$AY,MATCH($P$1,Database!$E$1:$AY$1,0),FALSE)</f>
        <v/>
      </c>
      <c r="Q272" s="29">
        <f>(((Table134567891011121314151617343[[#This Row],[JPN]]-VLOOKUP($U$1,A:Q,16,))/VLOOKUP($U$1,A:Q,16,))*100)+100</f>
        <v/>
      </c>
    </row>
    <row r="273" customFormat="1" s="129">
      <c r="A273" s="28" t="n">
        <v>41122</v>
      </c>
      <c r="B273" s="29">
        <f>VLOOKUP(A273,Database!$E:$AY,MATCH($B$1,Database!$E$1:$AY$1,0),FALSE)</f>
        <v/>
      </c>
      <c r="C273" s="29">
        <f>VLOOKUP(A273,Database!$E:$AY,MATCH($C$1,Database!$E$1:$AY$1,0),FALSE)</f>
        <v/>
      </c>
      <c r="D273" s="29">
        <f>VLOOKUP(A273,Database!$E:$AY,MATCH($D$1,Database!$E$1:$AY$1,0),FALSE)</f>
        <v/>
      </c>
      <c r="E273" s="29">
        <f>VLOOKUP(A273,Database!$E:$AY,MATCH($E$1,Database!$E$1:$AY$1,0),FALSE)</f>
        <v/>
      </c>
      <c r="F273" s="29">
        <f>VLOOKUP(A273,Database!$E:$AY,MATCH($F$1,Database!$E$1:$AY$1,0),FALSE)</f>
        <v/>
      </c>
      <c r="G273" s="29">
        <f>VLOOKUP(A273,Database!$E:$AY,MATCH($G$1,Database!$E$1:$AY$1,0),FALSE)</f>
        <v/>
      </c>
      <c r="H273" s="29">
        <f>(((Table134567891011121314151617343[[#This Row],[ITA]]-VLOOKUP($U$1,A:B,2,))/VLOOKUP($U$1,A:B,2,))*100)+100</f>
        <v/>
      </c>
      <c r="I273" s="29">
        <f>(((Table134567891011121314151617343[[#This Row],[FRA]]-VLOOKUP($U$1,A:C,3,))/VLOOKUP($U$1,A:C,3,))*100)+100</f>
        <v/>
      </c>
      <c r="J273" s="29">
        <f>(((Table134567891011121314151617343[[#This Row],[DEU]]-VLOOKUP($U$1,A:D,4,))/VLOOKUP($U$1,A:D,4,))*100)+100</f>
        <v/>
      </c>
      <c r="K273" s="29">
        <f>(((Table134567891011121314151617343[[#This Row],[ESP]]-VLOOKUP($U$1,A:E,5,))/VLOOKUP($U$1,A:E,5,))*100)+100</f>
        <v/>
      </c>
      <c r="L273" s="29">
        <f>(((Table134567891011121314151617343[[#This Row],[EA19]]-VLOOKUP($U$1,A:F,6,))/VLOOKUP($U$1,A:F,6,))*100)+100</f>
        <v/>
      </c>
      <c r="M273" s="29">
        <f>(((Table134567891011121314151617343[[#This Row],[GBR]]-VLOOKUP($U$1,A:G,7,))/VLOOKUP($U$1,A:G,7,))*100)+100</f>
        <v/>
      </c>
      <c r="N273" s="29">
        <f>VLOOKUP(A273,Database!$E:$AY,MATCH($N$1,Database!$E$1:$AY$1,0),FALSE)</f>
        <v/>
      </c>
      <c r="O273" s="29">
        <f>(((Table134567891011121314151617343[[#This Row],[USA]]-VLOOKUP($U$1,A:N,14,))/VLOOKUP($U$1,A:N,14,))*100)+100</f>
        <v/>
      </c>
      <c r="P273" s="29">
        <f>VLOOKUP(A273,Database!$E:$AY,MATCH($P$1,Database!$E$1:$AY$1,0),FALSE)</f>
        <v/>
      </c>
      <c r="Q273" s="29">
        <f>(((Table134567891011121314151617343[[#This Row],[JPN]]-VLOOKUP($U$1,A:Q,16,))/VLOOKUP($U$1,A:Q,16,))*100)+100</f>
        <v/>
      </c>
    </row>
    <row r="274" customFormat="1" s="129">
      <c r="A274" s="28" t="n">
        <v>41153</v>
      </c>
      <c r="B274" s="29">
        <f>VLOOKUP(A274,Database!$E:$AY,MATCH($B$1,Database!$E$1:$AY$1,0),FALSE)</f>
        <v/>
      </c>
      <c r="C274" s="29">
        <f>VLOOKUP(A274,Database!$E:$AY,MATCH($C$1,Database!$E$1:$AY$1,0),FALSE)</f>
        <v/>
      </c>
      <c r="D274" s="29">
        <f>VLOOKUP(A274,Database!$E:$AY,MATCH($D$1,Database!$E$1:$AY$1,0),FALSE)</f>
        <v/>
      </c>
      <c r="E274" s="29">
        <f>VLOOKUP(A274,Database!$E:$AY,MATCH($E$1,Database!$E$1:$AY$1,0),FALSE)</f>
        <v/>
      </c>
      <c r="F274" s="29">
        <f>VLOOKUP(A274,Database!$E:$AY,MATCH($F$1,Database!$E$1:$AY$1,0),FALSE)</f>
        <v/>
      </c>
      <c r="G274" s="29">
        <f>VLOOKUP(A274,Database!$E:$AY,MATCH($G$1,Database!$E$1:$AY$1,0),FALSE)</f>
        <v/>
      </c>
      <c r="H274" s="29">
        <f>(((Table134567891011121314151617343[[#This Row],[ITA]]-VLOOKUP($U$1,A:B,2,))/VLOOKUP($U$1,A:B,2,))*100)+100</f>
        <v/>
      </c>
      <c r="I274" s="29">
        <f>(((Table134567891011121314151617343[[#This Row],[FRA]]-VLOOKUP($U$1,A:C,3,))/VLOOKUP($U$1,A:C,3,))*100)+100</f>
        <v/>
      </c>
      <c r="J274" s="29">
        <f>(((Table134567891011121314151617343[[#This Row],[DEU]]-VLOOKUP($U$1,A:D,4,))/VLOOKUP($U$1,A:D,4,))*100)+100</f>
        <v/>
      </c>
      <c r="K274" s="29">
        <f>(((Table134567891011121314151617343[[#This Row],[ESP]]-VLOOKUP($U$1,A:E,5,))/VLOOKUP($U$1,A:E,5,))*100)+100</f>
        <v/>
      </c>
      <c r="L274" s="29">
        <f>(((Table134567891011121314151617343[[#This Row],[EA19]]-VLOOKUP($U$1,A:F,6,))/VLOOKUP($U$1,A:F,6,))*100)+100</f>
        <v/>
      </c>
      <c r="M274" s="29">
        <f>(((Table134567891011121314151617343[[#This Row],[GBR]]-VLOOKUP($U$1,A:G,7,))/VLOOKUP($U$1,A:G,7,))*100)+100</f>
        <v/>
      </c>
      <c r="N274" s="29">
        <f>VLOOKUP(A274,Database!$E:$AY,MATCH($N$1,Database!$E$1:$AY$1,0),FALSE)</f>
        <v/>
      </c>
      <c r="O274" s="29">
        <f>(((Table134567891011121314151617343[[#This Row],[USA]]-VLOOKUP($U$1,A:N,14,))/VLOOKUP($U$1,A:N,14,))*100)+100</f>
        <v/>
      </c>
      <c r="P274" s="29">
        <f>VLOOKUP(A274,Database!$E:$AY,MATCH($P$1,Database!$E$1:$AY$1,0),FALSE)</f>
        <v/>
      </c>
      <c r="Q274" s="29">
        <f>(((Table134567891011121314151617343[[#This Row],[JPN]]-VLOOKUP($U$1,A:Q,16,))/VLOOKUP($U$1,A:Q,16,))*100)+100</f>
        <v/>
      </c>
    </row>
    <row r="275" customFormat="1" s="129">
      <c r="A275" s="28" t="n">
        <v>41183</v>
      </c>
      <c r="B275" s="29">
        <f>VLOOKUP(A275,Database!$E:$AY,MATCH($B$1,Database!$E$1:$AY$1,0),FALSE)</f>
        <v/>
      </c>
      <c r="C275" s="29">
        <f>VLOOKUP(A275,Database!$E:$AY,MATCH($C$1,Database!$E$1:$AY$1,0),FALSE)</f>
        <v/>
      </c>
      <c r="D275" s="29">
        <f>VLOOKUP(A275,Database!$E:$AY,MATCH($D$1,Database!$E$1:$AY$1,0),FALSE)</f>
        <v/>
      </c>
      <c r="E275" s="29">
        <f>VLOOKUP(A275,Database!$E:$AY,MATCH($E$1,Database!$E$1:$AY$1,0),FALSE)</f>
        <v/>
      </c>
      <c r="F275" s="29">
        <f>VLOOKUP(A275,Database!$E:$AY,MATCH($F$1,Database!$E$1:$AY$1,0),FALSE)</f>
        <v/>
      </c>
      <c r="G275" s="29">
        <f>VLOOKUP(A275,Database!$E:$AY,MATCH($G$1,Database!$E$1:$AY$1,0),FALSE)</f>
        <v/>
      </c>
      <c r="H275" s="29">
        <f>(((Table134567891011121314151617343[[#This Row],[ITA]]-VLOOKUP($U$1,A:B,2,))/VLOOKUP($U$1,A:B,2,))*100)+100</f>
        <v/>
      </c>
      <c r="I275" s="29">
        <f>(((Table134567891011121314151617343[[#This Row],[FRA]]-VLOOKUP($U$1,A:C,3,))/VLOOKUP($U$1,A:C,3,))*100)+100</f>
        <v/>
      </c>
      <c r="J275" s="29">
        <f>(((Table134567891011121314151617343[[#This Row],[DEU]]-VLOOKUP($U$1,A:D,4,))/VLOOKUP($U$1,A:D,4,))*100)+100</f>
        <v/>
      </c>
      <c r="K275" s="29">
        <f>(((Table134567891011121314151617343[[#This Row],[ESP]]-VLOOKUP($U$1,A:E,5,))/VLOOKUP($U$1,A:E,5,))*100)+100</f>
        <v/>
      </c>
      <c r="L275" s="29">
        <f>(((Table134567891011121314151617343[[#This Row],[EA19]]-VLOOKUP($U$1,A:F,6,))/VLOOKUP($U$1,A:F,6,))*100)+100</f>
        <v/>
      </c>
      <c r="M275" s="29">
        <f>(((Table134567891011121314151617343[[#This Row],[GBR]]-VLOOKUP($U$1,A:G,7,))/VLOOKUP($U$1,A:G,7,))*100)+100</f>
        <v/>
      </c>
      <c r="N275" s="29">
        <f>VLOOKUP(A275,Database!$E:$AY,MATCH($N$1,Database!$E$1:$AY$1,0),FALSE)</f>
        <v/>
      </c>
      <c r="O275" s="29">
        <f>(((Table134567891011121314151617343[[#This Row],[USA]]-VLOOKUP($U$1,A:N,14,))/VLOOKUP($U$1,A:N,14,))*100)+100</f>
        <v/>
      </c>
      <c r="P275" s="29">
        <f>VLOOKUP(A275,Database!$E:$AY,MATCH($P$1,Database!$E$1:$AY$1,0),FALSE)</f>
        <v/>
      </c>
      <c r="Q275" s="29">
        <f>(((Table134567891011121314151617343[[#This Row],[JPN]]-VLOOKUP($U$1,A:Q,16,))/VLOOKUP($U$1,A:Q,16,))*100)+100</f>
        <v/>
      </c>
    </row>
    <row r="276" customFormat="1" s="129">
      <c r="A276" s="28" t="n">
        <v>41214</v>
      </c>
      <c r="B276" s="29">
        <f>VLOOKUP(A276,Database!$E:$AY,MATCH($B$1,Database!$E$1:$AY$1,0),FALSE)</f>
        <v/>
      </c>
      <c r="C276" s="29">
        <f>VLOOKUP(A276,Database!$E:$AY,MATCH($C$1,Database!$E$1:$AY$1,0),FALSE)</f>
        <v/>
      </c>
      <c r="D276" s="29">
        <f>VLOOKUP(A276,Database!$E:$AY,MATCH($D$1,Database!$E$1:$AY$1,0),FALSE)</f>
        <v/>
      </c>
      <c r="E276" s="29">
        <f>VLOOKUP(A276,Database!$E:$AY,MATCH($E$1,Database!$E$1:$AY$1,0),FALSE)</f>
        <v/>
      </c>
      <c r="F276" s="29">
        <f>VLOOKUP(A276,Database!$E:$AY,MATCH($F$1,Database!$E$1:$AY$1,0),FALSE)</f>
        <v/>
      </c>
      <c r="G276" s="29">
        <f>VLOOKUP(A276,Database!$E:$AY,MATCH($G$1,Database!$E$1:$AY$1,0),FALSE)</f>
        <v/>
      </c>
      <c r="H276" s="29">
        <f>(((Table134567891011121314151617343[[#This Row],[ITA]]-VLOOKUP($U$1,A:B,2,))/VLOOKUP($U$1,A:B,2,))*100)+100</f>
        <v/>
      </c>
      <c r="I276" s="29">
        <f>(((Table134567891011121314151617343[[#This Row],[FRA]]-VLOOKUP($U$1,A:C,3,))/VLOOKUP($U$1,A:C,3,))*100)+100</f>
        <v/>
      </c>
      <c r="J276" s="29">
        <f>(((Table134567891011121314151617343[[#This Row],[DEU]]-VLOOKUP($U$1,A:D,4,))/VLOOKUP($U$1,A:D,4,))*100)+100</f>
        <v/>
      </c>
      <c r="K276" s="29">
        <f>(((Table134567891011121314151617343[[#This Row],[ESP]]-VLOOKUP($U$1,A:E,5,))/VLOOKUP($U$1,A:E,5,))*100)+100</f>
        <v/>
      </c>
      <c r="L276" s="29">
        <f>(((Table134567891011121314151617343[[#This Row],[EA19]]-VLOOKUP($U$1,A:F,6,))/VLOOKUP($U$1,A:F,6,))*100)+100</f>
        <v/>
      </c>
      <c r="M276" s="29">
        <f>(((Table134567891011121314151617343[[#This Row],[GBR]]-VLOOKUP($U$1,A:G,7,))/VLOOKUP($U$1,A:G,7,))*100)+100</f>
        <v/>
      </c>
      <c r="N276" s="29">
        <f>VLOOKUP(A276,Database!$E:$AY,MATCH($N$1,Database!$E$1:$AY$1,0),FALSE)</f>
        <v/>
      </c>
      <c r="O276" s="29">
        <f>(((Table134567891011121314151617343[[#This Row],[USA]]-VLOOKUP($U$1,A:N,14,))/VLOOKUP($U$1,A:N,14,))*100)+100</f>
        <v/>
      </c>
      <c r="P276" s="29">
        <f>VLOOKUP(A276,Database!$E:$AY,MATCH($P$1,Database!$E$1:$AY$1,0),FALSE)</f>
        <v/>
      </c>
      <c r="Q276" s="29">
        <f>(((Table134567891011121314151617343[[#This Row],[JPN]]-VLOOKUP($U$1,A:Q,16,))/VLOOKUP($U$1,A:Q,16,))*100)+100</f>
        <v/>
      </c>
    </row>
    <row r="277" customFormat="1" s="129">
      <c r="A277" s="28" t="n">
        <v>41244</v>
      </c>
      <c r="B277" s="29">
        <f>VLOOKUP(A277,Database!$E:$AY,MATCH($B$1,Database!$E$1:$AY$1,0),FALSE)</f>
        <v/>
      </c>
      <c r="C277" s="29">
        <f>VLOOKUP(A277,Database!$E:$AY,MATCH($C$1,Database!$E$1:$AY$1,0),FALSE)</f>
        <v/>
      </c>
      <c r="D277" s="29">
        <f>VLOOKUP(A277,Database!$E:$AY,MATCH($D$1,Database!$E$1:$AY$1,0),FALSE)</f>
        <v/>
      </c>
      <c r="E277" s="29">
        <f>VLOOKUP(A277,Database!$E:$AY,MATCH($E$1,Database!$E$1:$AY$1,0),FALSE)</f>
        <v/>
      </c>
      <c r="F277" s="29">
        <f>VLOOKUP(A277,Database!$E:$AY,MATCH($F$1,Database!$E$1:$AY$1,0),FALSE)</f>
        <v/>
      </c>
      <c r="G277" s="29">
        <f>VLOOKUP(A277,Database!$E:$AY,MATCH($G$1,Database!$E$1:$AY$1,0),FALSE)</f>
        <v/>
      </c>
      <c r="H277" s="29">
        <f>(((Table134567891011121314151617343[[#This Row],[ITA]]-VLOOKUP($U$1,A:B,2,))/VLOOKUP($U$1,A:B,2,))*100)+100</f>
        <v/>
      </c>
      <c r="I277" s="29">
        <f>(((Table134567891011121314151617343[[#This Row],[FRA]]-VLOOKUP($U$1,A:C,3,))/VLOOKUP($U$1,A:C,3,))*100)+100</f>
        <v/>
      </c>
      <c r="J277" s="29">
        <f>(((Table134567891011121314151617343[[#This Row],[DEU]]-VLOOKUP($U$1,A:D,4,))/VLOOKUP($U$1,A:D,4,))*100)+100</f>
        <v/>
      </c>
      <c r="K277" s="29">
        <f>(((Table134567891011121314151617343[[#This Row],[ESP]]-VLOOKUP($U$1,A:E,5,))/VLOOKUP($U$1,A:E,5,))*100)+100</f>
        <v/>
      </c>
      <c r="L277" s="29">
        <f>(((Table134567891011121314151617343[[#This Row],[EA19]]-VLOOKUP($U$1,A:F,6,))/VLOOKUP($U$1,A:F,6,))*100)+100</f>
        <v/>
      </c>
      <c r="M277" s="29">
        <f>(((Table134567891011121314151617343[[#This Row],[GBR]]-VLOOKUP($U$1,A:G,7,))/VLOOKUP($U$1,A:G,7,))*100)+100</f>
        <v/>
      </c>
      <c r="N277" s="29">
        <f>VLOOKUP(A277,Database!$E:$AY,MATCH($N$1,Database!$E$1:$AY$1,0),FALSE)</f>
        <v/>
      </c>
      <c r="O277" s="29">
        <f>(((Table134567891011121314151617343[[#This Row],[USA]]-VLOOKUP($U$1,A:N,14,))/VLOOKUP($U$1,A:N,14,))*100)+100</f>
        <v/>
      </c>
      <c r="P277" s="29">
        <f>VLOOKUP(A277,Database!$E:$AY,MATCH($P$1,Database!$E$1:$AY$1,0),FALSE)</f>
        <v/>
      </c>
      <c r="Q277" s="29">
        <f>(((Table134567891011121314151617343[[#This Row],[JPN]]-VLOOKUP($U$1,A:Q,16,))/VLOOKUP($U$1,A:Q,16,))*100)+100</f>
        <v/>
      </c>
    </row>
    <row r="278" customFormat="1" s="129">
      <c r="A278" s="28" t="n">
        <v>41275</v>
      </c>
      <c r="B278" s="29">
        <f>VLOOKUP(A278,Database!$E:$AY,MATCH($B$1,Database!$E$1:$AY$1,0),FALSE)</f>
        <v/>
      </c>
      <c r="C278" s="29">
        <f>VLOOKUP(A278,Database!$E:$AY,MATCH($C$1,Database!$E$1:$AY$1,0),FALSE)</f>
        <v/>
      </c>
      <c r="D278" s="29">
        <f>VLOOKUP(A278,Database!$E:$AY,MATCH($D$1,Database!$E$1:$AY$1,0),FALSE)</f>
        <v/>
      </c>
      <c r="E278" s="29">
        <f>VLOOKUP(A278,Database!$E:$AY,MATCH($E$1,Database!$E$1:$AY$1,0),FALSE)</f>
        <v/>
      </c>
      <c r="F278" s="29">
        <f>VLOOKUP(A278,Database!$E:$AY,MATCH($F$1,Database!$E$1:$AY$1,0),FALSE)</f>
        <v/>
      </c>
      <c r="G278" s="29">
        <f>VLOOKUP(A278,Database!$E:$AY,MATCH($G$1,Database!$E$1:$AY$1,0),FALSE)</f>
        <v/>
      </c>
      <c r="H278" s="29">
        <f>(((Table134567891011121314151617343[[#This Row],[ITA]]-VLOOKUP($U$1,A:B,2,))/VLOOKUP($U$1,A:B,2,))*100)+100</f>
        <v/>
      </c>
      <c r="I278" s="29">
        <f>(((Table134567891011121314151617343[[#This Row],[FRA]]-VLOOKUP($U$1,A:C,3,))/VLOOKUP($U$1,A:C,3,))*100)+100</f>
        <v/>
      </c>
      <c r="J278" s="29">
        <f>(((Table134567891011121314151617343[[#This Row],[DEU]]-VLOOKUP($U$1,A:D,4,))/VLOOKUP($U$1,A:D,4,))*100)+100</f>
        <v/>
      </c>
      <c r="K278" s="29">
        <f>(((Table134567891011121314151617343[[#This Row],[ESP]]-VLOOKUP($U$1,A:E,5,))/VLOOKUP($U$1,A:E,5,))*100)+100</f>
        <v/>
      </c>
      <c r="L278" s="29">
        <f>(((Table134567891011121314151617343[[#This Row],[EA19]]-VLOOKUP($U$1,A:F,6,))/VLOOKUP($U$1,A:F,6,))*100)+100</f>
        <v/>
      </c>
      <c r="M278" s="29">
        <f>(((Table134567891011121314151617343[[#This Row],[GBR]]-VLOOKUP($U$1,A:G,7,))/VLOOKUP($U$1,A:G,7,))*100)+100</f>
        <v/>
      </c>
      <c r="N278" s="29">
        <f>VLOOKUP(A278,Database!$E:$AY,MATCH($N$1,Database!$E$1:$AY$1,0),FALSE)</f>
        <v/>
      </c>
      <c r="O278" s="29">
        <f>(((Table134567891011121314151617343[[#This Row],[USA]]-VLOOKUP($U$1,A:N,14,))/VLOOKUP($U$1,A:N,14,))*100)+100</f>
        <v/>
      </c>
      <c r="P278" s="29">
        <f>VLOOKUP(A278,Database!$E:$AY,MATCH($P$1,Database!$E$1:$AY$1,0),FALSE)</f>
        <v/>
      </c>
      <c r="Q278" s="29">
        <f>(((Table134567891011121314151617343[[#This Row],[JPN]]-VLOOKUP($U$1,A:Q,16,))/VLOOKUP($U$1,A:Q,16,))*100)+100</f>
        <v/>
      </c>
    </row>
    <row r="279" customFormat="1" s="129">
      <c r="A279" s="28" t="n">
        <v>41306</v>
      </c>
      <c r="B279" s="29">
        <f>VLOOKUP(A279,Database!$E:$AY,MATCH($B$1,Database!$E$1:$AY$1,0),FALSE)</f>
        <v/>
      </c>
      <c r="C279" s="29">
        <f>VLOOKUP(A279,Database!$E:$AY,MATCH($C$1,Database!$E$1:$AY$1,0),FALSE)</f>
        <v/>
      </c>
      <c r="D279" s="29">
        <f>VLOOKUP(A279,Database!$E:$AY,MATCH($D$1,Database!$E$1:$AY$1,0),FALSE)</f>
        <v/>
      </c>
      <c r="E279" s="29">
        <f>VLOOKUP(A279,Database!$E:$AY,MATCH($E$1,Database!$E$1:$AY$1,0),FALSE)</f>
        <v/>
      </c>
      <c r="F279" s="29">
        <f>VLOOKUP(A279,Database!$E:$AY,MATCH($F$1,Database!$E$1:$AY$1,0),FALSE)</f>
        <v/>
      </c>
      <c r="G279" s="29">
        <f>VLOOKUP(A279,Database!$E:$AY,MATCH($G$1,Database!$E$1:$AY$1,0),FALSE)</f>
        <v/>
      </c>
      <c r="H279" s="29">
        <f>(((Table134567891011121314151617343[[#This Row],[ITA]]-VLOOKUP($U$1,A:B,2,))/VLOOKUP($U$1,A:B,2,))*100)+100</f>
        <v/>
      </c>
      <c r="I279" s="29">
        <f>(((Table134567891011121314151617343[[#This Row],[FRA]]-VLOOKUP($U$1,A:C,3,))/VLOOKUP($U$1,A:C,3,))*100)+100</f>
        <v/>
      </c>
      <c r="J279" s="29">
        <f>(((Table134567891011121314151617343[[#This Row],[DEU]]-VLOOKUP($U$1,A:D,4,))/VLOOKUP($U$1,A:D,4,))*100)+100</f>
        <v/>
      </c>
      <c r="K279" s="29">
        <f>(((Table134567891011121314151617343[[#This Row],[ESP]]-VLOOKUP($U$1,A:E,5,))/VLOOKUP($U$1,A:E,5,))*100)+100</f>
        <v/>
      </c>
      <c r="L279" s="29">
        <f>(((Table134567891011121314151617343[[#This Row],[EA19]]-VLOOKUP($U$1,A:F,6,))/VLOOKUP($U$1,A:F,6,))*100)+100</f>
        <v/>
      </c>
      <c r="M279" s="29">
        <f>(((Table134567891011121314151617343[[#This Row],[GBR]]-VLOOKUP($U$1,A:G,7,))/VLOOKUP($U$1,A:G,7,))*100)+100</f>
        <v/>
      </c>
      <c r="N279" s="29">
        <f>VLOOKUP(A279,Database!$E:$AY,MATCH($N$1,Database!$E$1:$AY$1,0),FALSE)</f>
        <v/>
      </c>
      <c r="O279" s="29">
        <f>(((Table134567891011121314151617343[[#This Row],[USA]]-VLOOKUP($U$1,A:N,14,))/VLOOKUP($U$1,A:N,14,))*100)+100</f>
        <v/>
      </c>
      <c r="P279" s="29">
        <f>VLOOKUP(A279,Database!$E:$AY,MATCH($P$1,Database!$E$1:$AY$1,0),FALSE)</f>
        <v/>
      </c>
      <c r="Q279" s="29">
        <f>(((Table134567891011121314151617343[[#This Row],[JPN]]-VLOOKUP($U$1,A:Q,16,))/VLOOKUP($U$1,A:Q,16,))*100)+100</f>
        <v/>
      </c>
    </row>
    <row r="280" customFormat="1" s="129">
      <c r="A280" s="28" t="n">
        <v>41334</v>
      </c>
      <c r="B280" s="29">
        <f>VLOOKUP(A280,Database!$E:$AY,MATCH($B$1,Database!$E$1:$AY$1,0),FALSE)</f>
        <v/>
      </c>
      <c r="C280" s="29">
        <f>VLOOKUP(A280,Database!$E:$AY,MATCH($C$1,Database!$E$1:$AY$1,0),FALSE)</f>
        <v/>
      </c>
      <c r="D280" s="29">
        <f>VLOOKUP(A280,Database!$E:$AY,MATCH($D$1,Database!$E$1:$AY$1,0),FALSE)</f>
        <v/>
      </c>
      <c r="E280" s="29">
        <f>VLOOKUP(A280,Database!$E:$AY,MATCH($E$1,Database!$E$1:$AY$1,0),FALSE)</f>
        <v/>
      </c>
      <c r="F280" s="29">
        <f>VLOOKUP(A280,Database!$E:$AY,MATCH($F$1,Database!$E$1:$AY$1,0),FALSE)</f>
        <v/>
      </c>
      <c r="G280" s="29">
        <f>VLOOKUP(A280,Database!$E:$AY,MATCH($G$1,Database!$E$1:$AY$1,0),FALSE)</f>
        <v/>
      </c>
      <c r="H280" s="29">
        <f>(((Table134567891011121314151617343[[#This Row],[ITA]]-VLOOKUP($U$1,A:B,2,))/VLOOKUP($U$1,A:B,2,))*100)+100</f>
        <v/>
      </c>
      <c r="I280" s="29">
        <f>(((Table134567891011121314151617343[[#This Row],[FRA]]-VLOOKUP($U$1,A:C,3,))/VLOOKUP($U$1,A:C,3,))*100)+100</f>
        <v/>
      </c>
      <c r="J280" s="29">
        <f>(((Table134567891011121314151617343[[#This Row],[DEU]]-VLOOKUP($U$1,A:D,4,))/VLOOKUP($U$1,A:D,4,))*100)+100</f>
        <v/>
      </c>
      <c r="K280" s="29">
        <f>(((Table134567891011121314151617343[[#This Row],[ESP]]-VLOOKUP($U$1,A:E,5,))/VLOOKUP($U$1,A:E,5,))*100)+100</f>
        <v/>
      </c>
      <c r="L280" s="29">
        <f>(((Table134567891011121314151617343[[#This Row],[EA19]]-VLOOKUP($U$1,A:F,6,))/VLOOKUP($U$1,A:F,6,))*100)+100</f>
        <v/>
      </c>
      <c r="M280" s="29">
        <f>(((Table134567891011121314151617343[[#This Row],[GBR]]-VLOOKUP($U$1,A:G,7,))/VLOOKUP($U$1,A:G,7,))*100)+100</f>
        <v/>
      </c>
      <c r="N280" s="29">
        <f>VLOOKUP(A280,Database!$E:$AY,MATCH($N$1,Database!$E$1:$AY$1,0),FALSE)</f>
        <v/>
      </c>
      <c r="O280" s="29">
        <f>(((Table134567891011121314151617343[[#This Row],[USA]]-VLOOKUP($U$1,A:N,14,))/VLOOKUP($U$1,A:N,14,))*100)+100</f>
        <v/>
      </c>
      <c r="P280" s="29">
        <f>VLOOKUP(A280,Database!$E:$AY,MATCH($P$1,Database!$E$1:$AY$1,0),FALSE)</f>
        <v/>
      </c>
      <c r="Q280" s="29">
        <f>(((Table134567891011121314151617343[[#This Row],[JPN]]-VLOOKUP($U$1,A:Q,16,))/VLOOKUP($U$1,A:Q,16,))*100)+100</f>
        <v/>
      </c>
    </row>
    <row r="281" customFormat="1" s="129">
      <c r="A281" s="28" t="n">
        <v>41365</v>
      </c>
      <c r="B281" s="29">
        <f>VLOOKUP(A281,Database!$E:$AY,MATCH($B$1,Database!$E$1:$AY$1,0),FALSE)</f>
        <v/>
      </c>
      <c r="C281" s="29">
        <f>VLOOKUP(A281,Database!$E:$AY,MATCH($C$1,Database!$E$1:$AY$1,0),FALSE)</f>
        <v/>
      </c>
      <c r="D281" s="29">
        <f>VLOOKUP(A281,Database!$E:$AY,MATCH($D$1,Database!$E$1:$AY$1,0),FALSE)</f>
        <v/>
      </c>
      <c r="E281" s="29">
        <f>VLOOKUP(A281,Database!$E:$AY,MATCH($E$1,Database!$E$1:$AY$1,0),FALSE)</f>
        <v/>
      </c>
      <c r="F281" s="29">
        <f>VLOOKUP(A281,Database!$E:$AY,MATCH($F$1,Database!$E$1:$AY$1,0),FALSE)</f>
        <v/>
      </c>
      <c r="G281" s="29">
        <f>VLOOKUP(A281,Database!$E:$AY,MATCH($G$1,Database!$E$1:$AY$1,0),FALSE)</f>
        <v/>
      </c>
      <c r="H281" s="29">
        <f>(((Table134567891011121314151617343[[#This Row],[ITA]]-VLOOKUP($U$1,A:B,2,))/VLOOKUP($U$1,A:B,2,))*100)+100</f>
        <v/>
      </c>
      <c r="I281" s="29">
        <f>(((Table134567891011121314151617343[[#This Row],[FRA]]-VLOOKUP($U$1,A:C,3,))/VLOOKUP($U$1,A:C,3,))*100)+100</f>
        <v/>
      </c>
      <c r="J281" s="29">
        <f>(((Table134567891011121314151617343[[#This Row],[DEU]]-VLOOKUP($U$1,A:D,4,))/VLOOKUP($U$1,A:D,4,))*100)+100</f>
        <v/>
      </c>
      <c r="K281" s="29">
        <f>(((Table134567891011121314151617343[[#This Row],[ESP]]-VLOOKUP($U$1,A:E,5,))/VLOOKUP($U$1,A:E,5,))*100)+100</f>
        <v/>
      </c>
      <c r="L281" s="29">
        <f>(((Table134567891011121314151617343[[#This Row],[EA19]]-VLOOKUP($U$1,A:F,6,))/VLOOKUP($U$1,A:F,6,))*100)+100</f>
        <v/>
      </c>
      <c r="M281" s="29">
        <f>(((Table134567891011121314151617343[[#This Row],[GBR]]-VLOOKUP($U$1,A:G,7,))/VLOOKUP($U$1,A:G,7,))*100)+100</f>
        <v/>
      </c>
      <c r="N281" s="29">
        <f>VLOOKUP(A281,Database!$E:$AY,MATCH($N$1,Database!$E$1:$AY$1,0),FALSE)</f>
        <v/>
      </c>
      <c r="O281" s="29">
        <f>(((Table134567891011121314151617343[[#This Row],[USA]]-VLOOKUP($U$1,A:N,14,))/VLOOKUP($U$1,A:N,14,))*100)+100</f>
        <v/>
      </c>
      <c r="P281" s="29">
        <f>VLOOKUP(A281,Database!$E:$AY,MATCH($P$1,Database!$E$1:$AY$1,0),FALSE)</f>
        <v/>
      </c>
      <c r="Q281" s="29">
        <f>(((Table134567891011121314151617343[[#This Row],[JPN]]-VLOOKUP($U$1,A:Q,16,))/VLOOKUP($U$1,A:Q,16,))*100)+100</f>
        <v/>
      </c>
    </row>
    <row r="282" customFormat="1" s="129">
      <c r="A282" s="28" t="n">
        <v>41395</v>
      </c>
      <c r="B282" s="29">
        <f>VLOOKUP(A282,Database!$E:$AY,MATCH($B$1,Database!$E$1:$AY$1,0),FALSE)</f>
        <v/>
      </c>
      <c r="C282" s="29">
        <f>VLOOKUP(A282,Database!$E:$AY,MATCH($C$1,Database!$E$1:$AY$1,0),FALSE)</f>
        <v/>
      </c>
      <c r="D282" s="29">
        <f>VLOOKUP(A282,Database!$E:$AY,MATCH($D$1,Database!$E$1:$AY$1,0),FALSE)</f>
        <v/>
      </c>
      <c r="E282" s="29">
        <f>VLOOKUP(A282,Database!$E:$AY,MATCH($E$1,Database!$E$1:$AY$1,0),FALSE)</f>
        <v/>
      </c>
      <c r="F282" s="29">
        <f>VLOOKUP(A282,Database!$E:$AY,MATCH($F$1,Database!$E$1:$AY$1,0),FALSE)</f>
        <v/>
      </c>
      <c r="G282" s="29">
        <f>VLOOKUP(A282,Database!$E:$AY,MATCH($G$1,Database!$E$1:$AY$1,0),FALSE)</f>
        <v/>
      </c>
      <c r="H282" s="29">
        <f>(((Table134567891011121314151617343[[#This Row],[ITA]]-VLOOKUP($U$1,A:B,2,))/VLOOKUP($U$1,A:B,2,))*100)+100</f>
        <v/>
      </c>
      <c r="I282" s="29">
        <f>(((Table134567891011121314151617343[[#This Row],[FRA]]-VLOOKUP($U$1,A:C,3,))/VLOOKUP($U$1,A:C,3,))*100)+100</f>
        <v/>
      </c>
      <c r="J282" s="29">
        <f>(((Table134567891011121314151617343[[#This Row],[DEU]]-VLOOKUP($U$1,A:D,4,))/VLOOKUP($U$1,A:D,4,))*100)+100</f>
        <v/>
      </c>
      <c r="K282" s="29">
        <f>(((Table134567891011121314151617343[[#This Row],[ESP]]-VLOOKUP($U$1,A:E,5,))/VLOOKUP($U$1,A:E,5,))*100)+100</f>
        <v/>
      </c>
      <c r="L282" s="29">
        <f>(((Table134567891011121314151617343[[#This Row],[EA19]]-VLOOKUP($U$1,A:F,6,))/VLOOKUP($U$1,A:F,6,))*100)+100</f>
        <v/>
      </c>
      <c r="M282" s="29">
        <f>(((Table134567891011121314151617343[[#This Row],[GBR]]-VLOOKUP($U$1,A:G,7,))/VLOOKUP($U$1,A:G,7,))*100)+100</f>
        <v/>
      </c>
      <c r="N282" s="29">
        <f>VLOOKUP(A282,Database!$E:$AY,MATCH($N$1,Database!$E$1:$AY$1,0),FALSE)</f>
        <v/>
      </c>
      <c r="O282" s="29">
        <f>(((Table134567891011121314151617343[[#This Row],[USA]]-VLOOKUP($U$1,A:N,14,))/VLOOKUP($U$1,A:N,14,))*100)+100</f>
        <v/>
      </c>
      <c r="P282" s="29">
        <f>VLOOKUP(A282,Database!$E:$AY,MATCH($P$1,Database!$E$1:$AY$1,0),FALSE)</f>
        <v/>
      </c>
      <c r="Q282" s="29">
        <f>(((Table134567891011121314151617343[[#This Row],[JPN]]-VLOOKUP($U$1,A:Q,16,))/VLOOKUP($U$1,A:Q,16,))*100)+100</f>
        <v/>
      </c>
    </row>
    <row r="283" customFormat="1" s="129">
      <c r="A283" s="28" t="n">
        <v>41426</v>
      </c>
      <c r="B283" s="29">
        <f>VLOOKUP(A283,Database!$E:$AY,MATCH($B$1,Database!$E$1:$AY$1,0),FALSE)</f>
        <v/>
      </c>
      <c r="C283" s="29">
        <f>VLOOKUP(A283,Database!$E:$AY,MATCH($C$1,Database!$E$1:$AY$1,0),FALSE)</f>
        <v/>
      </c>
      <c r="D283" s="29">
        <f>VLOOKUP(A283,Database!$E:$AY,MATCH($D$1,Database!$E$1:$AY$1,0),FALSE)</f>
        <v/>
      </c>
      <c r="E283" s="29">
        <f>VLOOKUP(A283,Database!$E:$AY,MATCH($E$1,Database!$E$1:$AY$1,0),FALSE)</f>
        <v/>
      </c>
      <c r="F283" s="29">
        <f>VLOOKUP(A283,Database!$E:$AY,MATCH($F$1,Database!$E$1:$AY$1,0),FALSE)</f>
        <v/>
      </c>
      <c r="G283" s="29">
        <f>VLOOKUP(A283,Database!$E:$AY,MATCH($G$1,Database!$E$1:$AY$1,0),FALSE)</f>
        <v/>
      </c>
      <c r="H283" s="29">
        <f>(((Table134567891011121314151617343[[#This Row],[ITA]]-VLOOKUP($U$1,A:B,2,))/VLOOKUP($U$1,A:B,2,))*100)+100</f>
        <v/>
      </c>
      <c r="I283" s="29">
        <f>(((Table134567891011121314151617343[[#This Row],[FRA]]-VLOOKUP($U$1,A:C,3,))/VLOOKUP($U$1,A:C,3,))*100)+100</f>
        <v/>
      </c>
      <c r="J283" s="29">
        <f>(((Table134567891011121314151617343[[#This Row],[DEU]]-VLOOKUP($U$1,A:D,4,))/VLOOKUP($U$1,A:D,4,))*100)+100</f>
        <v/>
      </c>
      <c r="K283" s="29">
        <f>(((Table134567891011121314151617343[[#This Row],[ESP]]-VLOOKUP($U$1,A:E,5,))/VLOOKUP($U$1,A:E,5,))*100)+100</f>
        <v/>
      </c>
      <c r="L283" s="29">
        <f>(((Table134567891011121314151617343[[#This Row],[EA19]]-VLOOKUP($U$1,A:F,6,))/VLOOKUP($U$1,A:F,6,))*100)+100</f>
        <v/>
      </c>
      <c r="M283" s="29">
        <f>(((Table134567891011121314151617343[[#This Row],[GBR]]-VLOOKUP($U$1,A:G,7,))/VLOOKUP($U$1,A:G,7,))*100)+100</f>
        <v/>
      </c>
      <c r="N283" s="29">
        <f>VLOOKUP(A283,Database!$E:$AY,MATCH($N$1,Database!$E$1:$AY$1,0),FALSE)</f>
        <v/>
      </c>
      <c r="O283" s="29">
        <f>(((Table134567891011121314151617343[[#This Row],[USA]]-VLOOKUP($U$1,A:N,14,))/VLOOKUP($U$1,A:N,14,))*100)+100</f>
        <v/>
      </c>
      <c r="P283" s="29">
        <f>VLOOKUP(A283,Database!$E:$AY,MATCH($P$1,Database!$E$1:$AY$1,0),FALSE)</f>
        <v/>
      </c>
      <c r="Q283" s="29">
        <f>(((Table134567891011121314151617343[[#This Row],[JPN]]-VLOOKUP($U$1,A:Q,16,))/VLOOKUP($U$1,A:Q,16,))*100)+100</f>
        <v/>
      </c>
    </row>
    <row r="284" customFormat="1" s="129">
      <c r="A284" s="28" t="n">
        <v>41456</v>
      </c>
      <c r="B284" s="29">
        <f>VLOOKUP(A284,Database!$E:$AY,MATCH($B$1,Database!$E$1:$AY$1,0),FALSE)</f>
        <v/>
      </c>
      <c r="C284" s="29">
        <f>VLOOKUP(A284,Database!$E:$AY,MATCH($C$1,Database!$E$1:$AY$1,0),FALSE)</f>
        <v/>
      </c>
      <c r="D284" s="29">
        <f>VLOOKUP(A284,Database!$E:$AY,MATCH($D$1,Database!$E$1:$AY$1,0),FALSE)</f>
        <v/>
      </c>
      <c r="E284" s="29">
        <f>VLOOKUP(A284,Database!$E:$AY,MATCH($E$1,Database!$E$1:$AY$1,0),FALSE)</f>
        <v/>
      </c>
      <c r="F284" s="29">
        <f>VLOOKUP(A284,Database!$E:$AY,MATCH($F$1,Database!$E$1:$AY$1,0),FALSE)</f>
        <v/>
      </c>
      <c r="G284" s="29">
        <f>VLOOKUP(A284,Database!$E:$AY,MATCH($G$1,Database!$E$1:$AY$1,0),FALSE)</f>
        <v/>
      </c>
      <c r="H284" s="29">
        <f>(((Table134567891011121314151617343[[#This Row],[ITA]]-VLOOKUP($U$1,A:B,2,))/VLOOKUP($U$1,A:B,2,))*100)+100</f>
        <v/>
      </c>
      <c r="I284" s="29">
        <f>(((Table134567891011121314151617343[[#This Row],[FRA]]-VLOOKUP($U$1,A:C,3,))/VLOOKUP($U$1,A:C,3,))*100)+100</f>
        <v/>
      </c>
      <c r="J284" s="29">
        <f>(((Table134567891011121314151617343[[#This Row],[DEU]]-VLOOKUP($U$1,A:D,4,))/VLOOKUP($U$1,A:D,4,))*100)+100</f>
        <v/>
      </c>
      <c r="K284" s="29">
        <f>(((Table134567891011121314151617343[[#This Row],[ESP]]-VLOOKUP($U$1,A:E,5,))/VLOOKUP($U$1,A:E,5,))*100)+100</f>
        <v/>
      </c>
      <c r="L284" s="29">
        <f>(((Table134567891011121314151617343[[#This Row],[EA19]]-VLOOKUP($U$1,A:F,6,))/VLOOKUP($U$1,A:F,6,))*100)+100</f>
        <v/>
      </c>
      <c r="M284" s="29">
        <f>(((Table134567891011121314151617343[[#This Row],[GBR]]-VLOOKUP($U$1,A:G,7,))/VLOOKUP($U$1,A:G,7,))*100)+100</f>
        <v/>
      </c>
      <c r="N284" s="29">
        <f>VLOOKUP(A284,Database!$E:$AY,MATCH($N$1,Database!$E$1:$AY$1,0),FALSE)</f>
        <v/>
      </c>
      <c r="O284" s="29">
        <f>(((Table134567891011121314151617343[[#This Row],[USA]]-VLOOKUP($U$1,A:N,14,))/VLOOKUP($U$1,A:N,14,))*100)+100</f>
        <v/>
      </c>
      <c r="P284" s="29">
        <f>VLOOKUP(A284,Database!$E:$AY,MATCH($P$1,Database!$E$1:$AY$1,0),FALSE)</f>
        <v/>
      </c>
      <c r="Q284" s="29">
        <f>(((Table134567891011121314151617343[[#This Row],[JPN]]-VLOOKUP($U$1,A:Q,16,))/VLOOKUP($U$1,A:Q,16,))*100)+100</f>
        <v/>
      </c>
    </row>
    <row r="285" customFormat="1" s="129">
      <c r="A285" s="28" t="n">
        <v>41487</v>
      </c>
      <c r="B285" s="29">
        <f>VLOOKUP(A285,Database!$E:$AY,MATCH($B$1,Database!$E$1:$AY$1,0),FALSE)</f>
        <v/>
      </c>
      <c r="C285" s="29">
        <f>VLOOKUP(A285,Database!$E:$AY,MATCH($C$1,Database!$E$1:$AY$1,0),FALSE)</f>
        <v/>
      </c>
      <c r="D285" s="29">
        <f>VLOOKUP(A285,Database!$E:$AY,MATCH($D$1,Database!$E$1:$AY$1,0),FALSE)</f>
        <v/>
      </c>
      <c r="E285" s="29">
        <f>VLOOKUP(A285,Database!$E:$AY,MATCH($E$1,Database!$E$1:$AY$1,0),FALSE)</f>
        <v/>
      </c>
      <c r="F285" s="29">
        <f>VLOOKUP(A285,Database!$E:$AY,MATCH($F$1,Database!$E$1:$AY$1,0),FALSE)</f>
        <v/>
      </c>
      <c r="G285" s="29">
        <f>VLOOKUP(A285,Database!$E:$AY,MATCH($G$1,Database!$E$1:$AY$1,0),FALSE)</f>
        <v/>
      </c>
      <c r="H285" s="29">
        <f>(((Table134567891011121314151617343[[#This Row],[ITA]]-VLOOKUP($U$1,A:B,2,))/VLOOKUP($U$1,A:B,2,))*100)+100</f>
        <v/>
      </c>
      <c r="I285" s="29">
        <f>(((Table134567891011121314151617343[[#This Row],[FRA]]-VLOOKUP($U$1,A:C,3,))/VLOOKUP($U$1,A:C,3,))*100)+100</f>
        <v/>
      </c>
      <c r="J285" s="29">
        <f>(((Table134567891011121314151617343[[#This Row],[DEU]]-VLOOKUP($U$1,A:D,4,))/VLOOKUP($U$1,A:D,4,))*100)+100</f>
        <v/>
      </c>
      <c r="K285" s="29">
        <f>(((Table134567891011121314151617343[[#This Row],[ESP]]-VLOOKUP($U$1,A:E,5,))/VLOOKUP($U$1,A:E,5,))*100)+100</f>
        <v/>
      </c>
      <c r="L285" s="29">
        <f>(((Table134567891011121314151617343[[#This Row],[EA19]]-VLOOKUP($U$1,A:F,6,))/VLOOKUP($U$1,A:F,6,))*100)+100</f>
        <v/>
      </c>
      <c r="M285" s="29">
        <f>(((Table134567891011121314151617343[[#This Row],[GBR]]-VLOOKUP($U$1,A:G,7,))/VLOOKUP($U$1,A:G,7,))*100)+100</f>
        <v/>
      </c>
      <c r="N285" s="29">
        <f>VLOOKUP(A285,Database!$E:$AY,MATCH($N$1,Database!$E$1:$AY$1,0),FALSE)</f>
        <v/>
      </c>
      <c r="O285" s="29">
        <f>(((Table134567891011121314151617343[[#This Row],[USA]]-VLOOKUP($U$1,A:N,14,))/VLOOKUP($U$1,A:N,14,))*100)+100</f>
        <v/>
      </c>
      <c r="P285" s="29">
        <f>VLOOKUP(A285,Database!$E:$AY,MATCH($P$1,Database!$E$1:$AY$1,0),FALSE)</f>
        <v/>
      </c>
      <c r="Q285" s="29">
        <f>(((Table134567891011121314151617343[[#This Row],[JPN]]-VLOOKUP($U$1,A:Q,16,))/VLOOKUP($U$1,A:Q,16,))*100)+100</f>
        <v/>
      </c>
    </row>
    <row r="286" customFormat="1" s="129">
      <c r="A286" s="28" t="n">
        <v>41518</v>
      </c>
      <c r="B286" s="29">
        <f>VLOOKUP(A286,Database!$E:$AY,MATCH($B$1,Database!$E$1:$AY$1,0),FALSE)</f>
        <v/>
      </c>
      <c r="C286" s="29">
        <f>VLOOKUP(A286,Database!$E:$AY,MATCH($C$1,Database!$E$1:$AY$1,0),FALSE)</f>
        <v/>
      </c>
      <c r="D286" s="29">
        <f>VLOOKUP(A286,Database!$E:$AY,MATCH($D$1,Database!$E$1:$AY$1,0),FALSE)</f>
        <v/>
      </c>
      <c r="E286" s="29">
        <f>VLOOKUP(A286,Database!$E:$AY,MATCH($E$1,Database!$E$1:$AY$1,0),FALSE)</f>
        <v/>
      </c>
      <c r="F286" s="29">
        <f>VLOOKUP(A286,Database!$E:$AY,MATCH($F$1,Database!$E$1:$AY$1,0),FALSE)</f>
        <v/>
      </c>
      <c r="G286" s="29">
        <f>VLOOKUP(A286,Database!$E:$AY,MATCH($G$1,Database!$E$1:$AY$1,0),FALSE)</f>
        <v/>
      </c>
      <c r="H286" s="29">
        <f>(((Table134567891011121314151617343[[#This Row],[ITA]]-VLOOKUP($U$1,A:B,2,))/VLOOKUP($U$1,A:B,2,))*100)+100</f>
        <v/>
      </c>
      <c r="I286" s="29">
        <f>(((Table134567891011121314151617343[[#This Row],[FRA]]-VLOOKUP($U$1,A:C,3,))/VLOOKUP($U$1,A:C,3,))*100)+100</f>
        <v/>
      </c>
      <c r="J286" s="29">
        <f>(((Table134567891011121314151617343[[#This Row],[DEU]]-VLOOKUP($U$1,A:D,4,))/VLOOKUP($U$1,A:D,4,))*100)+100</f>
        <v/>
      </c>
      <c r="K286" s="29">
        <f>(((Table134567891011121314151617343[[#This Row],[ESP]]-VLOOKUP($U$1,A:E,5,))/VLOOKUP($U$1,A:E,5,))*100)+100</f>
        <v/>
      </c>
      <c r="L286" s="29">
        <f>(((Table134567891011121314151617343[[#This Row],[EA19]]-VLOOKUP($U$1,A:F,6,))/VLOOKUP($U$1,A:F,6,))*100)+100</f>
        <v/>
      </c>
      <c r="M286" s="29">
        <f>(((Table134567891011121314151617343[[#This Row],[GBR]]-VLOOKUP($U$1,A:G,7,))/VLOOKUP($U$1,A:G,7,))*100)+100</f>
        <v/>
      </c>
      <c r="N286" s="29">
        <f>VLOOKUP(A286,Database!$E:$AY,MATCH($N$1,Database!$E$1:$AY$1,0),FALSE)</f>
        <v/>
      </c>
      <c r="O286" s="29">
        <f>(((Table134567891011121314151617343[[#This Row],[USA]]-VLOOKUP($U$1,A:N,14,))/VLOOKUP($U$1,A:N,14,))*100)+100</f>
        <v/>
      </c>
      <c r="P286" s="29">
        <f>VLOOKUP(A286,Database!$E:$AY,MATCH($P$1,Database!$E$1:$AY$1,0),FALSE)</f>
        <v/>
      </c>
      <c r="Q286" s="29">
        <f>(((Table134567891011121314151617343[[#This Row],[JPN]]-VLOOKUP($U$1,A:Q,16,))/VLOOKUP($U$1,A:Q,16,))*100)+100</f>
        <v/>
      </c>
    </row>
    <row r="287" customFormat="1" s="129">
      <c r="A287" s="28" t="n">
        <v>41548</v>
      </c>
      <c r="B287" s="29">
        <f>VLOOKUP(A287,Database!$E:$AY,MATCH($B$1,Database!$E$1:$AY$1,0),FALSE)</f>
        <v/>
      </c>
      <c r="C287" s="29">
        <f>VLOOKUP(A287,Database!$E:$AY,MATCH($C$1,Database!$E$1:$AY$1,0),FALSE)</f>
        <v/>
      </c>
      <c r="D287" s="29">
        <f>VLOOKUP(A287,Database!$E:$AY,MATCH($D$1,Database!$E$1:$AY$1,0),FALSE)</f>
        <v/>
      </c>
      <c r="E287" s="29">
        <f>VLOOKUP(A287,Database!$E:$AY,MATCH($E$1,Database!$E$1:$AY$1,0),FALSE)</f>
        <v/>
      </c>
      <c r="F287" s="29">
        <f>VLOOKUP(A287,Database!$E:$AY,MATCH($F$1,Database!$E$1:$AY$1,0),FALSE)</f>
        <v/>
      </c>
      <c r="G287" s="29">
        <f>VLOOKUP(A287,Database!$E:$AY,MATCH($G$1,Database!$E$1:$AY$1,0),FALSE)</f>
        <v/>
      </c>
      <c r="H287" s="29">
        <f>(((Table134567891011121314151617343[[#This Row],[ITA]]-VLOOKUP($U$1,A:B,2,))/VLOOKUP($U$1,A:B,2,))*100)+100</f>
        <v/>
      </c>
      <c r="I287" s="29">
        <f>(((Table134567891011121314151617343[[#This Row],[FRA]]-VLOOKUP($U$1,A:C,3,))/VLOOKUP($U$1,A:C,3,))*100)+100</f>
        <v/>
      </c>
      <c r="J287" s="29">
        <f>(((Table134567891011121314151617343[[#This Row],[DEU]]-VLOOKUP($U$1,A:D,4,))/VLOOKUP($U$1,A:D,4,))*100)+100</f>
        <v/>
      </c>
      <c r="K287" s="29">
        <f>(((Table134567891011121314151617343[[#This Row],[ESP]]-VLOOKUP($U$1,A:E,5,))/VLOOKUP($U$1,A:E,5,))*100)+100</f>
        <v/>
      </c>
      <c r="L287" s="29">
        <f>(((Table134567891011121314151617343[[#This Row],[EA19]]-VLOOKUP($U$1,A:F,6,))/VLOOKUP($U$1,A:F,6,))*100)+100</f>
        <v/>
      </c>
      <c r="M287" s="29">
        <f>(((Table134567891011121314151617343[[#This Row],[GBR]]-VLOOKUP($U$1,A:G,7,))/VLOOKUP($U$1,A:G,7,))*100)+100</f>
        <v/>
      </c>
      <c r="N287" s="29">
        <f>VLOOKUP(A287,Database!$E:$AY,MATCH($N$1,Database!$E$1:$AY$1,0),FALSE)</f>
        <v/>
      </c>
      <c r="O287" s="29">
        <f>(((Table134567891011121314151617343[[#This Row],[USA]]-VLOOKUP($U$1,A:N,14,))/VLOOKUP($U$1,A:N,14,))*100)+100</f>
        <v/>
      </c>
      <c r="P287" s="29">
        <f>VLOOKUP(A287,Database!$E:$AY,MATCH($P$1,Database!$E$1:$AY$1,0),FALSE)</f>
        <v/>
      </c>
      <c r="Q287" s="29">
        <f>(((Table134567891011121314151617343[[#This Row],[JPN]]-VLOOKUP($U$1,A:Q,16,))/VLOOKUP($U$1,A:Q,16,))*100)+100</f>
        <v/>
      </c>
    </row>
    <row r="288" customFormat="1" s="129">
      <c r="A288" s="28" t="n">
        <v>41579</v>
      </c>
      <c r="B288" s="29">
        <f>VLOOKUP(A288,Database!$E:$AY,MATCH($B$1,Database!$E$1:$AY$1,0),FALSE)</f>
        <v/>
      </c>
      <c r="C288" s="29">
        <f>VLOOKUP(A288,Database!$E:$AY,MATCH($C$1,Database!$E$1:$AY$1,0),FALSE)</f>
        <v/>
      </c>
      <c r="D288" s="29">
        <f>VLOOKUP(A288,Database!$E:$AY,MATCH($D$1,Database!$E$1:$AY$1,0),FALSE)</f>
        <v/>
      </c>
      <c r="E288" s="29">
        <f>VLOOKUP(A288,Database!$E:$AY,MATCH($E$1,Database!$E$1:$AY$1,0),FALSE)</f>
        <v/>
      </c>
      <c r="F288" s="29">
        <f>VLOOKUP(A288,Database!$E:$AY,MATCH($F$1,Database!$E$1:$AY$1,0),FALSE)</f>
        <v/>
      </c>
      <c r="G288" s="29">
        <f>VLOOKUP(A288,Database!$E:$AY,MATCH($G$1,Database!$E$1:$AY$1,0),FALSE)</f>
        <v/>
      </c>
      <c r="H288" s="29">
        <f>(((Table134567891011121314151617343[[#This Row],[ITA]]-VLOOKUP($U$1,A:B,2,))/VLOOKUP($U$1,A:B,2,))*100)+100</f>
        <v/>
      </c>
      <c r="I288" s="29">
        <f>(((Table134567891011121314151617343[[#This Row],[FRA]]-VLOOKUP($U$1,A:C,3,))/VLOOKUP($U$1,A:C,3,))*100)+100</f>
        <v/>
      </c>
      <c r="J288" s="29">
        <f>(((Table134567891011121314151617343[[#This Row],[DEU]]-VLOOKUP($U$1,A:D,4,))/VLOOKUP($U$1,A:D,4,))*100)+100</f>
        <v/>
      </c>
      <c r="K288" s="29">
        <f>(((Table134567891011121314151617343[[#This Row],[ESP]]-VLOOKUP($U$1,A:E,5,))/VLOOKUP($U$1,A:E,5,))*100)+100</f>
        <v/>
      </c>
      <c r="L288" s="29">
        <f>(((Table134567891011121314151617343[[#This Row],[EA19]]-VLOOKUP($U$1,A:F,6,))/VLOOKUP($U$1,A:F,6,))*100)+100</f>
        <v/>
      </c>
      <c r="M288" s="29">
        <f>(((Table134567891011121314151617343[[#This Row],[GBR]]-VLOOKUP($U$1,A:G,7,))/VLOOKUP($U$1,A:G,7,))*100)+100</f>
        <v/>
      </c>
      <c r="N288" s="29">
        <f>VLOOKUP(A288,Database!$E:$AY,MATCH($N$1,Database!$E$1:$AY$1,0),FALSE)</f>
        <v/>
      </c>
      <c r="O288" s="29">
        <f>(((Table134567891011121314151617343[[#This Row],[USA]]-VLOOKUP($U$1,A:N,14,))/VLOOKUP($U$1,A:N,14,))*100)+100</f>
        <v/>
      </c>
      <c r="P288" s="29">
        <f>VLOOKUP(A288,Database!$E:$AY,MATCH($P$1,Database!$E$1:$AY$1,0),FALSE)</f>
        <v/>
      </c>
      <c r="Q288" s="29">
        <f>(((Table134567891011121314151617343[[#This Row],[JPN]]-VLOOKUP($U$1,A:Q,16,))/VLOOKUP($U$1,A:Q,16,))*100)+100</f>
        <v/>
      </c>
    </row>
    <row r="289" customFormat="1" s="129">
      <c r="A289" s="28" t="n">
        <v>41609</v>
      </c>
      <c r="B289" s="29">
        <f>VLOOKUP(A289,Database!$E:$AY,MATCH($B$1,Database!$E$1:$AY$1,0),FALSE)</f>
        <v/>
      </c>
      <c r="C289" s="29">
        <f>VLOOKUP(A289,Database!$E:$AY,MATCH($C$1,Database!$E$1:$AY$1,0),FALSE)</f>
        <v/>
      </c>
      <c r="D289" s="29">
        <f>VLOOKUP(A289,Database!$E:$AY,MATCH($D$1,Database!$E$1:$AY$1,0),FALSE)</f>
        <v/>
      </c>
      <c r="E289" s="29">
        <f>VLOOKUP(A289,Database!$E:$AY,MATCH($E$1,Database!$E$1:$AY$1,0),FALSE)</f>
        <v/>
      </c>
      <c r="F289" s="29">
        <f>VLOOKUP(A289,Database!$E:$AY,MATCH($F$1,Database!$E$1:$AY$1,0),FALSE)</f>
        <v/>
      </c>
      <c r="G289" s="29">
        <f>VLOOKUP(A289,Database!$E:$AY,MATCH($G$1,Database!$E$1:$AY$1,0),FALSE)</f>
        <v/>
      </c>
      <c r="H289" s="29">
        <f>(((Table134567891011121314151617343[[#This Row],[ITA]]-VLOOKUP($U$1,A:B,2,))/VLOOKUP($U$1,A:B,2,))*100)+100</f>
        <v/>
      </c>
      <c r="I289" s="29">
        <f>(((Table134567891011121314151617343[[#This Row],[FRA]]-VLOOKUP($U$1,A:C,3,))/VLOOKUP($U$1,A:C,3,))*100)+100</f>
        <v/>
      </c>
      <c r="J289" s="29">
        <f>(((Table134567891011121314151617343[[#This Row],[DEU]]-VLOOKUP($U$1,A:D,4,))/VLOOKUP($U$1,A:D,4,))*100)+100</f>
        <v/>
      </c>
      <c r="K289" s="29">
        <f>(((Table134567891011121314151617343[[#This Row],[ESP]]-VLOOKUP($U$1,A:E,5,))/VLOOKUP($U$1,A:E,5,))*100)+100</f>
        <v/>
      </c>
      <c r="L289" s="29">
        <f>(((Table134567891011121314151617343[[#This Row],[EA19]]-VLOOKUP($U$1,A:F,6,))/VLOOKUP($U$1,A:F,6,))*100)+100</f>
        <v/>
      </c>
      <c r="M289" s="29">
        <f>(((Table134567891011121314151617343[[#This Row],[GBR]]-VLOOKUP($U$1,A:G,7,))/VLOOKUP($U$1,A:G,7,))*100)+100</f>
        <v/>
      </c>
      <c r="N289" s="29">
        <f>VLOOKUP(A289,Database!$E:$AY,MATCH($N$1,Database!$E$1:$AY$1,0),FALSE)</f>
        <v/>
      </c>
      <c r="O289" s="29">
        <f>(((Table134567891011121314151617343[[#This Row],[USA]]-VLOOKUP($U$1,A:N,14,))/VLOOKUP($U$1,A:N,14,))*100)+100</f>
        <v/>
      </c>
      <c r="P289" s="29">
        <f>VLOOKUP(A289,Database!$E:$AY,MATCH($P$1,Database!$E$1:$AY$1,0),FALSE)</f>
        <v/>
      </c>
      <c r="Q289" s="29">
        <f>(((Table134567891011121314151617343[[#This Row],[JPN]]-VLOOKUP($U$1,A:Q,16,))/VLOOKUP($U$1,A:Q,16,))*100)+100</f>
        <v/>
      </c>
    </row>
    <row r="290" customFormat="1" s="129">
      <c r="A290" s="28" t="n">
        <v>41640</v>
      </c>
      <c r="B290" s="29">
        <f>VLOOKUP(A290,Database!$E:$AY,MATCH($B$1,Database!$E$1:$AY$1,0),FALSE)</f>
        <v/>
      </c>
      <c r="C290" s="29">
        <f>VLOOKUP(A290,Database!$E:$AY,MATCH($C$1,Database!$E$1:$AY$1,0),FALSE)</f>
        <v/>
      </c>
      <c r="D290" s="29">
        <f>VLOOKUP(A290,Database!$E:$AY,MATCH($D$1,Database!$E$1:$AY$1,0),FALSE)</f>
        <v/>
      </c>
      <c r="E290" s="29">
        <f>VLOOKUP(A290,Database!$E:$AY,MATCH($E$1,Database!$E$1:$AY$1,0),FALSE)</f>
        <v/>
      </c>
      <c r="F290" s="29">
        <f>VLOOKUP(A290,Database!$E:$AY,MATCH($F$1,Database!$E$1:$AY$1,0),FALSE)</f>
        <v/>
      </c>
      <c r="G290" s="29">
        <f>VLOOKUP(A290,Database!$E:$AY,MATCH($G$1,Database!$E$1:$AY$1,0),FALSE)</f>
        <v/>
      </c>
      <c r="H290" s="29">
        <f>(((Table134567891011121314151617343[[#This Row],[ITA]]-VLOOKUP($U$1,A:B,2,))/VLOOKUP($U$1,A:B,2,))*100)+100</f>
        <v/>
      </c>
      <c r="I290" s="29">
        <f>(((Table134567891011121314151617343[[#This Row],[FRA]]-VLOOKUP($U$1,A:C,3,))/VLOOKUP($U$1,A:C,3,))*100)+100</f>
        <v/>
      </c>
      <c r="J290" s="29">
        <f>(((Table134567891011121314151617343[[#This Row],[DEU]]-VLOOKUP($U$1,A:D,4,))/VLOOKUP($U$1,A:D,4,))*100)+100</f>
        <v/>
      </c>
      <c r="K290" s="29">
        <f>(((Table134567891011121314151617343[[#This Row],[ESP]]-VLOOKUP($U$1,A:E,5,))/VLOOKUP($U$1,A:E,5,))*100)+100</f>
        <v/>
      </c>
      <c r="L290" s="29">
        <f>(((Table134567891011121314151617343[[#This Row],[EA19]]-VLOOKUP($U$1,A:F,6,))/VLOOKUP($U$1,A:F,6,))*100)+100</f>
        <v/>
      </c>
      <c r="M290" s="29">
        <f>(((Table134567891011121314151617343[[#This Row],[GBR]]-VLOOKUP($U$1,A:G,7,))/VLOOKUP($U$1,A:G,7,))*100)+100</f>
        <v/>
      </c>
      <c r="N290" s="29">
        <f>VLOOKUP(A290,Database!$E:$AY,MATCH($N$1,Database!$E$1:$AY$1,0),FALSE)</f>
        <v/>
      </c>
      <c r="O290" s="29">
        <f>(((Table134567891011121314151617343[[#This Row],[USA]]-VLOOKUP($U$1,A:N,14,))/VLOOKUP($U$1,A:N,14,))*100)+100</f>
        <v/>
      </c>
      <c r="P290" s="29">
        <f>VLOOKUP(A290,Database!$E:$AY,MATCH($P$1,Database!$E$1:$AY$1,0),FALSE)</f>
        <v/>
      </c>
      <c r="Q290" s="29">
        <f>(((Table134567891011121314151617343[[#This Row],[JPN]]-VLOOKUP($U$1,A:Q,16,))/VLOOKUP($U$1,A:Q,16,))*100)+100</f>
        <v/>
      </c>
    </row>
    <row r="291" customFormat="1" s="129">
      <c r="A291" s="28" t="n">
        <v>41671</v>
      </c>
      <c r="B291" s="29">
        <f>VLOOKUP(A291,Database!$E:$AY,MATCH($B$1,Database!$E$1:$AY$1,0),FALSE)</f>
        <v/>
      </c>
      <c r="C291" s="29">
        <f>VLOOKUP(A291,Database!$E:$AY,MATCH($C$1,Database!$E$1:$AY$1,0),FALSE)</f>
        <v/>
      </c>
      <c r="D291" s="29">
        <f>VLOOKUP(A291,Database!$E:$AY,MATCH($D$1,Database!$E$1:$AY$1,0),FALSE)</f>
        <v/>
      </c>
      <c r="E291" s="29">
        <f>VLOOKUP(A291,Database!$E:$AY,MATCH($E$1,Database!$E$1:$AY$1,0),FALSE)</f>
        <v/>
      </c>
      <c r="F291" s="29">
        <f>VLOOKUP(A291,Database!$E:$AY,MATCH($F$1,Database!$E$1:$AY$1,0),FALSE)</f>
        <v/>
      </c>
      <c r="G291" s="29">
        <f>VLOOKUP(A291,Database!$E:$AY,MATCH($G$1,Database!$E$1:$AY$1,0),FALSE)</f>
        <v/>
      </c>
      <c r="H291" s="29">
        <f>(((Table134567891011121314151617343[[#This Row],[ITA]]-VLOOKUP($U$1,A:B,2,))/VLOOKUP($U$1,A:B,2,))*100)+100</f>
        <v/>
      </c>
      <c r="I291" s="29">
        <f>(((Table134567891011121314151617343[[#This Row],[FRA]]-VLOOKUP($U$1,A:C,3,))/VLOOKUP($U$1,A:C,3,))*100)+100</f>
        <v/>
      </c>
      <c r="J291" s="29">
        <f>(((Table134567891011121314151617343[[#This Row],[DEU]]-VLOOKUP($U$1,A:D,4,))/VLOOKUP($U$1,A:D,4,))*100)+100</f>
        <v/>
      </c>
      <c r="K291" s="29">
        <f>(((Table134567891011121314151617343[[#This Row],[ESP]]-VLOOKUP($U$1,A:E,5,))/VLOOKUP($U$1,A:E,5,))*100)+100</f>
        <v/>
      </c>
      <c r="L291" s="29">
        <f>(((Table134567891011121314151617343[[#This Row],[EA19]]-VLOOKUP($U$1,A:F,6,))/VLOOKUP($U$1,A:F,6,))*100)+100</f>
        <v/>
      </c>
      <c r="M291" s="29">
        <f>(((Table134567891011121314151617343[[#This Row],[GBR]]-VLOOKUP($U$1,A:G,7,))/VLOOKUP($U$1,A:G,7,))*100)+100</f>
        <v/>
      </c>
      <c r="N291" s="29">
        <f>VLOOKUP(A291,Database!$E:$AY,MATCH($N$1,Database!$E$1:$AY$1,0),FALSE)</f>
        <v/>
      </c>
      <c r="O291" s="29">
        <f>(((Table134567891011121314151617343[[#This Row],[USA]]-VLOOKUP($U$1,A:N,14,))/VLOOKUP($U$1,A:N,14,))*100)+100</f>
        <v/>
      </c>
      <c r="P291" s="29">
        <f>VLOOKUP(A291,Database!$E:$AY,MATCH($P$1,Database!$E$1:$AY$1,0),FALSE)</f>
        <v/>
      </c>
      <c r="Q291" s="29">
        <f>(((Table134567891011121314151617343[[#This Row],[JPN]]-VLOOKUP($U$1,A:Q,16,))/VLOOKUP($U$1,A:Q,16,))*100)+100</f>
        <v/>
      </c>
    </row>
    <row r="292" customFormat="1" s="129">
      <c r="A292" s="28" t="n">
        <v>41699</v>
      </c>
      <c r="B292" s="29">
        <f>VLOOKUP(A292,Database!$E:$AY,MATCH($B$1,Database!$E$1:$AY$1,0),FALSE)</f>
        <v/>
      </c>
      <c r="C292" s="29">
        <f>VLOOKUP(A292,Database!$E:$AY,MATCH($C$1,Database!$E$1:$AY$1,0),FALSE)</f>
        <v/>
      </c>
      <c r="D292" s="29">
        <f>VLOOKUP(A292,Database!$E:$AY,MATCH($D$1,Database!$E$1:$AY$1,0),FALSE)</f>
        <v/>
      </c>
      <c r="E292" s="29">
        <f>VLOOKUP(A292,Database!$E:$AY,MATCH($E$1,Database!$E$1:$AY$1,0),FALSE)</f>
        <v/>
      </c>
      <c r="F292" s="29">
        <f>VLOOKUP(A292,Database!$E:$AY,MATCH($F$1,Database!$E$1:$AY$1,0),FALSE)</f>
        <v/>
      </c>
      <c r="G292" s="29">
        <f>VLOOKUP(A292,Database!$E:$AY,MATCH($G$1,Database!$E$1:$AY$1,0),FALSE)</f>
        <v/>
      </c>
      <c r="H292" s="29">
        <f>(((Table134567891011121314151617343[[#This Row],[ITA]]-VLOOKUP($U$1,A:B,2,))/VLOOKUP($U$1,A:B,2,))*100)+100</f>
        <v/>
      </c>
      <c r="I292" s="29">
        <f>(((Table134567891011121314151617343[[#This Row],[FRA]]-VLOOKUP($U$1,A:C,3,))/VLOOKUP($U$1,A:C,3,))*100)+100</f>
        <v/>
      </c>
      <c r="J292" s="29">
        <f>(((Table134567891011121314151617343[[#This Row],[DEU]]-VLOOKUP($U$1,A:D,4,))/VLOOKUP($U$1,A:D,4,))*100)+100</f>
        <v/>
      </c>
      <c r="K292" s="29">
        <f>(((Table134567891011121314151617343[[#This Row],[ESP]]-VLOOKUP($U$1,A:E,5,))/VLOOKUP($U$1,A:E,5,))*100)+100</f>
        <v/>
      </c>
      <c r="L292" s="29">
        <f>(((Table134567891011121314151617343[[#This Row],[EA19]]-VLOOKUP($U$1,A:F,6,))/VLOOKUP($U$1,A:F,6,))*100)+100</f>
        <v/>
      </c>
      <c r="M292" s="29">
        <f>(((Table134567891011121314151617343[[#This Row],[GBR]]-VLOOKUP($U$1,A:G,7,))/VLOOKUP($U$1,A:G,7,))*100)+100</f>
        <v/>
      </c>
      <c r="N292" s="29">
        <f>VLOOKUP(A292,Database!$E:$AY,MATCH($N$1,Database!$E$1:$AY$1,0),FALSE)</f>
        <v/>
      </c>
      <c r="O292" s="29">
        <f>(((Table134567891011121314151617343[[#This Row],[USA]]-VLOOKUP($U$1,A:N,14,))/VLOOKUP($U$1,A:N,14,))*100)+100</f>
        <v/>
      </c>
      <c r="P292" s="29">
        <f>VLOOKUP(A292,Database!$E:$AY,MATCH($P$1,Database!$E$1:$AY$1,0),FALSE)</f>
        <v/>
      </c>
      <c r="Q292" s="29">
        <f>(((Table134567891011121314151617343[[#This Row],[JPN]]-VLOOKUP($U$1,A:Q,16,))/VLOOKUP($U$1,A:Q,16,))*100)+100</f>
        <v/>
      </c>
    </row>
    <row r="293" customFormat="1" s="129">
      <c r="A293" s="28" t="n">
        <v>41730</v>
      </c>
      <c r="B293" s="29">
        <f>VLOOKUP(A293,Database!$E:$AY,MATCH($B$1,Database!$E$1:$AY$1,0),FALSE)</f>
        <v/>
      </c>
      <c r="C293" s="29">
        <f>VLOOKUP(A293,Database!$E:$AY,MATCH($C$1,Database!$E$1:$AY$1,0),FALSE)</f>
        <v/>
      </c>
      <c r="D293" s="29">
        <f>VLOOKUP(A293,Database!$E:$AY,MATCH($D$1,Database!$E$1:$AY$1,0),FALSE)</f>
        <v/>
      </c>
      <c r="E293" s="29">
        <f>VLOOKUP(A293,Database!$E:$AY,MATCH($E$1,Database!$E$1:$AY$1,0),FALSE)</f>
        <v/>
      </c>
      <c r="F293" s="29">
        <f>VLOOKUP(A293,Database!$E:$AY,MATCH($F$1,Database!$E$1:$AY$1,0),FALSE)</f>
        <v/>
      </c>
      <c r="G293" s="29">
        <f>VLOOKUP(A293,Database!$E:$AY,MATCH($G$1,Database!$E$1:$AY$1,0),FALSE)</f>
        <v/>
      </c>
      <c r="H293" s="29">
        <f>(((Table134567891011121314151617343[[#This Row],[ITA]]-VLOOKUP($U$1,A:B,2,))/VLOOKUP($U$1,A:B,2,))*100)+100</f>
        <v/>
      </c>
      <c r="I293" s="29">
        <f>(((Table134567891011121314151617343[[#This Row],[FRA]]-VLOOKUP($U$1,A:C,3,))/VLOOKUP($U$1,A:C,3,))*100)+100</f>
        <v/>
      </c>
      <c r="J293" s="29">
        <f>(((Table134567891011121314151617343[[#This Row],[DEU]]-VLOOKUP($U$1,A:D,4,))/VLOOKUP($U$1,A:D,4,))*100)+100</f>
        <v/>
      </c>
      <c r="K293" s="29">
        <f>(((Table134567891011121314151617343[[#This Row],[ESP]]-VLOOKUP($U$1,A:E,5,))/VLOOKUP($U$1,A:E,5,))*100)+100</f>
        <v/>
      </c>
      <c r="L293" s="29">
        <f>(((Table134567891011121314151617343[[#This Row],[EA19]]-VLOOKUP($U$1,A:F,6,))/VLOOKUP($U$1,A:F,6,))*100)+100</f>
        <v/>
      </c>
      <c r="M293" s="29">
        <f>(((Table134567891011121314151617343[[#This Row],[GBR]]-VLOOKUP($U$1,A:G,7,))/VLOOKUP($U$1,A:G,7,))*100)+100</f>
        <v/>
      </c>
      <c r="N293" s="29">
        <f>VLOOKUP(A293,Database!$E:$AY,MATCH($N$1,Database!$E$1:$AY$1,0),FALSE)</f>
        <v/>
      </c>
      <c r="O293" s="29">
        <f>(((Table134567891011121314151617343[[#This Row],[USA]]-VLOOKUP($U$1,A:N,14,))/VLOOKUP($U$1,A:N,14,))*100)+100</f>
        <v/>
      </c>
      <c r="P293" s="29">
        <f>VLOOKUP(A293,Database!$E:$AY,MATCH($P$1,Database!$E$1:$AY$1,0),FALSE)</f>
        <v/>
      </c>
      <c r="Q293" s="29">
        <f>(((Table134567891011121314151617343[[#This Row],[JPN]]-VLOOKUP($U$1,A:Q,16,))/VLOOKUP($U$1,A:Q,16,))*100)+100</f>
        <v/>
      </c>
    </row>
    <row r="294" customFormat="1" s="129">
      <c r="A294" s="28" t="n">
        <v>41760</v>
      </c>
      <c r="B294" s="29">
        <f>VLOOKUP(A294,Database!$E:$AY,MATCH($B$1,Database!$E$1:$AY$1,0),FALSE)</f>
        <v/>
      </c>
      <c r="C294" s="29">
        <f>VLOOKUP(A294,Database!$E:$AY,MATCH($C$1,Database!$E$1:$AY$1,0),FALSE)</f>
        <v/>
      </c>
      <c r="D294" s="29">
        <f>VLOOKUP(A294,Database!$E:$AY,MATCH($D$1,Database!$E$1:$AY$1,0),FALSE)</f>
        <v/>
      </c>
      <c r="E294" s="29">
        <f>VLOOKUP(A294,Database!$E:$AY,MATCH($E$1,Database!$E$1:$AY$1,0),FALSE)</f>
        <v/>
      </c>
      <c r="F294" s="29">
        <f>VLOOKUP(A294,Database!$E:$AY,MATCH($F$1,Database!$E$1:$AY$1,0),FALSE)</f>
        <v/>
      </c>
      <c r="G294" s="29">
        <f>VLOOKUP(A294,Database!$E:$AY,MATCH($G$1,Database!$E$1:$AY$1,0),FALSE)</f>
        <v/>
      </c>
      <c r="H294" s="29">
        <f>(((Table134567891011121314151617343[[#This Row],[ITA]]-VLOOKUP($U$1,A:B,2,))/VLOOKUP($U$1,A:B,2,))*100)+100</f>
        <v/>
      </c>
      <c r="I294" s="29">
        <f>(((Table134567891011121314151617343[[#This Row],[FRA]]-VLOOKUP($U$1,A:C,3,))/VLOOKUP($U$1,A:C,3,))*100)+100</f>
        <v/>
      </c>
      <c r="J294" s="29">
        <f>(((Table134567891011121314151617343[[#This Row],[DEU]]-VLOOKUP($U$1,A:D,4,))/VLOOKUP($U$1,A:D,4,))*100)+100</f>
        <v/>
      </c>
      <c r="K294" s="29">
        <f>(((Table134567891011121314151617343[[#This Row],[ESP]]-VLOOKUP($U$1,A:E,5,))/VLOOKUP($U$1,A:E,5,))*100)+100</f>
        <v/>
      </c>
      <c r="L294" s="29">
        <f>(((Table134567891011121314151617343[[#This Row],[EA19]]-VLOOKUP($U$1,A:F,6,))/VLOOKUP($U$1,A:F,6,))*100)+100</f>
        <v/>
      </c>
      <c r="M294" s="29">
        <f>(((Table134567891011121314151617343[[#This Row],[GBR]]-VLOOKUP($U$1,A:G,7,))/VLOOKUP($U$1,A:G,7,))*100)+100</f>
        <v/>
      </c>
      <c r="N294" s="29">
        <f>VLOOKUP(A294,Database!$E:$AY,MATCH($N$1,Database!$E$1:$AY$1,0),FALSE)</f>
        <v/>
      </c>
      <c r="O294" s="29">
        <f>(((Table134567891011121314151617343[[#This Row],[USA]]-VLOOKUP($U$1,A:N,14,))/VLOOKUP($U$1,A:N,14,))*100)+100</f>
        <v/>
      </c>
      <c r="P294" s="29">
        <f>VLOOKUP(A294,Database!$E:$AY,MATCH($P$1,Database!$E$1:$AY$1,0),FALSE)</f>
        <v/>
      </c>
      <c r="Q294" s="29">
        <f>(((Table134567891011121314151617343[[#This Row],[JPN]]-VLOOKUP($U$1,A:Q,16,))/VLOOKUP($U$1,A:Q,16,))*100)+100</f>
        <v/>
      </c>
    </row>
    <row r="295" customFormat="1" s="129">
      <c r="A295" s="28" t="n">
        <v>41791</v>
      </c>
      <c r="B295" s="29">
        <f>VLOOKUP(A295,Database!$E:$AY,MATCH($B$1,Database!$E$1:$AY$1,0),FALSE)</f>
        <v/>
      </c>
      <c r="C295" s="29">
        <f>VLOOKUP(A295,Database!$E:$AY,MATCH($C$1,Database!$E$1:$AY$1,0),FALSE)</f>
        <v/>
      </c>
      <c r="D295" s="29">
        <f>VLOOKUP(A295,Database!$E:$AY,MATCH($D$1,Database!$E$1:$AY$1,0),FALSE)</f>
        <v/>
      </c>
      <c r="E295" s="29">
        <f>VLOOKUP(A295,Database!$E:$AY,MATCH($E$1,Database!$E$1:$AY$1,0),FALSE)</f>
        <v/>
      </c>
      <c r="F295" s="29">
        <f>VLOOKUP(A295,Database!$E:$AY,MATCH($F$1,Database!$E$1:$AY$1,0),FALSE)</f>
        <v/>
      </c>
      <c r="G295" s="29">
        <f>VLOOKUP(A295,Database!$E:$AY,MATCH($G$1,Database!$E$1:$AY$1,0),FALSE)</f>
        <v/>
      </c>
      <c r="H295" s="29">
        <f>(((Table134567891011121314151617343[[#This Row],[ITA]]-VLOOKUP($U$1,A:B,2,))/VLOOKUP($U$1,A:B,2,))*100)+100</f>
        <v/>
      </c>
      <c r="I295" s="29">
        <f>(((Table134567891011121314151617343[[#This Row],[FRA]]-VLOOKUP($U$1,A:C,3,))/VLOOKUP($U$1,A:C,3,))*100)+100</f>
        <v/>
      </c>
      <c r="J295" s="29">
        <f>(((Table134567891011121314151617343[[#This Row],[DEU]]-VLOOKUP($U$1,A:D,4,))/VLOOKUP($U$1,A:D,4,))*100)+100</f>
        <v/>
      </c>
      <c r="K295" s="29">
        <f>(((Table134567891011121314151617343[[#This Row],[ESP]]-VLOOKUP($U$1,A:E,5,))/VLOOKUP($U$1,A:E,5,))*100)+100</f>
        <v/>
      </c>
      <c r="L295" s="29">
        <f>(((Table134567891011121314151617343[[#This Row],[EA19]]-VLOOKUP($U$1,A:F,6,))/VLOOKUP($U$1,A:F,6,))*100)+100</f>
        <v/>
      </c>
      <c r="M295" s="29">
        <f>(((Table134567891011121314151617343[[#This Row],[GBR]]-VLOOKUP($U$1,A:G,7,))/VLOOKUP($U$1,A:G,7,))*100)+100</f>
        <v/>
      </c>
      <c r="N295" s="29">
        <f>VLOOKUP(A295,Database!$E:$AY,MATCH($N$1,Database!$E$1:$AY$1,0),FALSE)</f>
        <v/>
      </c>
      <c r="O295" s="29">
        <f>(((Table134567891011121314151617343[[#This Row],[USA]]-VLOOKUP($U$1,A:N,14,))/VLOOKUP($U$1,A:N,14,))*100)+100</f>
        <v/>
      </c>
      <c r="P295" s="29">
        <f>VLOOKUP(A295,Database!$E:$AY,MATCH($P$1,Database!$E$1:$AY$1,0),FALSE)</f>
        <v/>
      </c>
      <c r="Q295" s="29">
        <f>(((Table134567891011121314151617343[[#This Row],[JPN]]-VLOOKUP($U$1,A:Q,16,))/VLOOKUP($U$1,A:Q,16,))*100)+100</f>
        <v/>
      </c>
    </row>
    <row r="296" customFormat="1" s="129">
      <c r="A296" s="28" t="n">
        <v>41821</v>
      </c>
      <c r="B296" s="29">
        <f>VLOOKUP(A296,Database!$E:$AY,MATCH($B$1,Database!$E$1:$AY$1,0),FALSE)</f>
        <v/>
      </c>
      <c r="C296" s="29">
        <f>VLOOKUP(A296,Database!$E:$AY,MATCH($C$1,Database!$E$1:$AY$1,0),FALSE)</f>
        <v/>
      </c>
      <c r="D296" s="29">
        <f>VLOOKUP(A296,Database!$E:$AY,MATCH($D$1,Database!$E$1:$AY$1,0),FALSE)</f>
        <v/>
      </c>
      <c r="E296" s="29">
        <f>VLOOKUP(A296,Database!$E:$AY,MATCH($E$1,Database!$E$1:$AY$1,0),FALSE)</f>
        <v/>
      </c>
      <c r="F296" s="29">
        <f>VLOOKUP(A296,Database!$E:$AY,MATCH($F$1,Database!$E$1:$AY$1,0),FALSE)</f>
        <v/>
      </c>
      <c r="G296" s="29">
        <f>VLOOKUP(A296,Database!$E:$AY,MATCH($G$1,Database!$E$1:$AY$1,0),FALSE)</f>
        <v/>
      </c>
      <c r="H296" s="29">
        <f>(((Table134567891011121314151617343[[#This Row],[ITA]]-VLOOKUP($U$1,A:B,2,))/VLOOKUP($U$1,A:B,2,))*100)+100</f>
        <v/>
      </c>
      <c r="I296" s="29">
        <f>(((Table134567891011121314151617343[[#This Row],[FRA]]-VLOOKUP($U$1,A:C,3,))/VLOOKUP($U$1,A:C,3,))*100)+100</f>
        <v/>
      </c>
      <c r="J296" s="29">
        <f>(((Table134567891011121314151617343[[#This Row],[DEU]]-VLOOKUP($U$1,A:D,4,))/VLOOKUP($U$1,A:D,4,))*100)+100</f>
        <v/>
      </c>
      <c r="K296" s="29">
        <f>(((Table134567891011121314151617343[[#This Row],[ESP]]-VLOOKUP($U$1,A:E,5,))/VLOOKUP($U$1,A:E,5,))*100)+100</f>
        <v/>
      </c>
      <c r="L296" s="29">
        <f>(((Table134567891011121314151617343[[#This Row],[EA19]]-VLOOKUP($U$1,A:F,6,))/VLOOKUP($U$1,A:F,6,))*100)+100</f>
        <v/>
      </c>
      <c r="M296" s="29">
        <f>(((Table134567891011121314151617343[[#This Row],[GBR]]-VLOOKUP($U$1,A:G,7,))/VLOOKUP($U$1,A:G,7,))*100)+100</f>
        <v/>
      </c>
      <c r="N296" s="29">
        <f>VLOOKUP(A296,Database!$E:$AY,MATCH($N$1,Database!$E$1:$AY$1,0),FALSE)</f>
        <v/>
      </c>
      <c r="O296" s="29">
        <f>(((Table134567891011121314151617343[[#This Row],[USA]]-VLOOKUP($U$1,A:N,14,))/VLOOKUP($U$1,A:N,14,))*100)+100</f>
        <v/>
      </c>
      <c r="P296" s="29">
        <f>VLOOKUP(A296,Database!$E:$AY,MATCH($P$1,Database!$E$1:$AY$1,0),FALSE)</f>
        <v/>
      </c>
      <c r="Q296" s="29">
        <f>(((Table134567891011121314151617343[[#This Row],[JPN]]-VLOOKUP($U$1,A:Q,16,))/VLOOKUP($U$1,A:Q,16,))*100)+100</f>
        <v/>
      </c>
    </row>
    <row r="297" customFormat="1" s="129">
      <c r="A297" s="28" t="n">
        <v>41852</v>
      </c>
      <c r="B297" s="29">
        <f>VLOOKUP(A297,Database!$E:$AY,MATCH($B$1,Database!$E$1:$AY$1,0),FALSE)</f>
        <v/>
      </c>
      <c r="C297" s="29">
        <f>VLOOKUP(A297,Database!$E:$AY,MATCH($C$1,Database!$E$1:$AY$1,0),FALSE)</f>
        <v/>
      </c>
      <c r="D297" s="29">
        <f>VLOOKUP(A297,Database!$E:$AY,MATCH($D$1,Database!$E$1:$AY$1,0),FALSE)</f>
        <v/>
      </c>
      <c r="E297" s="29">
        <f>VLOOKUP(A297,Database!$E:$AY,MATCH($E$1,Database!$E$1:$AY$1,0),FALSE)</f>
        <v/>
      </c>
      <c r="F297" s="29">
        <f>VLOOKUP(A297,Database!$E:$AY,MATCH($F$1,Database!$E$1:$AY$1,0),FALSE)</f>
        <v/>
      </c>
      <c r="G297" s="29">
        <f>VLOOKUP(A297,Database!$E:$AY,MATCH($G$1,Database!$E$1:$AY$1,0),FALSE)</f>
        <v/>
      </c>
      <c r="H297" s="29">
        <f>(((Table134567891011121314151617343[[#This Row],[ITA]]-VLOOKUP($U$1,A:B,2,))/VLOOKUP($U$1,A:B,2,))*100)+100</f>
        <v/>
      </c>
      <c r="I297" s="29">
        <f>(((Table134567891011121314151617343[[#This Row],[FRA]]-VLOOKUP($U$1,A:C,3,))/VLOOKUP($U$1,A:C,3,))*100)+100</f>
        <v/>
      </c>
      <c r="J297" s="29">
        <f>(((Table134567891011121314151617343[[#This Row],[DEU]]-VLOOKUP($U$1,A:D,4,))/VLOOKUP($U$1,A:D,4,))*100)+100</f>
        <v/>
      </c>
      <c r="K297" s="29">
        <f>(((Table134567891011121314151617343[[#This Row],[ESP]]-VLOOKUP($U$1,A:E,5,))/VLOOKUP($U$1,A:E,5,))*100)+100</f>
        <v/>
      </c>
      <c r="L297" s="29">
        <f>(((Table134567891011121314151617343[[#This Row],[EA19]]-VLOOKUP($U$1,A:F,6,))/VLOOKUP($U$1,A:F,6,))*100)+100</f>
        <v/>
      </c>
      <c r="M297" s="29">
        <f>(((Table134567891011121314151617343[[#This Row],[GBR]]-VLOOKUP($U$1,A:G,7,))/VLOOKUP($U$1,A:G,7,))*100)+100</f>
        <v/>
      </c>
      <c r="N297" s="29">
        <f>VLOOKUP(A297,Database!$E:$AY,MATCH($N$1,Database!$E$1:$AY$1,0),FALSE)</f>
        <v/>
      </c>
      <c r="O297" s="29">
        <f>(((Table134567891011121314151617343[[#This Row],[USA]]-VLOOKUP($U$1,A:N,14,))/VLOOKUP($U$1,A:N,14,))*100)+100</f>
        <v/>
      </c>
      <c r="P297" s="29">
        <f>VLOOKUP(A297,Database!$E:$AY,MATCH($P$1,Database!$E$1:$AY$1,0),FALSE)</f>
        <v/>
      </c>
      <c r="Q297" s="29">
        <f>(((Table134567891011121314151617343[[#This Row],[JPN]]-VLOOKUP($U$1,A:Q,16,))/VLOOKUP($U$1,A:Q,16,))*100)+100</f>
        <v/>
      </c>
    </row>
    <row r="298" customFormat="1" s="129">
      <c r="A298" s="28" t="n">
        <v>41883</v>
      </c>
      <c r="B298" s="29">
        <f>VLOOKUP(A298,Database!$E:$AY,MATCH($B$1,Database!$E$1:$AY$1,0),FALSE)</f>
        <v/>
      </c>
      <c r="C298" s="29">
        <f>VLOOKUP(A298,Database!$E:$AY,MATCH($C$1,Database!$E$1:$AY$1,0),FALSE)</f>
        <v/>
      </c>
      <c r="D298" s="29">
        <f>VLOOKUP(A298,Database!$E:$AY,MATCH($D$1,Database!$E$1:$AY$1,0),FALSE)</f>
        <v/>
      </c>
      <c r="E298" s="29">
        <f>VLOOKUP(A298,Database!$E:$AY,MATCH($E$1,Database!$E$1:$AY$1,0),FALSE)</f>
        <v/>
      </c>
      <c r="F298" s="29">
        <f>VLOOKUP(A298,Database!$E:$AY,MATCH($F$1,Database!$E$1:$AY$1,0),FALSE)</f>
        <v/>
      </c>
      <c r="G298" s="29">
        <f>VLOOKUP(A298,Database!$E:$AY,MATCH($G$1,Database!$E$1:$AY$1,0),FALSE)</f>
        <v/>
      </c>
      <c r="H298" s="29">
        <f>(((Table134567891011121314151617343[[#This Row],[ITA]]-VLOOKUP($U$1,A:B,2,))/VLOOKUP($U$1,A:B,2,))*100)+100</f>
        <v/>
      </c>
      <c r="I298" s="29">
        <f>(((Table134567891011121314151617343[[#This Row],[FRA]]-VLOOKUP($U$1,A:C,3,))/VLOOKUP($U$1,A:C,3,))*100)+100</f>
        <v/>
      </c>
      <c r="J298" s="29">
        <f>(((Table134567891011121314151617343[[#This Row],[DEU]]-VLOOKUP($U$1,A:D,4,))/VLOOKUP($U$1,A:D,4,))*100)+100</f>
        <v/>
      </c>
      <c r="K298" s="29">
        <f>(((Table134567891011121314151617343[[#This Row],[ESP]]-VLOOKUP($U$1,A:E,5,))/VLOOKUP($U$1,A:E,5,))*100)+100</f>
        <v/>
      </c>
      <c r="L298" s="29">
        <f>(((Table134567891011121314151617343[[#This Row],[EA19]]-VLOOKUP($U$1,A:F,6,))/VLOOKUP($U$1,A:F,6,))*100)+100</f>
        <v/>
      </c>
      <c r="M298" s="29">
        <f>(((Table134567891011121314151617343[[#This Row],[GBR]]-VLOOKUP($U$1,A:G,7,))/VLOOKUP($U$1,A:G,7,))*100)+100</f>
        <v/>
      </c>
      <c r="N298" s="29">
        <f>VLOOKUP(A298,Database!$E:$AY,MATCH($N$1,Database!$E$1:$AY$1,0),FALSE)</f>
        <v/>
      </c>
      <c r="O298" s="29">
        <f>(((Table134567891011121314151617343[[#This Row],[USA]]-VLOOKUP($U$1,A:N,14,))/VLOOKUP($U$1,A:N,14,))*100)+100</f>
        <v/>
      </c>
      <c r="P298" s="29">
        <f>VLOOKUP(A298,Database!$E:$AY,MATCH($P$1,Database!$E$1:$AY$1,0),FALSE)</f>
        <v/>
      </c>
      <c r="Q298" s="29">
        <f>(((Table134567891011121314151617343[[#This Row],[JPN]]-VLOOKUP($U$1,A:Q,16,))/VLOOKUP($U$1,A:Q,16,))*100)+100</f>
        <v/>
      </c>
    </row>
    <row r="299" customFormat="1" s="129">
      <c r="A299" s="28" t="n">
        <v>41913</v>
      </c>
      <c r="B299" s="29">
        <f>VLOOKUP(A299,Database!$E:$AY,MATCH($B$1,Database!$E$1:$AY$1,0),FALSE)</f>
        <v/>
      </c>
      <c r="C299" s="29">
        <f>VLOOKUP(A299,Database!$E:$AY,MATCH($C$1,Database!$E$1:$AY$1,0),FALSE)</f>
        <v/>
      </c>
      <c r="D299" s="29">
        <f>VLOOKUP(A299,Database!$E:$AY,MATCH($D$1,Database!$E$1:$AY$1,0),FALSE)</f>
        <v/>
      </c>
      <c r="E299" s="29">
        <f>VLOOKUP(A299,Database!$E:$AY,MATCH($E$1,Database!$E$1:$AY$1,0),FALSE)</f>
        <v/>
      </c>
      <c r="F299" s="29">
        <f>VLOOKUP(A299,Database!$E:$AY,MATCH($F$1,Database!$E$1:$AY$1,0),FALSE)</f>
        <v/>
      </c>
      <c r="G299" s="29">
        <f>VLOOKUP(A299,Database!$E:$AY,MATCH($G$1,Database!$E$1:$AY$1,0),FALSE)</f>
        <v/>
      </c>
      <c r="H299" s="29">
        <f>(((Table134567891011121314151617343[[#This Row],[ITA]]-VLOOKUP($U$1,A:B,2,))/VLOOKUP($U$1,A:B,2,))*100)+100</f>
        <v/>
      </c>
      <c r="I299" s="29">
        <f>(((Table134567891011121314151617343[[#This Row],[FRA]]-VLOOKUP($U$1,A:C,3,))/VLOOKUP($U$1,A:C,3,))*100)+100</f>
        <v/>
      </c>
      <c r="J299" s="29">
        <f>(((Table134567891011121314151617343[[#This Row],[DEU]]-VLOOKUP($U$1,A:D,4,))/VLOOKUP($U$1,A:D,4,))*100)+100</f>
        <v/>
      </c>
      <c r="K299" s="29">
        <f>(((Table134567891011121314151617343[[#This Row],[ESP]]-VLOOKUP($U$1,A:E,5,))/VLOOKUP($U$1,A:E,5,))*100)+100</f>
        <v/>
      </c>
      <c r="L299" s="29">
        <f>(((Table134567891011121314151617343[[#This Row],[EA19]]-VLOOKUP($U$1,A:F,6,))/VLOOKUP($U$1,A:F,6,))*100)+100</f>
        <v/>
      </c>
      <c r="M299" s="29">
        <f>(((Table134567891011121314151617343[[#This Row],[GBR]]-VLOOKUP($U$1,A:G,7,))/VLOOKUP($U$1,A:G,7,))*100)+100</f>
        <v/>
      </c>
      <c r="N299" s="29">
        <f>VLOOKUP(A299,Database!$E:$AY,MATCH($N$1,Database!$E$1:$AY$1,0),FALSE)</f>
        <v/>
      </c>
      <c r="O299" s="29">
        <f>(((Table134567891011121314151617343[[#This Row],[USA]]-VLOOKUP($U$1,A:N,14,))/VLOOKUP($U$1,A:N,14,))*100)+100</f>
        <v/>
      </c>
      <c r="P299" s="29">
        <f>VLOOKUP(A299,Database!$E:$AY,MATCH($P$1,Database!$E$1:$AY$1,0),FALSE)</f>
        <v/>
      </c>
      <c r="Q299" s="29">
        <f>(((Table134567891011121314151617343[[#This Row],[JPN]]-VLOOKUP($U$1,A:Q,16,))/VLOOKUP($U$1,A:Q,16,))*100)+100</f>
        <v/>
      </c>
    </row>
    <row r="300" customFormat="1" s="129">
      <c r="A300" s="28" t="n">
        <v>41944</v>
      </c>
      <c r="B300" s="29">
        <f>VLOOKUP(A300,Database!$E:$AY,MATCH($B$1,Database!$E$1:$AY$1,0),FALSE)</f>
        <v/>
      </c>
      <c r="C300" s="29">
        <f>VLOOKUP(A300,Database!$E:$AY,MATCH($C$1,Database!$E$1:$AY$1,0),FALSE)</f>
        <v/>
      </c>
      <c r="D300" s="29">
        <f>VLOOKUP(A300,Database!$E:$AY,MATCH($D$1,Database!$E$1:$AY$1,0),FALSE)</f>
        <v/>
      </c>
      <c r="E300" s="29">
        <f>VLOOKUP(A300,Database!$E:$AY,MATCH($E$1,Database!$E$1:$AY$1,0),FALSE)</f>
        <v/>
      </c>
      <c r="F300" s="29">
        <f>VLOOKUP(A300,Database!$E:$AY,MATCH($F$1,Database!$E$1:$AY$1,0),FALSE)</f>
        <v/>
      </c>
      <c r="G300" s="29">
        <f>VLOOKUP(A300,Database!$E:$AY,MATCH($G$1,Database!$E$1:$AY$1,0),FALSE)</f>
        <v/>
      </c>
      <c r="H300" s="29">
        <f>(((Table134567891011121314151617343[[#This Row],[ITA]]-VLOOKUP($U$1,A:B,2,))/VLOOKUP($U$1,A:B,2,))*100)+100</f>
        <v/>
      </c>
      <c r="I300" s="29">
        <f>(((Table134567891011121314151617343[[#This Row],[FRA]]-VLOOKUP($U$1,A:C,3,))/VLOOKUP($U$1,A:C,3,))*100)+100</f>
        <v/>
      </c>
      <c r="J300" s="29">
        <f>(((Table134567891011121314151617343[[#This Row],[DEU]]-VLOOKUP($U$1,A:D,4,))/VLOOKUP($U$1,A:D,4,))*100)+100</f>
        <v/>
      </c>
      <c r="K300" s="29">
        <f>(((Table134567891011121314151617343[[#This Row],[ESP]]-VLOOKUP($U$1,A:E,5,))/VLOOKUP($U$1,A:E,5,))*100)+100</f>
        <v/>
      </c>
      <c r="L300" s="29">
        <f>(((Table134567891011121314151617343[[#This Row],[EA19]]-VLOOKUP($U$1,A:F,6,))/VLOOKUP($U$1,A:F,6,))*100)+100</f>
        <v/>
      </c>
      <c r="M300" s="29">
        <f>(((Table134567891011121314151617343[[#This Row],[GBR]]-VLOOKUP($U$1,A:G,7,))/VLOOKUP($U$1,A:G,7,))*100)+100</f>
        <v/>
      </c>
      <c r="N300" s="29">
        <f>VLOOKUP(A300,Database!$E:$AY,MATCH($N$1,Database!$E$1:$AY$1,0),FALSE)</f>
        <v/>
      </c>
      <c r="O300" s="29">
        <f>(((Table134567891011121314151617343[[#This Row],[USA]]-VLOOKUP($U$1,A:N,14,))/VLOOKUP($U$1,A:N,14,))*100)+100</f>
        <v/>
      </c>
      <c r="P300" s="29">
        <f>VLOOKUP(A300,Database!$E:$AY,MATCH($P$1,Database!$E$1:$AY$1,0),FALSE)</f>
        <v/>
      </c>
      <c r="Q300" s="29">
        <f>(((Table134567891011121314151617343[[#This Row],[JPN]]-VLOOKUP($U$1,A:Q,16,))/VLOOKUP($U$1,A:Q,16,))*100)+100</f>
        <v/>
      </c>
    </row>
    <row r="301" customFormat="1" s="129">
      <c r="A301" s="28" t="n">
        <v>41974</v>
      </c>
      <c r="B301" s="29">
        <f>VLOOKUP(A301,Database!$E:$AY,MATCH($B$1,Database!$E$1:$AY$1,0),FALSE)</f>
        <v/>
      </c>
      <c r="C301" s="29">
        <f>VLOOKUP(A301,Database!$E:$AY,MATCH($C$1,Database!$E$1:$AY$1,0),FALSE)</f>
        <v/>
      </c>
      <c r="D301" s="29">
        <f>VLOOKUP(A301,Database!$E:$AY,MATCH($D$1,Database!$E$1:$AY$1,0),FALSE)</f>
        <v/>
      </c>
      <c r="E301" s="29">
        <f>VLOOKUP(A301,Database!$E:$AY,MATCH($E$1,Database!$E$1:$AY$1,0),FALSE)</f>
        <v/>
      </c>
      <c r="F301" s="29">
        <f>VLOOKUP(A301,Database!$E:$AY,MATCH($F$1,Database!$E$1:$AY$1,0),FALSE)</f>
        <v/>
      </c>
      <c r="G301" s="29">
        <f>VLOOKUP(A301,Database!$E:$AY,MATCH($G$1,Database!$E$1:$AY$1,0),FALSE)</f>
        <v/>
      </c>
      <c r="H301" s="29">
        <f>(((Table134567891011121314151617343[[#This Row],[ITA]]-VLOOKUP($U$1,A:B,2,))/VLOOKUP($U$1,A:B,2,))*100)+100</f>
        <v/>
      </c>
      <c r="I301" s="29">
        <f>(((Table134567891011121314151617343[[#This Row],[FRA]]-VLOOKUP($U$1,A:C,3,))/VLOOKUP($U$1,A:C,3,))*100)+100</f>
        <v/>
      </c>
      <c r="J301" s="29">
        <f>(((Table134567891011121314151617343[[#This Row],[DEU]]-VLOOKUP($U$1,A:D,4,))/VLOOKUP($U$1,A:D,4,))*100)+100</f>
        <v/>
      </c>
      <c r="K301" s="29">
        <f>(((Table134567891011121314151617343[[#This Row],[ESP]]-VLOOKUP($U$1,A:E,5,))/VLOOKUP($U$1,A:E,5,))*100)+100</f>
        <v/>
      </c>
      <c r="L301" s="29">
        <f>(((Table134567891011121314151617343[[#This Row],[EA19]]-VLOOKUP($U$1,A:F,6,))/VLOOKUP($U$1,A:F,6,))*100)+100</f>
        <v/>
      </c>
      <c r="M301" s="29">
        <f>(((Table134567891011121314151617343[[#This Row],[GBR]]-VLOOKUP($U$1,A:G,7,))/VLOOKUP($U$1,A:G,7,))*100)+100</f>
        <v/>
      </c>
      <c r="N301" s="29">
        <f>VLOOKUP(A301,Database!$E:$AY,MATCH($N$1,Database!$E$1:$AY$1,0),FALSE)</f>
        <v/>
      </c>
      <c r="O301" s="29">
        <f>(((Table134567891011121314151617343[[#This Row],[USA]]-VLOOKUP($U$1,A:N,14,))/VLOOKUP($U$1,A:N,14,))*100)+100</f>
        <v/>
      </c>
      <c r="P301" s="29">
        <f>VLOOKUP(A301,Database!$E:$AY,MATCH($P$1,Database!$E$1:$AY$1,0),FALSE)</f>
        <v/>
      </c>
      <c r="Q301" s="29">
        <f>(((Table134567891011121314151617343[[#This Row],[JPN]]-VLOOKUP($U$1,A:Q,16,))/VLOOKUP($U$1,A:Q,16,))*100)+100</f>
        <v/>
      </c>
    </row>
    <row r="302" customFormat="1" s="129">
      <c r="A302" s="28" t="n">
        <v>42005</v>
      </c>
      <c r="B302" s="29">
        <f>VLOOKUP(A302,Database!$E:$AY,MATCH($B$1,Database!$E$1:$AY$1,0),FALSE)</f>
        <v/>
      </c>
      <c r="C302" s="29">
        <f>VLOOKUP(A302,Database!$E:$AY,MATCH($C$1,Database!$E$1:$AY$1,0),FALSE)</f>
        <v/>
      </c>
      <c r="D302" s="29">
        <f>VLOOKUP(A302,Database!$E:$AY,MATCH($D$1,Database!$E$1:$AY$1,0),FALSE)</f>
        <v/>
      </c>
      <c r="E302" s="29">
        <f>VLOOKUP(A302,Database!$E:$AY,MATCH($E$1,Database!$E$1:$AY$1,0),FALSE)</f>
        <v/>
      </c>
      <c r="F302" s="29">
        <f>VLOOKUP(A302,Database!$E:$AY,MATCH($F$1,Database!$E$1:$AY$1,0),FALSE)</f>
        <v/>
      </c>
      <c r="G302" s="29">
        <f>VLOOKUP(A302,Database!$E:$AY,MATCH($G$1,Database!$E$1:$AY$1,0),FALSE)</f>
        <v/>
      </c>
      <c r="H302" s="29">
        <f>(((Table134567891011121314151617343[[#This Row],[ITA]]-VLOOKUP($U$1,A:B,2,))/VLOOKUP($U$1,A:B,2,))*100)+100</f>
        <v/>
      </c>
      <c r="I302" s="29">
        <f>(((Table134567891011121314151617343[[#This Row],[FRA]]-VLOOKUP($U$1,A:C,3,))/VLOOKUP($U$1,A:C,3,))*100)+100</f>
        <v/>
      </c>
      <c r="J302" s="29">
        <f>(((Table134567891011121314151617343[[#This Row],[DEU]]-VLOOKUP($U$1,A:D,4,))/VLOOKUP($U$1,A:D,4,))*100)+100</f>
        <v/>
      </c>
      <c r="K302" s="29">
        <f>(((Table134567891011121314151617343[[#This Row],[ESP]]-VLOOKUP($U$1,A:E,5,))/VLOOKUP($U$1,A:E,5,))*100)+100</f>
        <v/>
      </c>
      <c r="L302" s="29">
        <f>(((Table134567891011121314151617343[[#This Row],[EA19]]-VLOOKUP($U$1,A:F,6,))/VLOOKUP($U$1,A:F,6,))*100)+100</f>
        <v/>
      </c>
      <c r="M302" s="29">
        <f>(((Table134567891011121314151617343[[#This Row],[GBR]]-VLOOKUP($U$1,A:G,7,))/VLOOKUP($U$1,A:G,7,))*100)+100</f>
        <v/>
      </c>
      <c r="N302" s="29">
        <f>VLOOKUP(A302,Database!$E:$AY,MATCH($N$1,Database!$E$1:$AY$1,0),FALSE)</f>
        <v/>
      </c>
      <c r="O302" s="29">
        <f>(((Table134567891011121314151617343[[#This Row],[USA]]-VLOOKUP($U$1,A:N,14,))/VLOOKUP($U$1,A:N,14,))*100)+100</f>
        <v/>
      </c>
      <c r="P302" s="29">
        <f>VLOOKUP(A302,Database!$E:$AY,MATCH($P$1,Database!$E$1:$AY$1,0),FALSE)</f>
        <v/>
      </c>
      <c r="Q302" s="29">
        <f>(((Table134567891011121314151617343[[#This Row],[JPN]]-VLOOKUP($U$1,A:Q,16,))/VLOOKUP($U$1,A:Q,16,))*100)+100</f>
        <v/>
      </c>
    </row>
    <row r="303" customFormat="1" s="129">
      <c r="A303" s="28" t="n">
        <v>42036</v>
      </c>
      <c r="B303" s="29">
        <f>VLOOKUP(A303,Database!$E:$AY,MATCH($B$1,Database!$E$1:$AY$1,0),FALSE)</f>
        <v/>
      </c>
      <c r="C303" s="29">
        <f>VLOOKUP(A303,Database!$E:$AY,MATCH($C$1,Database!$E$1:$AY$1,0),FALSE)</f>
        <v/>
      </c>
      <c r="D303" s="29">
        <f>VLOOKUP(A303,Database!$E:$AY,MATCH($D$1,Database!$E$1:$AY$1,0),FALSE)</f>
        <v/>
      </c>
      <c r="E303" s="29">
        <f>VLOOKUP(A303,Database!$E:$AY,MATCH($E$1,Database!$E$1:$AY$1,0),FALSE)</f>
        <v/>
      </c>
      <c r="F303" s="29">
        <f>VLOOKUP(A303,Database!$E:$AY,MATCH($F$1,Database!$E$1:$AY$1,0),FALSE)</f>
        <v/>
      </c>
      <c r="G303" s="29">
        <f>VLOOKUP(A303,Database!$E:$AY,MATCH($G$1,Database!$E$1:$AY$1,0),FALSE)</f>
        <v/>
      </c>
      <c r="H303" s="29">
        <f>(((Table134567891011121314151617343[[#This Row],[ITA]]-VLOOKUP($U$1,A:B,2,))/VLOOKUP($U$1,A:B,2,))*100)+100</f>
        <v/>
      </c>
      <c r="I303" s="29">
        <f>(((Table134567891011121314151617343[[#This Row],[FRA]]-VLOOKUP($U$1,A:C,3,))/VLOOKUP($U$1,A:C,3,))*100)+100</f>
        <v/>
      </c>
      <c r="J303" s="29">
        <f>(((Table134567891011121314151617343[[#This Row],[DEU]]-VLOOKUP($U$1,A:D,4,))/VLOOKUP($U$1,A:D,4,))*100)+100</f>
        <v/>
      </c>
      <c r="K303" s="29">
        <f>(((Table134567891011121314151617343[[#This Row],[ESP]]-VLOOKUP($U$1,A:E,5,))/VLOOKUP($U$1,A:E,5,))*100)+100</f>
        <v/>
      </c>
      <c r="L303" s="29">
        <f>(((Table134567891011121314151617343[[#This Row],[EA19]]-VLOOKUP($U$1,A:F,6,))/VLOOKUP($U$1,A:F,6,))*100)+100</f>
        <v/>
      </c>
      <c r="M303" s="29">
        <f>(((Table134567891011121314151617343[[#This Row],[GBR]]-VLOOKUP($U$1,A:G,7,))/VLOOKUP($U$1,A:G,7,))*100)+100</f>
        <v/>
      </c>
      <c r="N303" s="29">
        <f>VLOOKUP(A303,Database!$E:$AY,MATCH($N$1,Database!$E$1:$AY$1,0),FALSE)</f>
        <v/>
      </c>
      <c r="O303" s="29">
        <f>(((Table134567891011121314151617343[[#This Row],[USA]]-VLOOKUP($U$1,A:N,14,))/VLOOKUP($U$1,A:N,14,))*100)+100</f>
        <v/>
      </c>
      <c r="P303" s="29">
        <f>VLOOKUP(A303,Database!$E:$AY,MATCH($P$1,Database!$E$1:$AY$1,0),FALSE)</f>
        <v/>
      </c>
      <c r="Q303" s="29">
        <f>(((Table134567891011121314151617343[[#This Row],[JPN]]-VLOOKUP($U$1,A:Q,16,))/VLOOKUP($U$1,A:Q,16,))*100)+100</f>
        <v/>
      </c>
    </row>
    <row r="304" customFormat="1" s="129">
      <c r="A304" s="28" t="n">
        <v>42064</v>
      </c>
      <c r="B304" s="29">
        <f>VLOOKUP(A304,Database!$E:$AY,MATCH($B$1,Database!$E$1:$AY$1,0),FALSE)</f>
        <v/>
      </c>
      <c r="C304" s="29">
        <f>VLOOKUP(A304,Database!$E:$AY,MATCH($C$1,Database!$E$1:$AY$1,0),FALSE)</f>
        <v/>
      </c>
      <c r="D304" s="29">
        <f>VLOOKUP(A304,Database!$E:$AY,MATCH($D$1,Database!$E$1:$AY$1,0),FALSE)</f>
        <v/>
      </c>
      <c r="E304" s="29">
        <f>VLOOKUP(A304,Database!$E:$AY,MATCH($E$1,Database!$E$1:$AY$1,0),FALSE)</f>
        <v/>
      </c>
      <c r="F304" s="29">
        <f>VLOOKUP(A304,Database!$E:$AY,MATCH($F$1,Database!$E$1:$AY$1,0),FALSE)</f>
        <v/>
      </c>
      <c r="G304" s="29">
        <f>VLOOKUP(A304,Database!$E:$AY,MATCH($G$1,Database!$E$1:$AY$1,0),FALSE)</f>
        <v/>
      </c>
      <c r="H304" s="29">
        <f>(((Table134567891011121314151617343[[#This Row],[ITA]]-VLOOKUP($U$1,A:B,2,))/VLOOKUP($U$1,A:B,2,))*100)+100</f>
        <v/>
      </c>
      <c r="I304" s="29">
        <f>(((Table134567891011121314151617343[[#This Row],[FRA]]-VLOOKUP($U$1,A:C,3,))/VLOOKUP($U$1,A:C,3,))*100)+100</f>
        <v/>
      </c>
      <c r="J304" s="29">
        <f>(((Table134567891011121314151617343[[#This Row],[DEU]]-VLOOKUP($U$1,A:D,4,))/VLOOKUP($U$1,A:D,4,))*100)+100</f>
        <v/>
      </c>
      <c r="K304" s="29">
        <f>(((Table134567891011121314151617343[[#This Row],[ESP]]-VLOOKUP($U$1,A:E,5,))/VLOOKUP($U$1,A:E,5,))*100)+100</f>
        <v/>
      </c>
      <c r="L304" s="29">
        <f>(((Table134567891011121314151617343[[#This Row],[EA19]]-VLOOKUP($U$1,A:F,6,))/VLOOKUP($U$1,A:F,6,))*100)+100</f>
        <v/>
      </c>
      <c r="M304" s="29">
        <f>(((Table134567891011121314151617343[[#This Row],[GBR]]-VLOOKUP($U$1,A:G,7,))/VLOOKUP($U$1,A:G,7,))*100)+100</f>
        <v/>
      </c>
      <c r="N304" s="29">
        <f>VLOOKUP(A304,Database!$E:$AY,MATCH($N$1,Database!$E$1:$AY$1,0),FALSE)</f>
        <v/>
      </c>
      <c r="O304" s="29">
        <f>(((Table134567891011121314151617343[[#This Row],[USA]]-VLOOKUP($U$1,A:N,14,))/VLOOKUP($U$1,A:N,14,))*100)+100</f>
        <v/>
      </c>
      <c r="P304" s="29">
        <f>VLOOKUP(A304,Database!$E:$AY,MATCH($P$1,Database!$E$1:$AY$1,0),FALSE)</f>
        <v/>
      </c>
      <c r="Q304" s="29">
        <f>(((Table134567891011121314151617343[[#This Row],[JPN]]-VLOOKUP($U$1,A:Q,16,))/VLOOKUP($U$1,A:Q,16,))*100)+100</f>
        <v/>
      </c>
    </row>
    <row r="305" customFormat="1" s="129">
      <c r="A305" s="28" t="n">
        <v>42095</v>
      </c>
      <c r="B305" s="29">
        <f>VLOOKUP(A305,Database!$E:$AY,MATCH($B$1,Database!$E$1:$AY$1,0),FALSE)</f>
        <v/>
      </c>
      <c r="C305" s="29">
        <f>VLOOKUP(A305,Database!$E:$AY,MATCH($C$1,Database!$E$1:$AY$1,0),FALSE)</f>
        <v/>
      </c>
      <c r="D305" s="29">
        <f>VLOOKUP(A305,Database!$E:$AY,MATCH($D$1,Database!$E$1:$AY$1,0),FALSE)</f>
        <v/>
      </c>
      <c r="E305" s="29">
        <f>VLOOKUP(A305,Database!$E:$AY,MATCH($E$1,Database!$E$1:$AY$1,0),FALSE)</f>
        <v/>
      </c>
      <c r="F305" s="29">
        <f>VLOOKUP(A305,Database!$E:$AY,MATCH($F$1,Database!$E$1:$AY$1,0),FALSE)</f>
        <v/>
      </c>
      <c r="G305" s="29">
        <f>VLOOKUP(A305,Database!$E:$AY,MATCH($G$1,Database!$E$1:$AY$1,0),FALSE)</f>
        <v/>
      </c>
      <c r="H305" s="29">
        <f>(((Table134567891011121314151617343[[#This Row],[ITA]]-VLOOKUP($U$1,A:B,2,))/VLOOKUP($U$1,A:B,2,))*100)+100</f>
        <v/>
      </c>
      <c r="I305" s="29">
        <f>(((Table134567891011121314151617343[[#This Row],[FRA]]-VLOOKUP($U$1,A:C,3,))/VLOOKUP($U$1,A:C,3,))*100)+100</f>
        <v/>
      </c>
      <c r="J305" s="29">
        <f>(((Table134567891011121314151617343[[#This Row],[DEU]]-VLOOKUP($U$1,A:D,4,))/VLOOKUP($U$1,A:D,4,))*100)+100</f>
        <v/>
      </c>
      <c r="K305" s="29">
        <f>(((Table134567891011121314151617343[[#This Row],[ESP]]-VLOOKUP($U$1,A:E,5,))/VLOOKUP($U$1,A:E,5,))*100)+100</f>
        <v/>
      </c>
      <c r="L305" s="29">
        <f>(((Table134567891011121314151617343[[#This Row],[EA19]]-VLOOKUP($U$1,A:F,6,))/VLOOKUP($U$1,A:F,6,))*100)+100</f>
        <v/>
      </c>
      <c r="M305" s="29">
        <f>(((Table134567891011121314151617343[[#This Row],[GBR]]-VLOOKUP($U$1,A:G,7,))/VLOOKUP($U$1,A:G,7,))*100)+100</f>
        <v/>
      </c>
      <c r="N305" s="29">
        <f>VLOOKUP(A305,Database!$E:$AY,MATCH($N$1,Database!$E$1:$AY$1,0),FALSE)</f>
        <v/>
      </c>
      <c r="O305" s="29">
        <f>(((Table134567891011121314151617343[[#This Row],[USA]]-VLOOKUP($U$1,A:N,14,))/VLOOKUP($U$1,A:N,14,))*100)+100</f>
        <v/>
      </c>
      <c r="P305" s="29">
        <f>VLOOKUP(A305,Database!$E:$AY,MATCH($P$1,Database!$E$1:$AY$1,0),FALSE)</f>
        <v/>
      </c>
      <c r="Q305" s="29">
        <f>(((Table134567891011121314151617343[[#This Row],[JPN]]-VLOOKUP($U$1,A:Q,16,))/VLOOKUP($U$1,A:Q,16,))*100)+100</f>
        <v/>
      </c>
    </row>
    <row r="306" customFormat="1" s="129">
      <c r="A306" s="28" t="n">
        <v>42125</v>
      </c>
      <c r="B306" s="29">
        <f>VLOOKUP(A306,Database!$E:$AY,MATCH($B$1,Database!$E$1:$AY$1,0),FALSE)</f>
        <v/>
      </c>
      <c r="C306" s="29">
        <f>VLOOKUP(A306,Database!$E:$AY,MATCH($C$1,Database!$E$1:$AY$1,0),FALSE)</f>
        <v/>
      </c>
      <c r="D306" s="29">
        <f>VLOOKUP(A306,Database!$E:$AY,MATCH($D$1,Database!$E$1:$AY$1,0),FALSE)</f>
        <v/>
      </c>
      <c r="E306" s="29">
        <f>VLOOKUP(A306,Database!$E:$AY,MATCH($E$1,Database!$E$1:$AY$1,0),FALSE)</f>
        <v/>
      </c>
      <c r="F306" s="29">
        <f>VLOOKUP(A306,Database!$E:$AY,MATCH($F$1,Database!$E$1:$AY$1,0),FALSE)</f>
        <v/>
      </c>
      <c r="G306" s="29">
        <f>VLOOKUP(A306,Database!$E:$AY,MATCH($G$1,Database!$E$1:$AY$1,0),FALSE)</f>
        <v/>
      </c>
      <c r="H306" s="29">
        <f>(((Table134567891011121314151617343[[#This Row],[ITA]]-VLOOKUP($U$1,A:B,2,))/VLOOKUP($U$1,A:B,2,))*100)+100</f>
        <v/>
      </c>
      <c r="I306" s="29">
        <f>(((Table134567891011121314151617343[[#This Row],[FRA]]-VLOOKUP($U$1,A:C,3,))/VLOOKUP($U$1,A:C,3,))*100)+100</f>
        <v/>
      </c>
      <c r="J306" s="29">
        <f>(((Table134567891011121314151617343[[#This Row],[DEU]]-VLOOKUP($U$1,A:D,4,))/VLOOKUP($U$1,A:D,4,))*100)+100</f>
        <v/>
      </c>
      <c r="K306" s="29">
        <f>(((Table134567891011121314151617343[[#This Row],[ESP]]-VLOOKUP($U$1,A:E,5,))/VLOOKUP($U$1,A:E,5,))*100)+100</f>
        <v/>
      </c>
      <c r="L306" s="29">
        <f>(((Table134567891011121314151617343[[#This Row],[EA19]]-VLOOKUP($U$1,A:F,6,))/VLOOKUP($U$1,A:F,6,))*100)+100</f>
        <v/>
      </c>
      <c r="M306" s="29">
        <f>(((Table134567891011121314151617343[[#This Row],[GBR]]-VLOOKUP($U$1,A:G,7,))/VLOOKUP($U$1,A:G,7,))*100)+100</f>
        <v/>
      </c>
      <c r="N306" s="29">
        <f>VLOOKUP(A306,Database!$E:$AY,MATCH($N$1,Database!$E$1:$AY$1,0),FALSE)</f>
        <v/>
      </c>
      <c r="O306" s="29">
        <f>(((Table134567891011121314151617343[[#This Row],[USA]]-VLOOKUP($U$1,A:N,14,))/VLOOKUP($U$1,A:N,14,))*100)+100</f>
        <v/>
      </c>
      <c r="P306" s="29">
        <f>VLOOKUP(A306,Database!$E:$AY,MATCH($P$1,Database!$E$1:$AY$1,0),FALSE)</f>
        <v/>
      </c>
      <c r="Q306" s="29">
        <f>(((Table134567891011121314151617343[[#This Row],[JPN]]-VLOOKUP($U$1,A:Q,16,))/VLOOKUP($U$1,A:Q,16,))*100)+100</f>
        <v/>
      </c>
    </row>
    <row r="307" customFormat="1" s="129">
      <c r="A307" s="28" t="n">
        <v>42156</v>
      </c>
      <c r="B307" s="29">
        <f>VLOOKUP(A307,Database!$E:$AY,MATCH($B$1,Database!$E$1:$AY$1,0),FALSE)</f>
        <v/>
      </c>
      <c r="C307" s="29">
        <f>VLOOKUP(A307,Database!$E:$AY,MATCH($C$1,Database!$E$1:$AY$1,0),FALSE)</f>
        <v/>
      </c>
      <c r="D307" s="29">
        <f>VLOOKUP(A307,Database!$E:$AY,MATCH($D$1,Database!$E$1:$AY$1,0),FALSE)</f>
        <v/>
      </c>
      <c r="E307" s="29">
        <f>VLOOKUP(A307,Database!$E:$AY,MATCH($E$1,Database!$E$1:$AY$1,0),FALSE)</f>
        <v/>
      </c>
      <c r="F307" s="29">
        <f>VLOOKUP(A307,Database!$E:$AY,MATCH($F$1,Database!$E$1:$AY$1,0),FALSE)</f>
        <v/>
      </c>
      <c r="G307" s="29">
        <f>VLOOKUP(A307,Database!$E:$AY,MATCH($G$1,Database!$E$1:$AY$1,0),FALSE)</f>
        <v/>
      </c>
      <c r="H307" s="29">
        <f>(((Table134567891011121314151617343[[#This Row],[ITA]]-VLOOKUP($U$1,A:B,2,))/VLOOKUP($U$1,A:B,2,))*100)+100</f>
        <v/>
      </c>
      <c r="I307" s="29">
        <f>(((Table134567891011121314151617343[[#This Row],[FRA]]-VLOOKUP($U$1,A:C,3,))/VLOOKUP($U$1,A:C,3,))*100)+100</f>
        <v/>
      </c>
      <c r="J307" s="29">
        <f>(((Table134567891011121314151617343[[#This Row],[DEU]]-VLOOKUP($U$1,A:D,4,))/VLOOKUP($U$1,A:D,4,))*100)+100</f>
        <v/>
      </c>
      <c r="K307" s="29">
        <f>(((Table134567891011121314151617343[[#This Row],[ESP]]-VLOOKUP($U$1,A:E,5,))/VLOOKUP($U$1,A:E,5,))*100)+100</f>
        <v/>
      </c>
      <c r="L307" s="29">
        <f>(((Table134567891011121314151617343[[#This Row],[EA19]]-VLOOKUP($U$1,A:F,6,))/VLOOKUP($U$1,A:F,6,))*100)+100</f>
        <v/>
      </c>
      <c r="M307" s="29">
        <f>(((Table134567891011121314151617343[[#This Row],[GBR]]-VLOOKUP($U$1,A:G,7,))/VLOOKUP($U$1,A:G,7,))*100)+100</f>
        <v/>
      </c>
      <c r="N307" s="29">
        <f>VLOOKUP(A307,Database!$E:$AY,MATCH($N$1,Database!$E$1:$AY$1,0),FALSE)</f>
        <v/>
      </c>
      <c r="O307" s="29">
        <f>(((Table134567891011121314151617343[[#This Row],[USA]]-VLOOKUP($U$1,A:N,14,))/VLOOKUP($U$1,A:N,14,))*100)+100</f>
        <v/>
      </c>
      <c r="P307" s="29">
        <f>VLOOKUP(A307,Database!$E:$AY,MATCH($P$1,Database!$E$1:$AY$1,0),FALSE)</f>
        <v/>
      </c>
      <c r="Q307" s="29">
        <f>(((Table134567891011121314151617343[[#This Row],[JPN]]-VLOOKUP($U$1,A:Q,16,))/VLOOKUP($U$1,A:Q,16,))*100)+100</f>
        <v/>
      </c>
    </row>
    <row r="308" customFormat="1" s="129">
      <c r="A308" s="28" t="n">
        <v>42186</v>
      </c>
      <c r="B308" s="29">
        <f>VLOOKUP(A308,Database!$E:$AY,MATCH($B$1,Database!$E$1:$AY$1,0),FALSE)</f>
        <v/>
      </c>
      <c r="C308" s="29">
        <f>VLOOKUP(A308,Database!$E:$AY,MATCH($C$1,Database!$E$1:$AY$1,0),FALSE)</f>
        <v/>
      </c>
      <c r="D308" s="29">
        <f>VLOOKUP(A308,Database!$E:$AY,MATCH($D$1,Database!$E$1:$AY$1,0),FALSE)</f>
        <v/>
      </c>
      <c r="E308" s="29">
        <f>VLOOKUP(A308,Database!$E:$AY,MATCH($E$1,Database!$E$1:$AY$1,0),FALSE)</f>
        <v/>
      </c>
      <c r="F308" s="29">
        <f>VLOOKUP(A308,Database!$E:$AY,MATCH($F$1,Database!$E$1:$AY$1,0),FALSE)</f>
        <v/>
      </c>
      <c r="G308" s="29">
        <f>VLOOKUP(A308,Database!$E:$AY,MATCH($G$1,Database!$E$1:$AY$1,0),FALSE)</f>
        <v/>
      </c>
      <c r="H308" s="29">
        <f>(((Table134567891011121314151617343[[#This Row],[ITA]]-VLOOKUP($U$1,A:B,2,))/VLOOKUP($U$1,A:B,2,))*100)+100</f>
        <v/>
      </c>
      <c r="I308" s="29">
        <f>(((Table134567891011121314151617343[[#This Row],[FRA]]-VLOOKUP($U$1,A:C,3,))/VLOOKUP($U$1,A:C,3,))*100)+100</f>
        <v/>
      </c>
      <c r="J308" s="29">
        <f>(((Table134567891011121314151617343[[#This Row],[DEU]]-VLOOKUP($U$1,A:D,4,))/VLOOKUP($U$1,A:D,4,))*100)+100</f>
        <v/>
      </c>
      <c r="K308" s="29">
        <f>(((Table134567891011121314151617343[[#This Row],[ESP]]-VLOOKUP($U$1,A:E,5,))/VLOOKUP($U$1,A:E,5,))*100)+100</f>
        <v/>
      </c>
      <c r="L308" s="29">
        <f>(((Table134567891011121314151617343[[#This Row],[EA19]]-VLOOKUP($U$1,A:F,6,))/VLOOKUP($U$1,A:F,6,))*100)+100</f>
        <v/>
      </c>
      <c r="M308" s="29">
        <f>(((Table134567891011121314151617343[[#This Row],[GBR]]-VLOOKUP($U$1,A:G,7,))/VLOOKUP($U$1,A:G,7,))*100)+100</f>
        <v/>
      </c>
      <c r="N308" s="29">
        <f>VLOOKUP(A308,Database!$E:$AY,MATCH($N$1,Database!$E$1:$AY$1,0),FALSE)</f>
        <v/>
      </c>
      <c r="O308" s="29">
        <f>(((Table134567891011121314151617343[[#This Row],[USA]]-VLOOKUP($U$1,A:N,14,))/VLOOKUP($U$1,A:N,14,))*100)+100</f>
        <v/>
      </c>
      <c r="P308" s="29">
        <f>VLOOKUP(A308,Database!$E:$AY,MATCH($P$1,Database!$E$1:$AY$1,0),FALSE)</f>
        <v/>
      </c>
      <c r="Q308" s="29">
        <f>(((Table134567891011121314151617343[[#This Row],[JPN]]-VLOOKUP($U$1,A:Q,16,))/VLOOKUP($U$1,A:Q,16,))*100)+100</f>
        <v/>
      </c>
    </row>
    <row r="309" customFormat="1" s="129">
      <c r="A309" s="28" t="n">
        <v>42217</v>
      </c>
      <c r="B309" s="29">
        <f>VLOOKUP(A309,Database!$E:$AY,MATCH($B$1,Database!$E$1:$AY$1,0),FALSE)</f>
        <v/>
      </c>
      <c r="C309" s="29">
        <f>VLOOKUP(A309,Database!$E:$AY,MATCH($C$1,Database!$E$1:$AY$1,0),FALSE)</f>
        <v/>
      </c>
      <c r="D309" s="29">
        <f>VLOOKUP(A309,Database!$E:$AY,MATCH($D$1,Database!$E$1:$AY$1,0),FALSE)</f>
        <v/>
      </c>
      <c r="E309" s="29">
        <f>VLOOKUP(A309,Database!$E:$AY,MATCH($E$1,Database!$E$1:$AY$1,0),FALSE)</f>
        <v/>
      </c>
      <c r="F309" s="29">
        <f>VLOOKUP(A309,Database!$E:$AY,MATCH($F$1,Database!$E$1:$AY$1,0),FALSE)</f>
        <v/>
      </c>
      <c r="G309" s="29">
        <f>VLOOKUP(A309,Database!$E:$AY,MATCH($G$1,Database!$E$1:$AY$1,0),FALSE)</f>
        <v/>
      </c>
      <c r="H309" s="29">
        <f>(((Table134567891011121314151617343[[#This Row],[ITA]]-VLOOKUP($U$1,A:B,2,))/VLOOKUP($U$1,A:B,2,))*100)+100</f>
        <v/>
      </c>
      <c r="I309" s="29">
        <f>(((Table134567891011121314151617343[[#This Row],[FRA]]-VLOOKUP($U$1,A:C,3,))/VLOOKUP($U$1,A:C,3,))*100)+100</f>
        <v/>
      </c>
      <c r="J309" s="29">
        <f>(((Table134567891011121314151617343[[#This Row],[DEU]]-VLOOKUP($U$1,A:D,4,))/VLOOKUP($U$1,A:D,4,))*100)+100</f>
        <v/>
      </c>
      <c r="K309" s="29">
        <f>(((Table134567891011121314151617343[[#This Row],[ESP]]-VLOOKUP($U$1,A:E,5,))/VLOOKUP($U$1,A:E,5,))*100)+100</f>
        <v/>
      </c>
      <c r="L309" s="29">
        <f>(((Table134567891011121314151617343[[#This Row],[EA19]]-VLOOKUP($U$1,A:F,6,))/VLOOKUP($U$1,A:F,6,))*100)+100</f>
        <v/>
      </c>
      <c r="M309" s="29">
        <f>(((Table134567891011121314151617343[[#This Row],[GBR]]-VLOOKUP($U$1,A:G,7,))/VLOOKUP($U$1,A:G,7,))*100)+100</f>
        <v/>
      </c>
      <c r="N309" s="29">
        <f>VLOOKUP(A309,Database!$E:$AY,MATCH($N$1,Database!$E$1:$AY$1,0),FALSE)</f>
        <v/>
      </c>
      <c r="O309" s="29">
        <f>(((Table134567891011121314151617343[[#This Row],[USA]]-VLOOKUP($U$1,A:N,14,))/VLOOKUP($U$1,A:N,14,))*100)+100</f>
        <v/>
      </c>
      <c r="P309" s="29">
        <f>VLOOKUP(A309,Database!$E:$AY,MATCH($P$1,Database!$E$1:$AY$1,0),FALSE)</f>
        <v/>
      </c>
      <c r="Q309" s="29">
        <f>(((Table134567891011121314151617343[[#This Row],[JPN]]-VLOOKUP($U$1,A:Q,16,))/VLOOKUP($U$1,A:Q,16,))*100)+100</f>
        <v/>
      </c>
    </row>
    <row r="310" customFormat="1" s="129">
      <c r="A310" s="28" t="n">
        <v>42248</v>
      </c>
      <c r="B310" s="29">
        <f>VLOOKUP(A310,Database!$E:$AY,MATCH($B$1,Database!$E$1:$AY$1,0),FALSE)</f>
        <v/>
      </c>
      <c r="C310" s="29">
        <f>VLOOKUP(A310,Database!$E:$AY,MATCH($C$1,Database!$E$1:$AY$1,0),FALSE)</f>
        <v/>
      </c>
      <c r="D310" s="29">
        <f>VLOOKUP(A310,Database!$E:$AY,MATCH($D$1,Database!$E$1:$AY$1,0),FALSE)</f>
        <v/>
      </c>
      <c r="E310" s="29">
        <f>VLOOKUP(A310,Database!$E:$AY,MATCH($E$1,Database!$E$1:$AY$1,0),FALSE)</f>
        <v/>
      </c>
      <c r="F310" s="29">
        <f>VLOOKUP(A310,Database!$E:$AY,MATCH($F$1,Database!$E$1:$AY$1,0),FALSE)</f>
        <v/>
      </c>
      <c r="G310" s="29">
        <f>VLOOKUP(A310,Database!$E:$AY,MATCH($G$1,Database!$E$1:$AY$1,0),FALSE)</f>
        <v/>
      </c>
      <c r="H310" s="29">
        <f>(((Table134567891011121314151617343[[#This Row],[ITA]]-VLOOKUP($U$1,A:B,2,))/VLOOKUP($U$1,A:B,2,))*100)+100</f>
        <v/>
      </c>
      <c r="I310" s="29">
        <f>(((Table134567891011121314151617343[[#This Row],[FRA]]-VLOOKUP($U$1,A:C,3,))/VLOOKUP($U$1,A:C,3,))*100)+100</f>
        <v/>
      </c>
      <c r="J310" s="29">
        <f>(((Table134567891011121314151617343[[#This Row],[DEU]]-VLOOKUP($U$1,A:D,4,))/VLOOKUP($U$1,A:D,4,))*100)+100</f>
        <v/>
      </c>
      <c r="K310" s="29">
        <f>(((Table134567891011121314151617343[[#This Row],[ESP]]-VLOOKUP($U$1,A:E,5,))/VLOOKUP($U$1,A:E,5,))*100)+100</f>
        <v/>
      </c>
      <c r="L310" s="29">
        <f>(((Table134567891011121314151617343[[#This Row],[EA19]]-VLOOKUP($U$1,A:F,6,))/VLOOKUP($U$1,A:F,6,))*100)+100</f>
        <v/>
      </c>
      <c r="M310" s="29">
        <f>(((Table134567891011121314151617343[[#This Row],[GBR]]-VLOOKUP($U$1,A:G,7,))/VLOOKUP($U$1,A:G,7,))*100)+100</f>
        <v/>
      </c>
      <c r="N310" s="29">
        <f>VLOOKUP(A310,Database!$E:$AY,MATCH($N$1,Database!$E$1:$AY$1,0),FALSE)</f>
        <v/>
      </c>
      <c r="O310" s="29">
        <f>(((Table134567891011121314151617343[[#This Row],[USA]]-VLOOKUP($U$1,A:N,14,))/VLOOKUP($U$1,A:N,14,))*100)+100</f>
        <v/>
      </c>
      <c r="P310" s="29">
        <f>VLOOKUP(A310,Database!$E:$AY,MATCH($P$1,Database!$E$1:$AY$1,0),FALSE)</f>
        <v/>
      </c>
      <c r="Q310" s="29">
        <f>(((Table134567891011121314151617343[[#This Row],[JPN]]-VLOOKUP($U$1,A:Q,16,))/VLOOKUP($U$1,A:Q,16,))*100)+100</f>
        <v/>
      </c>
    </row>
    <row r="311" customFormat="1" s="129">
      <c r="A311" s="28" t="n">
        <v>42278</v>
      </c>
      <c r="B311" s="29">
        <f>VLOOKUP(A311,Database!$E:$AY,MATCH($B$1,Database!$E$1:$AY$1,0),FALSE)</f>
        <v/>
      </c>
      <c r="C311" s="29">
        <f>VLOOKUP(A311,Database!$E:$AY,MATCH($C$1,Database!$E$1:$AY$1,0),FALSE)</f>
        <v/>
      </c>
      <c r="D311" s="29">
        <f>VLOOKUP(A311,Database!$E:$AY,MATCH($D$1,Database!$E$1:$AY$1,0),FALSE)</f>
        <v/>
      </c>
      <c r="E311" s="29">
        <f>VLOOKUP(A311,Database!$E:$AY,MATCH($E$1,Database!$E$1:$AY$1,0),FALSE)</f>
        <v/>
      </c>
      <c r="F311" s="29">
        <f>VLOOKUP(A311,Database!$E:$AY,MATCH($F$1,Database!$E$1:$AY$1,0),FALSE)</f>
        <v/>
      </c>
      <c r="G311" s="29">
        <f>VLOOKUP(A311,Database!$E:$AY,MATCH($G$1,Database!$E$1:$AY$1,0),FALSE)</f>
        <v/>
      </c>
      <c r="H311" s="29">
        <f>(((Table134567891011121314151617343[[#This Row],[ITA]]-VLOOKUP($U$1,A:B,2,))/VLOOKUP($U$1,A:B,2,))*100)+100</f>
        <v/>
      </c>
      <c r="I311" s="29">
        <f>(((Table134567891011121314151617343[[#This Row],[FRA]]-VLOOKUP($U$1,A:C,3,))/VLOOKUP($U$1,A:C,3,))*100)+100</f>
        <v/>
      </c>
      <c r="J311" s="29">
        <f>(((Table134567891011121314151617343[[#This Row],[DEU]]-VLOOKUP($U$1,A:D,4,))/VLOOKUP($U$1,A:D,4,))*100)+100</f>
        <v/>
      </c>
      <c r="K311" s="29">
        <f>(((Table134567891011121314151617343[[#This Row],[ESP]]-VLOOKUP($U$1,A:E,5,))/VLOOKUP($U$1,A:E,5,))*100)+100</f>
        <v/>
      </c>
      <c r="L311" s="29">
        <f>(((Table134567891011121314151617343[[#This Row],[EA19]]-VLOOKUP($U$1,A:F,6,))/VLOOKUP($U$1,A:F,6,))*100)+100</f>
        <v/>
      </c>
      <c r="M311" s="29">
        <f>(((Table134567891011121314151617343[[#This Row],[GBR]]-VLOOKUP($U$1,A:G,7,))/VLOOKUP($U$1,A:G,7,))*100)+100</f>
        <v/>
      </c>
      <c r="N311" s="29">
        <f>VLOOKUP(A311,Database!$E:$AY,MATCH($N$1,Database!$E$1:$AY$1,0),FALSE)</f>
        <v/>
      </c>
      <c r="O311" s="29">
        <f>(((Table134567891011121314151617343[[#This Row],[USA]]-VLOOKUP($U$1,A:N,14,))/VLOOKUP($U$1,A:N,14,))*100)+100</f>
        <v/>
      </c>
      <c r="P311" s="29">
        <f>VLOOKUP(A311,Database!$E:$AY,MATCH($P$1,Database!$E$1:$AY$1,0),FALSE)</f>
        <v/>
      </c>
      <c r="Q311" s="29">
        <f>(((Table134567891011121314151617343[[#This Row],[JPN]]-VLOOKUP($U$1,A:Q,16,))/VLOOKUP($U$1,A:Q,16,))*100)+100</f>
        <v/>
      </c>
    </row>
    <row r="312" customFormat="1" s="129">
      <c r="A312" s="28" t="n">
        <v>42309</v>
      </c>
      <c r="B312" s="29">
        <f>VLOOKUP(A312,Database!$E:$AY,MATCH($B$1,Database!$E$1:$AY$1,0),FALSE)</f>
        <v/>
      </c>
      <c r="C312" s="29">
        <f>VLOOKUP(A312,Database!$E:$AY,MATCH($C$1,Database!$E$1:$AY$1,0),FALSE)</f>
        <v/>
      </c>
      <c r="D312" s="29">
        <f>VLOOKUP(A312,Database!$E:$AY,MATCH($D$1,Database!$E$1:$AY$1,0),FALSE)</f>
        <v/>
      </c>
      <c r="E312" s="29">
        <f>VLOOKUP(A312,Database!$E:$AY,MATCH($E$1,Database!$E$1:$AY$1,0),FALSE)</f>
        <v/>
      </c>
      <c r="F312" s="29">
        <f>VLOOKUP(A312,Database!$E:$AY,MATCH($F$1,Database!$E$1:$AY$1,0),FALSE)</f>
        <v/>
      </c>
      <c r="G312" s="29">
        <f>VLOOKUP(A312,Database!$E:$AY,MATCH($G$1,Database!$E$1:$AY$1,0),FALSE)</f>
        <v/>
      </c>
      <c r="H312" s="29">
        <f>(((Table134567891011121314151617343[[#This Row],[ITA]]-VLOOKUP($U$1,A:B,2,))/VLOOKUP($U$1,A:B,2,))*100)+100</f>
        <v/>
      </c>
      <c r="I312" s="29">
        <f>(((Table134567891011121314151617343[[#This Row],[FRA]]-VLOOKUP($U$1,A:C,3,))/VLOOKUP($U$1,A:C,3,))*100)+100</f>
        <v/>
      </c>
      <c r="J312" s="29">
        <f>(((Table134567891011121314151617343[[#This Row],[DEU]]-VLOOKUP($U$1,A:D,4,))/VLOOKUP($U$1,A:D,4,))*100)+100</f>
        <v/>
      </c>
      <c r="K312" s="29">
        <f>(((Table134567891011121314151617343[[#This Row],[ESP]]-VLOOKUP($U$1,A:E,5,))/VLOOKUP($U$1,A:E,5,))*100)+100</f>
        <v/>
      </c>
      <c r="L312" s="29">
        <f>(((Table134567891011121314151617343[[#This Row],[EA19]]-VLOOKUP($U$1,A:F,6,))/VLOOKUP($U$1,A:F,6,))*100)+100</f>
        <v/>
      </c>
      <c r="M312" s="29">
        <f>(((Table134567891011121314151617343[[#This Row],[GBR]]-VLOOKUP($U$1,A:G,7,))/VLOOKUP($U$1,A:G,7,))*100)+100</f>
        <v/>
      </c>
      <c r="N312" s="29">
        <f>VLOOKUP(A312,Database!$E:$AY,MATCH($N$1,Database!$E$1:$AY$1,0),FALSE)</f>
        <v/>
      </c>
      <c r="O312" s="29">
        <f>(((Table134567891011121314151617343[[#This Row],[USA]]-VLOOKUP($U$1,A:N,14,))/VLOOKUP($U$1,A:N,14,))*100)+100</f>
        <v/>
      </c>
      <c r="P312" s="29">
        <f>VLOOKUP(A312,Database!$E:$AY,MATCH($P$1,Database!$E$1:$AY$1,0),FALSE)</f>
        <v/>
      </c>
      <c r="Q312" s="29">
        <f>(((Table134567891011121314151617343[[#This Row],[JPN]]-VLOOKUP($U$1,A:Q,16,))/VLOOKUP($U$1,A:Q,16,))*100)+100</f>
        <v/>
      </c>
    </row>
    <row r="313" customFormat="1" s="129">
      <c r="A313" s="28" t="n">
        <v>42339</v>
      </c>
      <c r="B313" s="29">
        <f>VLOOKUP(A313,Database!$E:$AY,MATCH($B$1,Database!$E$1:$AY$1,0),FALSE)</f>
        <v/>
      </c>
      <c r="C313" s="29">
        <f>VLOOKUP(A313,Database!$E:$AY,MATCH($C$1,Database!$E$1:$AY$1,0),FALSE)</f>
        <v/>
      </c>
      <c r="D313" s="29">
        <f>VLOOKUP(A313,Database!$E:$AY,MATCH($D$1,Database!$E$1:$AY$1,0),FALSE)</f>
        <v/>
      </c>
      <c r="E313" s="29">
        <f>VLOOKUP(A313,Database!$E:$AY,MATCH($E$1,Database!$E$1:$AY$1,0),FALSE)</f>
        <v/>
      </c>
      <c r="F313" s="29">
        <f>VLOOKUP(A313,Database!$E:$AY,MATCH($F$1,Database!$E$1:$AY$1,0),FALSE)</f>
        <v/>
      </c>
      <c r="G313" s="29">
        <f>VLOOKUP(A313,Database!$E:$AY,MATCH($G$1,Database!$E$1:$AY$1,0),FALSE)</f>
        <v/>
      </c>
      <c r="H313" s="29">
        <f>(((Table134567891011121314151617343[[#This Row],[ITA]]-VLOOKUP($U$1,A:B,2,))/VLOOKUP($U$1,A:B,2,))*100)+100</f>
        <v/>
      </c>
      <c r="I313" s="29">
        <f>(((Table134567891011121314151617343[[#This Row],[FRA]]-VLOOKUP($U$1,A:C,3,))/VLOOKUP($U$1,A:C,3,))*100)+100</f>
        <v/>
      </c>
      <c r="J313" s="29">
        <f>(((Table134567891011121314151617343[[#This Row],[DEU]]-VLOOKUP($U$1,A:D,4,))/VLOOKUP($U$1,A:D,4,))*100)+100</f>
        <v/>
      </c>
      <c r="K313" s="29">
        <f>(((Table134567891011121314151617343[[#This Row],[ESP]]-VLOOKUP($U$1,A:E,5,))/VLOOKUP($U$1,A:E,5,))*100)+100</f>
        <v/>
      </c>
      <c r="L313" s="29">
        <f>(((Table134567891011121314151617343[[#This Row],[EA19]]-VLOOKUP($U$1,A:F,6,))/VLOOKUP($U$1,A:F,6,))*100)+100</f>
        <v/>
      </c>
      <c r="M313" s="29">
        <f>(((Table134567891011121314151617343[[#This Row],[GBR]]-VLOOKUP($U$1,A:G,7,))/VLOOKUP($U$1,A:G,7,))*100)+100</f>
        <v/>
      </c>
      <c r="N313" s="29">
        <f>VLOOKUP(A313,Database!$E:$AY,MATCH($N$1,Database!$E$1:$AY$1,0),FALSE)</f>
        <v/>
      </c>
      <c r="O313" s="29">
        <f>(((Table134567891011121314151617343[[#This Row],[USA]]-VLOOKUP($U$1,A:N,14,))/VLOOKUP($U$1,A:N,14,))*100)+100</f>
        <v/>
      </c>
      <c r="P313" s="29">
        <f>VLOOKUP(A313,Database!$E:$AY,MATCH($P$1,Database!$E$1:$AY$1,0),FALSE)</f>
        <v/>
      </c>
      <c r="Q313" s="29">
        <f>(((Table134567891011121314151617343[[#This Row],[JPN]]-VLOOKUP($U$1,A:Q,16,))/VLOOKUP($U$1,A:Q,16,))*100)+100</f>
        <v/>
      </c>
    </row>
    <row r="314" customFormat="1" s="129">
      <c r="A314" s="28" t="n">
        <v>42370</v>
      </c>
      <c r="B314" s="29">
        <f>VLOOKUP(A314,Database!$E:$AY,MATCH($B$1,Database!$E$1:$AY$1,0),FALSE)</f>
        <v/>
      </c>
      <c r="C314" s="29">
        <f>VLOOKUP(A314,Database!$E:$AY,MATCH($C$1,Database!$E$1:$AY$1,0),FALSE)</f>
        <v/>
      </c>
      <c r="D314" s="29">
        <f>VLOOKUP(A314,Database!$E:$AY,MATCH($D$1,Database!$E$1:$AY$1,0),FALSE)</f>
        <v/>
      </c>
      <c r="E314" s="29">
        <f>VLOOKUP(A314,Database!$E:$AY,MATCH($E$1,Database!$E$1:$AY$1,0),FALSE)</f>
        <v/>
      </c>
      <c r="F314" s="29">
        <f>VLOOKUP(A314,Database!$E:$AY,MATCH($F$1,Database!$E$1:$AY$1,0),FALSE)</f>
        <v/>
      </c>
      <c r="G314" s="29">
        <f>VLOOKUP(A314,Database!$E:$AY,MATCH($G$1,Database!$E$1:$AY$1,0),FALSE)</f>
        <v/>
      </c>
      <c r="H314" s="29">
        <f>(((Table134567891011121314151617343[[#This Row],[ITA]]-VLOOKUP($U$1,A:B,2,))/VLOOKUP($U$1,A:B,2,))*100)+100</f>
        <v/>
      </c>
      <c r="I314" s="29">
        <f>(((Table134567891011121314151617343[[#This Row],[FRA]]-VLOOKUP($U$1,A:C,3,))/VLOOKUP($U$1,A:C,3,))*100)+100</f>
        <v/>
      </c>
      <c r="J314" s="29">
        <f>(((Table134567891011121314151617343[[#This Row],[DEU]]-VLOOKUP($U$1,A:D,4,))/VLOOKUP($U$1,A:D,4,))*100)+100</f>
        <v/>
      </c>
      <c r="K314" s="29">
        <f>(((Table134567891011121314151617343[[#This Row],[ESP]]-VLOOKUP($U$1,A:E,5,))/VLOOKUP($U$1,A:E,5,))*100)+100</f>
        <v/>
      </c>
      <c r="L314" s="29">
        <f>(((Table134567891011121314151617343[[#This Row],[EA19]]-VLOOKUP($U$1,A:F,6,))/VLOOKUP($U$1,A:F,6,))*100)+100</f>
        <v/>
      </c>
      <c r="M314" s="29">
        <f>(((Table134567891011121314151617343[[#This Row],[GBR]]-VLOOKUP($U$1,A:G,7,))/VLOOKUP($U$1,A:G,7,))*100)+100</f>
        <v/>
      </c>
      <c r="N314" s="29">
        <f>VLOOKUP(A314,Database!$E:$AY,MATCH($N$1,Database!$E$1:$AY$1,0),FALSE)</f>
        <v/>
      </c>
      <c r="O314" s="29">
        <f>(((Table134567891011121314151617343[[#This Row],[USA]]-VLOOKUP($U$1,A:N,14,))/VLOOKUP($U$1,A:N,14,))*100)+100</f>
        <v/>
      </c>
      <c r="P314" s="29">
        <f>VLOOKUP(A314,Database!$E:$AY,MATCH($P$1,Database!$E$1:$AY$1,0),FALSE)</f>
        <v/>
      </c>
      <c r="Q314" s="29">
        <f>(((Table134567891011121314151617343[[#This Row],[JPN]]-VLOOKUP($U$1,A:Q,16,))/VLOOKUP($U$1,A:Q,16,))*100)+100</f>
        <v/>
      </c>
    </row>
    <row r="315" customFormat="1" s="129">
      <c r="A315" s="28" t="n">
        <v>42401</v>
      </c>
      <c r="B315" s="29">
        <f>VLOOKUP(A315,Database!$E:$AY,MATCH($B$1,Database!$E$1:$AY$1,0),FALSE)</f>
        <v/>
      </c>
      <c r="C315" s="29">
        <f>VLOOKUP(A315,Database!$E:$AY,MATCH($C$1,Database!$E$1:$AY$1,0),FALSE)</f>
        <v/>
      </c>
      <c r="D315" s="29">
        <f>VLOOKUP(A315,Database!$E:$AY,MATCH($D$1,Database!$E$1:$AY$1,0),FALSE)</f>
        <v/>
      </c>
      <c r="E315" s="29">
        <f>VLOOKUP(A315,Database!$E:$AY,MATCH($E$1,Database!$E$1:$AY$1,0),FALSE)</f>
        <v/>
      </c>
      <c r="F315" s="29">
        <f>VLOOKUP(A315,Database!$E:$AY,MATCH($F$1,Database!$E$1:$AY$1,0),FALSE)</f>
        <v/>
      </c>
      <c r="G315" s="29">
        <f>VLOOKUP(A315,Database!$E:$AY,MATCH($G$1,Database!$E$1:$AY$1,0),FALSE)</f>
        <v/>
      </c>
      <c r="H315" s="29">
        <f>(((Table134567891011121314151617343[[#This Row],[ITA]]-VLOOKUP($U$1,A:B,2,))/VLOOKUP($U$1,A:B,2,))*100)+100</f>
        <v/>
      </c>
      <c r="I315" s="29">
        <f>(((Table134567891011121314151617343[[#This Row],[FRA]]-VLOOKUP($U$1,A:C,3,))/VLOOKUP($U$1,A:C,3,))*100)+100</f>
        <v/>
      </c>
      <c r="J315" s="29">
        <f>(((Table134567891011121314151617343[[#This Row],[DEU]]-VLOOKUP($U$1,A:D,4,))/VLOOKUP($U$1,A:D,4,))*100)+100</f>
        <v/>
      </c>
      <c r="K315" s="29">
        <f>(((Table134567891011121314151617343[[#This Row],[ESP]]-VLOOKUP($U$1,A:E,5,))/VLOOKUP($U$1,A:E,5,))*100)+100</f>
        <v/>
      </c>
      <c r="L315" s="29">
        <f>(((Table134567891011121314151617343[[#This Row],[EA19]]-VLOOKUP($U$1,A:F,6,))/VLOOKUP($U$1,A:F,6,))*100)+100</f>
        <v/>
      </c>
      <c r="M315" s="29">
        <f>(((Table134567891011121314151617343[[#This Row],[GBR]]-VLOOKUP($U$1,A:G,7,))/VLOOKUP($U$1,A:G,7,))*100)+100</f>
        <v/>
      </c>
      <c r="N315" s="29">
        <f>VLOOKUP(A315,Database!$E:$AY,MATCH($N$1,Database!$E$1:$AY$1,0),FALSE)</f>
        <v/>
      </c>
      <c r="O315" s="29">
        <f>(((Table134567891011121314151617343[[#This Row],[USA]]-VLOOKUP($U$1,A:N,14,))/VLOOKUP($U$1,A:N,14,))*100)+100</f>
        <v/>
      </c>
      <c r="P315" s="29">
        <f>VLOOKUP(A315,Database!$E:$AY,MATCH($P$1,Database!$E$1:$AY$1,0),FALSE)</f>
        <v/>
      </c>
      <c r="Q315" s="29">
        <f>(((Table134567891011121314151617343[[#This Row],[JPN]]-VLOOKUP($U$1,A:Q,16,))/VLOOKUP($U$1,A:Q,16,))*100)+100</f>
        <v/>
      </c>
    </row>
    <row r="316" customFormat="1" s="129">
      <c r="A316" s="28" t="n">
        <v>42430</v>
      </c>
      <c r="B316" s="29">
        <f>VLOOKUP(A316,Database!$E:$AY,MATCH($B$1,Database!$E$1:$AY$1,0),FALSE)</f>
        <v/>
      </c>
      <c r="C316" s="29">
        <f>VLOOKUP(A316,Database!$E:$AY,MATCH($C$1,Database!$E$1:$AY$1,0),FALSE)</f>
        <v/>
      </c>
      <c r="D316" s="29">
        <f>VLOOKUP(A316,Database!$E:$AY,MATCH($D$1,Database!$E$1:$AY$1,0),FALSE)</f>
        <v/>
      </c>
      <c r="E316" s="29">
        <f>VLOOKUP(A316,Database!$E:$AY,MATCH($E$1,Database!$E$1:$AY$1,0),FALSE)</f>
        <v/>
      </c>
      <c r="F316" s="29">
        <f>VLOOKUP(A316,Database!$E:$AY,MATCH($F$1,Database!$E$1:$AY$1,0),FALSE)</f>
        <v/>
      </c>
      <c r="G316" s="29">
        <f>VLOOKUP(A316,Database!$E:$AY,MATCH($G$1,Database!$E$1:$AY$1,0),FALSE)</f>
        <v/>
      </c>
      <c r="H316" s="29">
        <f>(((Table134567891011121314151617343[[#This Row],[ITA]]-VLOOKUP($U$1,A:B,2,))/VLOOKUP($U$1,A:B,2,))*100)+100</f>
        <v/>
      </c>
      <c r="I316" s="29">
        <f>(((Table134567891011121314151617343[[#This Row],[FRA]]-VLOOKUP($U$1,A:C,3,))/VLOOKUP($U$1,A:C,3,))*100)+100</f>
        <v/>
      </c>
      <c r="J316" s="29">
        <f>(((Table134567891011121314151617343[[#This Row],[DEU]]-VLOOKUP($U$1,A:D,4,))/VLOOKUP($U$1,A:D,4,))*100)+100</f>
        <v/>
      </c>
      <c r="K316" s="29">
        <f>(((Table134567891011121314151617343[[#This Row],[ESP]]-VLOOKUP($U$1,A:E,5,))/VLOOKUP($U$1,A:E,5,))*100)+100</f>
        <v/>
      </c>
      <c r="L316" s="29">
        <f>(((Table134567891011121314151617343[[#This Row],[EA19]]-VLOOKUP($U$1,A:F,6,))/VLOOKUP($U$1,A:F,6,))*100)+100</f>
        <v/>
      </c>
      <c r="M316" s="29">
        <f>(((Table134567891011121314151617343[[#This Row],[GBR]]-VLOOKUP($U$1,A:G,7,))/VLOOKUP($U$1,A:G,7,))*100)+100</f>
        <v/>
      </c>
      <c r="N316" s="29">
        <f>VLOOKUP(A316,Database!$E:$AY,MATCH($N$1,Database!$E$1:$AY$1,0),FALSE)</f>
        <v/>
      </c>
      <c r="O316" s="29">
        <f>(((Table134567891011121314151617343[[#This Row],[USA]]-VLOOKUP($U$1,A:N,14,))/VLOOKUP($U$1,A:N,14,))*100)+100</f>
        <v/>
      </c>
      <c r="P316" s="29">
        <f>VLOOKUP(A316,Database!$E:$AY,MATCH($P$1,Database!$E$1:$AY$1,0),FALSE)</f>
        <v/>
      </c>
      <c r="Q316" s="29">
        <f>(((Table134567891011121314151617343[[#This Row],[JPN]]-VLOOKUP($U$1,A:Q,16,))/VLOOKUP($U$1,A:Q,16,))*100)+100</f>
        <v/>
      </c>
    </row>
    <row r="317" customFormat="1" s="129">
      <c r="A317" s="28" t="n">
        <v>42461</v>
      </c>
      <c r="B317" s="29">
        <f>VLOOKUP(A317,Database!$E:$AY,MATCH($B$1,Database!$E$1:$AY$1,0),FALSE)</f>
        <v/>
      </c>
      <c r="C317" s="29">
        <f>VLOOKUP(A317,Database!$E:$AY,MATCH($C$1,Database!$E$1:$AY$1,0),FALSE)</f>
        <v/>
      </c>
      <c r="D317" s="29">
        <f>VLOOKUP(A317,Database!$E:$AY,MATCH($D$1,Database!$E$1:$AY$1,0),FALSE)</f>
        <v/>
      </c>
      <c r="E317" s="29">
        <f>VLOOKUP(A317,Database!$E:$AY,MATCH($E$1,Database!$E$1:$AY$1,0),FALSE)</f>
        <v/>
      </c>
      <c r="F317" s="29">
        <f>VLOOKUP(A317,Database!$E:$AY,MATCH($F$1,Database!$E$1:$AY$1,0),FALSE)</f>
        <v/>
      </c>
      <c r="G317" s="29">
        <f>VLOOKUP(A317,Database!$E:$AY,MATCH($G$1,Database!$E$1:$AY$1,0),FALSE)</f>
        <v/>
      </c>
      <c r="H317" s="29">
        <f>(((Table134567891011121314151617343[[#This Row],[ITA]]-VLOOKUP($U$1,A:B,2,))/VLOOKUP($U$1,A:B,2,))*100)+100</f>
        <v/>
      </c>
      <c r="I317" s="29">
        <f>(((Table134567891011121314151617343[[#This Row],[FRA]]-VLOOKUP($U$1,A:C,3,))/VLOOKUP($U$1,A:C,3,))*100)+100</f>
        <v/>
      </c>
      <c r="J317" s="29">
        <f>(((Table134567891011121314151617343[[#This Row],[DEU]]-VLOOKUP($U$1,A:D,4,))/VLOOKUP($U$1,A:D,4,))*100)+100</f>
        <v/>
      </c>
      <c r="K317" s="29">
        <f>(((Table134567891011121314151617343[[#This Row],[ESP]]-VLOOKUP($U$1,A:E,5,))/VLOOKUP($U$1,A:E,5,))*100)+100</f>
        <v/>
      </c>
      <c r="L317" s="29">
        <f>(((Table134567891011121314151617343[[#This Row],[EA19]]-VLOOKUP($U$1,A:F,6,))/VLOOKUP($U$1,A:F,6,))*100)+100</f>
        <v/>
      </c>
      <c r="M317" s="29">
        <f>(((Table134567891011121314151617343[[#This Row],[GBR]]-VLOOKUP($U$1,A:G,7,))/VLOOKUP($U$1,A:G,7,))*100)+100</f>
        <v/>
      </c>
      <c r="N317" s="29">
        <f>VLOOKUP(A317,Database!$E:$AY,MATCH($N$1,Database!$E$1:$AY$1,0),FALSE)</f>
        <v/>
      </c>
      <c r="O317" s="29">
        <f>(((Table134567891011121314151617343[[#This Row],[USA]]-VLOOKUP($U$1,A:N,14,))/VLOOKUP($U$1,A:N,14,))*100)+100</f>
        <v/>
      </c>
      <c r="P317" s="29">
        <f>VLOOKUP(A317,Database!$E:$AY,MATCH($P$1,Database!$E$1:$AY$1,0),FALSE)</f>
        <v/>
      </c>
      <c r="Q317" s="29">
        <f>(((Table134567891011121314151617343[[#This Row],[JPN]]-VLOOKUP($U$1,A:Q,16,))/VLOOKUP($U$1,A:Q,16,))*100)+100</f>
        <v/>
      </c>
    </row>
    <row r="318" customFormat="1" s="129">
      <c r="A318" s="28" t="n">
        <v>42491</v>
      </c>
      <c r="B318" s="29">
        <f>VLOOKUP(A318,Database!$E:$AY,MATCH($B$1,Database!$E$1:$AY$1,0),FALSE)</f>
        <v/>
      </c>
      <c r="C318" s="29">
        <f>VLOOKUP(A318,Database!$E:$AY,MATCH($C$1,Database!$E$1:$AY$1,0),FALSE)</f>
        <v/>
      </c>
      <c r="D318" s="29">
        <f>VLOOKUP(A318,Database!$E:$AY,MATCH($D$1,Database!$E$1:$AY$1,0),FALSE)</f>
        <v/>
      </c>
      <c r="E318" s="29">
        <f>VLOOKUP(A318,Database!$E:$AY,MATCH($E$1,Database!$E$1:$AY$1,0),FALSE)</f>
        <v/>
      </c>
      <c r="F318" s="29">
        <f>VLOOKUP(A318,Database!$E:$AY,MATCH($F$1,Database!$E$1:$AY$1,0),FALSE)</f>
        <v/>
      </c>
      <c r="G318" s="29">
        <f>VLOOKUP(A318,Database!$E:$AY,MATCH($G$1,Database!$E$1:$AY$1,0),FALSE)</f>
        <v/>
      </c>
      <c r="H318" s="29">
        <f>(((Table134567891011121314151617343[[#This Row],[ITA]]-VLOOKUP($U$1,A:B,2,))/VLOOKUP($U$1,A:B,2,))*100)+100</f>
        <v/>
      </c>
      <c r="I318" s="29">
        <f>(((Table134567891011121314151617343[[#This Row],[FRA]]-VLOOKUP($U$1,A:C,3,))/VLOOKUP($U$1,A:C,3,))*100)+100</f>
        <v/>
      </c>
      <c r="J318" s="29">
        <f>(((Table134567891011121314151617343[[#This Row],[DEU]]-VLOOKUP($U$1,A:D,4,))/VLOOKUP($U$1,A:D,4,))*100)+100</f>
        <v/>
      </c>
      <c r="K318" s="29">
        <f>(((Table134567891011121314151617343[[#This Row],[ESP]]-VLOOKUP($U$1,A:E,5,))/VLOOKUP($U$1,A:E,5,))*100)+100</f>
        <v/>
      </c>
      <c r="L318" s="29">
        <f>(((Table134567891011121314151617343[[#This Row],[EA19]]-VLOOKUP($U$1,A:F,6,))/VLOOKUP($U$1,A:F,6,))*100)+100</f>
        <v/>
      </c>
      <c r="M318" s="29">
        <f>(((Table134567891011121314151617343[[#This Row],[GBR]]-VLOOKUP($U$1,A:G,7,))/VLOOKUP($U$1,A:G,7,))*100)+100</f>
        <v/>
      </c>
      <c r="N318" s="29">
        <f>VLOOKUP(A318,Database!$E:$AY,MATCH($N$1,Database!$E$1:$AY$1,0),FALSE)</f>
        <v/>
      </c>
      <c r="O318" s="29">
        <f>(((Table134567891011121314151617343[[#This Row],[USA]]-VLOOKUP($U$1,A:N,14,))/VLOOKUP($U$1,A:N,14,))*100)+100</f>
        <v/>
      </c>
      <c r="P318" s="29">
        <f>VLOOKUP(A318,Database!$E:$AY,MATCH($P$1,Database!$E$1:$AY$1,0),FALSE)</f>
        <v/>
      </c>
      <c r="Q318" s="29">
        <f>(((Table134567891011121314151617343[[#This Row],[JPN]]-VLOOKUP($U$1,A:Q,16,))/VLOOKUP($U$1,A:Q,16,))*100)+100</f>
        <v/>
      </c>
    </row>
    <row r="319" customFormat="1" s="129">
      <c r="A319" s="28" t="n">
        <v>42522</v>
      </c>
      <c r="B319" s="29">
        <f>VLOOKUP(A319,Database!$E:$AY,MATCH($B$1,Database!$E$1:$AY$1,0),FALSE)</f>
        <v/>
      </c>
      <c r="C319" s="29">
        <f>VLOOKUP(A319,Database!$E:$AY,MATCH($C$1,Database!$E$1:$AY$1,0),FALSE)</f>
        <v/>
      </c>
      <c r="D319" s="29">
        <f>VLOOKUP(A319,Database!$E:$AY,MATCH($D$1,Database!$E$1:$AY$1,0),FALSE)</f>
        <v/>
      </c>
      <c r="E319" s="29">
        <f>VLOOKUP(A319,Database!$E:$AY,MATCH($E$1,Database!$E$1:$AY$1,0),FALSE)</f>
        <v/>
      </c>
      <c r="F319" s="29">
        <f>VLOOKUP(A319,Database!$E:$AY,MATCH($F$1,Database!$E$1:$AY$1,0),FALSE)</f>
        <v/>
      </c>
      <c r="G319" s="29">
        <f>VLOOKUP(A319,Database!$E:$AY,MATCH($G$1,Database!$E$1:$AY$1,0),FALSE)</f>
        <v/>
      </c>
      <c r="H319" s="29">
        <f>(((Table134567891011121314151617343[[#This Row],[ITA]]-VLOOKUP($U$1,A:B,2,))/VLOOKUP($U$1,A:B,2,))*100)+100</f>
        <v/>
      </c>
      <c r="I319" s="29">
        <f>(((Table134567891011121314151617343[[#This Row],[FRA]]-VLOOKUP($U$1,A:C,3,))/VLOOKUP($U$1,A:C,3,))*100)+100</f>
        <v/>
      </c>
      <c r="J319" s="29">
        <f>(((Table134567891011121314151617343[[#This Row],[DEU]]-VLOOKUP($U$1,A:D,4,))/VLOOKUP($U$1,A:D,4,))*100)+100</f>
        <v/>
      </c>
      <c r="K319" s="29">
        <f>(((Table134567891011121314151617343[[#This Row],[ESP]]-VLOOKUP($U$1,A:E,5,))/VLOOKUP($U$1,A:E,5,))*100)+100</f>
        <v/>
      </c>
      <c r="L319" s="29">
        <f>(((Table134567891011121314151617343[[#This Row],[EA19]]-VLOOKUP($U$1,A:F,6,))/VLOOKUP($U$1,A:F,6,))*100)+100</f>
        <v/>
      </c>
      <c r="M319" s="29">
        <f>(((Table134567891011121314151617343[[#This Row],[GBR]]-VLOOKUP($U$1,A:G,7,))/VLOOKUP($U$1,A:G,7,))*100)+100</f>
        <v/>
      </c>
      <c r="N319" s="29">
        <f>VLOOKUP(A319,Database!$E:$AY,MATCH($N$1,Database!$E$1:$AY$1,0),FALSE)</f>
        <v/>
      </c>
      <c r="O319" s="29">
        <f>(((Table134567891011121314151617343[[#This Row],[USA]]-VLOOKUP($U$1,A:N,14,))/VLOOKUP($U$1,A:N,14,))*100)+100</f>
        <v/>
      </c>
      <c r="P319" s="29">
        <f>VLOOKUP(A319,Database!$E:$AY,MATCH($P$1,Database!$E$1:$AY$1,0),FALSE)</f>
        <v/>
      </c>
      <c r="Q319" s="29">
        <f>(((Table134567891011121314151617343[[#This Row],[JPN]]-VLOOKUP($U$1,A:Q,16,))/VLOOKUP($U$1,A:Q,16,))*100)+100</f>
        <v/>
      </c>
    </row>
    <row r="320" customFormat="1" s="129">
      <c r="A320" s="28" t="n">
        <v>42552</v>
      </c>
      <c r="B320" s="29">
        <f>VLOOKUP(A320,Database!$E:$AY,MATCH($B$1,Database!$E$1:$AY$1,0),FALSE)</f>
        <v/>
      </c>
      <c r="C320" s="29">
        <f>VLOOKUP(A320,Database!$E:$AY,MATCH($C$1,Database!$E$1:$AY$1,0),FALSE)</f>
        <v/>
      </c>
      <c r="D320" s="29">
        <f>VLOOKUP(A320,Database!$E:$AY,MATCH($D$1,Database!$E$1:$AY$1,0),FALSE)</f>
        <v/>
      </c>
      <c r="E320" s="29">
        <f>VLOOKUP(A320,Database!$E:$AY,MATCH($E$1,Database!$E$1:$AY$1,0),FALSE)</f>
        <v/>
      </c>
      <c r="F320" s="29">
        <f>VLOOKUP(A320,Database!$E:$AY,MATCH($F$1,Database!$E$1:$AY$1,0),FALSE)</f>
        <v/>
      </c>
      <c r="G320" s="29">
        <f>VLOOKUP(A320,Database!$E:$AY,MATCH($G$1,Database!$E$1:$AY$1,0),FALSE)</f>
        <v/>
      </c>
      <c r="H320" s="29">
        <f>(((Table134567891011121314151617343[[#This Row],[ITA]]-VLOOKUP($U$1,A:B,2,))/VLOOKUP($U$1,A:B,2,))*100)+100</f>
        <v/>
      </c>
      <c r="I320" s="29">
        <f>(((Table134567891011121314151617343[[#This Row],[FRA]]-VLOOKUP($U$1,A:C,3,))/VLOOKUP($U$1,A:C,3,))*100)+100</f>
        <v/>
      </c>
      <c r="J320" s="29">
        <f>(((Table134567891011121314151617343[[#This Row],[DEU]]-VLOOKUP($U$1,A:D,4,))/VLOOKUP($U$1,A:D,4,))*100)+100</f>
        <v/>
      </c>
      <c r="K320" s="29">
        <f>(((Table134567891011121314151617343[[#This Row],[ESP]]-VLOOKUP($U$1,A:E,5,))/VLOOKUP($U$1,A:E,5,))*100)+100</f>
        <v/>
      </c>
      <c r="L320" s="29">
        <f>(((Table134567891011121314151617343[[#This Row],[EA19]]-VLOOKUP($U$1,A:F,6,))/VLOOKUP($U$1,A:F,6,))*100)+100</f>
        <v/>
      </c>
      <c r="M320" s="29">
        <f>(((Table134567891011121314151617343[[#This Row],[GBR]]-VLOOKUP($U$1,A:G,7,))/VLOOKUP($U$1,A:G,7,))*100)+100</f>
        <v/>
      </c>
      <c r="N320" s="29">
        <f>VLOOKUP(A320,Database!$E:$AY,MATCH($N$1,Database!$E$1:$AY$1,0),FALSE)</f>
        <v/>
      </c>
      <c r="O320" s="29">
        <f>(((Table134567891011121314151617343[[#This Row],[USA]]-VLOOKUP($U$1,A:N,14,))/VLOOKUP($U$1,A:N,14,))*100)+100</f>
        <v/>
      </c>
      <c r="P320" s="29">
        <f>VLOOKUP(A320,Database!$E:$AY,MATCH($P$1,Database!$E$1:$AY$1,0),FALSE)</f>
        <v/>
      </c>
      <c r="Q320" s="29">
        <f>(((Table134567891011121314151617343[[#This Row],[JPN]]-VLOOKUP($U$1,A:Q,16,))/VLOOKUP($U$1,A:Q,16,))*100)+100</f>
        <v/>
      </c>
    </row>
    <row r="321" customFormat="1" s="129">
      <c r="A321" s="28" t="n">
        <v>42583</v>
      </c>
      <c r="B321" s="29">
        <f>VLOOKUP(A321,Database!$E:$AY,MATCH($B$1,Database!$E$1:$AY$1,0),FALSE)</f>
        <v/>
      </c>
      <c r="C321" s="29">
        <f>VLOOKUP(A321,Database!$E:$AY,MATCH($C$1,Database!$E$1:$AY$1,0),FALSE)</f>
        <v/>
      </c>
      <c r="D321" s="29">
        <f>VLOOKUP(A321,Database!$E:$AY,MATCH($D$1,Database!$E$1:$AY$1,0),FALSE)</f>
        <v/>
      </c>
      <c r="E321" s="29">
        <f>VLOOKUP(A321,Database!$E:$AY,MATCH($E$1,Database!$E$1:$AY$1,0),FALSE)</f>
        <v/>
      </c>
      <c r="F321" s="29">
        <f>VLOOKUP(A321,Database!$E:$AY,MATCH($F$1,Database!$E$1:$AY$1,0),FALSE)</f>
        <v/>
      </c>
      <c r="G321" s="29">
        <f>VLOOKUP(A321,Database!$E:$AY,MATCH($G$1,Database!$E$1:$AY$1,0),FALSE)</f>
        <v/>
      </c>
      <c r="H321" s="29">
        <f>(((Table134567891011121314151617343[[#This Row],[ITA]]-VLOOKUP($U$1,A:B,2,))/VLOOKUP($U$1,A:B,2,))*100)+100</f>
        <v/>
      </c>
      <c r="I321" s="29">
        <f>(((Table134567891011121314151617343[[#This Row],[FRA]]-VLOOKUP($U$1,A:C,3,))/VLOOKUP($U$1,A:C,3,))*100)+100</f>
        <v/>
      </c>
      <c r="J321" s="29">
        <f>(((Table134567891011121314151617343[[#This Row],[DEU]]-VLOOKUP($U$1,A:D,4,))/VLOOKUP($U$1,A:D,4,))*100)+100</f>
        <v/>
      </c>
      <c r="K321" s="29">
        <f>(((Table134567891011121314151617343[[#This Row],[ESP]]-VLOOKUP($U$1,A:E,5,))/VLOOKUP($U$1,A:E,5,))*100)+100</f>
        <v/>
      </c>
      <c r="L321" s="29">
        <f>(((Table134567891011121314151617343[[#This Row],[EA19]]-VLOOKUP($U$1,A:F,6,))/VLOOKUP($U$1,A:F,6,))*100)+100</f>
        <v/>
      </c>
      <c r="M321" s="29">
        <f>(((Table134567891011121314151617343[[#This Row],[GBR]]-VLOOKUP($U$1,A:G,7,))/VLOOKUP($U$1,A:G,7,))*100)+100</f>
        <v/>
      </c>
      <c r="N321" s="29">
        <f>VLOOKUP(A321,Database!$E:$AY,MATCH($N$1,Database!$E$1:$AY$1,0),FALSE)</f>
        <v/>
      </c>
      <c r="O321" s="29">
        <f>(((Table134567891011121314151617343[[#This Row],[USA]]-VLOOKUP($U$1,A:N,14,))/VLOOKUP($U$1,A:N,14,))*100)+100</f>
        <v/>
      </c>
      <c r="P321" s="29">
        <f>VLOOKUP(A321,Database!$E:$AY,MATCH($P$1,Database!$E$1:$AY$1,0),FALSE)</f>
        <v/>
      </c>
      <c r="Q321" s="29">
        <f>(((Table134567891011121314151617343[[#This Row],[JPN]]-VLOOKUP($U$1,A:Q,16,))/VLOOKUP($U$1,A:Q,16,))*100)+100</f>
        <v/>
      </c>
    </row>
    <row r="322" customFormat="1" s="129">
      <c r="A322" s="28" t="n">
        <v>42614</v>
      </c>
      <c r="B322" s="29">
        <f>VLOOKUP(A322,Database!$E:$AY,MATCH($B$1,Database!$E$1:$AY$1,0),FALSE)</f>
        <v/>
      </c>
      <c r="C322" s="29">
        <f>VLOOKUP(A322,Database!$E:$AY,MATCH($C$1,Database!$E$1:$AY$1,0),FALSE)</f>
        <v/>
      </c>
      <c r="D322" s="29">
        <f>VLOOKUP(A322,Database!$E:$AY,MATCH($D$1,Database!$E$1:$AY$1,0),FALSE)</f>
        <v/>
      </c>
      <c r="E322" s="29">
        <f>VLOOKUP(A322,Database!$E:$AY,MATCH($E$1,Database!$E$1:$AY$1,0),FALSE)</f>
        <v/>
      </c>
      <c r="F322" s="29">
        <f>VLOOKUP(A322,Database!$E:$AY,MATCH($F$1,Database!$E$1:$AY$1,0),FALSE)</f>
        <v/>
      </c>
      <c r="G322" s="29">
        <f>VLOOKUP(A322,Database!$E:$AY,MATCH($G$1,Database!$E$1:$AY$1,0),FALSE)</f>
        <v/>
      </c>
      <c r="H322" s="29">
        <f>(((Table134567891011121314151617343[[#This Row],[ITA]]-VLOOKUP($U$1,A:B,2,))/VLOOKUP($U$1,A:B,2,))*100)+100</f>
        <v/>
      </c>
      <c r="I322" s="29">
        <f>(((Table134567891011121314151617343[[#This Row],[FRA]]-VLOOKUP($U$1,A:C,3,))/VLOOKUP($U$1,A:C,3,))*100)+100</f>
        <v/>
      </c>
      <c r="J322" s="29">
        <f>(((Table134567891011121314151617343[[#This Row],[DEU]]-VLOOKUP($U$1,A:D,4,))/VLOOKUP($U$1,A:D,4,))*100)+100</f>
        <v/>
      </c>
      <c r="K322" s="29">
        <f>(((Table134567891011121314151617343[[#This Row],[ESP]]-VLOOKUP($U$1,A:E,5,))/VLOOKUP($U$1,A:E,5,))*100)+100</f>
        <v/>
      </c>
      <c r="L322" s="29">
        <f>(((Table134567891011121314151617343[[#This Row],[EA19]]-VLOOKUP($U$1,A:F,6,))/VLOOKUP($U$1,A:F,6,))*100)+100</f>
        <v/>
      </c>
      <c r="M322" s="29">
        <f>(((Table134567891011121314151617343[[#This Row],[GBR]]-VLOOKUP($U$1,A:G,7,))/VLOOKUP($U$1,A:G,7,))*100)+100</f>
        <v/>
      </c>
      <c r="N322" s="29">
        <f>VLOOKUP(A322,Database!$E:$AY,MATCH($N$1,Database!$E$1:$AY$1,0),FALSE)</f>
        <v/>
      </c>
      <c r="O322" s="29">
        <f>(((Table134567891011121314151617343[[#This Row],[USA]]-VLOOKUP($U$1,A:N,14,))/VLOOKUP($U$1,A:N,14,))*100)+100</f>
        <v/>
      </c>
      <c r="P322" s="29">
        <f>VLOOKUP(A322,Database!$E:$AY,MATCH($P$1,Database!$E$1:$AY$1,0),FALSE)</f>
        <v/>
      </c>
      <c r="Q322" s="29">
        <f>(((Table134567891011121314151617343[[#This Row],[JPN]]-VLOOKUP($U$1,A:Q,16,))/VLOOKUP($U$1,A:Q,16,))*100)+100</f>
        <v/>
      </c>
    </row>
    <row r="323" customFormat="1" s="129">
      <c r="A323" s="28" t="n">
        <v>42644</v>
      </c>
      <c r="B323" s="29">
        <f>VLOOKUP(A323,Database!$E:$AY,MATCH($B$1,Database!$E$1:$AY$1,0),FALSE)</f>
        <v/>
      </c>
      <c r="C323" s="29">
        <f>VLOOKUP(A323,Database!$E:$AY,MATCH($C$1,Database!$E$1:$AY$1,0),FALSE)</f>
        <v/>
      </c>
      <c r="D323" s="29">
        <f>VLOOKUP(A323,Database!$E:$AY,MATCH($D$1,Database!$E$1:$AY$1,0),FALSE)</f>
        <v/>
      </c>
      <c r="E323" s="29">
        <f>VLOOKUP(A323,Database!$E:$AY,MATCH($E$1,Database!$E$1:$AY$1,0),FALSE)</f>
        <v/>
      </c>
      <c r="F323" s="29">
        <f>VLOOKUP(A323,Database!$E:$AY,MATCH($F$1,Database!$E$1:$AY$1,0),FALSE)</f>
        <v/>
      </c>
      <c r="G323" s="29">
        <f>VLOOKUP(A323,Database!$E:$AY,MATCH($G$1,Database!$E$1:$AY$1,0),FALSE)</f>
        <v/>
      </c>
      <c r="H323" s="29">
        <f>(((Table134567891011121314151617343[[#This Row],[ITA]]-VLOOKUP($U$1,A:B,2,))/VLOOKUP($U$1,A:B,2,))*100)+100</f>
        <v/>
      </c>
      <c r="I323" s="29">
        <f>(((Table134567891011121314151617343[[#This Row],[FRA]]-VLOOKUP($U$1,A:C,3,))/VLOOKUP($U$1,A:C,3,))*100)+100</f>
        <v/>
      </c>
      <c r="J323" s="29">
        <f>(((Table134567891011121314151617343[[#This Row],[DEU]]-VLOOKUP($U$1,A:D,4,))/VLOOKUP($U$1,A:D,4,))*100)+100</f>
        <v/>
      </c>
      <c r="K323" s="29">
        <f>(((Table134567891011121314151617343[[#This Row],[ESP]]-VLOOKUP($U$1,A:E,5,))/VLOOKUP($U$1,A:E,5,))*100)+100</f>
        <v/>
      </c>
      <c r="L323" s="29">
        <f>(((Table134567891011121314151617343[[#This Row],[EA19]]-VLOOKUP($U$1,A:F,6,))/VLOOKUP($U$1,A:F,6,))*100)+100</f>
        <v/>
      </c>
      <c r="M323" s="29">
        <f>(((Table134567891011121314151617343[[#This Row],[GBR]]-VLOOKUP($U$1,A:G,7,))/VLOOKUP($U$1,A:G,7,))*100)+100</f>
        <v/>
      </c>
      <c r="N323" s="29">
        <f>VLOOKUP(A323,Database!$E:$AY,MATCH($N$1,Database!$E$1:$AY$1,0),FALSE)</f>
        <v/>
      </c>
      <c r="O323" s="29">
        <f>(((Table134567891011121314151617343[[#This Row],[USA]]-VLOOKUP($U$1,A:N,14,))/VLOOKUP($U$1,A:N,14,))*100)+100</f>
        <v/>
      </c>
      <c r="P323" s="29">
        <f>VLOOKUP(A323,Database!$E:$AY,MATCH($P$1,Database!$E$1:$AY$1,0),FALSE)</f>
        <v/>
      </c>
      <c r="Q323" s="29">
        <f>(((Table134567891011121314151617343[[#This Row],[JPN]]-VLOOKUP($U$1,A:Q,16,))/VLOOKUP($U$1,A:Q,16,))*100)+100</f>
        <v/>
      </c>
    </row>
    <row r="324" customFormat="1" s="129">
      <c r="A324" s="28" t="n">
        <v>42675</v>
      </c>
      <c r="B324" s="29">
        <f>VLOOKUP(A324,Database!$E:$AY,MATCH($B$1,Database!$E$1:$AY$1,0),FALSE)</f>
        <v/>
      </c>
      <c r="C324" s="29">
        <f>VLOOKUP(A324,Database!$E:$AY,MATCH($C$1,Database!$E$1:$AY$1,0),FALSE)</f>
        <v/>
      </c>
      <c r="D324" s="29">
        <f>VLOOKUP(A324,Database!$E:$AY,MATCH($D$1,Database!$E$1:$AY$1,0),FALSE)</f>
        <v/>
      </c>
      <c r="E324" s="29">
        <f>VLOOKUP(A324,Database!$E:$AY,MATCH($E$1,Database!$E$1:$AY$1,0),FALSE)</f>
        <v/>
      </c>
      <c r="F324" s="29">
        <f>VLOOKUP(A324,Database!$E:$AY,MATCH($F$1,Database!$E$1:$AY$1,0),FALSE)</f>
        <v/>
      </c>
      <c r="G324" s="29">
        <f>VLOOKUP(A324,Database!$E:$AY,MATCH($G$1,Database!$E$1:$AY$1,0),FALSE)</f>
        <v/>
      </c>
      <c r="H324" s="29">
        <f>(((Table134567891011121314151617343[[#This Row],[ITA]]-VLOOKUP($U$1,A:B,2,))/VLOOKUP($U$1,A:B,2,))*100)+100</f>
        <v/>
      </c>
      <c r="I324" s="29">
        <f>(((Table134567891011121314151617343[[#This Row],[FRA]]-VLOOKUP($U$1,A:C,3,))/VLOOKUP($U$1,A:C,3,))*100)+100</f>
        <v/>
      </c>
      <c r="J324" s="29">
        <f>(((Table134567891011121314151617343[[#This Row],[DEU]]-VLOOKUP($U$1,A:D,4,))/VLOOKUP($U$1,A:D,4,))*100)+100</f>
        <v/>
      </c>
      <c r="K324" s="29">
        <f>(((Table134567891011121314151617343[[#This Row],[ESP]]-VLOOKUP($U$1,A:E,5,))/VLOOKUP($U$1,A:E,5,))*100)+100</f>
        <v/>
      </c>
      <c r="L324" s="29">
        <f>(((Table134567891011121314151617343[[#This Row],[EA19]]-VLOOKUP($U$1,A:F,6,))/VLOOKUP($U$1,A:F,6,))*100)+100</f>
        <v/>
      </c>
      <c r="M324" s="29">
        <f>(((Table134567891011121314151617343[[#This Row],[GBR]]-VLOOKUP($U$1,A:G,7,))/VLOOKUP($U$1,A:G,7,))*100)+100</f>
        <v/>
      </c>
      <c r="N324" s="29">
        <f>VLOOKUP(A324,Database!$E:$AY,MATCH($N$1,Database!$E$1:$AY$1,0),FALSE)</f>
        <v/>
      </c>
      <c r="O324" s="29">
        <f>(((Table134567891011121314151617343[[#This Row],[USA]]-VLOOKUP($U$1,A:N,14,))/VLOOKUP($U$1,A:N,14,))*100)+100</f>
        <v/>
      </c>
      <c r="P324" s="29">
        <f>VLOOKUP(A324,Database!$E:$AY,MATCH($P$1,Database!$E$1:$AY$1,0),FALSE)</f>
        <v/>
      </c>
      <c r="Q324" s="29">
        <f>(((Table134567891011121314151617343[[#This Row],[JPN]]-VLOOKUP($U$1,A:Q,16,))/VLOOKUP($U$1,A:Q,16,))*100)+100</f>
        <v/>
      </c>
    </row>
    <row r="325" customFormat="1" s="129">
      <c r="A325" s="28" t="n">
        <v>42705</v>
      </c>
      <c r="B325" s="29">
        <f>VLOOKUP(A325,Database!$E:$AY,MATCH($B$1,Database!$E$1:$AY$1,0),FALSE)</f>
        <v/>
      </c>
      <c r="C325" s="29">
        <f>VLOOKUP(A325,Database!$E:$AY,MATCH($C$1,Database!$E$1:$AY$1,0),FALSE)</f>
        <v/>
      </c>
      <c r="D325" s="29">
        <f>VLOOKUP(A325,Database!$E:$AY,MATCH($D$1,Database!$E$1:$AY$1,0),FALSE)</f>
        <v/>
      </c>
      <c r="E325" s="29">
        <f>VLOOKUP(A325,Database!$E:$AY,MATCH($E$1,Database!$E$1:$AY$1,0),FALSE)</f>
        <v/>
      </c>
      <c r="F325" s="29">
        <f>VLOOKUP(A325,Database!$E:$AY,MATCH($F$1,Database!$E$1:$AY$1,0),FALSE)</f>
        <v/>
      </c>
      <c r="G325" s="29">
        <f>VLOOKUP(A325,Database!$E:$AY,MATCH($G$1,Database!$E$1:$AY$1,0),FALSE)</f>
        <v/>
      </c>
      <c r="H325" s="29">
        <f>(((Table134567891011121314151617343[[#This Row],[ITA]]-VLOOKUP($U$1,A:B,2,))/VLOOKUP($U$1,A:B,2,))*100)+100</f>
        <v/>
      </c>
      <c r="I325" s="29">
        <f>(((Table134567891011121314151617343[[#This Row],[FRA]]-VLOOKUP($U$1,A:C,3,))/VLOOKUP($U$1,A:C,3,))*100)+100</f>
        <v/>
      </c>
      <c r="J325" s="29">
        <f>(((Table134567891011121314151617343[[#This Row],[DEU]]-VLOOKUP($U$1,A:D,4,))/VLOOKUP($U$1,A:D,4,))*100)+100</f>
        <v/>
      </c>
      <c r="K325" s="29">
        <f>(((Table134567891011121314151617343[[#This Row],[ESP]]-VLOOKUP($U$1,A:E,5,))/VLOOKUP($U$1,A:E,5,))*100)+100</f>
        <v/>
      </c>
      <c r="L325" s="29">
        <f>(((Table134567891011121314151617343[[#This Row],[EA19]]-VLOOKUP($U$1,A:F,6,))/VLOOKUP($U$1,A:F,6,))*100)+100</f>
        <v/>
      </c>
      <c r="M325" s="29">
        <f>(((Table134567891011121314151617343[[#This Row],[GBR]]-VLOOKUP($U$1,A:G,7,))/VLOOKUP($U$1,A:G,7,))*100)+100</f>
        <v/>
      </c>
      <c r="N325" s="29">
        <f>VLOOKUP(A325,Database!$E:$AY,MATCH($N$1,Database!$E$1:$AY$1,0),FALSE)</f>
        <v/>
      </c>
      <c r="O325" s="29">
        <f>(((Table134567891011121314151617343[[#This Row],[USA]]-VLOOKUP($U$1,A:N,14,))/VLOOKUP($U$1,A:N,14,))*100)+100</f>
        <v/>
      </c>
      <c r="P325" s="29">
        <f>VLOOKUP(A325,Database!$E:$AY,MATCH($P$1,Database!$E$1:$AY$1,0),FALSE)</f>
        <v/>
      </c>
      <c r="Q325" s="29">
        <f>(((Table134567891011121314151617343[[#This Row],[JPN]]-VLOOKUP($U$1,A:Q,16,))/VLOOKUP($U$1,A:Q,16,))*100)+100</f>
        <v/>
      </c>
    </row>
    <row r="326" customFormat="1" s="129">
      <c r="A326" s="28" t="n">
        <v>42736</v>
      </c>
      <c r="B326" s="29">
        <f>VLOOKUP(A326,Database!$E:$AY,MATCH($B$1,Database!$E$1:$AY$1,0),FALSE)</f>
        <v/>
      </c>
      <c r="C326" s="29">
        <f>VLOOKUP(A326,Database!$E:$AY,MATCH($C$1,Database!$E$1:$AY$1,0),FALSE)</f>
        <v/>
      </c>
      <c r="D326" s="29">
        <f>VLOOKUP(A326,Database!$E:$AY,MATCH($D$1,Database!$E$1:$AY$1,0),FALSE)</f>
        <v/>
      </c>
      <c r="E326" s="29">
        <f>VLOOKUP(A326,Database!$E:$AY,MATCH($E$1,Database!$E$1:$AY$1,0),FALSE)</f>
        <v/>
      </c>
      <c r="F326" s="29">
        <f>VLOOKUP(A326,Database!$E:$AY,MATCH($F$1,Database!$E$1:$AY$1,0),FALSE)</f>
        <v/>
      </c>
      <c r="G326" s="29">
        <f>VLOOKUP(A326,Database!$E:$AY,MATCH($G$1,Database!$E$1:$AY$1,0),FALSE)</f>
        <v/>
      </c>
      <c r="H326" s="29">
        <f>(((Table134567891011121314151617343[[#This Row],[ITA]]-VLOOKUP($U$1,A:B,2,))/VLOOKUP($U$1,A:B,2,))*100)+100</f>
        <v/>
      </c>
      <c r="I326" s="29">
        <f>(((Table134567891011121314151617343[[#This Row],[FRA]]-VLOOKUP($U$1,A:C,3,))/VLOOKUP($U$1,A:C,3,))*100)+100</f>
        <v/>
      </c>
      <c r="J326" s="29">
        <f>(((Table134567891011121314151617343[[#This Row],[DEU]]-VLOOKUP($U$1,A:D,4,))/VLOOKUP($U$1,A:D,4,))*100)+100</f>
        <v/>
      </c>
      <c r="K326" s="29">
        <f>(((Table134567891011121314151617343[[#This Row],[ESP]]-VLOOKUP($U$1,A:E,5,))/VLOOKUP($U$1,A:E,5,))*100)+100</f>
        <v/>
      </c>
      <c r="L326" s="29">
        <f>(((Table134567891011121314151617343[[#This Row],[EA19]]-VLOOKUP($U$1,A:F,6,))/VLOOKUP($U$1,A:F,6,))*100)+100</f>
        <v/>
      </c>
      <c r="M326" s="29">
        <f>(((Table134567891011121314151617343[[#This Row],[GBR]]-VLOOKUP($U$1,A:G,7,))/VLOOKUP($U$1,A:G,7,))*100)+100</f>
        <v/>
      </c>
      <c r="N326" s="29">
        <f>VLOOKUP(A326,Database!$E:$AY,MATCH($N$1,Database!$E$1:$AY$1,0),FALSE)</f>
        <v/>
      </c>
      <c r="O326" s="29">
        <f>(((Table134567891011121314151617343[[#This Row],[USA]]-VLOOKUP($U$1,A:N,14,))/VLOOKUP($U$1,A:N,14,))*100)+100</f>
        <v/>
      </c>
      <c r="P326" s="29">
        <f>VLOOKUP(A326,Database!$E:$AY,MATCH($P$1,Database!$E$1:$AY$1,0),FALSE)</f>
        <v/>
      </c>
      <c r="Q326" s="29">
        <f>(((Table134567891011121314151617343[[#This Row],[JPN]]-VLOOKUP($U$1,A:Q,16,))/VLOOKUP($U$1,A:Q,16,))*100)+100</f>
        <v/>
      </c>
    </row>
    <row r="327" customFormat="1" s="129">
      <c r="A327" s="28" t="n">
        <v>42767</v>
      </c>
      <c r="B327" s="29">
        <f>VLOOKUP(A327,Database!$E:$AY,MATCH($B$1,Database!$E$1:$AY$1,0),FALSE)</f>
        <v/>
      </c>
      <c r="C327" s="29">
        <f>VLOOKUP(A327,Database!$E:$AY,MATCH($C$1,Database!$E$1:$AY$1,0),FALSE)</f>
        <v/>
      </c>
      <c r="D327" s="29">
        <f>VLOOKUP(A327,Database!$E:$AY,MATCH($D$1,Database!$E$1:$AY$1,0),FALSE)</f>
        <v/>
      </c>
      <c r="E327" s="29">
        <f>VLOOKUP(A327,Database!$E:$AY,MATCH($E$1,Database!$E$1:$AY$1,0),FALSE)</f>
        <v/>
      </c>
      <c r="F327" s="29">
        <f>VLOOKUP(A327,Database!$E:$AY,MATCH($F$1,Database!$E$1:$AY$1,0),FALSE)</f>
        <v/>
      </c>
      <c r="G327" s="29">
        <f>VLOOKUP(A327,Database!$E:$AY,MATCH($G$1,Database!$E$1:$AY$1,0),FALSE)</f>
        <v/>
      </c>
      <c r="H327" s="29">
        <f>(((Table134567891011121314151617343[[#This Row],[ITA]]-VLOOKUP($U$1,A:B,2,))/VLOOKUP($U$1,A:B,2,))*100)+100</f>
        <v/>
      </c>
      <c r="I327" s="29">
        <f>(((Table134567891011121314151617343[[#This Row],[FRA]]-VLOOKUP($U$1,A:C,3,))/VLOOKUP($U$1,A:C,3,))*100)+100</f>
        <v/>
      </c>
      <c r="J327" s="29">
        <f>(((Table134567891011121314151617343[[#This Row],[DEU]]-VLOOKUP($U$1,A:D,4,))/VLOOKUP($U$1,A:D,4,))*100)+100</f>
        <v/>
      </c>
      <c r="K327" s="29">
        <f>(((Table134567891011121314151617343[[#This Row],[ESP]]-VLOOKUP($U$1,A:E,5,))/VLOOKUP($U$1,A:E,5,))*100)+100</f>
        <v/>
      </c>
      <c r="L327" s="29">
        <f>(((Table134567891011121314151617343[[#This Row],[EA19]]-VLOOKUP($U$1,A:F,6,))/VLOOKUP($U$1,A:F,6,))*100)+100</f>
        <v/>
      </c>
      <c r="M327" s="29">
        <f>(((Table134567891011121314151617343[[#This Row],[GBR]]-VLOOKUP($U$1,A:G,7,))/VLOOKUP($U$1,A:G,7,))*100)+100</f>
        <v/>
      </c>
      <c r="N327" s="29">
        <f>VLOOKUP(A327,Database!$E:$AY,MATCH($N$1,Database!$E$1:$AY$1,0),FALSE)</f>
        <v/>
      </c>
      <c r="O327" s="29">
        <f>(((Table134567891011121314151617343[[#This Row],[USA]]-VLOOKUP($U$1,A:N,14,))/VLOOKUP($U$1,A:N,14,))*100)+100</f>
        <v/>
      </c>
      <c r="P327" s="29">
        <f>VLOOKUP(A327,Database!$E:$AY,MATCH($P$1,Database!$E$1:$AY$1,0),FALSE)</f>
        <v/>
      </c>
      <c r="Q327" s="29">
        <f>(((Table134567891011121314151617343[[#This Row],[JPN]]-VLOOKUP($U$1,A:Q,16,))/VLOOKUP($U$1,A:Q,16,))*100)+100</f>
        <v/>
      </c>
    </row>
    <row r="328" customFormat="1" s="129">
      <c r="A328" s="28" t="n">
        <v>42795</v>
      </c>
      <c r="B328" s="29">
        <f>VLOOKUP(A328,Database!$E:$AY,MATCH($B$1,Database!$E$1:$AY$1,0),FALSE)</f>
        <v/>
      </c>
      <c r="C328" s="29">
        <f>VLOOKUP(A328,Database!$E:$AY,MATCH($C$1,Database!$E$1:$AY$1,0),FALSE)</f>
        <v/>
      </c>
      <c r="D328" s="29">
        <f>VLOOKUP(A328,Database!$E:$AY,MATCH($D$1,Database!$E$1:$AY$1,0),FALSE)</f>
        <v/>
      </c>
      <c r="E328" s="29">
        <f>VLOOKUP(A328,Database!$E:$AY,MATCH($E$1,Database!$E$1:$AY$1,0),FALSE)</f>
        <v/>
      </c>
      <c r="F328" s="29">
        <f>VLOOKUP(A328,Database!$E:$AY,MATCH($F$1,Database!$E$1:$AY$1,0),FALSE)</f>
        <v/>
      </c>
      <c r="G328" s="29">
        <f>VLOOKUP(A328,Database!$E:$AY,MATCH($G$1,Database!$E$1:$AY$1,0),FALSE)</f>
        <v/>
      </c>
      <c r="H328" s="29">
        <f>(((Table134567891011121314151617343[[#This Row],[ITA]]-VLOOKUP($U$1,A:B,2,))/VLOOKUP($U$1,A:B,2,))*100)+100</f>
        <v/>
      </c>
      <c r="I328" s="29">
        <f>(((Table134567891011121314151617343[[#This Row],[FRA]]-VLOOKUP($U$1,A:C,3,))/VLOOKUP($U$1,A:C,3,))*100)+100</f>
        <v/>
      </c>
      <c r="J328" s="29">
        <f>(((Table134567891011121314151617343[[#This Row],[DEU]]-VLOOKUP($U$1,A:D,4,))/VLOOKUP($U$1,A:D,4,))*100)+100</f>
        <v/>
      </c>
      <c r="K328" s="29">
        <f>(((Table134567891011121314151617343[[#This Row],[ESP]]-VLOOKUP($U$1,A:E,5,))/VLOOKUP($U$1,A:E,5,))*100)+100</f>
        <v/>
      </c>
      <c r="L328" s="29">
        <f>(((Table134567891011121314151617343[[#This Row],[EA19]]-VLOOKUP($U$1,A:F,6,))/VLOOKUP($U$1,A:F,6,))*100)+100</f>
        <v/>
      </c>
      <c r="M328" s="29">
        <f>(((Table134567891011121314151617343[[#This Row],[GBR]]-VLOOKUP($U$1,A:G,7,))/VLOOKUP($U$1,A:G,7,))*100)+100</f>
        <v/>
      </c>
      <c r="N328" s="29">
        <f>VLOOKUP(A328,Database!$E:$AY,MATCH($N$1,Database!$E$1:$AY$1,0),FALSE)</f>
        <v/>
      </c>
      <c r="O328" s="29">
        <f>(((Table134567891011121314151617343[[#This Row],[USA]]-VLOOKUP($U$1,A:N,14,))/VLOOKUP($U$1,A:N,14,))*100)+100</f>
        <v/>
      </c>
      <c r="P328" s="29">
        <f>VLOOKUP(A328,Database!$E:$AY,MATCH($P$1,Database!$E$1:$AY$1,0),FALSE)</f>
        <v/>
      </c>
      <c r="Q328" s="29">
        <f>(((Table134567891011121314151617343[[#This Row],[JPN]]-VLOOKUP($U$1,A:Q,16,))/VLOOKUP($U$1,A:Q,16,))*100)+100</f>
        <v/>
      </c>
    </row>
    <row r="329" customFormat="1" s="129">
      <c r="A329" s="28" t="n">
        <v>42826</v>
      </c>
      <c r="B329" s="29">
        <f>VLOOKUP(A329,Database!$E:$AY,MATCH($B$1,Database!$E$1:$AY$1,0),FALSE)</f>
        <v/>
      </c>
      <c r="C329" s="29">
        <f>VLOOKUP(A329,Database!$E:$AY,MATCH($C$1,Database!$E$1:$AY$1,0),FALSE)</f>
        <v/>
      </c>
      <c r="D329" s="29">
        <f>VLOOKUP(A329,Database!$E:$AY,MATCH($D$1,Database!$E$1:$AY$1,0),FALSE)</f>
        <v/>
      </c>
      <c r="E329" s="29">
        <f>VLOOKUP(A329,Database!$E:$AY,MATCH($E$1,Database!$E$1:$AY$1,0),FALSE)</f>
        <v/>
      </c>
      <c r="F329" s="29">
        <f>VLOOKUP(A329,Database!$E:$AY,MATCH($F$1,Database!$E$1:$AY$1,0),FALSE)</f>
        <v/>
      </c>
      <c r="G329" s="29">
        <f>VLOOKUP(A329,Database!$E:$AY,MATCH($G$1,Database!$E$1:$AY$1,0),FALSE)</f>
        <v/>
      </c>
      <c r="H329" s="29">
        <f>(((Table134567891011121314151617343[[#This Row],[ITA]]-VLOOKUP($U$1,A:B,2,))/VLOOKUP($U$1,A:B,2,))*100)+100</f>
        <v/>
      </c>
      <c r="I329" s="29">
        <f>(((Table134567891011121314151617343[[#This Row],[FRA]]-VLOOKUP($U$1,A:C,3,))/VLOOKUP($U$1,A:C,3,))*100)+100</f>
        <v/>
      </c>
      <c r="J329" s="29">
        <f>(((Table134567891011121314151617343[[#This Row],[DEU]]-VLOOKUP($U$1,A:D,4,))/VLOOKUP($U$1,A:D,4,))*100)+100</f>
        <v/>
      </c>
      <c r="K329" s="29">
        <f>(((Table134567891011121314151617343[[#This Row],[ESP]]-VLOOKUP($U$1,A:E,5,))/VLOOKUP($U$1,A:E,5,))*100)+100</f>
        <v/>
      </c>
      <c r="L329" s="29">
        <f>(((Table134567891011121314151617343[[#This Row],[EA19]]-VLOOKUP($U$1,A:F,6,))/VLOOKUP($U$1,A:F,6,))*100)+100</f>
        <v/>
      </c>
      <c r="M329" s="29">
        <f>(((Table134567891011121314151617343[[#This Row],[GBR]]-VLOOKUP($U$1,A:G,7,))/VLOOKUP($U$1,A:G,7,))*100)+100</f>
        <v/>
      </c>
      <c r="N329" s="29">
        <f>VLOOKUP(A329,Database!$E:$AY,MATCH($N$1,Database!$E$1:$AY$1,0),FALSE)</f>
        <v/>
      </c>
      <c r="O329" s="29">
        <f>(((Table134567891011121314151617343[[#This Row],[USA]]-VLOOKUP($U$1,A:N,14,))/VLOOKUP($U$1,A:N,14,))*100)+100</f>
        <v/>
      </c>
      <c r="P329" s="29">
        <f>VLOOKUP(A329,Database!$E:$AY,MATCH($P$1,Database!$E$1:$AY$1,0),FALSE)</f>
        <v/>
      </c>
      <c r="Q329" s="29">
        <f>(((Table134567891011121314151617343[[#This Row],[JPN]]-VLOOKUP($U$1,A:Q,16,))/VLOOKUP($U$1,A:Q,16,))*100)+100</f>
        <v/>
      </c>
    </row>
    <row r="330" customFormat="1" s="129">
      <c r="A330" s="28" t="n">
        <v>42856</v>
      </c>
      <c r="B330" s="29">
        <f>VLOOKUP(A330,Database!$E:$AY,MATCH($B$1,Database!$E$1:$AY$1,0),FALSE)</f>
        <v/>
      </c>
      <c r="C330" s="29">
        <f>VLOOKUP(A330,Database!$E:$AY,MATCH($C$1,Database!$E$1:$AY$1,0),FALSE)</f>
        <v/>
      </c>
      <c r="D330" s="29">
        <f>VLOOKUP(A330,Database!$E:$AY,MATCH($D$1,Database!$E$1:$AY$1,0),FALSE)</f>
        <v/>
      </c>
      <c r="E330" s="29">
        <f>VLOOKUP(A330,Database!$E:$AY,MATCH($E$1,Database!$E$1:$AY$1,0),FALSE)</f>
        <v/>
      </c>
      <c r="F330" s="29">
        <f>VLOOKUP(A330,Database!$E:$AY,MATCH($F$1,Database!$E$1:$AY$1,0),FALSE)</f>
        <v/>
      </c>
      <c r="G330" s="29">
        <f>VLOOKUP(A330,Database!$E:$AY,MATCH($G$1,Database!$E$1:$AY$1,0),FALSE)</f>
        <v/>
      </c>
      <c r="H330" s="29">
        <f>(((Table134567891011121314151617343[[#This Row],[ITA]]-VLOOKUP($U$1,A:B,2,))/VLOOKUP($U$1,A:B,2,))*100)+100</f>
        <v/>
      </c>
      <c r="I330" s="29">
        <f>(((Table134567891011121314151617343[[#This Row],[FRA]]-VLOOKUP($U$1,A:C,3,))/VLOOKUP($U$1,A:C,3,))*100)+100</f>
        <v/>
      </c>
      <c r="J330" s="29">
        <f>(((Table134567891011121314151617343[[#This Row],[DEU]]-VLOOKUP($U$1,A:D,4,))/VLOOKUP($U$1,A:D,4,))*100)+100</f>
        <v/>
      </c>
      <c r="K330" s="29">
        <f>(((Table134567891011121314151617343[[#This Row],[ESP]]-VLOOKUP($U$1,A:E,5,))/VLOOKUP($U$1,A:E,5,))*100)+100</f>
        <v/>
      </c>
      <c r="L330" s="29">
        <f>(((Table134567891011121314151617343[[#This Row],[EA19]]-VLOOKUP($U$1,A:F,6,))/VLOOKUP($U$1,A:F,6,))*100)+100</f>
        <v/>
      </c>
      <c r="M330" s="29">
        <f>(((Table134567891011121314151617343[[#This Row],[GBR]]-VLOOKUP($U$1,A:G,7,))/VLOOKUP($U$1,A:G,7,))*100)+100</f>
        <v/>
      </c>
      <c r="N330" s="29">
        <f>VLOOKUP(A330,Database!$E:$AY,MATCH($N$1,Database!$E$1:$AY$1,0),FALSE)</f>
        <v/>
      </c>
      <c r="O330" s="29">
        <f>(((Table134567891011121314151617343[[#This Row],[USA]]-VLOOKUP($U$1,A:N,14,))/VLOOKUP($U$1,A:N,14,))*100)+100</f>
        <v/>
      </c>
      <c r="P330" s="29">
        <f>VLOOKUP(A330,Database!$E:$AY,MATCH($P$1,Database!$E$1:$AY$1,0),FALSE)</f>
        <v/>
      </c>
      <c r="Q330" s="29">
        <f>(((Table134567891011121314151617343[[#This Row],[JPN]]-VLOOKUP($U$1,A:Q,16,))/VLOOKUP($U$1,A:Q,16,))*100)+100</f>
        <v/>
      </c>
    </row>
    <row r="331" customFormat="1" s="129">
      <c r="A331" s="28" t="n">
        <v>42887</v>
      </c>
      <c r="B331" s="29">
        <f>VLOOKUP(A331,Database!$E:$AY,MATCH($B$1,Database!$E$1:$AY$1,0),FALSE)</f>
        <v/>
      </c>
      <c r="C331" s="29">
        <f>VLOOKUP(A331,Database!$E:$AY,MATCH($C$1,Database!$E$1:$AY$1,0),FALSE)</f>
        <v/>
      </c>
      <c r="D331" s="29">
        <f>VLOOKUP(A331,Database!$E:$AY,MATCH($D$1,Database!$E$1:$AY$1,0),FALSE)</f>
        <v/>
      </c>
      <c r="E331" s="29">
        <f>VLOOKUP(A331,Database!$E:$AY,MATCH($E$1,Database!$E$1:$AY$1,0),FALSE)</f>
        <v/>
      </c>
      <c r="F331" s="29">
        <f>VLOOKUP(A331,Database!$E:$AY,MATCH($F$1,Database!$E$1:$AY$1,0),FALSE)</f>
        <v/>
      </c>
      <c r="G331" s="29">
        <f>VLOOKUP(A331,Database!$E:$AY,MATCH($G$1,Database!$E$1:$AY$1,0),FALSE)</f>
        <v/>
      </c>
      <c r="H331" s="29">
        <f>(((Table134567891011121314151617343[[#This Row],[ITA]]-VLOOKUP($U$1,A:B,2,))/VLOOKUP($U$1,A:B,2,))*100)+100</f>
        <v/>
      </c>
      <c r="I331" s="29">
        <f>(((Table134567891011121314151617343[[#This Row],[FRA]]-VLOOKUP($U$1,A:C,3,))/VLOOKUP($U$1,A:C,3,))*100)+100</f>
        <v/>
      </c>
      <c r="J331" s="29">
        <f>(((Table134567891011121314151617343[[#This Row],[DEU]]-VLOOKUP($U$1,A:D,4,))/VLOOKUP($U$1,A:D,4,))*100)+100</f>
        <v/>
      </c>
      <c r="K331" s="29">
        <f>(((Table134567891011121314151617343[[#This Row],[ESP]]-VLOOKUP($U$1,A:E,5,))/VLOOKUP($U$1,A:E,5,))*100)+100</f>
        <v/>
      </c>
      <c r="L331" s="29">
        <f>(((Table134567891011121314151617343[[#This Row],[EA19]]-VLOOKUP($U$1,A:F,6,))/VLOOKUP($U$1,A:F,6,))*100)+100</f>
        <v/>
      </c>
      <c r="M331" s="29">
        <f>(((Table134567891011121314151617343[[#This Row],[GBR]]-VLOOKUP($U$1,A:G,7,))/VLOOKUP($U$1,A:G,7,))*100)+100</f>
        <v/>
      </c>
      <c r="N331" s="29">
        <f>VLOOKUP(A331,Database!$E:$AY,MATCH($N$1,Database!$E$1:$AY$1,0),FALSE)</f>
        <v/>
      </c>
      <c r="O331" s="29">
        <f>(((Table134567891011121314151617343[[#This Row],[USA]]-VLOOKUP($U$1,A:N,14,))/VLOOKUP($U$1,A:N,14,))*100)+100</f>
        <v/>
      </c>
      <c r="P331" s="29">
        <f>VLOOKUP(A331,Database!$E:$AY,MATCH($P$1,Database!$E$1:$AY$1,0),FALSE)</f>
        <v/>
      </c>
      <c r="Q331" s="29">
        <f>(((Table134567891011121314151617343[[#This Row],[JPN]]-VLOOKUP($U$1,A:Q,16,))/VLOOKUP($U$1,A:Q,16,))*100)+100</f>
        <v/>
      </c>
    </row>
    <row r="332" customFormat="1" s="129">
      <c r="A332" s="28" t="n">
        <v>42917</v>
      </c>
      <c r="B332" s="29">
        <f>VLOOKUP(A332,Database!$E:$AY,MATCH($B$1,Database!$E$1:$AY$1,0),FALSE)</f>
        <v/>
      </c>
      <c r="C332" s="29">
        <f>VLOOKUP(A332,Database!$E:$AY,MATCH($C$1,Database!$E$1:$AY$1,0),FALSE)</f>
        <v/>
      </c>
      <c r="D332" s="29">
        <f>VLOOKUP(A332,Database!$E:$AY,MATCH($D$1,Database!$E$1:$AY$1,0),FALSE)</f>
        <v/>
      </c>
      <c r="E332" s="29">
        <f>VLOOKUP(A332,Database!$E:$AY,MATCH($E$1,Database!$E$1:$AY$1,0),FALSE)</f>
        <v/>
      </c>
      <c r="F332" s="29">
        <f>VLOOKUP(A332,Database!$E:$AY,MATCH($F$1,Database!$E$1:$AY$1,0),FALSE)</f>
        <v/>
      </c>
      <c r="G332" s="29">
        <f>VLOOKUP(A332,Database!$E:$AY,MATCH($G$1,Database!$E$1:$AY$1,0),FALSE)</f>
        <v/>
      </c>
      <c r="H332" s="29">
        <f>(((Table134567891011121314151617343[[#This Row],[ITA]]-VLOOKUP($U$1,A:B,2,))/VLOOKUP($U$1,A:B,2,))*100)+100</f>
        <v/>
      </c>
      <c r="I332" s="29">
        <f>(((Table134567891011121314151617343[[#This Row],[FRA]]-VLOOKUP($U$1,A:C,3,))/VLOOKUP($U$1,A:C,3,))*100)+100</f>
        <v/>
      </c>
      <c r="J332" s="29">
        <f>(((Table134567891011121314151617343[[#This Row],[DEU]]-VLOOKUP($U$1,A:D,4,))/VLOOKUP($U$1,A:D,4,))*100)+100</f>
        <v/>
      </c>
      <c r="K332" s="29">
        <f>(((Table134567891011121314151617343[[#This Row],[ESP]]-VLOOKUP($U$1,A:E,5,))/VLOOKUP($U$1,A:E,5,))*100)+100</f>
        <v/>
      </c>
      <c r="L332" s="29">
        <f>(((Table134567891011121314151617343[[#This Row],[EA19]]-VLOOKUP($U$1,A:F,6,))/VLOOKUP($U$1,A:F,6,))*100)+100</f>
        <v/>
      </c>
      <c r="M332" s="29">
        <f>(((Table134567891011121314151617343[[#This Row],[GBR]]-VLOOKUP($U$1,A:G,7,))/VLOOKUP($U$1,A:G,7,))*100)+100</f>
        <v/>
      </c>
      <c r="N332" s="29">
        <f>VLOOKUP(A332,Database!$E:$AY,MATCH($N$1,Database!$E$1:$AY$1,0),FALSE)</f>
        <v/>
      </c>
      <c r="O332" s="29">
        <f>(((Table134567891011121314151617343[[#This Row],[USA]]-VLOOKUP($U$1,A:N,14,))/VLOOKUP($U$1,A:N,14,))*100)+100</f>
        <v/>
      </c>
      <c r="P332" s="29">
        <f>VLOOKUP(A332,Database!$E:$AY,MATCH($P$1,Database!$E$1:$AY$1,0),FALSE)</f>
        <v/>
      </c>
      <c r="Q332" s="29">
        <f>(((Table134567891011121314151617343[[#This Row],[JPN]]-VLOOKUP($U$1,A:Q,16,))/VLOOKUP($U$1,A:Q,16,))*100)+100</f>
        <v/>
      </c>
    </row>
    <row r="333" customFormat="1" s="129">
      <c r="A333" s="28" t="n">
        <v>42948</v>
      </c>
      <c r="B333" s="29">
        <f>VLOOKUP(A333,Database!$E:$AY,MATCH($B$1,Database!$E$1:$AY$1,0),FALSE)</f>
        <v/>
      </c>
      <c r="C333" s="29">
        <f>VLOOKUP(A333,Database!$E:$AY,MATCH($C$1,Database!$E$1:$AY$1,0),FALSE)</f>
        <v/>
      </c>
      <c r="D333" s="29">
        <f>VLOOKUP(A333,Database!$E:$AY,MATCH($D$1,Database!$E$1:$AY$1,0),FALSE)</f>
        <v/>
      </c>
      <c r="E333" s="29">
        <f>VLOOKUP(A333,Database!$E:$AY,MATCH($E$1,Database!$E$1:$AY$1,0),FALSE)</f>
        <v/>
      </c>
      <c r="F333" s="29">
        <f>VLOOKUP(A333,Database!$E:$AY,MATCH($F$1,Database!$E$1:$AY$1,0),FALSE)</f>
        <v/>
      </c>
      <c r="G333" s="29">
        <f>VLOOKUP(A333,Database!$E:$AY,MATCH($G$1,Database!$E$1:$AY$1,0),FALSE)</f>
        <v/>
      </c>
      <c r="H333" s="29">
        <f>(((Table134567891011121314151617343[[#This Row],[ITA]]-VLOOKUP($U$1,A:B,2,))/VLOOKUP($U$1,A:B,2,))*100)+100</f>
        <v/>
      </c>
      <c r="I333" s="29">
        <f>(((Table134567891011121314151617343[[#This Row],[FRA]]-VLOOKUP($U$1,A:C,3,))/VLOOKUP($U$1,A:C,3,))*100)+100</f>
        <v/>
      </c>
      <c r="J333" s="29">
        <f>(((Table134567891011121314151617343[[#This Row],[DEU]]-VLOOKUP($U$1,A:D,4,))/VLOOKUP($U$1,A:D,4,))*100)+100</f>
        <v/>
      </c>
      <c r="K333" s="29">
        <f>(((Table134567891011121314151617343[[#This Row],[ESP]]-VLOOKUP($U$1,A:E,5,))/VLOOKUP($U$1,A:E,5,))*100)+100</f>
        <v/>
      </c>
      <c r="L333" s="29">
        <f>(((Table134567891011121314151617343[[#This Row],[EA19]]-VLOOKUP($U$1,A:F,6,))/VLOOKUP($U$1,A:F,6,))*100)+100</f>
        <v/>
      </c>
      <c r="M333" s="29">
        <f>(((Table134567891011121314151617343[[#This Row],[GBR]]-VLOOKUP($U$1,A:G,7,))/VLOOKUP($U$1,A:G,7,))*100)+100</f>
        <v/>
      </c>
      <c r="N333" s="29">
        <f>VLOOKUP(A333,Database!$E:$AY,MATCH($N$1,Database!$E$1:$AY$1,0),FALSE)</f>
        <v/>
      </c>
      <c r="O333" s="29">
        <f>(((Table134567891011121314151617343[[#This Row],[USA]]-VLOOKUP($U$1,A:N,14,))/VLOOKUP($U$1,A:N,14,))*100)+100</f>
        <v/>
      </c>
      <c r="P333" s="29">
        <f>VLOOKUP(A333,Database!$E:$AY,MATCH($P$1,Database!$E$1:$AY$1,0),FALSE)</f>
        <v/>
      </c>
      <c r="Q333" s="29">
        <f>(((Table134567891011121314151617343[[#This Row],[JPN]]-VLOOKUP($U$1,A:Q,16,))/VLOOKUP($U$1,A:Q,16,))*100)+100</f>
        <v/>
      </c>
    </row>
    <row r="334" customFormat="1" s="129">
      <c r="A334" s="28" t="n">
        <v>42979</v>
      </c>
      <c r="B334" s="29">
        <f>VLOOKUP(A334,Database!$E:$AY,MATCH($B$1,Database!$E$1:$AY$1,0),FALSE)</f>
        <v/>
      </c>
      <c r="C334" s="29">
        <f>VLOOKUP(A334,Database!$E:$AY,MATCH($C$1,Database!$E$1:$AY$1,0),FALSE)</f>
        <v/>
      </c>
      <c r="D334" s="29">
        <f>VLOOKUP(A334,Database!$E:$AY,MATCH($D$1,Database!$E$1:$AY$1,0),FALSE)</f>
        <v/>
      </c>
      <c r="E334" s="29">
        <f>VLOOKUP(A334,Database!$E:$AY,MATCH($E$1,Database!$E$1:$AY$1,0),FALSE)</f>
        <v/>
      </c>
      <c r="F334" s="29">
        <f>VLOOKUP(A334,Database!$E:$AY,MATCH($F$1,Database!$E$1:$AY$1,0),FALSE)</f>
        <v/>
      </c>
      <c r="G334" s="29">
        <f>VLOOKUP(A334,Database!$E:$AY,MATCH($G$1,Database!$E$1:$AY$1,0),FALSE)</f>
        <v/>
      </c>
      <c r="H334" s="29">
        <f>(((Table134567891011121314151617343[[#This Row],[ITA]]-VLOOKUP($U$1,A:B,2,))/VLOOKUP($U$1,A:B,2,))*100)+100</f>
        <v/>
      </c>
      <c r="I334" s="29">
        <f>(((Table134567891011121314151617343[[#This Row],[FRA]]-VLOOKUP($U$1,A:C,3,))/VLOOKUP($U$1,A:C,3,))*100)+100</f>
        <v/>
      </c>
      <c r="J334" s="29">
        <f>(((Table134567891011121314151617343[[#This Row],[DEU]]-VLOOKUP($U$1,A:D,4,))/VLOOKUP($U$1,A:D,4,))*100)+100</f>
        <v/>
      </c>
      <c r="K334" s="29">
        <f>(((Table134567891011121314151617343[[#This Row],[ESP]]-VLOOKUP($U$1,A:E,5,))/VLOOKUP($U$1,A:E,5,))*100)+100</f>
        <v/>
      </c>
      <c r="L334" s="29">
        <f>(((Table134567891011121314151617343[[#This Row],[EA19]]-VLOOKUP($U$1,A:F,6,))/VLOOKUP($U$1,A:F,6,))*100)+100</f>
        <v/>
      </c>
      <c r="M334" s="29">
        <f>(((Table134567891011121314151617343[[#This Row],[GBR]]-VLOOKUP($U$1,A:G,7,))/VLOOKUP($U$1,A:G,7,))*100)+100</f>
        <v/>
      </c>
      <c r="N334" s="29">
        <f>VLOOKUP(A334,Database!$E:$AY,MATCH($N$1,Database!$E$1:$AY$1,0),FALSE)</f>
        <v/>
      </c>
      <c r="O334" s="29">
        <f>(((Table134567891011121314151617343[[#This Row],[USA]]-VLOOKUP($U$1,A:N,14,))/VLOOKUP($U$1,A:N,14,))*100)+100</f>
        <v/>
      </c>
      <c r="P334" s="29">
        <f>VLOOKUP(A334,Database!$E:$AY,MATCH($P$1,Database!$E$1:$AY$1,0),FALSE)</f>
        <v/>
      </c>
      <c r="Q334" s="29">
        <f>(((Table134567891011121314151617343[[#This Row],[JPN]]-VLOOKUP($U$1,A:Q,16,))/VLOOKUP($U$1,A:Q,16,))*100)+100</f>
        <v/>
      </c>
    </row>
    <row r="335" customFormat="1" s="129">
      <c r="A335" s="28" t="n">
        <v>43009</v>
      </c>
      <c r="B335" s="29">
        <f>VLOOKUP(A335,Database!$E:$AY,MATCH($B$1,Database!$E$1:$AY$1,0),FALSE)</f>
        <v/>
      </c>
      <c r="C335" s="29">
        <f>VLOOKUP(A335,Database!$E:$AY,MATCH($C$1,Database!$E$1:$AY$1,0),FALSE)</f>
        <v/>
      </c>
      <c r="D335" s="29">
        <f>VLOOKUP(A335,Database!$E:$AY,MATCH($D$1,Database!$E$1:$AY$1,0),FALSE)</f>
        <v/>
      </c>
      <c r="E335" s="29">
        <f>VLOOKUP(A335,Database!$E:$AY,MATCH($E$1,Database!$E$1:$AY$1,0),FALSE)</f>
        <v/>
      </c>
      <c r="F335" s="29">
        <f>VLOOKUP(A335,Database!$E:$AY,MATCH($F$1,Database!$E$1:$AY$1,0),FALSE)</f>
        <v/>
      </c>
      <c r="G335" s="29">
        <f>VLOOKUP(A335,Database!$E:$AY,MATCH($G$1,Database!$E$1:$AY$1,0),FALSE)</f>
        <v/>
      </c>
      <c r="H335" s="29">
        <f>(((Table134567891011121314151617343[[#This Row],[ITA]]-VLOOKUP($U$1,A:B,2,))/VLOOKUP($U$1,A:B,2,))*100)+100</f>
        <v/>
      </c>
      <c r="I335" s="29">
        <f>(((Table134567891011121314151617343[[#This Row],[FRA]]-VLOOKUP($U$1,A:C,3,))/VLOOKUP($U$1,A:C,3,))*100)+100</f>
        <v/>
      </c>
      <c r="J335" s="29">
        <f>(((Table134567891011121314151617343[[#This Row],[DEU]]-VLOOKUP($U$1,A:D,4,))/VLOOKUP($U$1,A:D,4,))*100)+100</f>
        <v/>
      </c>
      <c r="K335" s="29">
        <f>(((Table134567891011121314151617343[[#This Row],[ESP]]-VLOOKUP($U$1,A:E,5,))/VLOOKUP($U$1,A:E,5,))*100)+100</f>
        <v/>
      </c>
      <c r="L335" s="29">
        <f>(((Table134567891011121314151617343[[#This Row],[EA19]]-VLOOKUP($U$1,A:F,6,))/VLOOKUP($U$1,A:F,6,))*100)+100</f>
        <v/>
      </c>
      <c r="M335" s="29">
        <f>(((Table134567891011121314151617343[[#This Row],[GBR]]-VLOOKUP($U$1,A:G,7,))/VLOOKUP($U$1,A:G,7,))*100)+100</f>
        <v/>
      </c>
      <c r="N335" s="29">
        <f>VLOOKUP(A335,Database!$E:$AY,MATCH($N$1,Database!$E$1:$AY$1,0),FALSE)</f>
        <v/>
      </c>
      <c r="O335" s="29">
        <f>(((Table134567891011121314151617343[[#This Row],[USA]]-VLOOKUP($U$1,A:N,14,))/VLOOKUP($U$1,A:N,14,))*100)+100</f>
        <v/>
      </c>
      <c r="P335" s="29">
        <f>VLOOKUP(A335,Database!$E:$AY,MATCH($P$1,Database!$E$1:$AY$1,0),FALSE)</f>
        <v/>
      </c>
      <c r="Q335" s="29">
        <f>(((Table134567891011121314151617343[[#This Row],[JPN]]-VLOOKUP($U$1,A:Q,16,))/VLOOKUP($U$1,A:Q,16,))*100)+100</f>
        <v/>
      </c>
    </row>
    <row r="336" customFormat="1" s="129">
      <c r="A336" s="28" t="n">
        <v>43040</v>
      </c>
      <c r="B336" s="29">
        <f>VLOOKUP(A336,Database!$E:$AY,MATCH($B$1,Database!$E$1:$AY$1,0),FALSE)</f>
        <v/>
      </c>
      <c r="C336" s="29">
        <f>VLOOKUP(A336,Database!$E:$AY,MATCH($C$1,Database!$E$1:$AY$1,0),FALSE)</f>
        <v/>
      </c>
      <c r="D336" s="29">
        <f>VLOOKUP(A336,Database!$E:$AY,MATCH($D$1,Database!$E$1:$AY$1,0),FALSE)</f>
        <v/>
      </c>
      <c r="E336" s="29">
        <f>VLOOKUP(A336,Database!$E:$AY,MATCH($E$1,Database!$E$1:$AY$1,0),FALSE)</f>
        <v/>
      </c>
      <c r="F336" s="29">
        <f>VLOOKUP(A336,Database!$E:$AY,MATCH($F$1,Database!$E$1:$AY$1,0),FALSE)</f>
        <v/>
      </c>
      <c r="G336" s="29">
        <f>VLOOKUP(A336,Database!$E:$AY,MATCH($G$1,Database!$E$1:$AY$1,0),FALSE)</f>
        <v/>
      </c>
      <c r="H336" s="29">
        <f>(((Table134567891011121314151617343[[#This Row],[ITA]]-VLOOKUP($U$1,A:B,2,))/VLOOKUP($U$1,A:B,2,))*100)+100</f>
        <v/>
      </c>
      <c r="I336" s="29">
        <f>(((Table134567891011121314151617343[[#This Row],[FRA]]-VLOOKUP($U$1,A:C,3,))/VLOOKUP($U$1,A:C,3,))*100)+100</f>
        <v/>
      </c>
      <c r="J336" s="29">
        <f>(((Table134567891011121314151617343[[#This Row],[DEU]]-VLOOKUP($U$1,A:D,4,))/VLOOKUP($U$1,A:D,4,))*100)+100</f>
        <v/>
      </c>
      <c r="K336" s="29">
        <f>(((Table134567891011121314151617343[[#This Row],[ESP]]-VLOOKUP($U$1,A:E,5,))/VLOOKUP($U$1,A:E,5,))*100)+100</f>
        <v/>
      </c>
      <c r="L336" s="29">
        <f>(((Table134567891011121314151617343[[#This Row],[EA19]]-VLOOKUP($U$1,A:F,6,))/VLOOKUP($U$1,A:F,6,))*100)+100</f>
        <v/>
      </c>
      <c r="M336" s="29">
        <f>(((Table134567891011121314151617343[[#This Row],[GBR]]-VLOOKUP($U$1,A:G,7,))/VLOOKUP($U$1,A:G,7,))*100)+100</f>
        <v/>
      </c>
      <c r="N336" s="29">
        <f>VLOOKUP(A336,Database!$E:$AY,MATCH($N$1,Database!$E$1:$AY$1,0),FALSE)</f>
        <v/>
      </c>
      <c r="O336" s="29">
        <f>(((Table134567891011121314151617343[[#This Row],[USA]]-VLOOKUP($U$1,A:N,14,))/VLOOKUP($U$1,A:N,14,))*100)+100</f>
        <v/>
      </c>
      <c r="P336" s="29">
        <f>VLOOKUP(A336,Database!$E:$AY,MATCH($P$1,Database!$E$1:$AY$1,0),FALSE)</f>
        <v/>
      </c>
      <c r="Q336" s="29">
        <f>(((Table134567891011121314151617343[[#This Row],[JPN]]-VLOOKUP($U$1,A:Q,16,))/VLOOKUP($U$1,A:Q,16,))*100)+100</f>
        <v/>
      </c>
    </row>
    <row r="337" customFormat="1" s="129">
      <c r="A337" s="28" t="n">
        <v>43070</v>
      </c>
      <c r="B337" s="29">
        <f>VLOOKUP(A337,Database!$E:$AY,MATCH($B$1,Database!$E$1:$AY$1,0),FALSE)</f>
        <v/>
      </c>
      <c r="C337" s="29">
        <f>VLOOKUP(A337,Database!$E:$AY,MATCH($C$1,Database!$E$1:$AY$1,0),FALSE)</f>
        <v/>
      </c>
      <c r="D337" s="29">
        <f>VLOOKUP(A337,Database!$E:$AY,MATCH($D$1,Database!$E$1:$AY$1,0),FALSE)</f>
        <v/>
      </c>
      <c r="E337" s="29">
        <f>VLOOKUP(A337,Database!$E:$AY,MATCH($E$1,Database!$E$1:$AY$1,0),FALSE)</f>
        <v/>
      </c>
      <c r="F337" s="29">
        <f>VLOOKUP(A337,Database!$E:$AY,MATCH($F$1,Database!$E$1:$AY$1,0),FALSE)</f>
        <v/>
      </c>
      <c r="G337" s="29">
        <f>VLOOKUP(A337,Database!$E:$AY,MATCH($G$1,Database!$E$1:$AY$1,0),FALSE)</f>
        <v/>
      </c>
      <c r="H337" s="29">
        <f>(((Table134567891011121314151617343[[#This Row],[ITA]]-VLOOKUP($U$1,A:B,2,))/VLOOKUP($U$1,A:B,2,))*100)+100</f>
        <v/>
      </c>
      <c r="I337" s="29">
        <f>(((Table134567891011121314151617343[[#This Row],[FRA]]-VLOOKUP($U$1,A:C,3,))/VLOOKUP($U$1,A:C,3,))*100)+100</f>
        <v/>
      </c>
      <c r="J337" s="29">
        <f>(((Table134567891011121314151617343[[#This Row],[DEU]]-VLOOKUP($U$1,A:D,4,))/VLOOKUP($U$1,A:D,4,))*100)+100</f>
        <v/>
      </c>
      <c r="K337" s="29">
        <f>(((Table134567891011121314151617343[[#This Row],[ESP]]-VLOOKUP($U$1,A:E,5,))/VLOOKUP($U$1,A:E,5,))*100)+100</f>
        <v/>
      </c>
      <c r="L337" s="29">
        <f>(((Table134567891011121314151617343[[#This Row],[EA19]]-VLOOKUP($U$1,A:F,6,))/VLOOKUP($U$1,A:F,6,))*100)+100</f>
        <v/>
      </c>
      <c r="M337" s="29">
        <f>(((Table134567891011121314151617343[[#This Row],[GBR]]-VLOOKUP($U$1,A:G,7,))/VLOOKUP($U$1,A:G,7,))*100)+100</f>
        <v/>
      </c>
      <c r="N337" s="29">
        <f>VLOOKUP(A337,Database!$E:$AY,MATCH($N$1,Database!$E$1:$AY$1,0),FALSE)</f>
        <v/>
      </c>
      <c r="O337" s="29">
        <f>(((Table134567891011121314151617343[[#This Row],[USA]]-VLOOKUP($U$1,A:N,14,))/VLOOKUP($U$1,A:N,14,))*100)+100</f>
        <v/>
      </c>
      <c r="P337" s="29">
        <f>VLOOKUP(A337,Database!$E:$AY,MATCH($P$1,Database!$E$1:$AY$1,0),FALSE)</f>
        <v/>
      </c>
      <c r="Q337" s="29">
        <f>(((Table134567891011121314151617343[[#This Row],[JPN]]-VLOOKUP($U$1,A:Q,16,))/VLOOKUP($U$1,A:Q,16,))*100)+100</f>
        <v/>
      </c>
    </row>
    <row r="338" customFormat="1" s="129">
      <c r="A338" s="28" t="n">
        <v>43101</v>
      </c>
      <c r="B338" s="29">
        <f>VLOOKUP(A338,Database!$E:$AY,MATCH($B$1,Database!$E$1:$AY$1,0),FALSE)</f>
        <v/>
      </c>
      <c r="C338" s="29">
        <f>VLOOKUP(A338,Database!$E:$AY,MATCH($C$1,Database!$E$1:$AY$1,0),FALSE)</f>
        <v/>
      </c>
      <c r="D338" s="29">
        <f>VLOOKUP(A338,Database!$E:$AY,MATCH($D$1,Database!$E$1:$AY$1,0),FALSE)</f>
        <v/>
      </c>
      <c r="E338" s="29">
        <f>VLOOKUP(A338,Database!$E:$AY,MATCH($E$1,Database!$E$1:$AY$1,0),FALSE)</f>
        <v/>
      </c>
      <c r="F338" s="29">
        <f>VLOOKUP(A338,Database!$E:$AY,MATCH($F$1,Database!$E$1:$AY$1,0),FALSE)</f>
        <v/>
      </c>
      <c r="G338" s="29">
        <f>VLOOKUP(A338,Database!$E:$AY,MATCH($G$1,Database!$E$1:$AY$1,0),FALSE)</f>
        <v/>
      </c>
      <c r="H338" s="29">
        <f>(((Table134567891011121314151617343[[#This Row],[ITA]]-VLOOKUP($U$1,A:B,2,))/VLOOKUP($U$1,A:B,2,))*100)+100</f>
        <v/>
      </c>
      <c r="I338" s="29">
        <f>(((Table134567891011121314151617343[[#This Row],[FRA]]-VLOOKUP($U$1,A:C,3,))/VLOOKUP($U$1,A:C,3,))*100)+100</f>
        <v/>
      </c>
      <c r="J338" s="29">
        <f>(((Table134567891011121314151617343[[#This Row],[DEU]]-VLOOKUP($U$1,A:D,4,))/VLOOKUP($U$1,A:D,4,))*100)+100</f>
        <v/>
      </c>
      <c r="K338" s="29">
        <f>(((Table134567891011121314151617343[[#This Row],[ESP]]-VLOOKUP($U$1,A:E,5,))/VLOOKUP($U$1,A:E,5,))*100)+100</f>
        <v/>
      </c>
      <c r="L338" s="29">
        <f>(((Table134567891011121314151617343[[#This Row],[EA19]]-VLOOKUP($U$1,A:F,6,))/VLOOKUP($U$1,A:F,6,))*100)+100</f>
        <v/>
      </c>
      <c r="M338" s="29">
        <f>(((Table134567891011121314151617343[[#This Row],[GBR]]-VLOOKUP($U$1,A:G,7,))/VLOOKUP($U$1,A:G,7,))*100)+100</f>
        <v/>
      </c>
      <c r="N338" s="29">
        <f>VLOOKUP(A338,Database!$E:$AY,MATCH($N$1,Database!$E$1:$AY$1,0),FALSE)</f>
        <v/>
      </c>
      <c r="O338" s="29">
        <f>(((Table134567891011121314151617343[[#This Row],[USA]]-VLOOKUP($U$1,A:N,14,))/VLOOKUP($U$1,A:N,14,))*100)+100</f>
        <v/>
      </c>
      <c r="P338" s="29">
        <f>VLOOKUP(A338,Database!$E:$AY,MATCH($P$1,Database!$E$1:$AY$1,0),FALSE)</f>
        <v/>
      </c>
      <c r="Q338" s="29">
        <f>(((Table134567891011121314151617343[[#This Row],[JPN]]-VLOOKUP($U$1,A:Q,16,))/VLOOKUP($U$1,A:Q,16,))*100)+100</f>
        <v/>
      </c>
    </row>
    <row r="339" customFormat="1" s="129">
      <c r="A339" s="28" t="n">
        <v>43132</v>
      </c>
      <c r="B339" s="29">
        <f>VLOOKUP(A339,Database!$E:$AY,MATCH($B$1,Database!$E$1:$AY$1,0),FALSE)</f>
        <v/>
      </c>
      <c r="C339" s="29">
        <f>VLOOKUP(A339,Database!$E:$AY,MATCH($C$1,Database!$E$1:$AY$1,0),FALSE)</f>
        <v/>
      </c>
      <c r="D339" s="29">
        <f>VLOOKUP(A339,Database!$E:$AY,MATCH($D$1,Database!$E$1:$AY$1,0),FALSE)</f>
        <v/>
      </c>
      <c r="E339" s="29">
        <f>VLOOKUP(A339,Database!$E:$AY,MATCH($E$1,Database!$E$1:$AY$1,0),FALSE)</f>
        <v/>
      </c>
      <c r="F339" s="29">
        <f>VLOOKUP(A339,Database!$E:$AY,MATCH($F$1,Database!$E$1:$AY$1,0),FALSE)</f>
        <v/>
      </c>
      <c r="G339" s="29">
        <f>VLOOKUP(A339,Database!$E:$AY,MATCH($G$1,Database!$E$1:$AY$1,0),FALSE)</f>
        <v/>
      </c>
      <c r="H339" s="29">
        <f>(((Table134567891011121314151617343[[#This Row],[ITA]]-VLOOKUP($U$1,A:B,2,))/VLOOKUP($U$1,A:B,2,))*100)+100</f>
        <v/>
      </c>
      <c r="I339" s="29">
        <f>(((Table134567891011121314151617343[[#This Row],[FRA]]-VLOOKUP($U$1,A:C,3,))/VLOOKUP($U$1,A:C,3,))*100)+100</f>
        <v/>
      </c>
      <c r="J339" s="29">
        <f>(((Table134567891011121314151617343[[#This Row],[DEU]]-VLOOKUP($U$1,A:D,4,))/VLOOKUP($U$1,A:D,4,))*100)+100</f>
        <v/>
      </c>
      <c r="K339" s="29">
        <f>(((Table134567891011121314151617343[[#This Row],[ESP]]-VLOOKUP($U$1,A:E,5,))/VLOOKUP($U$1,A:E,5,))*100)+100</f>
        <v/>
      </c>
      <c r="L339" s="29">
        <f>(((Table134567891011121314151617343[[#This Row],[EA19]]-VLOOKUP($U$1,A:F,6,))/VLOOKUP($U$1,A:F,6,))*100)+100</f>
        <v/>
      </c>
      <c r="M339" s="29">
        <f>(((Table134567891011121314151617343[[#This Row],[GBR]]-VLOOKUP($U$1,A:G,7,))/VLOOKUP($U$1,A:G,7,))*100)+100</f>
        <v/>
      </c>
      <c r="N339" s="29">
        <f>VLOOKUP(A339,Database!$E:$AY,MATCH($N$1,Database!$E$1:$AY$1,0),FALSE)</f>
        <v/>
      </c>
      <c r="O339" s="29">
        <f>(((Table134567891011121314151617343[[#This Row],[USA]]-VLOOKUP($U$1,A:N,14,))/VLOOKUP($U$1,A:N,14,))*100)+100</f>
        <v/>
      </c>
      <c r="P339" s="29">
        <f>VLOOKUP(A339,Database!$E:$AY,MATCH($P$1,Database!$E$1:$AY$1,0),FALSE)</f>
        <v/>
      </c>
      <c r="Q339" s="29">
        <f>(((Table134567891011121314151617343[[#This Row],[JPN]]-VLOOKUP($U$1,A:Q,16,))/VLOOKUP($U$1,A:Q,16,))*100)+100</f>
        <v/>
      </c>
    </row>
    <row r="340" customFormat="1" s="129">
      <c r="A340" s="28" t="n">
        <v>43160</v>
      </c>
      <c r="B340" s="29">
        <f>VLOOKUP(A340,Database!$E:$AY,MATCH($B$1,Database!$E$1:$AY$1,0),FALSE)</f>
        <v/>
      </c>
      <c r="C340" s="29">
        <f>VLOOKUP(A340,Database!$E:$AY,MATCH($C$1,Database!$E$1:$AY$1,0),FALSE)</f>
        <v/>
      </c>
      <c r="D340" s="29">
        <f>VLOOKUP(A340,Database!$E:$AY,MATCH($D$1,Database!$E$1:$AY$1,0),FALSE)</f>
        <v/>
      </c>
      <c r="E340" s="29">
        <f>VLOOKUP(A340,Database!$E:$AY,MATCH($E$1,Database!$E$1:$AY$1,0),FALSE)</f>
        <v/>
      </c>
      <c r="F340" s="29">
        <f>VLOOKUP(A340,Database!$E:$AY,MATCH($F$1,Database!$E$1:$AY$1,0),FALSE)</f>
        <v/>
      </c>
      <c r="G340" s="29">
        <f>VLOOKUP(A340,Database!$E:$AY,MATCH($G$1,Database!$E$1:$AY$1,0),FALSE)</f>
        <v/>
      </c>
      <c r="H340" s="29">
        <f>(((Table134567891011121314151617343[[#This Row],[ITA]]-VLOOKUP($U$1,A:B,2,))/VLOOKUP($U$1,A:B,2,))*100)+100</f>
        <v/>
      </c>
      <c r="I340" s="29">
        <f>(((Table134567891011121314151617343[[#This Row],[FRA]]-VLOOKUP($U$1,A:C,3,))/VLOOKUP($U$1,A:C,3,))*100)+100</f>
        <v/>
      </c>
      <c r="J340" s="29">
        <f>(((Table134567891011121314151617343[[#This Row],[DEU]]-VLOOKUP($U$1,A:D,4,))/VLOOKUP($U$1,A:D,4,))*100)+100</f>
        <v/>
      </c>
      <c r="K340" s="29">
        <f>(((Table134567891011121314151617343[[#This Row],[ESP]]-VLOOKUP($U$1,A:E,5,))/VLOOKUP($U$1,A:E,5,))*100)+100</f>
        <v/>
      </c>
      <c r="L340" s="29">
        <f>(((Table134567891011121314151617343[[#This Row],[EA19]]-VLOOKUP($U$1,A:F,6,))/VLOOKUP($U$1,A:F,6,))*100)+100</f>
        <v/>
      </c>
      <c r="M340" s="29">
        <f>(((Table134567891011121314151617343[[#This Row],[GBR]]-VLOOKUP($U$1,A:G,7,))/VLOOKUP($U$1,A:G,7,))*100)+100</f>
        <v/>
      </c>
      <c r="N340" s="29">
        <f>VLOOKUP(A340,Database!$E:$AY,MATCH($N$1,Database!$E$1:$AY$1,0),FALSE)</f>
        <v/>
      </c>
      <c r="O340" s="29">
        <f>(((Table134567891011121314151617343[[#This Row],[USA]]-VLOOKUP($U$1,A:N,14,))/VLOOKUP($U$1,A:N,14,))*100)+100</f>
        <v/>
      </c>
      <c r="P340" s="29">
        <f>VLOOKUP(A340,Database!$E:$AY,MATCH($P$1,Database!$E$1:$AY$1,0),FALSE)</f>
        <v/>
      </c>
      <c r="Q340" s="29">
        <f>(((Table134567891011121314151617343[[#This Row],[JPN]]-VLOOKUP($U$1,A:Q,16,))/VLOOKUP($U$1,A:Q,16,))*100)+100</f>
        <v/>
      </c>
    </row>
    <row r="341" customFormat="1" s="129">
      <c r="A341" s="28" t="n">
        <v>43191</v>
      </c>
      <c r="B341" s="29">
        <f>VLOOKUP(A341,Database!$E:$AY,MATCH($B$1,Database!$E$1:$AY$1,0),FALSE)</f>
        <v/>
      </c>
      <c r="C341" s="29">
        <f>VLOOKUP(A341,Database!$E:$AY,MATCH($C$1,Database!$E$1:$AY$1,0),FALSE)</f>
        <v/>
      </c>
      <c r="D341" s="29">
        <f>VLOOKUP(A341,Database!$E:$AY,MATCH($D$1,Database!$E$1:$AY$1,0),FALSE)</f>
        <v/>
      </c>
      <c r="E341" s="29">
        <f>VLOOKUP(A341,Database!$E:$AY,MATCH($E$1,Database!$E$1:$AY$1,0),FALSE)</f>
        <v/>
      </c>
      <c r="F341" s="29">
        <f>VLOOKUP(A341,Database!$E:$AY,MATCH($F$1,Database!$E$1:$AY$1,0),FALSE)</f>
        <v/>
      </c>
      <c r="G341" s="29">
        <f>VLOOKUP(A341,Database!$E:$AY,MATCH($G$1,Database!$E$1:$AY$1,0),FALSE)</f>
        <v/>
      </c>
      <c r="H341" s="29">
        <f>(((Table134567891011121314151617343[[#This Row],[ITA]]-VLOOKUP($U$1,A:B,2,))/VLOOKUP($U$1,A:B,2,))*100)+100</f>
        <v/>
      </c>
      <c r="I341" s="29">
        <f>(((Table134567891011121314151617343[[#This Row],[FRA]]-VLOOKUP($U$1,A:C,3,))/VLOOKUP($U$1,A:C,3,))*100)+100</f>
        <v/>
      </c>
      <c r="J341" s="29">
        <f>(((Table134567891011121314151617343[[#This Row],[DEU]]-VLOOKUP($U$1,A:D,4,))/VLOOKUP($U$1,A:D,4,))*100)+100</f>
        <v/>
      </c>
      <c r="K341" s="29">
        <f>(((Table134567891011121314151617343[[#This Row],[ESP]]-VLOOKUP($U$1,A:E,5,))/VLOOKUP($U$1,A:E,5,))*100)+100</f>
        <v/>
      </c>
      <c r="L341" s="29">
        <f>(((Table134567891011121314151617343[[#This Row],[EA19]]-VLOOKUP($U$1,A:F,6,))/VLOOKUP($U$1,A:F,6,))*100)+100</f>
        <v/>
      </c>
      <c r="M341" s="29">
        <f>(((Table134567891011121314151617343[[#This Row],[GBR]]-VLOOKUP($U$1,A:G,7,))/VLOOKUP($U$1,A:G,7,))*100)+100</f>
        <v/>
      </c>
      <c r="N341" s="29">
        <f>VLOOKUP(A341,Database!$E:$AY,MATCH($N$1,Database!$E$1:$AY$1,0),FALSE)</f>
        <v/>
      </c>
      <c r="O341" s="29">
        <f>(((Table134567891011121314151617343[[#This Row],[USA]]-VLOOKUP($U$1,A:N,14,))/VLOOKUP($U$1,A:N,14,))*100)+100</f>
        <v/>
      </c>
      <c r="P341" s="29">
        <f>VLOOKUP(A341,Database!$E:$AY,MATCH($P$1,Database!$E$1:$AY$1,0),FALSE)</f>
        <v/>
      </c>
      <c r="Q341" s="29">
        <f>(((Table134567891011121314151617343[[#This Row],[JPN]]-VLOOKUP($U$1,A:Q,16,))/VLOOKUP($U$1,A:Q,16,))*100)+100</f>
        <v/>
      </c>
    </row>
    <row r="342" customFormat="1" s="129">
      <c r="A342" s="28" t="n">
        <v>43221</v>
      </c>
      <c r="B342" s="29">
        <f>VLOOKUP(A342,Database!$E:$AY,MATCH($B$1,Database!$E$1:$AY$1,0),FALSE)</f>
        <v/>
      </c>
      <c r="C342" s="29">
        <f>VLOOKUP(A342,Database!$E:$AY,MATCH($C$1,Database!$E$1:$AY$1,0),FALSE)</f>
        <v/>
      </c>
      <c r="D342" s="29">
        <f>VLOOKUP(A342,Database!$E:$AY,MATCH($D$1,Database!$E$1:$AY$1,0),FALSE)</f>
        <v/>
      </c>
      <c r="E342" s="29">
        <f>VLOOKUP(A342,Database!$E:$AY,MATCH($E$1,Database!$E$1:$AY$1,0),FALSE)</f>
        <v/>
      </c>
      <c r="F342" s="29">
        <f>VLOOKUP(A342,Database!$E:$AY,MATCH($F$1,Database!$E$1:$AY$1,0),FALSE)</f>
        <v/>
      </c>
      <c r="G342" s="29">
        <f>VLOOKUP(A342,Database!$E:$AY,MATCH($G$1,Database!$E$1:$AY$1,0),FALSE)</f>
        <v/>
      </c>
      <c r="H342" s="29">
        <f>(((Table134567891011121314151617343[[#This Row],[ITA]]-VLOOKUP($U$1,A:B,2,))/VLOOKUP($U$1,A:B,2,))*100)+100</f>
        <v/>
      </c>
      <c r="I342" s="29">
        <f>(((Table134567891011121314151617343[[#This Row],[FRA]]-VLOOKUP($U$1,A:C,3,))/VLOOKUP($U$1,A:C,3,))*100)+100</f>
        <v/>
      </c>
      <c r="J342" s="29">
        <f>(((Table134567891011121314151617343[[#This Row],[DEU]]-VLOOKUP($U$1,A:D,4,))/VLOOKUP($U$1,A:D,4,))*100)+100</f>
        <v/>
      </c>
      <c r="K342" s="29">
        <f>(((Table134567891011121314151617343[[#This Row],[ESP]]-VLOOKUP($U$1,A:E,5,))/VLOOKUP($U$1,A:E,5,))*100)+100</f>
        <v/>
      </c>
      <c r="L342" s="29">
        <f>(((Table134567891011121314151617343[[#This Row],[EA19]]-VLOOKUP($U$1,A:F,6,))/VLOOKUP($U$1,A:F,6,))*100)+100</f>
        <v/>
      </c>
      <c r="M342" s="29">
        <f>(((Table134567891011121314151617343[[#This Row],[GBR]]-VLOOKUP($U$1,A:G,7,))/VLOOKUP($U$1,A:G,7,))*100)+100</f>
        <v/>
      </c>
      <c r="N342" s="29">
        <f>VLOOKUP(A342,Database!$E:$AY,MATCH($N$1,Database!$E$1:$AY$1,0),FALSE)</f>
        <v/>
      </c>
      <c r="O342" s="29">
        <f>(((Table134567891011121314151617343[[#This Row],[USA]]-VLOOKUP($U$1,A:N,14,))/VLOOKUP($U$1,A:N,14,))*100)+100</f>
        <v/>
      </c>
      <c r="P342" s="29">
        <f>VLOOKUP(A342,Database!$E:$AY,MATCH($P$1,Database!$E$1:$AY$1,0),FALSE)</f>
        <v/>
      </c>
      <c r="Q342" s="29">
        <f>(((Table134567891011121314151617343[[#This Row],[JPN]]-VLOOKUP($U$1,A:Q,16,))/VLOOKUP($U$1,A:Q,16,))*100)+100</f>
        <v/>
      </c>
    </row>
    <row r="343" customFormat="1" s="129">
      <c r="A343" s="28" t="n">
        <v>43252</v>
      </c>
      <c r="B343" s="29">
        <f>VLOOKUP(A343,Database!$E:$AY,MATCH($B$1,Database!$E$1:$AY$1,0),FALSE)</f>
        <v/>
      </c>
      <c r="C343" s="29">
        <f>VLOOKUP(A343,Database!$E:$AY,MATCH($C$1,Database!$E$1:$AY$1,0),FALSE)</f>
        <v/>
      </c>
      <c r="D343" s="29">
        <f>VLOOKUP(A343,Database!$E:$AY,MATCH($D$1,Database!$E$1:$AY$1,0),FALSE)</f>
        <v/>
      </c>
      <c r="E343" s="29">
        <f>VLOOKUP(A343,Database!$E:$AY,MATCH($E$1,Database!$E$1:$AY$1,0),FALSE)</f>
        <v/>
      </c>
      <c r="F343" s="29">
        <f>VLOOKUP(A343,Database!$E:$AY,MATCH($F$1,Database!$E$1:$AY$1,0),FALSE)</f>
        <v/>
      </c>
      <c r="G343" s="29">
        <f>VLOOKUP(A343,Database!$E:$AY,MATCH($G$1,Database!$E$1:$AY$1,0),FALSE)</f>
        <v/>
      </c>
      <c r="H343" s="29">
        <f>(((Table134567891011121314151617343[[#This Row],[ITA]]-VLOOKUP($U$1,A:B,2,))/VLOOKUP($U$1,A:B,2,))*100)+100</f>
        <v/>
      </c>
      <c r="I343" s="29">
        <f>(((Table134567891011121314151617343[[#This Row],[FRA]]-VLOOKUP($U$1,A:C,3,))/VLOOKUP($U$1,A:C,3,))*100)+100</f>
        <v/>
      </c>
      <c r="J343" s="29">
        <f>(((Table134567891011121314151617343[[#This Row],[DEU]]-VLOOKUP($U$1,A:D,4,))/VLOOKUP($U$1,A:D,4,))*100)+100</f>
        <v/>
      </c>
      <c r="K343" s="29">
        <f>(((Table134567891011121314151617343[[#This Row],[ESP]]-VLOOKUP($U$1,A:E,5,))/VLOOKUP($U$1,A:E,5,))*100)+100</f>
        <v/>
      </c>
      <c r="L343" s="29">
        <f>(((Table134567891011121314151617343[[#This Row],[EA19]]-VLOOKUP($U$1,A:F,6,))/VLOOKUP($U$1,A:F,6,))*100)+100</f>
        <v/>
      </c>
      <c r="M343" s="29">
        <f>(((Table134567891011121314151617343[[#This Row],[GBR]]-VLOOKUP($U$1,A:G,7,))/VLOOKUP($U$1,A:G,7,))*100)+100</f>
        <v/>
      </c>
      <c r="N343" s="29">
        <f>VLOOKUP(A343,Database!$E:$AY,MATCH($N$1,Database!$E$1:$AY$1,0),FALSE)</f>
        <v/>
      </c>
      <c r="O343" s="29">
        <f>(((Table134567891011121314151617343[[#This Row],[USA]]-VLOOKUP($U$1,A:N,14,))/VLOOKUP($U$1,A:N,14,))*100)+100</f>
        <v/>
      </c>
      <c r="P343" s="29">
        <f>VLOOKUP(A343,Database!$E:$AY,MATCH($P$1,Database!$E$1:$AY$1,0),FALSE)</f>
        <v/>
      </c>
      <c r="Q343" s="29">
        <f>(((Table134567891011121314151617343[[#This Row],[JPN]]-VLOOKUP($U$1,A:Q,16,))/VLOOKUP($U$1,A:Q,16,))*100)+100</f>
        <v/>
      </c>
    </row>
    <row r="344" customFormat="1" s="129">
      <c r="A344" s="28" t="n">
        <v>43282</v>
      </c>
      <c r="B344" s="29">
        <f>VLOOKUP(A344,Database!$E:$AY,MATCH($B$1,Database!$E$1:$AY$1,0),FALSE)</f>
        <v/>
      </c>
      <c r="C344" s="29">
        <f>VLOOKUP(A344,Database!$E:$AY,MATCH($C$1,Database!$E$1:$AY$1,0),FALSE)</f>
        <v/>
      </c>
      <c r="D344" s="29">
        <f>VLOOKUP(A344,Database!$E:$AY,MATCH($D$1,Database!$E$1:$AY$1,0),FALSE)</f>
        <v/>
      </c>
      <c r="E344" s="29">
        <f>VLOOKUP(A344,Database!$E:$AY,MATCH($E$1,Database!$E$1:$AY$1,0),FALSE)</f>
        <v/>
      </c>
      <c r="F344" s="29">
        <f>VLOOKUP(A344,Database!$E:$AY,MATCH($F$1,Database!$E$1:$AY$1,0),FALSE)</f>
        <v/>
      </c>
      <c r="G344" s="29">
        <f>VLOOKUP(A344,Database!$E:$AY,MATCH($G$1,Database!$E$1:$AY$1,0),FALSE)</f>
        <v/>
      </c>
      <c r="H344" s="29">
        <f>(((Table134567891011121314151617343[[#This Row],[ITA]]-VLOOKUP($U$1,A:B,2,))/VLOOKUP($U$1,A:B,2,))*100)+100</f>
        <v/>
      </c>
      <c r="I344" s="29">
        <f>(((Table134567891011121314151617343[[#This Row],[FRA]]-VLOOKUP($U$1,A:C,3,))/VLOOKUP($U$1,A:C,3,))*100)+100</f>
        <v/>
      </c>
      <c r="J344" s="29">
        <f>(((Table134567891011121314151617343[[#This Row],[DEU]]-VLOOKUP($U$1,A:D,4,))/VLOOKUP($U$1,A:D,4,))*100)+100</f>
        <v/>
      </c>
      <c r="K344" s="29">
        <f>(((Table134567891011121314151617343[[#This Row],[ESP]]-VLOOKUP($U$1,A:E,5,))/VLOOKUP($U$1,A:E,5,))*100)+100</f>
        <v/>
      </c>
      <c r="L344" s="29">
        <f>(((Table134567891011121314151617343[[#This Row],[EA19]]-VLOOKUP($U$1,A:F,6,))/VLOOKUP($U$1,A:F,6,))*100)+100</f>
        <v/>
      </c>
      <c r="M344" s="29">
        <f>(((Table134567891011121314151617343[[#This Row],[GBR]]-VLOOKUP($U$1,A:G,7,))/VLOOKUP($U$1,A:G,7,))*100)+100</f>
        <v/>
      </c>
      <c r="N344" s="29">
        <f>VLOOKUP(A344,Database!$E:$AY,MATCH($N$1,Database!$E$1:$AY$1,0),FALSE)</f>
        <v/>
      </c>
      <c r="O344" s="29">
        <f>(((Table134567891011121314151617343[[#This Row],[USA]]-VLOOKUP($U$1,A:N,14,))/VLOOKUP($U$1,A:N,14,))*100)+100</f>
        <v/>
      </c>
      <c r="P344" s="29">
        <f>VLOOKUP(A344,Database!$E:$AY,MATCH($P$1,Database!$E$1:$AY$1,0),FALSE)</f>
        <v/>
      </c>
      <c r="Q344" s="29">
        <f>(((Table134567891011121314151617343[[#This Row],[JPN]]-VLOOKUP($U$1,A:Q,16,))/VLOOKUP($U$1,A:Q,16,))*100)+100</f>
        <v/>
      </c>
    </row>
    <row r="345" customFormat="1" s="129">
      <c r="A345" s="28" t="n">
        <v>43313</v>
      </c>
      <c r="B345" s="29">
        <f>VLOOKUP(A345,Database!$E:$AY,MATCH($B$1,Database!$E$1:$AY$1,0),FALSE)</f>
        <v/>
      </c>
      <c r="C345" s="29">
        <f>VLOOKUP(A345,Database!$E:$AY,MATCH($C$1,Database!$E$1:$AY$1,0),FALSE)</f>
        <v/>
      </c>
      <c r="D345" s="29">
        <f>VLOOKUP(A345,Database!$E:$AY,MATCH($D$1,Database!$E$1:$AY$1,0),FALSE)</f>
        <v/>
      </c>
      <c r="E345" s="29">
        <f>VLOOKUP(A345,Database!$E:$AY,MATCH($E$1,Database!$E$1:$AY$1,0),FALSE)</f>
        <v/>
      </c>
      <c r="F345" s="29">
        <f>VLOOKUP(A345,Database!$E:$AY,MATCH($F$1,Database!$E$1:$AY$1,0),FALSE)</f>
        <v/>
      </c>
      <c r="G345" s="29">
        <f>VLOOKUP(A345,Database!$E:$AY,MATCH($G$1,Database!$E$1:$AY$1,0),FALSE)</f>
        <v/>
      </c>
      <c r="H345" s="29">
        <f>(((Table134567891011121314151617343[[#This Row],[ITA]]-VLOOKUP($U$1,A:B,2,))/VLOOKUP($U$1,A:B,2,))*100)+100</f>
        <v/>
      </c>
      <c r="I345" s="29">
        <f>(((Table134567891011121314151617343[[#This Row],[FRA]]-VLOOKUP($U$1,A:C,3,))/VLOOKUP($U$1,A:C,3,))*100)+100</f>
        <v/>
      </c>
      <c r="J345" s="29">
        <f>(((Table134567891011121314151617343[[#This Row],[DEU]]-VLOOKUP($U$1,A:D,4,))/VLOOKUP($U$1,A:D,4,))*100)+100</f>
        <v/>
      </c>
      <c r="K345" s="29">
        <f>(((Table134567891011121314151617343[[#This Row],[ESP]]-VLOOKUP($U$1,A:E,5,))/VLOOKUP($U$1,A:E,5,))*100)+100</f>
        <v/>
      </c>
      <c r="L345" s="29">
        <f>(((Table134567891011121314151617343[[#This Row],[EA19]]-VLOOKUP($U$1,A:F,6,))/VLOOKUP($U$1,A:F,6,))*100)+100</f>
        <v/>
      </c>
      <c r="M345" s="29">
        <f>(((Table134567891011121314151617343[[#This Row],[GBR]]-VLOOKUP($U$1,A:G,7,))/VLOOKUP($U$1,A:G,7,))*100)+100</f>
        <v/>
      </c>
      <c r="N345" s="29">
        <f>VLOOKUP(A345,Database!$E:$AY,MATCH($N$1,Database!$E$1:$AY$1,0),FALSE)</f>
        <v/>
      </c>
      <c r="O345" s="29">
        <f>(((Table134567891011121314151617343[[#This Row],[USA]]-VLOOKUP($U$1,A:N,14,))/VLOOKUP($U$1,A:N,14,))*100)+100</f>
        <v/>
      </c>
      <c r="P345" s="29">
        <f>VLOOKUP(A345,Database!$E:$AY,MATCH($P$1,Database!$E$1:$AY$1,0),FALSE)</f>
        <v/>
      </c>
      <c r="Q345" s="29">
        <f>(((Table134567891011121314151617343[[#This Row],[JPN]]-VLOOKUP($U$1,A:Q,16,))/VLOOKUP($U$1,A:Q,16,))*100)+100</f>
        <v/>
      </c>
    </row>
    <row r="346" customFormat="1" s="129">
      <c r="A346" s="28" t="n">
        <v>43344</v>
      </c>
      <c r="B346" s="29">
        <f>VLOOKUP(A346,Database!$E:$AY,MATCH($B$1,Database!$E$1:$AY$1,0),FALSE)</f>
        <v/>
      </c>
      <c r="C346" s="29">
        <f>VLOOKUP(A346,Database!$E:$AY,MATCH($C$1,Database!$E$1:$AY$1,0),FALSE)</f>
        <v/>
      </c>
      <c r="D346" s="29">
        <f>VLOOKUP(A346,Database!$E:$AY,MATCH($D$1,Database!$E$1:$AY$1,0),FALSE)</f>
        <v/>
      </c>
      <c r="E346" s="29">
        <f>VLOOKUP(A346,Database!$E:$AY,MATCH($E$1,Database!$E$1:$AY$1,0),FALSE)</f>
        <v/>
      </c>
      <c r="F346" s="29">
        <f>VLOOKUP(A346,Database!$E:$AY,MATCH($F$1,Database!$E$1:$AY$1,0),FALSE)</f>
        <v/>
      </c>
      <c r="G346" s="29">
        <f>VLOOKUP(A346,Database!$E:$AY,MATCH($G$1,Database!$E$1:$AY$1,0),FALSE)</f>
        <v/>
      </c>
      <c r="H346" s="29">
        <f>(((Table134567891011121314151617343[[#This Row],[ITA]]-VLOOKUP($U$1,A:B,2,))/VLOOKUP($U$1,A:B,2,))*100)+100</f>
        <v/>
      </c>
      <c r="I346" s="29">
        <f>(((Table134567891011121314151617343[[#This Row],[FRA]]-VLOOKUP($U$1,A:C,3,))/VLOOKUP($U$1,A:C,3,))*100)+100</f>
        <v/>
      </c>
      <c r="J346" s="29">
        <f>(((Table134567891011121314151617343[[#This Row],[DEU]]-VLOOKUP($U$1,A:D,4,))/VLOOKUP($U$1,A:D,4,))*100)+100</f>
        <v/>
      </c>
      <c r="K346" s="29">
        <f>(((Table134567891011121314151617343[[#This Row],[ESP]]-VLOOKUP($U$1,A:E,5,))/VLOOKUP($U$1,A:E,5,))*100)+100</f>
        <v/>
      </c>
      <c r="L346" s="29">
        <f>(((Table134567891011121314151617343[[#This Row],[EA19]]-VLOOKUP($U$1,A:F,6,))/VLOOKUP($U$1,A:F,6,))*100)+100</f>
        <v/>
      </c>
      <c r="M346" s="29">
        <f>(((Table134567891011121314151617343[[#This Row],[GBR]]-VLOOKUP($U$1,A:G,7,))/VLOOKUP($U$1,A:G,7,))*100)+100</f>
        <v/>
      </c>
      <c r="N346" s="29">
        <f>VLOOKUP(A346,Database!$E:$AY,MATCH($N$1,Database!$E$1:$AY$1,0),FALSE)</f>
        <v/>
      </c>
      <c r="O346" s="29">
        <f>(((Table134567891011121314151617343[[#This Row],[USA]]-VLOOKUP($U$1,A:N,14,))/VLOOKUP($U$1,A:N,14,))*100)+100</f>
        <v/>
      </c>
      <c r="P346" s="29">
        <f>VLOOKUP(A346,Database!$E:$AY,MATCH($P$1,Database!$E$1:$AY$1,0),FALSE)</f>
        <v/>
      </c>
      <c r="Q346" s="29">
        <f>(((Table134567891011121314151617343[[#This Row],[JPN]]-VLOOKUP($U$1,A:Q,16,))/VLOOKUP($U$1,A:Q,16,))*100)+100</f>
        <v/>
      </c>
    </row>
    <row r="347" customFormat="1" s="129">
      <c r="A347" s="28" t="n">
        <v>43374</v>
      </c>
      <c r="B347" s="29">
        <f>VLOOKUP(A347,Database!$E:$AY,MATCH($B$1,Database!$E$1:$AY$1,0),FALSE)</f>
        <v/>
      </c>
      <c r="C347" s="29">
        <f>VLOOKUP(A347,Database!$E:$AY,MATCH($C$1,Database!$E$1:$AY$1,0),FALSE)</f>
        <v/>
      </c>
      <c r="D347" s="29">
        <f>VLOOKUP(A347,Database!$E:$AY,MATCH($D$1,Database!$E$1:$AY$1,0),FALSE)</f>
        <v/>
      </c>
      <c r="E347" s="29">
        <f>VLOOKUP(A347,Database!$E:$AY,MATCH($E$1,Database!$E$1:$AY$1,0),FALSE)</f>
        <v/>
      </c>
      <c r="F347" s="29">
        <f>VLOOKUP(A347,Database!$E:$AY,MATCH($F$1,Database!$E$1:$AY$1,0),FALSE)</f>
        <v/>
      </c>
      <c r="G347" s="29">
        <f>VLOOKUP(A347,Database!$E:$AY,MATCH($G$1,Database!$E$1:$AY$1,0),FALSE)</f>
        <v/>
      </c>
      <c r="H347" s="29">
        <f>(((Table134567891011121314151617343[[#This Row],[ITA]]-VLOOKUP($U$1,A:B,2,))/VLOOKUP($U$1,A:B,2,))*100)+100</f>
        <v/>
      </c>
      <c r="I347" s="29">
        <f>(((Table134567891011121314151617343[[#This Row],[FRA]]-VLOOKUP($U$1,A:C,3,))/VLOOKUP($U$1,A:C,3,))*100)+100</f>
        <v/>
      </c>
      <c r="J347" s="29">
        <f>(((Table134567891011121314151617343[[#This Row],[DEU]]-VLOOKUP($U$1,A:D,4,))/VLOOKUP($U$1,A:D,4,))*100)+100</f>
        <v/>
      </c>
      <c r="K347" s="29">
        <f>(((Table134567891011121314151617343[[#This Row],[ESP]]-VLOOKUP($U$1,A:E,5,))/VLOOKUP($U$1,A:E,5,))*100)+100</f>
        <v/>
      </c>
      <c r="L347" s="29">
        <f>(((Table134567891011121314151617343[[#This Row],[EA19]]-VLOOKUP($U$1,A:F,6,))/VLOOKUP($U$1,A:F,6,))*100)+100</f>
        <v/>
      </c>
      <c r="M347" s="29">
        <f>(((Table134567891011121314151617343[[#This Row],[GBR]]-VLOOKUP($U$1,A:G,7,))/VLOOKUP($U$1,A:G,7,))*100)+100</f>
        <v/>
      </c>
      <c r="N347" s="29">
        <f>VLOOKUP(A347,Database!$E:$AY,MATCH($N$1,Database!$E$1:$AY$1,0),FALSE)</f>
        <v/>
      </c>
      <c r="O347" s="29">
        <f>(((Table134567891011121314151617343[[#This Row],[USA]]-VLOOKUP($U$1,A:N,14,))/VLOOKUP($U$1,A:N,14,))*100)+100</f>
        <v/>
      </c>
      <c r="P347" s="29">
        <f>VLOOKUP(A347,Database!$E:$AY,MATCH($P$1,Database!$E$1:$AY$1,0),FALSE)</f>
        <v/>
      </c>
      <c r="Q347" s="29">
        <f>(((Table134567891011121314151617343[[#This Row],[JPN]]-VLOOKUP($U$1,A:Q,16,))/VLOOKUP($U$1,A:Q,16,))*100)+100</f>
        <v/>
      </c>
    </row>
    <row r="348" customFormat="1" s="129">
      <c r="A348" s="28" t="n">
        <v>43405</v>
      </c>
      <c r="B348" s="29">
        <f>VLOOKUP(A348,Database!$E:$AY,MATCH($B$1,Database!$E$1:$AY$1,0),FALSE)</f>
        <v/>
      </c>
      <c r="C348" s="29">
        <f>VLOOKUP(A348,Database!$E:$AY,MATCH($C$1,Database!$E$1:$AY$1,0),FALSE)</f>
        <v/>
      </c>
      <c r="D348" s="29">
        <f>VLOOKUP(A348,Database!$E:$AY,MATCH($D$1,Database!$E$1:$AY$1,0),FALSE)</f>
        <v/>
      </c>
      <c r="E348" s="29">
        <f>VLOOKUP(A348,Database!$E:$AY,MATCH($E$1,Database!$E$1:$AY$1,0),FALSE)</f>
        <v/>
      </c>
      <c r="F348" s="29">
        <f>VLOOKUP(A348,Database!$E:$AY,MATCH($F$1,Database!$E$1:$AY$1,0),FALSE)</f>
        <v/>
      </c>
      <c r="G348" s="29">
        <f>VLOOKUP(A348,Database!$E:$AY,MATCH($G$1,Database!$E$1:$AY$1,0),FALSE)</f>
        <v/>
      </c>
      <c r="H348" s="29">
        <f>(((Table134567891011121314151617343[[#This Row],[ITA]]-VLOOKUP($U$1,A:B,2,))/VLOOKUP($U$1,A:B,2,))*100)+100</f>
        <v/>
      </c>
      <c r="I348" s="29">
        <f>(((Table134567891011121314151617343[[#This Row],[FRA]]-VLOOKUP($U$1,A:C,3,))/VLOOKUP($U$1,A:C,3,))*100)+100</f>
        <v/>
      </c>
      <c r="J348" s="29">
        <f>(((Table134567891011121314151617343[[#This Row],[DEU]]-VLOOKUP($U$1,A:D,4,))/VLOOKUP($U$1,A:D,4,))*100)+100</f>
        <v/>
      </c>
      <c r="K348" s="29">
        <f>(((Table134567891011121314151617343[[#This Row],[ESP]]-VLOOKUP($U$1,A:E,5,))/VLOOKUP($U$1,A:E,5,))*100)+100</f>
        <v/>
      </c>
      <c r="L348" s="29">
        <f>(((Table134567891011121314151617343[[#This Row],[EA19]]-VLOOKUP($U$1,A:F,6,))/VLOOKUP($U$1,A:F,6,))*100)+100</f>
        <v/>
      </c>
      <c r="M348" s="29">
        <f>(((Table134567891011121314151617343[[#This Row],[GBR]]-VLOOKUP($U$1,A:G,7,))/VLOOKUP($U$1,A:G,7,))*100)+100</f>
        <v/>
      </c>
      <c r="N348" s="29">
        <f>VLOOKUP(A348,Database!$E:$AY,MATCH($N$1,Database!$E$1:$AY$1,0),FALSE)</f>
        <v/>
      </c>
      <c r="O348" s="29">
        <f>(((Table134567891011121314151617343[[#This Row],[USA]]-VLOOKUP($U$1,A:N,14,))/VLOOKUP($U$1,A:N,14,))*100)+100</f>
        <v/>
      </c>
      <c r="P348" s="29">
        <f>VLOOKUP(A348,Database!$E:$AY,MATCH($P$1,Database!$E$1:$AY$1,0),FALSE)</f>
        <v/>
      </c>
      <c r="Q348" s="29">
        <f>(((Table134567891011121314151617343[[#This Row],[JPN]]-VLOOKUP($U$1,A:Q,16,))/VLOOKUP($U$1,A:Q,16,))*100)+100</f>
        <v/>
      </c>
    </row>
    <row r="349" customFormat="1" s="129">
      <c r="A349" s="28" t="n">
        <v>43435</v>
      </c>
      <c r="B349" s="29">
        <f>VLOOKUP(A349,Database!$E:$AY,MATCH($B$1,Database!$E$1:$AY$1,0),FALSE)</f>
        <v/>
      </c>
      <c r="C349" s="29">
        <f>VLOOKUP(A349,Database!$E:$AY,MATCH($C$1,Database!$E$1:$AY$1,0),FALSE)</f>
        <v/>
      </c>
      <c r="D349" s="29">
        <f>VLOOKUP(A349,Database!$E:$AY,MATCH($D$1,Database!$E$1:$AY$1,0),FALSE)</f>
        <v/>
      </c>
      <c r="E349" s="29">
        <f>VLOOKUP(A349,Database!$E:$AY,MATCH($E$1,Database!$E$1:$AY$1,0),FALSE)</f>
        <v/>
      </c>
      <c r="F349" s="29">
        <f>VLOOKUP(A349,Database!$E:$AY,MATCH($F$1,Database!$E$1:$AY$1,0),FALSE)</f>
        <v/>
      </c>
      <c r="G349" s="29">
        <f>VLOOKUP(A349,Database!$E:$AY,MATCH($G$1,Database!$E$1:$AY$1,0),FALSE)</f>
        <v/>
      </c>
      <c r="H349" s="29">
        <f>(((Table134567891011121314151617343[[#This Row],[ITA]]-VLOOKUP($U$1,A:B,2,))/VLOOKUP($U$1,A:B,2,))*100)+100</f>
        <v/>
      </c>
      <c r="I349" s="29">
        <f>(((Table134567891011121314151617343[[#This Row],[FRA]]-VLOOKUP($U$1,A:C,3,))/VLOOKUP($U$1,A:C,3,))*100)+100</f>
        <v/>
      </c>
      <c r="J349" s="29">
        <f>(((Table134567891011121314151617343[[#This Row],[DEU]]-VLOOKUP($U$1,A:D,4,))/VLOOKUP($U$1,A:D,4,))*100)+100</f>
        <v/>
      </c>
      <c r="K349" s="29">
        <f>(((Table134567891011121314151617343[[#This Row],[ESP]]-VLOOKUP($U$1,A:E,5,))/VLOOKUP($U$1,A:E,5,))*100)+100</f>
        <v/>
      </c>
      <c r="L349" s="29">
        <f>(((Table134567891011121314151617343[[#This Row],[EA19]]-VLOOKUP($U$1,A:F,6,))/VLOOKUP($U$1,A:F,6,))*100)+100</f>
        <v/>
      </c>
      <c r="M349" s="29">
        <f>(((Table134567891011121314151617343[[#This Row],[GBR]]-VLOOKUP($U$1,A:G,7,))/VLOOKUP($U$1,A:G,7,))*100)+100</f>
        <v/>
      </c>
      <c r="N349" s="29">
        <f>VLOOKUP(A349,Database!$E:$AY,MATCH($N$1,Database!$E$1:$AY$1,0),FALSE)</f>
        <v/>
      </c>
      <c r="O349" s="29">
        <f>(((Table134567891011121314151617343[[#This Row],[USA]]-VLOOKUP($U$1,A:N,14,))/VLOOKUP($U$1,A:N,14,))*100)+100</f>
        <v/>
      </c>
      <c r="P349" s="29">
        <f>VLOOKUP(A349,Database!$E:$AY,MATCH($P$1,Database!$E$1:$AY$1,0),FALSE)</f>
        <v/>
      </c>
      <c r="Q349" s="29">
        <f>(((Table134567891011121314151617343[[#This Row],[JPN]]-VLOOKUP($U$1,A:Q,16,))/VLOOKUP($U$1,A:Q,16,))*100)+100</f>
        <v/>
      </c>
    </row>
    <row r="350" customFormat="1" s="129">
      <c r="A350" s="28" t="n">
        <v>43466</v>
      </c>
      <c r="B350" s="29">
        <f>VLOOKUP(A350,Database!$E:$AY,MATCH($B$1,Database!$E$1:$AY$1,0),FALSE)</f>
        <v/>
      </c>
      <c r="C350" s="29">
        <f>VLOOKUP(A350,Database!$E:$AY,MATCH($C$1,Database!$E$1:$AY$1,0),FALSE)</f>
        <v/>
      </c>
      <c r="D350" s="29">
        <f>VLOOKUP(A350,Database!$E:$AY,MATCH($D$1,Database!$E$1:$AY$1,0),FALSE)</f>
        <v/>
      </c>
      <c r="E350" s="29">
        <f>VLOOKUP(A350,Database!$E:$AY,MATCH($E$1,Database!$E$1:$AY$1,0),FALSE)</f>
        <v/>
      </c>
      <c r="F350" s="29">
        <f>VLOOKUP(A350,Database!$E:$AY,MATCH($F$1,Database!$E$1:$AY$1,0),FALSE)</f>
        <v/>
      </c>
      <c r="G350" s="29">
        <f>VLOOKUP(A350,Database!$E:$AY,MATCH($G$1,Database!$E$1:$AY$1,0),FALSE)</f>
        <v/>
      </c>
      <c r="H350" s="29">
        <f>(((Table134567891011121314151617343[[#This Row],[ITA]]-VLOOKUP($U$1,A:B,2,))/VLOOKUP($U$1,A:B,2,))*100)+100</f>
        <v/>
      </c>
      <c r="I350" s="29">
        <f>(((Table134567891011121314151617343[[#This Row],[FRA]]-VLOOKUP($U$1,A:C,3,))/VLOOKUP($U$1,A:C,3,))*100)+100</f>
        <v/>
      </c>
      <c r="J350" s="29">
        <f>(((Table134567891011121314151617343[[#This Row],[DEU]]-VLOOKUP($U$1,A:D,4,))/VLOOKUP($U$1,A:D,4,))*100)+100</f>
        <v/>
      </c>
      <c r="K350" s="29">
        <f>(((Table134567891011121314151617343[[#This Row],[ESP]]-VLOOKUP($U$1,A:E,5,))/VLOOKUP($U$1,A:E,5,))*100)+100</f>
        <v/>
      </c>
      <c r="L350" s="29">
        <f>(((Table134567891011121314151617343[[#This Row],[EA19]]-VLOOKUP($U$1,A:F,6,))/VLOOKUP($U$1,A:F,6,))*100)+100</f>
        <v/>
      </c>
      <c r="M350" s="29">
        <f>(((Table134567891011121314151617343[[#This Row],[GBR]]-VLOOKUP($U$1,A:G,7,))/VLOOKUP($U$1,A:G,7,))*100)+100</f>
        <v/>
      </c>
      <c r="N350" s="29">
        <f>VLOOKUP(A350,Database!$E:$AY,MATCH($N$1,Database!$E$1:$AY$1,0),FALSE)</f>
        <v/>
      </c>
      <c r="O350" s="29">
        <f>(((Table134567891011121314151617343[[#This Row],[USA]]-VLOOKUP($U$1,A:N,14,))/VLOOKUP($U$1,A:N,14,))*100)+100</f>
        <v/>
      </c>
      <c r="P350" s="29">
        <f>VLOOKUP(A350,Database!$E:$AY,MATCH($P$1,Database!$E$1:$AY$1,0),FALSE)</f>
        <v/>
      </c>
      <c r="Q350" s="29">
        <f>(((Table134567891011121314151617343[[#This Row],[JPN]]-VLOOKUP($U$1,A:Q,16,))/VLOOKUP($U$1,A:Q,16,))*100)+100</f>
        <v/>
      </c>
    </row>
    <row r="351" customFormat="1" s="129">
      <c r="A351" s="28" t="n">
        <v>43497</v>
      </c>
      <c r="B351" s="29">
        <f>VLOOKUP(A351,Database!$E:$AY,MATCH($B$1,Database!$E$1:$AY$1,0),FALSE)</f>
        <v/>
      </c>
      <c r="C351" s="29">
        <f>VLOOKUP(A351,Database!$E:$AY,MATCH($C$1,Database!$E$1:$AY$1,0),FALSE)</f>
        <v/>
      </c>
      <c r="D351" s="29">
        <f>VLOOKUP(A351,Database!$E:$AY,MATCH($D$1,Database!$E$1:$AY$1,0),FALSE)</f>
        <v/>
      </c>
      <c r="E351" s="29">
        <f>VLOOKUP(A351,Database!$E:$AY,MATCH($E$1,Database!$E$1:$AY$1,0),FALSE)</f>
        <v/>
      </c>
      <c r="F351" s="29">
        <f>VLOOKUP(A351,Database!$E:$AY,MATCH($F$1,Database!$E$1:$AY$1,0),FALSE)</f>
        <v/>
      </c>
      <c r="G351" s="29">
        <f>VLOOKUP(A351,Database!$E:$AY,MATCH($G$1,Database!$E$1:$AY$1,0),FALSE)</f>
        <v/>
      </c>
      <c r="H351" s="29">
        <f>(((Table134567891011121314151617343[[#This Row],[ITA]]-VLOOKUP($U$1,A:B,2,))/VLOOKUP($U$1,A:B,2,))*100)+100</f>
        <v/>
      </c>
      <c r="I351" s="29">
        <f>(((Table134567891011121314151617343[[#This Row],[FRA]]-VLOOKUP($U$1,A:C,3,))/VLOOKUP($U$1,A:C,3,))*100)+100</f>
        <v/>
      </c>
      <c r="J351" s="29">
        <f>(((Table134567891011121314151617343[[#This Row],[DEU]]-VLOOKUP($U$1,A:D,4,))/VLOOKUP($U$1,A:D,4,))*100)+100</f>
        <v/>
      </c>
      <c r="K351" s="29">
        <f>(((Table134567891011121314151617343[[#This Row],[ESP]]-VLOOKUP($U$1,A:E,5,))/VLOOKUP($U$1,A:E,5,))*100)+100</f>
        <v/>
      </c>
      <c r="L351" s="29">
        <f>(((Table134567891011121314151617343[[#This Row],[EA19]]-VLOOKUP($U$1,A:F,6,))/VLOOKUP($U$1,A:F,6,))*100)+100</f>
        <v/>
      </c>
      <c r="M351" s="29">
        <f>(((Table134567891011121314151617343[[#This Row],[GBR]]-VLOOKUP($U$1,A:G,7,))/VLOOKUP($U$1,A:G,7,))*100)+100</f>
        <v/>
      </c>
      <c r="N351" s="29">
        <f>VLOOKUP(A351,Database!$E:$AY,MATCH($N$1,Database!$E$1:$AY$1,0),FALSE)</f>
        <v/>
      </c>
      <c r="O351" s="29">
        <f>(((Table134567891011121314151617343[[#This Row],[USA]]-VLOOKUP($U$1,A:N,14,))/VLOOKUP($U$1,A:N,14,))*100)+100</f>
        <v/>
      </c>
      <c r="P351" s="29">
        <f>VLOOKUP(A351,Database!$E:$AY,MATCH($P$1,Database!$E$1:$AY$1,0),FALSE)</f>
        <v/>
      </c>
      <c r="Q351" s="29">
        <f>(((Table134567891011121314151617343[[#This Row],[JPN]]-VLOOKUP($U$1,A:Q,16,))/VLOOKUP($U$1,A:Q,16,))*100)+100</f>
        <v/>
      </c>
    </row>
    <row r="352" customFormat="1" s="129">
      <c r="A352" s="28" t="n">
        <v>43525</v>
      </c>
      <c r="B352" s="29">
        <f>VLOOKUP(A352,Database!$E:$AY,MATCH($B$1,Database!$E$1:$AY$1,0),FALSE)</f>
        <v/>
      </c>
      <c r="C352" s="29">
        <f>VLOOKUP(A352,Database!$E:$AY,MATCH($C$1,Database!$E$1:$AY$1,0),FALSE)</f>
        <v/>
      </c>
      <c r="D352" s="29">
        <f>VLOOKUP(A352,Database!$E:$AY,MATCH($D$1,Database!$E$1:$AY$1,0),FALSE)</f>
        <v/>
      </c>
      <c r="E352" s="29">
        <f>VLOOKUP(A352,Database!$E:$AY,MATCH($E$1,Database!$E$1:$AY$1,0),FALSE)</f>
        <v/>
      </c>
      <c r="F352" s="29">
        <f>VLOOKUP(A352,Database!$E:$AY,MATCH($F$1,Database!$E$1:$AY$1,0),FALSE)</f>
        <v/>
      </c>
      <c r="G352" s="29">
        <f>VLOOKUP(A352,Database!$E:$AY,MATCH($G$1,Database!$E$1:$AY$1,0),FALSE)</f>
        <v/>
      </c>
      <c r="H352" s="29">
        <f>(((Table134567891011121314151617343[[#This Row],[ITA]]-VLOOKUP($U$1,A:B,2,))/VLOOKUP($U$1,A:B,2,))*100)+100</f>
        <v/>
      </c>
      <c r="I352" s="29">
        <f>(((Table134567891011121314151617343[[#This Row],[FRA]]-VLOOKUP($U$1,A:C,3,))/VLOOKUP($U$1,A:C,3,))*100)+100</f>
        <v/>
      </c>
      <c r="J352" s="29">
        <f>(((Table134567891011121314151617343[[#This Row],[DEU]]-VLOOKUP($U$1,A:D,4,))/VLOOKUP($U$1,A:D,4,))*100)+100</f>
        <v/>
      </c>
      <c r="K352" s="29">
        <f>(((Table134567891011121314151617343[[#This Row],[ESP]]-VLOOKUP($U$1,A:E,5,))/VLOOKUP($U$1,A:E,5,))*100)+100</f>
        <v/>
      </c>
      <c r="L352" s="29">
        <f>(((Table134567891011121314151617343[[#This Row],[EA19]]-VLOOKUP($U$1,A:F,6,))/VLOOKUP($U$1,A:F,6,))*100)+100</f>
        <v/>
      </c>
      <c r="M352" s="29">
        <f>(((Table134567891011121314151617343[[#This Row],[GBR]]-VLOOKUP($U$1,A:G,7,))/VLOOKUP($U$1,A:G,7,))*100)+100</f>
        <v/>
      </c>
      <c r="N352" s="29">
        <f>VLOOKUP(A352,Database!$E:$AY,MATCH($N$1,Database!$E$1:$AY$1,0),FALSE)</f>
        <v/>
      </c>
      <c r="O352" s="29">
        <f>(((Table134567891011121314151617343[[#This Row],[USA]]-VLOOKUP($U$1,A:N,14,))/VLOOKUP($U$1,A:N,14,))*100)+100</f>
        <v/>
      </c>
      <c r="P352" s="29">
        <f>VLOOKUP(A352,Database!$E:$AY,MATCH($P$1,Database!$E$1:$AY$1,0),FALSE)</f>
        <v/>
      </c>
      <c r="Q352" s="29">
        <f>(((Table134567891011121314151617343[[#This Row],[JPN]]-VLOOKUP($U$1,A:Q,16,))/VLOOKUP($U$1,A:Q,16,))*100)+100</f>
        <v/>
      </c>
    </row>
    <row r="353" customFormat="1" s="129">
      <c r="A353" s="28" t="n">
        <v>43556</v>
      </c>
      <c r="B353" s="29">
        <f>VLOOKUP(A353,Database!$E:$AY,MATCH($B$1,Database!$E$1:$AY$1,0),FALSE)</f>
        <v/>
      </c>
      <c r="C353" s="29">
        <f>VLOOKUP(A353,Database!$E:$AY,MATCH($C$1,Database!$E$1:$AY$1,0),FALSE)</f>
        <v/>
      </c>
      <c r="D353" s="29">
        <f>VLOOKUP(A353,Database!$E:$AY,MATCH($D$1,Database!$E$1:$AY$1,0),FALSE)</f>
        <v/>
      </c>
      <c r="E353" s="29">
        <f>VLOOKUP(A353,Database!$E:$AY,MATCH($E$1,Database!$E$1:$AY$1,0),FALSE)</f>
        <v/>
      </c>
      <c r="F353" s="29">
        <f>VLOOKUP(A353,Database!$E:$AY,MATCH($F$1,Database!$E$1:$AY$1,0),FALSE)</f>
        <v/>
      </c>
      <c r="G353" s="29">
        <f>VLOOKUP(A353,Database!$E:$AY,MATCH($G$1,Database!$E$1:$AY$1,0),FALSE)</f>
        <v/>
      </c>
      <c r="H353" s="29">
        <f>(((Table134567891011121314151617343[[#This Row],[ITA]]-VLOOKUP($U$1,A:B,2,))/VLOOKUP($U$1,A:B,2,))*100)+100</f>
        <v/>
      </c>
      <c r="I353" s="29">
        <f>(((Table134567891011121314151617343[[#This Row],[FRA]]-VLOOKUP($U$1,A:C,3,))/VLOOKUP($U$1,A:C,3,))*100)+100</f>
        <v/>
      </c>
      <c r="J353" s="29">
        <f>(((Table134567891011121314151617343[[#This Row],[DEU]]-VLOOKUP($U$1,A:D,4,))/VLOOKUP($U$1,A:D,4,))*100)+100</f>
        <v/>
      </c>
      <c r="K353" s="29">
        <f>(((Table134567891011121314151617343[[#This Row],[ESP]]-VLOOKUP($U$1,A:E,5,))/VLOOKUP($U$1,A:E,5,))*100)+100</f>
        <v/>
      </c>
      <c r="L353" s="29">
        <f>(((Table134567891011121314151617343[[#This Row],[EA19]]-VLOOKUP($U$1,A:F,6,))/VLOOKUP($U$1,A:F,6,))*100)+100</f>
        <v/>
      </c>
      <c r="M353" s="29">
        <f>(((Table134567891011121314151617343[[#This Row],[GBR]]-VLOOKUP($U$1,A:G,7,))/VLOOKUP($U$1,A:G,7,))*100)+100</f>
        <v/>
      </c>
      <c r="N353" s="29">
        <f>VLOOKUP(A353,Database!$E:$AY,MATCH($N$1,Database!$E$1:$AY$1,0),FALSE)</f>
        <v/>
      </c>
      <c r="O353" s="29">
        <f>(((Table134567891011121314151617343[[#This Row],[USA]]-VLOOKUP($U$1,A:N,14,))/VLOOKUP($U$1,A:N,14,))*100)+100</f>
        <v/>
      </c>
      <c r="P353" s="29">
        <f>VLOOKUP(A353,Database!$E:$AY,MATCH($P$1,Database!$E$1:$AY$1,0),FALSE)</f>
        <v/>
      </c>
      <c r="Q353" s="29">
        <f>(((Table134567891011121314151617343[[#This Row],[JPN]]-VLOOKUP($U$1,A:Q,16,))/VLOOKUP($U$1,A:Q,16,))*100)+100</f>
        <v/>
      </c>
    </row>
    <row r="354" customFormat="1" s="129">
      <c r="A354" s="28" t="n">
        <v>43586</v>
      </c>
      <c r="B354" s="29">
        <f>VLOOKUP(A354,Database!$E:$AY,MATCH($B$1,Database!$E$1:$AY$1,0),FALSE)</f>
        <v/>
      </c>
      <c r="C354" s="29">
        <f>VLOOKUP(A354,Database!$E:$AY,MATCH($C$1,Database!$E$1:$AY$1,0),FALSE)</f>
        <v/>
      </c>
      <c r="D354" s="29">
        <f>VLOOKUP(A354,Database!$E:$AY,MATCH($D$1,Database!$E$1:$AY$1,0),FALSE)</f>
        <v/>
      </c>
      <c r="E354" s="29">
        <f>VLOOKUP(A354,Database!$E:$AY,MATCH($E$1,Database!$E$1:$AY$1,0),FALSE)</f>
        <v/>
      </c>
      <c r="F354" s="29">
        <f>VLOOKUP(A354,Database!$E:$AY,MATCH($F$1,Database!$E$1:$AY$1,0),FALSE)</f>
        <v/>
      </c>
      <c r="G354" s="29">
        <f>VLOOKUP(A354,Database!$E:$AY,MATCH($G$1,Database!$E$1:$AY$1,0),FALSE)</f>
        <v/>
      </c>
      <c r="H354" s="29">
        <f>(((Table134567891011121314151617343[[#This Row],[ITA]]-VLOOKUP($U$1,A:B,2,))/VLOOKUP($U$1,A:B,2,))*100)+100</f>
        <v/>
      </c>
      <c r="I354" s="29">
        <f>(((Table134567891011121314151617343[[#This Row],[FRA]]-VLOOKUP($U$1,A:C,3,))/VLOOKUP($U$1,A:C,3,))*100)+100</f>
        <v/>
      </c>
      <c r="J354" s="29">
        <f>(((Table134567891011121314151617343[[#This Row],[DEU]]-VLOOKUP($U$1,A:D,4,))/VLOOKUP($U$1,A:D,4,))*100)+100</f>
        <v/>
      </c>
      <c r="K354" s="29">
        <f>(((Table134567891011121314151617343[[#This Row],[ESP]]-VLOOKUP($U$1,A:E,5,))/VLOOKUP($U$1,A:E,5,))*100)+100</f>
        <v/>
      </c>
      <c r="L354" s="29">
        <f>(((Table134567891011121314151617343[[#This Row],[EA19]]-VLOOKUP($U$1,A:F,6,))/VLOOKUP($U$1,A:F,6,))*100)+100</f>
        <v/>
      </c>
      <c r="M354" s="29">
        <f>(((Table134567891011121314151617343[[#This Row],[GBR]]-VLOOKUP($U$1,A:G,7,))/VLOOKUP($U$1,A:G,7,))*100)+100</f>
        <v/>
      </c>
      <c r="N354" s="29">
        <f>VLOOKUP(A354,Database!$E:$AY,MATCH($N$1,Database!$E$1:$AY$1,0),FALSE)</f>
        <v/>
      </c>
      <c r="O354" s="29">
        <f>(((Table134567891011121314151617343[[#This Row],[USA]]-VLOOKUP($U$1,A:N,14,))/VLOOKUP($U$1,A:N,14,))*100)+100</f>
        <v/>
      </c>
      <c r="P354" s="29">
        <f>VLOOKUP(A354,Database!$E:$AY,MATCH($P$1,Database!$E$1:$AY$1,0),FALSE)</f>
        <v/>
      </c>
      <c r="Q354" s="29">
        <f>(((Table134567891011121314151617343[[#This Row],[JPN]]-VLOOKUP($U$1,A:Q,16,))/VLOOKUP($U$1,A:Q,16,))*100)+100</f>
        <v/>
      </c>
    </row>
    <row r="355" customFormat="1" s="129">
      <c r="A355" s="28" t="n">
        <v>43617</v>
      </c>
      <c r="B355" s="29">
        <f>VLOOKUP(A355,Database!$E:$AY,MATCH($B$1,Database!$E$1:$AY$1,0),FALSE)</f>
        <v/>
      </c>
      <c r="C355" s="29">
        <f>VLOOKUP(A355,Database!$E:$AY,MATCH($C$1,Database!$E$1:$AY$1,0),FALSE)</f>
        <v/>
      </c>
      <c r="D355" s="29">
        <f>VLOOKUP(A355,Database!$E:$AY,MATCH($D$1,Database!$E$1:$AY$1,0),FALSE)</f>
        <v/>
      </c>
      <c r="E355" s="29">
        <f>VLOOKUP(A355,Database!$E:$AY,MATCH($E$1,Database!$E$1:$AY$1,0),FALSE)</f>
        <v/>
      </c>
      <c r="F355" s="29">
        <f>VLOOKUP(A355,Database!$E:$AY,MATCH($F$1,Database!$E$1:$AY$1,0),FALSE)</f>
        <v/>
      </c>
      <c r="G355" s="29">
        <f>VLOOKUP(A355,Database!$E:$AY,MATCH($G$1,Database!$E$1:$AY$1,0),FALSE)</f>
        <v/>
      </c>
      <c r="H355" s="29">
        <f>(((Table134567891011121314151617343[[#This Row],[ITA]]-VLOOKUP($U$1,A:B,2,))/VLOOKUP($U$1,A:B,2,))*100)+100</f>
        <v/>
      </c>
      <c r="I355" s="29">
        <f>(((Table134567891011121314151617343[[#This Row],[FRA]]-VLOOKUP($U$1,A:C,3,))/VLOOKUP($U$1,A:C,3,))*100)+100</f>
        <v/>
      </c>
      <c r="J355" s="29">
        <f>(((Table134567891011121314151617343[[#This Row],[DEU]]-VLOOKUP($U$1,A:D,4,))/VLOOKUP($U$1,A:D,4,))*100)+100</f>
        <v/>
      </c>
      <c r="K355" s="29">
        <f>(((Table134567891011121314151617343[[#This Row],[ESP]]-VLOOKUP($U$1,A:E,5,))/VLOOKUP($U$1,A:E,5,))*100)+100</f>
        <v/>
      </c>
      <c r="L355" s="29">
        <f>(((Table134567891011121314151617343[[#This Row],[EA19]]-VLOOKUP($U$1,A:F,6,))/VLOOKUP($U$1,A:F,6,))*100)+100</f>
        <v/>
      </c>
      <c r="M355" s="29">
        <f>(((Table134567891011121314151617343[[#This Row],[GBR]]-VLOOKUP($U$1,A:G,7,))/VLOOKUP($U$1,A:G,7,))*100)+100</f>
        <v/>
      </c>
      <c r="N355" s="29">
        <f>VLOOKUP(A355,Database!$E:$AY,MATCH($N$1,Database!$E$1:$AY$1,0),FALSE)</f>
        <v/>
      </c>
      <c r="O355" s="29">
        <f>(((Table134567891011121314151617343[[#This Row],[USA]]-VLOOKUP($U$1,A:N,14,))/VLOOKUP($U$1,A:N,14,))*100)+100</f>
        <v/>
      </c>
      <c r="P355" s="29">
        <f>VLOOKUP(A355,Database!$E:$AY,MATCH($P$1,Database!$E$1:$AY$1,0),FALSE)</f>
        <v/>
      </c>
      <c r="Q355" s="29">
        <f>(((Table134567891011121314151617343[[#This Row],[JPN]]-VLOOKUP($U$1,A:Q,16,))/VLOOKUP($U$1,A:Q,16,))*100)+100</f>
        <v/>
      </c>
    </row>
    <row r="356" customFormat="1" s="129">
      <c r="A356" s="28" t="n">
        <v>43647</v>
      </c>
      <c r="B356" s="29">
        <f>VLOOKUP(A356,Database!$E:$AY,MATCH($B$1,Database!$E$1:$AY$1,0),FALSE)</f>
        <v/>
      </c>
      <c r="C356" s="29">
        <f>VLOOKUP(A356,Database!$E:$AY,MATCH($C$1,Database!$E$1:$AY$1,0),FALSE)</f>
        <v/>
      </c>
      <c r="D356" s="29">
        <f>VLOOKUP(A356,Database!$E:$AY,MATCH($D$1,Database!$E$1:$AY$1,0),FALSE)</f>
        <v/>
      </c>
      <c r="E356" s="29">
        <f>VLOOKUP(A356,Database!$E:$AY,MATCH($E$1,Database!$E$1:$AY$1,0),FALSE)</f>
        <v/>
      </c>
      <c r="F356" s="29">
        <f>VLOOKUP(A356,Database!$E:$AY,MATCH($F$1,Database!$E$1:$AY$1,0),FALSE)</f>
        <v/>
      </c>
      <c r="G356" s="29">
        <f>VLOOKUP(A356,Database!$E:$AY,MATCH($G$1,Database!$E$1:$AY$1,0),FALSE)</f>
        <v/>
      </c>
      <c r="H356" s="29">
        <f>(((Table134567891011121314151617343[[#This Row],[ITA]]-VLOOKUP($U$1,A:B,2,))/VLOOKUP($U$1,A:B,2,))*100)+100</f>
        <v/>
      </c>
      <c r="I356" s="29">
        <f>(((Table134567891011121314151617343[[#This Row],[FRA]]-VLOOKUP($U$1,A:C,3,))/VLOOKUP($U$1,A:C,3,))*100)+100</f>
        <v/>
      </c>
      <c r="J356" s="29">
        <f>(((Table134567891011121314151617343[[#This Row],[DEU]]-VLOOKUP($U$1,A:D,4,))/VLOOKUP($U$1,A:D,4,))*100)+100</f>
        <v/>
      </c>
      <c r="K356" s="29">
        <f>(((Table134567891011121314151617343[[#This Row],[ESP]]-VLOOKUP($U$1,A:E,5,))/VLOOKUP($U$1,A:E,5,))*100)+100</f>
        <v/>
      </c>
      <c r="L356" s="29">
        <f>(((Table134567891011121314151617343[[#This Row],[EA19]]-VLOOKUP($U$1,A:F,6,))/VLOOKUP($U$1,A:F,6,))*100)+100</f>
        <v/>
      </c>
      <c r="M356" s="29">
        <f>(((Table134567891011121314151617343[[#This Row],[GBR]]-VLOOKUP($U$1,A:G,7,))/VLOOKUP($U$1,A:G,7,))*100)+100</f>
        <v/>
      </c>
      <c r="N356" s="29">
        <f>VLOOKUP(A356,Database!$E:$AY,MATCH($N$1,Database!$E$1:$AY$1,0),FALSE)</f>
        <v/>
      </c>
      <c r="O356" s="29">
        <f>(((Table134567891011121314151617343[[#This Row],[USA]]-VLOOKUP($U$1,A:N,14,))/VLOOKUP($U$1,A:N,14,))*100)+100</f>
        <v/>
      </c>
      <c r="P356" s="29">
        <f>VLOOKUP(A356,Database!$E:$AY,MATCH($P$1,Database!$E$1:$AY$1,0),FALSE)</f>
        <v/>
      </c>
      <c r="Q356" s="29">
        <f>(((Table134567891011121314151617343[[#This Row],[JPN]]-VLOOKUP($U$1,A:Q,16,))/VLOOKUP($U$1,A:Q,16,))*100)+100</f>
        <v/>
      </c>
    </row>
    <row r="357" customFormat="1" s="129">
      <c r="A357" s="28" t="n">
        <v>43678</v>
      </c>
      <c r="B357" s="29">
        <f>VLOOKUP(A357,Database!$E:$AY,MATCH($B$1,Database!$E$1:$AY$1,0),FALSE)</f>
        <v/>
      </c>
      <c r="C357" s="29">
        <f>VLOOKUP(A357,Database!$E:$AY,MATCH($C$1,Database!$E$1:$AY$1,0),FALSE)</f>
        <v/>
      </c>
      <c r="D357" s="29">
        <f>VLOOKUP(A357,Database!$E:$AY,MATCH($D$1,Database!$E$1:$AY$1,0),FALSE)</f>
        <v/>
      </c>
      <c r="E357" s="29">
        <f>VLOOKUP(A357,Database!$E:$AY,MATCH($E$1,Database!$E$1:$AY$1,0),FALSE)</f>
        <v/>
      </c>
      <c r="F357" s="29">
        <f>VLOOKUP(A357,Database!$E:$AY,MATCH($F$1,Database!$E$1:$AY$1,0),FALSE)</f>
        <v/>
      </c>
      <c r="G357" s="29">
        <f>VLOOKUP(A357,Database!$E:$AY,MATCH($G$1,Database!$E$1:$AY$1,0),FALSE)</f>
        <v/>
      </c>
      <c r="H357" s="29">
        <f>(((Table134567891011121314151617343[[#This Row],[ITA]]-VLOOKUP($U$1,A:B,2,))/VLOOKUP($U$1,A:B,2,))*100)+100</f>
        <v/>
      </c>
      <c r="I357" s="29">
        <f>(((Table134567891011121314151617343[[#This Row],[FRA]]-VLOOKUP($U$1,A:C,3,))/VLOOKUP($U$1,A:C,3,))*100)+100</f>
        <v/>
      </c>
      <c r="J357" s="29">
        <f>(((Table134567891011121314151617343[[#This Row],[DEU]]-VLOOKUP($U$1,A:D,4,))/VLOOKUP($U$1,A:D,4,))*100)+100</f>
        <v/>
      </c>
      <c r="K357" s="29">
        <f>(((Table134567891011121314151617343[[#This Row],[ESP]]-VLOOKUP($U$1,A:E,5,))/VLOOKUP($U$1,A:E,5,))*100)+100</f>
        <v/>
      </c>
      <c r="L357" s="29">
        <f>(((Table134567891011121314151617343[[#This Row],[EA19]]-VLOOKUP($U$1,A:F,6,))/VLOOKUP($U$1,A:F,6,))*100)+100</f>
        <v/>
      </c>
      <c r="M357" s="29">
        <f>(((Table134567891011121314151617343[[#This Row],[GBR]]-VLOOKUP($U$1,A:G,7,))/VLOOKUP($U$1,A:G,7,))*100)+100</f>
        <v/>
      </c>
      <c r="N357" s="29">
        <f>VLOOKUP(A357,Database!$E:$AY,MATCH($N$1,Database!$E$1:$AY$1,0),FALSE)</f>
        <v/>
      </c>
      <c r="O357" s="29">
        <f>(((Table134567891011121314151617343[[#This Row],[USA]]-VLOOKUP($U$1,A:N,14,))/VLOOKUP($U$1,A:N,14,))*100)+100</f>
        <v/>
      </c>
      <c r="P357" s="29">
        <f>VLOOKUP(A357,Database!$E:$AY,MATCH($P$1,Database!$E$1:$AY$1,0),FALSE)</f>
        <v/>
      </c>
      <c r="Q357" s="29">
        <f>(((Table134567891011121314151617343[[#This Row],[JPN]]-VLOOKUP($U$1,A:Q,16,))/VLOOKUP($U$1,A:Q,16,))*100)+100</f>
        <v/>
      </c>
    </row>
    <row r="358" customFormat="1" s="129">
      <c r="A358" s="19" t="n"/>
      <c r="C358" s="43" t="n"/>
      <c r="D358" s="44" t="n"/>
    </row>
    <row r="359" customFormat="1" s="129">
      <c r="A359" s="19" t="n"/>
      <c r="C359" s="43" t="n"/>
      <c r="D359" s="44" t="n"/>
    </row>
    <row r="360" customFormat="1" s="129">
      <c r="A360" s="19" t="n"/>
      <c r="C360" s="43" t="n"/>
      <c r="D360" s="44" t="n"/>
    </row>
    <row r="361" customFormat="1" s="129">
      <c r="A361" s="19" t="n"/>
      <c r="C361" s="43" t="n"/>
      <c r="D361" s="44" t="n"/>
    </row>
    <row r="362" customFormat="1" s="129">
      <c r="A362" s="19" t="n"/>
      <c r="C362" s="43" t="n"/>
      <c r="D362" s="44" t="n"/>
    </row>
    <row r="363" customFormat="1" s="129">
      <c r="A363" s="19" t="n"/>
      <c r="C363" s="43" t="n"/>
      <c r="D363" s="44" t="n"/>
    </row>
    <row r="364" customFormat="1" s="129">
      <c r="A364" s="19" t="n"/>
      <c r="C364" s="43" t="n"/>
      <c r="D364" s="44" t="n"/>
    </row>
    <row r="365" customFormat="1" s="129">
      <c r="A365" s="19" t="n"/>
      <c r="C365" s="43" t="n"/>
      <c r="D365" s="44" t="n"/>
    </row>
    <row r="366" customFormat="1" s="129">
      <c r="A366" s="19" t="n"/>
      <c r="C366" s="43" t="n"/>
      <c r="D366" s="44" t="n"/>
    </row>
    <row r="367" customFormat="1" s="129">
      <c r="A367" s="19" t="n"/>
      <c r="C367" s="43" t="n"/>
      <c r="D367" s="44" t="n"/>
    </row>
    <row r="368" customFormat="1" s="129">
      <c r="A368" s="19" t="n"/>
      <c r="C368" s="43" t="n"/>
      <c r="D368" s="44" t="n"/>
    </row>
    <row r="369" customFormat="1" s="129">
      <c r="A369" s="19" t="n"/>
      <c r="C369" s="43" t="n"/>
      <c r="D369" s="44" t="n"/>
    </row>
    <row r="370" customFormat="1" s="129">
      <c r="A370" s="19" t="n"/>
      <c r="C370" s="43" t="n"/>
      <c r="D370" s="44" t="n"/>
    </row>
    <row r="371" customFormat="1" s="129">
      <c r="A371" s="19" t="n"/>
      <c r="C371" s="43" t="n"/>
      <c r="D371" s="44" t="n"/>
    </row>
    <row r="372" customFormat="1" s="129">
      <c r="A372" s="19" t="n"/>
      <c r="C372" s="43" t="n"/>
      <c r="D372" s="44" t="n"/>
    </row>
    <row r="373" customFormat="1" s="129">
      <c r="A373" s="19" t="n"/>
      <c r="C373" s="43" t="n"/>
      <c r="D373" s="44" t="n"/>
    </row>
    <row r="374" customFormat="1" s="129">
      <c r="A374" s="19" t="n"/>
      <c r="C374" s="43" t="n"/>
      <c r="D374" s="44" t="n"/>
    </row>
    <row r="375" customFormat="1" s="129">
      <c r="A375" s="19" t="n"/>
      <c r="C375" s="43" t="n"/>
      <c r="D375" s="44" t="n"/>
    </row>
    <row r="376" customFormat="1" s="129">
      <c r="A376" s="19" t="n"/>
      <c r="C376" s="43" t="n"/>
      <c r="D376" s="44" t="n"/>
    </row>
    <row r="377" customFormat="1" s="129">
      <c r="A377" s="19" t="n"/>
      <c r="C377" s="43" t="n"/>
      <c r="D377" s="44" t="n"/>
    </row>
    <row r="378" customFormat="1" s="129">
      <c r="A378" s="19" t="n"/>
      <c r="C378" s="43" t="n"/>
      <c r="D378" s="44" t="n"/>
    </row>
    <row r="379" customFormat="1" s="129">
      <c r="A379" s="19" t="n"/>
      <c r="C379" s="43" t="n"/>
      <c r="D379" s="44" t="n"/>
    </row>
    <row r="380" customFormat="1" s="129">
      <c r="A380" s="19" t="n"/>
      <c r="C380" s="43" t="n"/>
      <c r="D380" s="44" t="n"/>
    </row>
    <row r="381" customFormat="1" s="129">
      <c r="A381" s="19" t="n"/>
      <c r="C381" s="43" t="n"/>
      <c r="D381" s="44" t="n"/>
    </row>
    <row r="382" customFormat="1" s="129">
      <c r="A382" s="19" t="n"/>
      <c r="C382" s="43" t="n"/>
      <c r="D382" s="44" t="n"/>
    </row>
    <row r="383" customFormat="1" s="129">
      <c r="A383" s="19" t="n"/>
      <c r="C383" s="43" t="n"/>
      <c r="D383" s="44" t="n"/>
    </row>
    <row r="384" customFormat="1" s="129">
      <c r="A384" s="19" t="n"/>
      <c r="C384" s="43" t="n"/>
      <c r="D384" s="44" t="n"/>
    </row>
    <row r="385" customFormat="1" s="129">
      <c r="A385" s="19" t="n"/>
      <c r="C385" s="43" t="n"/>
      <c r="D385" s="44" t="n"/>
    </row>
    <row r="386" customFormat="1" s="129">
      <c r="A386" s="19" t="n"/>
      <c r="C386" s="43" t="n"/>
      <c r="D386" s="44" t="n"/>
    </row>
    <row r="387" customFormat="1" s="129">
      <c r="A387" s="19" t="n"/>
      <c r="C387" s="43" t="n"/>
      <c r="D387" s="44" t="n"/>
    </row>
    <row r="388" customFormat="1" s="129">
      <c r="A388" s="19" t="n"/>
      <c r="C388" s="43" t="n"/>
      <c r="D388" s="44" t="n"/>
    </row>
    <row r="389" customFormat="1" s="129">
      <c r="A389" s="19" t="n"/>
      <c r="C389" s="43" t="n"/>
      <c r="D389" s="44" t="n"/>
    </row>
    <row r="390" customFormat="1" s="129">
      <c r="A390" s="19" t="n"/>
      <c r="C390" s="43" t="n"/>
      <c r="D390" s="44" t="n"/>
    </row>
    <row r="391" customFormat="1" s="129">
      <c r="A391" s="19" t="n"/>
      <c r="C391" s="43" t="n"/>
      <c r="D391" s="44" t="n"/>
    </row>
    <row r="392" customFormat="1" s="129">
      <c r="A392" s="19" t="n"/>
      <c r="C392" s="43" t="n"/>
      <c r="D392" s="44" t="n"/>
    </row>
    <row r="393" customFormat="1" s="129">
      <c r="A393" s="19" t="n"/>
      <c r="C393" s="43" t="n"/>
      <c r="D393" s="44" t="n"/>
    </row>
    <row r="394" customFormat="1" s="129">
      <c r="A394" s="19" t="n"/>
      <c r="C394" s="43" t="n"/>
      <c r="D394" s="44" t="n"/>
    </row>
    <row r="395" customFormat="1" s="129">
      <c r="A395" s="19" t="n"/>
      <c r="C395" s="43" t="n"/>
      <c r="D395" s="44" t="n"/>
    </row>
    <row r="396" customFormat="1" s="129">
      <c r="A396" s="19" t="n"/>
      <c r="C396" s="43" t="n"/>
      <c r="D396" s="44" t="n"/>
    </row>
    <row r="397" customFormat="1" s="129">
      <c r="A397" s="19" t="n"/>
      <c r="C397" s="43" t="n"/>
      <c r="D397" s="44" t="n"/>
    </row>
    <row r="398" customFormat="1" s="129">
      <c r="A398" s="19" t="n"/>
      <c r="C398" s="43" t="n"/>
      <c r="D398" s="44" t="n"/>
    </row>
    <row r="399" customFormat="1" s="129">
      <c r="A399" s="19" t="n"/>
      <c r="C399" s="43" t="n"/>
      <c r="D399" s="44" t="n"/>
    </row>
    <row r="400" customFormat="1" s="129">
      <c r="A400" s="19" t="n"/>
      <c r="C400" s="43" t="n"/>
      <c r="D400" s="44" t="n"/>
    </row>
    <row r="401" customFormat="1" s="129">
      <c r="A401" s="19" t="n"/>
      <c r="C401" s="43" t="n"/>
      <c r="D401" s="44" t="n"/>
    </row>
    <row r="402" customFormat="1" s="129">
      <c r="A402" s="19" t="n"/>
      <c r="C402" s="43" t="n"/>
      <c r="D402" s="44" t="n"/>
    </row>
    <row r="403" customFormat="1" s="129">
      <c r="A403" s="19" t="n"/>
      <c r="C403" s="43" t="n"/>
      <c r="D403" s="44" t="n"/>
    </row>
    <row r="404" customFormat="1" s="129">
      <c r="A404" s="19" t="n"/>
      <c r="C404" s="43" t="n"/>
      <c r="D404" s="44" t="n"/>
    </row>
    <row r="405" customFormat="1" s="129">
      <c r="A405" s="19" t="n"/>
      <c r="C405" s="43" t="n"/>
      <c r="D405" s="44" t="n"/>
    </row>
    <row r="406" customFormat="1" s="129">
      <c r="A406" s="19" t="n"/>
      <c r="C406" s="43" t="n"/>
      <c r="D406" s="44" t="n"/>
    </row>
    <row r="407" customFormat="1" s="129">
      <c r="A407" s="19" t="n"/>
      <c r="C407" s="43" t="n"/>
      <c r="D407" s="44" t="n"/>
    </row>
    <row r="408" customFormat="1" s="129">
      <c r="A408" s="19" t="n"/>
      <c r="C408" s="43" t="n"/>
      <c r="D408" s="44" t="n"/>
    </row>
    <row r="409" customFormat="1" s="129">
      <c r="A409" s="19" t="n"/>
      <c r="C409" s="43" t="n"/>
      <c r="D409" s="44" t="n"/>
    </row>
    <row r="410" customFormat="1" s="129">
      <c r="A410" s="19" t="n"/>
      <c r="C410" s="43" t="n"/>
      <c r="D410" s="44" t="n"/>
    </row>
    <row r="411" customFormat="1" s="129">
      <c r="A411" s="19" t="n"/>
      <c r="C411" s="43" t="n"/>
      <c r="D411" s="44" t="n"/>
    </row>
    <row r="412" customFormat="1" s="129">
      <c r="A412" s="19" t="n"/>
      <c r="C412" s="43" t="n"/>
      <c r="D412" s="44" t="n"/>
    </row>
    <row r="413" customFormat="1" s="129">
      <c r="A413" s="19" t="n"/>
      <c r="C413" s="43" t="n"/>
      <c r="D413" s="44" t="n"/>
    </row>
    <row r="414" customFormat="1" s="129">
      <c r="A414" s="19" t="n"/>
      <c r="C414" s="43" t="n"/>
      <c r="D414" s="44" t="n"/>
    </row>
    <row r="415" customFormat="1" s="129">
      <c r="A415" s="19" t="n"/>
      <c r="C415" s="43" t="n"/>
      <c r="D415" s="44" t="n"/>
    </row>
    <row r="416" customFormat="1" s="129">
      <c r="A416" s="19" t="n"/>
      <c r="C416" s="43" t="n"/>
      <c r="D416" s="44" t="n"/>
    </row>
    <row r="417" customFormat="1" s="129">
      <c r="A417" s="19" t="n"/>
      <c r="C417" s="43" t="n"/>
      <c r="D417" s="44" t="n"/>
    </row>
    <row r="418" customFormat="1" s="129">
      <c r="A418" s="19" t="n"/>
      <c r="C418" s="43" t="n"/>
      <c r="D418" s="44" t="n"/>
    </row>
    <row r="419" customFormat="1" s="129">
      <c r="A419" s="19" t="n"/>
      <c r="C419" s="43" t="n"/>
      <c r="D419" s="44" t="n"/>
    </row>
    <row r="420" customFormat="1" s="129">
      <c r="A420" s="19" t="n"/>
      <c r="C420" s="43" t="n"/>
      <c r="D420" s="44" t="n"/>
    </row>
    <row r="421" customFormat="1" s="129">
      <c r="A421" s="19" t="n"/>
      <c r="C421" s="43" t="n"/>
      <c r="D421" s="44" t="n"/>
    </row>
    <row r="422" customFormat="1" s="129">
      <c r="A422" s="19" t="n"/>
      <c r="C422" s="43" t="n"/>
      <c r="D422" s="44" t="n"/>
    </row>
    <row r="423" customFormat="1" s="129">
      <c r="A423" s="19" t="n"/>
      <c r="C423" s="43" t="n"/>
      <c r="D423" s="44" t="n"/>
    </row>
    <row r="424" customFormat="1" s="129">
      <c r="A424" s="19" t="n"/>
      <c r="C424" s="43" t="n"/>
      <c r="D424" s="44" t="n"/>
    </row>
    <row r="425" customFormat="1" s="129">
      <c r="A425" s="19" t="n"/>
      <c r="C425" s="43" t="n"/>
      <c r="D425" s="44" t="n"/>
    </row>
    <row r="426" customFormat="1" s="129">
      <c r="A426" s="19" t="n"/>
      <c r="C426" s="43" t="n"/>
      <c r="D426" s="44" t="n"/>
    </row>
    <row r="427" customFormat="1" s="129">
      <c r="A427" s="19" t="n"/>
      <c r="C427" s="43" t="n"/>
      <c r="D427" s="44" t="n"/>
    </row>
    <row r="428" customFormat="1" s="129">
      <c r="A428" s="19" t="n"/>
      <c r="C428" s="43" t="n"/>
      <c r="D428" s="44" t="n"/>
    </row>
    <row r="429" customFormat="1" s="129">
      <c r="A429" s="19" t="n"/>
      <c r="C429" s="43" t="n"/>
      <c r="D429" s="44" t="n"/>
    </row>
    <row r="430" customFormat="1" s="129">
      <c r="A430" s="19" t="n"/>
      <c r="C430" s="43" t="n"/>
      <c r="D430" s="44" t="n"/>
    </row>
    <row r="431" customFormat="1" s="129">
      <c r="A431" s="19" t="n"/>
      <c r="C431" s="43" t="n"/>
      <c r="D431" s="44" t="n"/>
    </row>
    <row r="432" customFormat="1" s="129">
      <c r="A432" s="19" t="n"/>
      <c r="C432" s="43" t="n"/>
      <c r="D432" s="44" t="n"/>
    </row>
    <row r="433" customFormat="1" s="129">
      <c r="A433" s="19" t="n"/>
      <c r="C433" s="43" t="n"/>
      <c r="D433" s="44" t="n"/>
    </row>
    <row r="434" customFormat="1" s="129">
      <c r="A434" s="19" t="n"/>
      <c r="C434" s="43" t="n"/>
      <c r="D434" s="44" t="n"/>
    </row>
    <row r="435" customFormat="1" s="129">
      <c r="A435" s="19" t="n"/>
      <c r="C435" s="43" t="n"/>
      <c r="D435" s="44" t="n"/>
    </row>
    <row r="436" customFormat="1" s="129">
      <c r="A436" s="19" t="n"/>
      <c r="C436" s="43" t="n"/>
      <c r="D436" s="44" t="n"/>
    </row>
    <row r="437" customFormat="1" s="129">
      <c r="A437" s="19" t="n"/>
      <c r="C437" s="43" t="n"/>
      <c r="D437" s="44" t="n"/>
    </row>
    <row r="438" customFormat="1" s="129">
      <c r="A438" s="19" t="n"/>
      <c r="C438" s="43" t="n"/>
      <c r="D438" s="44" t="n"/>
    </row>
    <row r="439" customFormat="1" s="129">
      <c r="A439" s="19" t="n"/>
      <c r="C439" s="43" t="n"/>
      <c r="D439" s="44" t="n"/>
    </row>
    <row r="440" customFormat="1" s="129">
      <c r="A440" s="19" t="n"/>
      <c r="C440" s="43" t="n"/>
      <c r="D440" s="44" t="n"/>
    </row>
    <row r="441" customFormat="1" s="129">
      <c r="A441" s="19" t="n"/>
      <c r="C441" s="43" t="n"/>
      <c r="D441" s="44" t="n"/>
    </row>
    <row r="442" customFormat="1" s="129">
      <c r="A442" s="19" t="n"/>
      <c r="C442" s="43" t="n"/>
      <c r="D442" s="44" t="n"/>
    </row>
    <row r="443" customFormat="1" s="129">
      <c r="A443" s="19" t="n"/>
      <c r="C443" s="43" t="n"/>
      <c r="D443" s="44" t="n"/>
    </row>
    <row r="444" customFormat="1" s="129">
      <c r="A444" s="19" t="n"/>
      <c r="C444" s="43" t="n"/>
      <c r="D444" s="44" t="n"/>
    </row>
    <row r="445" customFormat="1" s="129">
      <c r="A445" s="19" t="n"/>
      <c r="C445" s="43" t="n"/>
      <c r="D445" s="44" t="n"/>
    </row>
    <row r="446" customFormat="1" s="129">
      <c r="A446" s="19" t="n"/>
      <c r="C446" s="43" t="n"/>
      <c r="D446" s="44" t="n"/>
    </row>
    <row r="447" customFormat="1" s="129">
      <c r="A447" s="19" t="n"/>
      <c r="C447" s="43" t="n"/>
      <c r="D447" s="44" t="n"/>
    </row>
    <row r="448" customFormat="1" s="129">
      <c r="A448" s="19" t="n"/>
      <c r="C448" s="43" t="n"/>
      <c r="D448" s="44" t="n"/>
    </row>
    <row r="449" customFormat="1" s="129">
      <c r="A449" s="19" t="n"/>
      <c r="C449" s="43" t="n"/>
      <c r="D449" s="44" t="n"/>
    </row>
    <row r="450" customFormat="1" s="129">
      <c r="A450" s="19" t="n"/>
      <c r="C450" s="43" t="n"/>
      <c r="D450" s="44" t="n"/>
    </row>
    <row r="451" customFormat="1" s="129">
      <c r="A451" s="19" t="n"/>
      <c r="C451" s="43" t="n"/>
      <c r="D451" s="44" t="n"/>
    </row>
    <row r="452" customFormat="1" s="129">
      <c r="A452" s="19" t="n"/>
      <c r="C452" s="43" t="n"/>
      <c r="D452" s="44" t="n"/>
    </row>
    <row r="453" customFormat="1" s="129">
      <c r="A453" s="19" t="n"/>
      <c r="C453" s="43" t="n"/>
      <c r="D453" s="44" t="n"/>
    </row>
    <row r="454" customFormat="1" s="129">
      <c r="A454" s="19" t="n"/>
      <c r="C454" s="43" t="n"/>
      <c r="D454" s="44" t="n"/>
    </row>
    <row r="455" customFormat="1" s="129">
      <c r="A455" s="19" t="n"/>
      <c r="C455" s="43" t="n"/>
      <c r="D455" s="44" t="n"/>
    </row>
    <row r="456" customFormat="1" s="129">
      <c r="A456" s="19" t="n"/>
      <c r="C456" s="43" t="n"/>
      <c r="D456" s="44" t="n"/>
    </row>
    <row r="457" customFormat="1" s="129">
      <c r="A457" s="19" t="n"/>
      <c r="C457" s="43" t="n"/>
      <c r="D457" s="44" t="n"/>
    </row>
    <row r="458" customFormat="1" s="129">
      <c r="A458" s="19" t="n"/>
      <c r="C458" s="43" t="n"/>
      <c r="D458" s="44" t="n"/>
    </row>
    <row r="459" customFormat="1" s="129">
      <c r="A459" s="19" t="n"/>
      <c r="C459" s="43" t="n"/>
      <c r="D459" s="44" t="n"/>
    </row>
    <row r="460" customFormat="1" s="129">
      <c r="A460" s="19" t="n"/>
      <c r="C460" s="43" t="n"/>
      <c r="D460" s="44" t="n"/>
    </row>
    <row r="461" customFormat="1" s="129">
      <c r="A461" s="19" t="n"/>
      <c r="C461" s="43" t="n"/>
      <c r="D461" s="44" t="n"/>
    </row>
    <row r="462" customFormat="1" s="129">
      <c r="A462" s="19" t="n"/>
      <c r="C462" s="43" t="n"/>
      <c r="D462" s="44" t="n"/>
    </row>
    <row r="463" customFormat="1" s="129">
      <c r="A463" s="19" t="n"/>
      <c r="C463" s="43" t="n"/>
      <c r="D463" s="44" t="n"/>
    </row>
    <row r="464" customFormat="1" s="129">
      <c r="A464" s="19" t="n"/>
      <c r="C464" s="43" t="n"/>
      <c r="D464" s="44" t="n"/>
    </row>
    <row r="465" customFormat="1" s="129">
      <c r="A465" s="19" t="n"/>
      <c r="C465" s="43" t="n"/>
      <c r="D465" s="44" t="n"/>
    </row>
    <row r="466" customFormat="1" s="129">
      <c r="A466" s="19" t="n"/>
      <c r="C466" s="43" t="n"/>
      <c r="D466" s="44" t="n"/>
    </row>
    <row r="467" customFormat="1" s="129">
      <c r="A467" s="19" t="n"/>
      <c r="C467" s="43" t="n"/>
      <c r="D467" s="44" t="n"/>
    </row>
    <row r="468" customFormat="1" s="129">
      <c r="A468" s="19" t="n"/>
      <c r="C468" s="43" t="n"/>
      <c r="D468" s="44" t="n"/>
    </row>
    <row r="469" customFormat="1" s="129">
      <c r="A469" s="19" t="n"/>
      <c r="C469" s="43" t="n"/>
      <c r="D469" s="44" t="n"/>
    </row>
    <row r="470" customFormat="1" s="129">
      <c r="A470" s="19" t="n"/>
      <c r="C470" s="43" t="n"/>
      <c r="D470" s="44" t="n"/>
    </row>
    <row r="471" customFormat="1" s="129">
      <c r="A471" s="19" t="n"/>
      <c r="C471" s="43" t="n"/>
      <c r="D471" s="44" t="n"/>
    </row>
    <row r="472" customFormat="1" s="129">
      <c r="A472" s="19" t="n"/>
      <c r="C472" s="43" t="n"/>
      <c r="D472" s="44" t="n"/>
    </row>
    <row r="473" customFormat="1" s="129">
      <c r="A473" s="19" t="n"/>
      <c r="C473" s="43" t="n"/>
      <c r="D473" s="44" t="n"/>
    </row>
    <row r="474" customFormat="1" s="129">
      <c r="A474" s="19" t="n"/>
      <c r="C474" s="43" t="n"/>
      <c r="D474" s="44" t="n"/>
    </row>
    <row r="475" customFormat="1" s="129">
      <c r="A475" s="19" t="n"/>
      <c r="C475" s="43" t="n"/>
      <c r="D475" s="44" t="n"/>
    </row>
    <row r="476" customFormat="1" s="129">
      <c r="A476" s="19" t="n"/>
      <c r="C476" s="43" t="n"/>
      <c r="D476" s="44" t="n"/>
    </row>
    <row r="477" customFormat="1" s="129">
      <c r="A477" s="19" t="n"/>
      <c r="C477" s="43" t="n"/>
      <c r="D477" s="44" t="n"/>
    </row>
    <row r="478" customFormat="1" s="129">
      <c r="A478" s="19" t="n"/>
      <c r="C478" s="43" t="n"/>
      <c r="D478" s="44" t="n"/>
    </row>
    <row r="479" customFormat="1" s="129">
      <c r="A479" s="19" t="n"/>
      <c r="C479" s="43" t="n"/>
      <c r="D479" s="44" t="n"/>
    </row>
    <row r="480" customFormat="1" s="129">
      <c r="A480" s="19" t="n"/>
      <c r="C480" s="43" t="n"/>
      <c r="D480" s="44" t="n"/>
    </row>
    <row r="481" customFormat="1" s="129">
      <c r="A481" s="19" t="n"/>
      <c r="C481" s="43" t="n"/>
      <c r="D481" s="44" t="n"/>
    </row>
    <row r="482" customFormat="1" s="129">
      <c r="A482" s="19" t="n"/>
      <c r="C482" s="43" t="n"/>
      <c r="D482" s="44" t="n"/>
    </row>
    <row r="483" customFormat="1" s="129">
      <c r="A483" s="19" t="n"/>
      <c r="C483" s="43" t="n"/>
      <c r="D483" s="44" t="n"/>
    </row>
    <row r="484" customFormat="1" s="129">
      <c r="A484" s="19" t="n"/>
      <c r="C484" s="43" t="n"/>
      <c r="D484" s="44" t="n"/>
    </row>
    <row r="485" customFormat="1" s="129">
      <c r="A485" s="19" t="n"/>
      <c r="C485" s="43" t="n"/>
      <c r="D485" s="44" t="n"/>
    </row>
    <row r="486" customFormat="1" s="129">
      <c r="A486" s="19" t="n"/>
      <c r="C486" s="43" t="n"/>
      <c r="D486" s="44" t="n"/>
    </row>
    <row r="487" customFormat="1" s="129">
      <c r="A487" s="19" t="n"/>
      <c r="C487" s="43" t="n"/>
      <c r="D487" s="44" t="n"/>
    </row>
    <row r="488" customFormat="1" s="129">
      <c r="A488" s="19" t="n"/>
      <c r="C488" s="43" t="n"/>
      <c r="D488" s="44" t="n"/>
    </row>
    <row r="489" customFormat="1" s="129">
      <c r="A489" s="19" t="n"/>
      <c r="C489" s="43" t="n"/>
      <c r="D489" s="44" t="n"/>
    </row>
    <row r="490" customFormat="1" s="129">
      <c r="A490" s="19" t="n"/>
      <c r="C490" s="43" t="n"/>
      <c r="D490" s="44" t="n"/>
    </row>
    <row r="491" customFormat="1" s="129">
      <c r="A491" s="19" t="n"/>
      <c r="C491" s="43" t="n"/>
      <c r="D491" s="44" t="n"/>
    </row>
    <row r="492" customFormat="1" s="129">
      <c r="A492" s="19" t="n"/>
      <c r="C492" s="43" t="n"/>
      <c r="D492" s="44" t="n"/>
    </row>
    <row r="493" customFormat="1" s="129">
      <c r="A493" s="19" t="n"/>
      <c r="C493" s="43" t="n"/>
      <c r="D493" s="44" t="n"/>
    </row>
    <row r="494" customFormat="1" s="129">
      <c r="A494" s="19" t="n"/>
      <c r="C494" s="43" t="n"/>
      <c r="D494" s="44" t="n"/>
    </row>
    <row r="495" customFormat="1" s="129">
      <c r="A495" s="19" t="n"/>
      <c r="C495" s="43" t="n"/>
      <c r="D495" s="44" t="n"/>
    </row>
    <row r="496" customFormat="1" s="129">
      <c r="A496" s="19" t="n"/>
      <c r="C496" s="43" t="n"/>
      <c r="D496" s="44" t="n"/>
    </row>
    <row r="497" customFormat="1" s="129">
      <c r="A497" s="19" t="n"/>
      <c r="C497" s="43" t="n"/>
      <c r="D497" s="44" t="n"/>
    </row>
    <row r="498" customFormat="1" s="129">
      <c r="A498" s="19" t="n"/>
      <c r="C498" s="43" t="n"/>
      <c r="D498" s="44" t="n"/>
    </row>
    <row r="499" customFormat="1" s="129">
      <c r="A499" s="19" t="n"/>
      <c r="C499" s="43" t="n"/>
      <c r="D499" s="44" t="n"/>
    </row>
    <row r="500" customFormat="1" s="129">
      <c r="A500" s="19" t="n"/>
      <c r="C500" s="43" t="n"/>
      <c r="D500" s="44" t="n"/>
    </row>
    <row r="501" customFormat="1" s="129">
      <c r="A501" s="19" t="n"/>
      <c r="C501" s="43" t="n"/>
      <c r="D501" s="44" t="n"/>
    </row>
    <row r="502" customFormat="1" s="129">
      <c r="A502" s="19" t="n"/>
      <c r="C502" s="43" t="n"/>
      <c r="D502" s="44" t="n"/>
    </row>
    <row r="503" customFormat="1" s="129">
      <c r="A503" s="19" t="n"/>
      <c r="C503" s="43" t="n"/>
      <c r="D503" s="44" t="n"/>
    </row>
    <row r="504" customFormat="1" s="129">
      <c r="A504" s="19" t="n"/>
      <c r="C504" s="43" t="n"/>
      <c r="D504" s="44" t="n"/>
    </row>
    <row r="505" customFormat="1" s="129">
      <c r="A505" s="19" t="n"/>
      <c r="C505" s="43" t="n"/>
      <c r="D505" s="44" t="n"/>
    </row>
    <row r="506" customFormat="1" s="129">
      <c r="A506" s="19" t="n"/>
      <c r="C506" s="43" t="n"/>
      <c r="D506" s="44" t="n"/>
    </row>
    <row r="507" customFormat="1" s="129">
      <c r="A507" s="19" t="n"/>
      <c r="C507" s="43" t="n"/>
      <c r="D507" s="44" t="n"/>
    </row>
    <row r="508" customFormat="1" s="129">
      <c r="A508" s="19" t="n"/>
      <c r="C508" s="43" t="n"/>
      <c r="D508" s="44" t="n"/>
    </row>
    <row r="509" customFormat="1" s="129">
      <c r="A509" s="19" t="n"/>
      <c r="C509" s="43" t="n"/>
      <c r="D509" s="44" t="n"/>
    </row>
    <row r="510" customFormat="1" s="129">
      <c r="A510" s="19" t="n"/>
      <c r="C510" s="43" t="n"/>
      <c r="D510" s="44" t="n"/>
    </row>
    <row r="511" customFormat="1" s="129">
      <c r="A511" s="19" t="n"/>
      <c r="C511" s="43" t="n"/>
      <c r="D511" s="44" t="n"/>
    </row>
    <row r="512" customFormat="1" s="129">
      <c r="A512" s="19" t="n"/>
      <c r="C512" s="43" t="n"/>
      <c r="D512" s="44" t="n"/>
    </row>
    <row r="513" customFormat="1" s="129">
      <c r="A513" s="19" t="n"/>
      <c r="C513" s="43" t="n"/>
      <c r="D513" s="44" t="n"/>
    </row>
    <row r="514" customFormat="1" s="129">
      <c r="A514" s="19" t="n"/>
      <c r="C514" s="43" t="n"/>
      <c r="D514" s="44" t="n"/>
    </row>
    <row r="515" customFormat="1" s="129">
      <c r="A515" s="19" t="n"/>
      <c r="C515" s="43" t="n"/>
      <c r="D515" s="44" t="n"/>
    </row>
    <row r="516" customFormat="1" s="129">
      <c r="A516" s="19" t="n"/>
      <c r="C516" s="43" t="n"/>
      <c r="D516" s="44" t="n"/>
    </row>
    <row r="517" customFormat="1" s="129">
      <c r="A517" s="19" t="n"/>
      <c r="C517" s="43" t="n"/>
      <c r="D517" s="44" t="n"/>
    </row>
    <row r="518" customFormat="1" s="129">
      <c r="A518" s="19" t="n"/>
      <c r="C518" s="43" t="n"/>
      <c r="D518" s="44" t="n"/>
    </row>
    <row r="519" customFormat="1" s="129">
      <c r="A519" s="19" t="n"/>
      <c r="C519" s="43" t="n"/>
      <c r="D519" s="44" t="n"/>
    </row>
    <row r="520" customFormat="1" s="129">
      <c r="A520" s="19" t="n"/>
      <c r="C520" s="43" t="n"/>
      <c r="D520" s="44" t="n"/>
    </row>
    <row r="521" customFormat="1" s="129">
      <c r="A521" s="19" t="n"/>
      <c r="C521" s="43" t="n"/>
      <c r="D521" s="44" t="n"/>
    </row>
    <row r="522" customFormat="1" s="129">
      <c r="A522" s="19" t="n"/>
      <c r="C522" s="43" t="n"/>
      <c r="D522" s="44" t="n"/>
    </row>
    <row r="523" customFormat="1" s="129">
      <c r="A523" s="19" t="n"/>
      <c r="C523" s="43" t="n"/>
      <c r="D523" s="44" t="n"/>
    </row>
    <row r="524" customFormat="1" s="129">
      <c r="A524" s="19" t="n"/>
      <c r="C524" s="43" t="n"/>
      <c r="D524" s="44" t="n"/>
    </row>
    <row r="525" customFormat="1" s="129">
      <c r="A525" s="19" t="n"/>
      <c r="C525" s="43" t="n"/>
      <c r="D525" s="44" t="n"/>
    </row>
    <row r="526" customFormat="1" s="129">
      <c r="A526" s="19" t="n"/>
      <c r="C526" s="43" t="n"/>
      <c r="D526" s="44" t="n"/>
    </row>
    <row r="527" customFormat="1" s="129">
      <c r="A527" s="19" t="n"/>
      <c r="C527" s="43" t="n"/>
      <c r="D527" s="44" t="n"/>
    </row>
    <row r="528" customFormat="1" s="129">
      <c r="A528" s="19" t="n"/>
      <c r="C528" s="43" t="n"/>
      <c r="D528" s="44" t="n"/>
    </row>
    <row r="529" customFormat="1" s="129">
      <c r="A529" s="19" t="n"/>
      <c r="C529" s="43" t="n"/>
      <c r="D529" s="44" t="n"/>
    </row>
    <row r="530" customFormat="1" s="129">
      <c r="A530" s="19" t="n"/>
      <c r="C530" s="43" t="n"/>
      <c r="D530" s="44" t="n"/>
    </row>
    <row r="531" customFormat="1" s="129">
      <c r="A531" s="19" t="n"/>
      <c r="C531" s="43" t="n"/>
      <c r="D531" s="44" t="n"/>
    </row>
    <row r="532" customFormat="1" s="129">
      <c r="A532" s="19" t="n"/>
      <c r="C532" s="43" t="n"/>
      <c r="D532" s="44" t="n"/>
    </row>
    <row r="533" customFormat="1" s="129">
      <c r="A533" s="19" t="n"/>
      <c r="C533" s="43" t="n"/>
      <c r="D533" s="44" t="n"/>
    </row>
    <row r="534" customFormat="1" s="129">
      <c r="A534" s="19" t="n"/>
      <c r="C534" s="43" t="n"/>
      <c r="D534" s="44" t="n"/>
    </row>
    <row r="535" customFormat="1" s="129">
      <c r="A535" s="19" t="n"/>
      <c r="C535" s="43" t="n"/>
      <c r="D535" s="44" t="n"/>
    </row>
    <row r="536" customFormat="1" s="129">
      <c r="A536" s="19" t="n"/>
      <c r="C536" s="43" t="n"/>
      <c r="D536" s="44" t="n"/>
    </row>
    <row r="537" customFormat="1" s="129">
      <c r="A537" s="19" t="n"/>
      <c r="C537" s="43" t="n"/>
      <c r="D537" s="44" t="n"/>
    </row>
    <row r="538" customFormat="1" s="129">
      <c r="A538" s="19" t="n"/>
      <c r="C538" s="43" t="n"/>
      <c r="D538" s="44" t="n"/>
    </row>
    <row r="539" customFormat="1" s="129">
      <c r="A539" s="19" t="n"/>
      <c r="C539" s="43" t="n"/>
      <c r="D539" s="44" t="n"/>
    </row>
    <row r="540" customFormat="1" s="129">
      <c r="A540" s="19" t="n"/>
      <c r="C540" s="43" t="n"/>
      <c r="D540" s="44" t="n"/>
    </row>
    <row r="541" customFormat="1" s="129">
      <c r="A541" s="19" t="n"/>
      <c r="C541" s="43" t="n"/>
      <c r="D541" s="44" t="n"/>
    </row>
    <row r="542" customFormat="1" s="129">
      <c r="A542" s="19" t="n"/>
      <c r="C542" s="43" t="n"/>
      <c r="D542" s="44" t="n"/>
    </row>
    <row r="543" customFormat="1" s="129">
      <c r="A543" s="19" t="n"/>
      <c r="C543" s="43" t="n"/>
      <c r="D543" s="44" t="n"/>
    </row>
    <row r="544" customFormat="1" s="129">
      <c r="A544" s="19" t="n"/>
      <c r="C544" s="43" t="n"/>
      <c r="D544" s="44" t="n"/>
    </row>
    <row r="545" customFormat="1" s="129">
      <c r="A545" s="19" t="n"/>
      <c r="C545" s="43" t="n"/>
      <c r="D545" s="44" t="n"/>
    </row>
    <row r="546" customFormat="1" s="129">
      <c r="A546" s="19" t="n"/>
      <c r="C546" s="43" t="n"/>
      <c r="D546" s="44" t="n"/>
    </row>
    <row r="547" customFormat="1" s="129">
      <c r="A547" s="19" t="n"/>
      <c r="C547" s="43" t="n"/>
      <c r="D547" s="44" t="n"/>
    </row>
    <row r="548" customFormat="1" s="129">
      <c r="A548" s="19" t="n"/>
      <c r="C548" s="43" t="n"/>
      <c r="D548" s="44" t="n"/>
    </row>
    <row r="549" customFormat="1" s="129">
      <c r="A549" s="19" t="n"/>
      <c r="C549" s="43" t="n"/>
      <c r="D549" s="44" t="n"/>
    </row>
    <row r="550" customFormat="1" s="129">
      <c r="A550" s="19" t="n"/>
      <c r="C550" s="43" t="n"/>
      <c r="D550" s="44" t="n"/>
    </row>
    <row r="551" customFormat="1" s="129">
      <c r="A551" s="19" t="n"/>
      <c r="C551" s="43" t="n"/>
      <c r="D551" s="44" t="n"/>
    </row>
    <row r="552" customFormat="1" s="129">
      <c r="A552" s="19" t="n"/>
      <c r="C552" s="43" t="n"/>
      <c r="D552" s="44" t="n"/>
    </row>
    <row r="553" customFormat="1" s="129">
      <c r="A553" s="19" t="n"/>
      <c r="C553" s="43" t="n"/>
      <c r="D553" s="44" t="n"/>
    </row>
    <row r="554" customFormat="1" s="129">
      <c r="A554" s="19" t="n"/>
      <c r="C554" s="43" t="n"/>
      <c r="D554" s="44" t="n"/>
    </row>
    <row r="555" customFormat="1" s="129">
      <c r="A555" s="19" t="n"/>
      <c r="C555" s="43" t="n"/>
      <c r="D555" s="44" t="n"/>
    </row>
    <row r="556" customFormat="1" s="129">
      <c r="A556" s="19" t="n"/>
      <c r="C556" s="43" t="n"/>
      <c r="D556" s="44" t="n"/>
    </row>
    <row r="557" customFormat="1" s="129">
      <c r="A557" s="19" t="n"/>
      <c r="C557" s="43" t="n"/>
      <c r="D557" s="44" t="n"/>
    </row>
    <row r="558" customFormat="1" s="129">
      <c r="A558" s="19" t="n"/>
      <c r="C558" s="43" t="n"/>
      <c r="D558" s="44" t="n"/>
    </row>
    <row r="559" customFormat="1" s="129">
      <c r="A559" s="19" t="n"/>
      <c r="C559" s="43" t="n"/>
      <c r="D559" s="44" t="n"/>
    </row>
    <row r="560" customFormat="1" s="129">
      <c r="A560" s="19" t="n"/>
      <c r="C560" s="43" t="n"/>
      <c r="D560" s="44" t="n"/>
    </row>
    <row r="561" customFormat="1" s="129">
      <c r="A561" s="19" t="n"/>
      <c r="C561" s="43" t="n"/>
      <c r="D561" s="44" t="n"/>
    </row>
    <row r="562" customFormat="1" s="129">
      <c r="A562" s="19" t="n"/>
      <c r="C562" s="43" t="n"/>
      <c r="D562" s="44" t="n"/>
    </row>
    <row r="563" customFormat="1" s="129">
      <c r="A563" s="19" t="n"/>
      <c r="C563" s="43" t="n"/>
      <c r="D563" s="44" t="n"/>
    </row>
    <row r="564" customFormat="1" s="129">
      <c r="A564" s="19" t="n"/>
      <c r="C564" s="43" t="n"/>
      <c r="D564" s="44" t="n"/>
    </row>
    <row r="565" customFormat="1" s="129">
      <c r="A565" s="19" t="n"/>
      <c r="C565" s="43" t="n"/>
      <c r="D565" s="44" t="n"/>
    </row>
    <row r="566" customFormat="1" s="129">
      <c r="A566" s="19" t="n"/>
      <c r="C566" s="43" t="n"/>
      <c r="D566" s="44" t="n"/>
    </row>
    <row r="567" customFormat="1" s="129">
      <c r="A567" s="19" t="n"/>
      <c r="C567" s="43" t="n"/>
      <c r="D567" s="44" t="n"/>
    </row>
    <row r="568" customFormat="1" s="129">
      <c r="A568" s="19" t="n"/>
      <c r="C568" s="43" t="n"/>
      <c r="D568" s="44" t="n"/>
    </row>
    <row r="569" customFormat="1" s="129">
      <c r="A569" s="19" t="n"/>
      <c r="C569" s="43" t="n"/>
      <c r="D569" s="44" t="n"/>
    </row>
    <row r="570" customFormat="1" s="129">
      <c r="A570" s="19" t="n"/>
      <c r="C570" s="43" t="n"/>
      <c r="D570" s="44" t="n"/>
    </row>
    <row r="571" customFormat="1" s="129">
      <c r="A571" s="19" t="n"/>
      <c r="C571" s="43" t="n"/>
      <c r="D571" s="44" t="n"/>
    </row>
    <row r="572" customFormat="1" s="129">
      <c r="A572" s="19" t="n"/>
      <c r="C572" s="43" t="n"/>
      <c r="D572" s="44" t="n"/>
    </row>
    <row r="573" customFormat="1" s="129">
      <c r="A573" s="19" t="n"/>
      <c r="C573" s="43" t="n"/>
      <c r="D573" s="44" t="n"/>
    </row>
    <row r="574" customFormat="1" s="129">
      <c r="A574" s="19" t="n"/>
      <c r="C574" s="43" t="n"/>
      <c r="D574" s="44" t="n"/>
    </row>
    <row r="575" customFormat="1" s="129">
      <c r="A575" s="19" t="n"/>
      <c r="C575" s="43" t="n"/>
      <c r="D575" s="44" t="n"/>
    </row>
    <row r="576" customFormat="1" s="129">
      <c r="A576" s="19" t="n"/>
      <c r="C576" s="43" t="n"/>
      <c r="D576" s="44" t="n"/>
    </row>
    <row r="577" customFormat="1" s="129">
      <c r="A577" s="19" t="n"/>
      <c r="C577" s="43" t="n"/>
      <c r="D577" s="44" t="n"/>
    </row>
    <row r="578" customFormat="1" s="129">
      <c r="A578" s="19" t="n"/>
      <c r="C578" s="43" t="n"/>
      <c r="D578" s="44" t="n"/>
    </row>
    <row r="579" customFormat="1" s="129">
      <c r="A579" s="19" t="n"/>
      <c r="C579" s="43" t="n"/>
      <c r="D579" s="44" t="n"/>
    </row>
    <row r="580" customFormat="1" s="129">
      <c r="A580" s="19" t="n"/>
      <c r="C580" s="43" t="n"/>
      <c r="D580" s="44" t="n"/>
    </row>
    <row r="581" customFormat="1" s="129">
      <c r="A581" s="19" t="n"/>
      <c r="C581" s="43" t="n"/>
      <c r="D581" s="44" t="n"/>
    </row>
    <row r="582" customFormat="1" s="129">
      <c r="A582" s="19" t="n"/>
      <c r="C582" s="43" t="n"/>
      <c r="D582" s="44" t="n"/>
    </row>
    <row r="583" customFormat="1" s="129">
      <c r="A583" s="19" t="n"/>
      <c r="C583" s="43" t="n"/>
      <c r="D583" s="44" t="n"/>
    </row>
    <row r="584" customFormat="1" s="129">
      <c r="A584" s="19" t="n"/>
      <c r="C584" s="43" t="n"/>
      <c r="D584" s="44" t="n"/>
    </row>
    <row r="585" customFormat="1" s="129">
      <c r="A585" s="19" t="n"/>
      <c r="C585" s="43" t="n"/>
      <c r="D585" s="44" t="n"/>
    </row>
    <row r="586" customFormat="1" s="129">
      <c r="A586" s="19" t="n"/>
      <c r="C586" s="43" t="n"/>
      <c r="D586" s="44" t="n"/>
    </row>
    <row r="587" customFormat="1" s="129">
      <c r="A587" s="19" t="n"/>
      <c r="C587" s="43" t="n"/>
      <c r="D587" s="44" t="n"/>
    </row>
    <row r="588" customFormat="1" s="129">
      <c r="A588" s="19" t="n"/>
      <c r="C588" s="43" t="n"/>
      <c r="D588" s="44" t="n"/>
    </row>
    <row r="589" customFormat="1" s="129">
      <c r="A589" s="19" t="n"/>
      <c r="C589" s="43" t="n"/>
      <c r="D589" s="44" t="n"/>
    </row>
    <row r="590" customFormat="1" s="129">
      <c r="A590" s="19" t="n"/>
      <c r="C590" s="43" t="n"/>
      <c r="D590" s="44" t="n"/>
    </row>
    <row r="591" customFormat="1" s="129">
      <c r="A591" s="19" t="n"/>
      <c r="C591" s="43" t="n"/>
      <c r="D591" s="44" t="n"/>
    </row>
    <row r="592" customFormat="1" s="129">
      <c r="A592" s="19" t="n"/>
      <c r="C592" s="43" t="n"/>
      <c r="D592" s="44" t="n"/>
    </row>
    <row r="593" customFormat="1" s="129">
      <c r="A593" s="19" t="n"/>
      <c r="C593" s="43" t="n"/>
      <c r="D593" s="44" t="n"/>
    </row>
    <row r="594" customFormat="1" s="129">
      <c r="A594" s="19" t="n"/>
      <c r="C594" s="43" t="n"/>
      <c r="D594" s="44" t="n"/>
    </row>
    <row r="595" customFormat="1" s="129">
      <c r="A595" s="19" t="n"/>
      <c r="C595" s="43" t="n"/>
      <c r="D595" s="44" t="n"/>
    </row>
    <row r="596" customFormat="1" s="129">
      <c r="A596" s="19" t="n"/>
      <c r="C596" s="43" t="n"/>
      <c r="D596" s="44" t="n"/>
    </row>
    <row r="597" customFormat="1" s="129">
      <c r="A597" s="19" t="n"/>
      <c r="C597" s="43" t="n"/>
      <c r="D597" s="44" t="n"/>
    </row>
    <row r="598" customFormat="1" s="129">
      <c r="A598" s="19" t="n"/>
      <c r="C598" s="43" t="n"/>
      <c r="D598" s="44" t="n"/>
    </row>
    <row r="599" customFormat="1" s="129">
      <c r="A599" s="19" t="n"/>
      <c r="C599" s="43" t="n"/>
      <c r="D599" s="44" t="n"/>
    </row>
    <row r="600" customFormat="1" s="129">
      <c r="A600" s="19" t="n"/>
      <c r="C600" s="43" t="n"/>
      <c r="D600" s="44" t="n"/>
    </row>
    <row r="601" customFormat="1" s="129">
      <c r="A601" s="19" t="n"/>
      <c r="C601" s="43" t="n"/>
      <c r="D601" s="44" t="n"/>
    </row>
    <row r="602" customFormat="1" s="129">
      <c r="A602" s="19" t="n"/>
      <c r="C602" s="43" t="n"/>
      <c r="D602" s="44" t="n"/>
    </row>
    <row r="603" customFormat="1" s="129">
      <c r="A603" s="19" t="n"/>
      <c r="C603" s="43" t="n"/>
      <c r="D603" s="44" t="n"/>
    </row>
    <row r="604" customFormat="1" s="129">
      <c r="A604" s="19" t="n"/>
      <c r="C604" s="43" t="n"/>
      <c r="D604" s="44" t="n"/>
    </row>
    <row r="605" customFormat="1" s="129">
      <c r="A605" s="19" t="n"/>
      <c r="C605" s="43" t="n"/>
      <c r="D605" s="44" t="n"/>
    </row>
    <row r="606" customFormat="1" s="129">
      <c r="A606" s="19" t="n"/>
      <c r="C606" s="43" t="n"/>
      <c r="D606" s="44" t="n"/>
    </row>
    <row r="607" customFormat="1" s="129">
      <c r="A607" s="19" t="n"/>
      <c r="C607" s="43" t="n"/>
      <c r="D607" s="44" t="n"/>
    </row>
    <row r="608" customFormat="1" s="129">
      <c r="A608" s="19" t="n"/>
      <c r="C608" s="43" t="n"/>
      <c r="D608" s="44" t="n"/>
    </row>
    <row r="609" customFormat="1" s="129">
      <c r="A609" s="19" t="n"/>
      <c r="C609" s="43" t="n"/>
      <c r="D609" s="44" t="n"/>
    </row>
    <row r="610" customFormat="1" s="129">
      <c r="A610" s="19" t="n"/>
      <c r="C610" s="43" t="n"/>
      <c r="D610" s="44" t="n"/>
    </row>
    <row r="611" customFormat="1" s="129">
      <c r="A611" s="19" t="n"/>
      <c r="C611" s="43" t="n"/>
      <c r="D611" s="44" t="n"/>
    </row>
    <row r="612" customFormat="1" s="129">
      <c r="A612" s="19" t="n"/>
      <c r="C612" s="43" t="n"/>
      <c r="D612" s="44" t="n"/>
    </row>
    <row r="613" customFormat="1" s="129">
      <c r="A613" s="19" t="n"/>
      <c r="C613" s="43" t="n"/>
      <c r="D613" s="44" t="n"/>
    </row>
    <row r="614" customFormat="1" s="129">
      <c r="A614" s="19" t="n"/>
      <c r="C614" s="43" t="n"/>
      <c r="D614" s="44" t="n"/>
    </row>
    <row r="615" customFormat="1" s="129">
      <c r="A615" s="19" t="n"/>
      <c r="C615" s="43" t="n"/>
      <c r="D615" s="44" t="n"/>
    </row>
    <row r="616" customFormat="1" s="129">
      <c r="A616" s="19" t="n"/>
      <c r="C616" s="43" t="n"/>
      <c r="D616" s="44" t="n"/>
    </row>
    <row r="617" customFormat="1" s="129">
      <c r="A617" s="19" t="n"/>
      <c r="C617" s="43" t="n"/>
      <c r="D617" s="44" t="n"/>
    </row>
    <row r="618" customFormat="1" s="129">
      <c r="A618" s="19" t="n"/>
      <c r="C618" s="43" t="n"/>
      <c r="D618" s="44" t="n"/>
    </row>
    <row r="619" customFormat="1" s="129">
      <c r="A619" s="19" t="n"/>
      <c r="C619" s="43" t="n"/>
      <c r="D619" s="44" t="n"/>
    </row>
    <row r="620" customFormat="1" s="129">
      <c r="A620" s="19" t="n"/>
      <c r="C620" s="43" t="n"/>
      <c r="D620" s="44" t="n"/>
    </row>
    <row r="621" customFormat="1" s="129">
      <c r="A621" s="19" t="n"/>
      <c r="C621" s="43" t="n"/>
      <c r="D621" s="44" t="n"/>
    </row>
    <row r="622" customFormat="1" s="129">
      <c r="A622" s="19" t="n"/>
      <c r="C622" s="43" t="n"/>
      <c r="D622" s="44" t="n"/>
    </row>
    <row r="623" customFormat="1" s="129">
      <c r="A623" s="19" t="n"/>
      <c r="C623" s="43" t="n"/>
      <c r="D623" s="44" t="n"/>
    </row>
    <row r="624" customFormat="1" s="129">
      <c r="A624" s="19" t="n"/>
      <c r="C624" s="43" t="n"/>
      <c r="D624" s="44" t="n"/>
    </row>
    <row r="625" customFormat="1" s="129">
      <c r="A625" s="19" t="n"/>
      <c r="C625" s="43" t="n"/>
      <c r="D625" s="44" t="n"/>
    </row>
    <row r="626" customFormat="1" s="129">
      <c r="A626" s="19" t="n"/>
      <c r="C626" s="43" t="n"/>
      <c r="D626" s="44" t="n"/>
    </row>
    <row r="627" customFormat="1" s="129">
      <c r="A627" s="19" t="n"/>
      <c r="C627" s="43" t="n"/>
      <c r="D627" s="44" t="n"/>
    </row>
    <row r="628" customFormat="1" s="129">
      <c r="A628" s="19" t="n"/>
      <c r="C628" s="43" t="n"/>
      <c r="D628" s="44" t="n"/>
    </row>
    <row r="629" customFormat="1" s="129">
      <c r="A629" s="19" t="n"/>
      <c r="C629" s="43" t="n"/>
      <c r="D629" s="44" t="n"/>
    </row>
    <row r="630" customFormat="1" s="129">
      <c r="A630" s="19" t="n"/>
      <c r="C630" s="43" t="n"/>
      <c r="D630" s="44" t="n"/>
    </row>
    <row r="631" customFormat="1" s="129">
      <c r="A631" s="19" t="n"/>
      <c r="C631" s="43" t="n"/>
      <c r="D631" s="44" t="n"/>
    </row>
    <row r="632" customFormat="1" s="129">
      <c r="A632" s="19" t="n"/>
      <c r="C632" s="43" t="n"/>
      <c r="D632" s="44" t="n"/>
    </row>
    <row r="633" customFormat="1" s="129">
      <c r="A633" s="19" t="n"/>
      <c r="C633" s="43" t="n"/>
      <c r="D633" s="44" t="n"/>
    </row>
    <row r="634" customFormat="1" s="129">
      <c r="A634" s="19" t="n"/>
      <c r="C634" s="43" t="n"/>
      <c r="D634" s="44" t="n"/>
    </row>
    <row r="635" customFormat="1" s="129">
      <c r="A635" s="19" t="n"/>
      <c r="C635" s="43" t="n"/>
      <c r="D635" s="44" t="n"/>
    </row>
    <row r="636" customFormat="1" s="129">
      <c r="A636" s="19" t="n"/>
      <c r="C636" s="43" t="n"/>
      <c r="D636" s="44" t="n"/>
    </row>
    <row r="637" customFormat="1" s="129">
      <c r="A637" s="19" t="n"/>
      <c r="C637" s="43" t="n"/>
      <c r="D637" s="44" t="n"/>
    </row>
    <row r="638" customFormat="1" s="129">
      <c r="A638" s="19" t="n"/>
      <c r="C638" s="43" t="n"/>
      <c r="D638" s="44" t="n"/>
    </row>
    <row r="639" customFormat="1" s="129">
      <c r="A639" s="19" t="n"/>
      <c r="C639" s="43" t="n"/>
      <c r="D639" s="44" t="n"/>
    </row>
    <row r="640" customFormat="1" s="129">
      <c r="A640" s="19" t="n"/>
      <c r="C640" s="43" t="n"/>
      <c r="D640" s="44" t="n"/>
    </row>
    <row r="641" customFormat="1" s="129">
      <c r="A641" s="19" t="n"/>
      <c r="C641" s="43" t="n"/>
      <c r="D641" s="44" t="n"/>
    </row>
    <row r="642" customFormat="1" s="129">
      <c r="A642" s="19" t="n"/>
      <c r="C642" s="43" t="n"/>
      <c r="D642" s="44" t="n"/>
    </row>
    <row r="643" customFormat="1" s="129">
      <c r="A643" s="19" t="n"/>
      <c r="C643" s="43" t="n"/>
      <c r="D643" s="44" t="n"/>
    </row>
    <row r="644" customFormat="1" s="129">
      <c r="A644" s="19" t="n"/>
      <c r="C644" s="43" t="n"/>
      <c r="D644" s="44" t="n"/>
    </row>
    <row r="645" customFormat="1" s="129">
      <c r="A645" s="19" t="n"/>
      <c r="C645" s="43" t="n"/>
      <c r="D645" s="44" t="n"/>
    </row>
    <row r="646" customFormat="1" s="129">
      <c r="A646" s="19" t="n"/>
      <c r="C646" s="43" t="n"/>
      <c r="D646" s="44" t="n"/>
    </row>
    <row r="647" customFormat="1" s="129">
      <c r="A647" s="19" t="n"/>
      <c r="C647" s="43" t="n"/>
      <c r="D647" s="44" t="n"/>
    </row>
    <row r="648" customFormat="1" s="129">
      <c r="A648" s="19" t="n"/>
      <c r="C648" s="43" t="n"/>
      <c r="D648" s="44" t="n"/>
    </row>
    <row r="649" customFormat="1" s="129">
      <c r="A649" s="19" t="n"/>
      <c r="C649" s="43" t="n"/>
      <c r="D649" s="44" t="n"/>
    </row>
    <row r="650" customFormat="1" s="129">
      <c r="A650" s="19" t="n"/>
      <c r="C650" s="43" t="n"/>
      <c r="D650" s="44" t="n"/>
    </row>
    <row r="651" customFormat="1" s="129">
      <c r="A651" s="19" t="n"/>
      <c r="C651" s="43" t="n"/>
      <c r="D651" s="44" t="n"/>
    </row>
    <row r="652" customFormat="1" s="129">
      <c r="A652" s="19" t="n"/>
      <c r="C652" s="43" t="n"/>
      <c r="D652" s="44" t="n"/>
    </row>
    <row r="653" customFormat="1" s="129">
      <c r="A653" s="19" t="n"/>
      <c r="C653" s="43" t="n"/>
      <c r="D653" s="44" t="n"/>
    </row>
    <row r="654" customFormat="1" s="129">
      <c r="A654" s="19" t="n"/>
      <c r="C654" s="43" t="n"/>
      <c r="D654" s="44" t="n"/>
    </row>
    <row r="655" customFormat="1" s="129">
      <c r="A655" s="19" t="n"/>
      <c r="C655" s="43" t="n"/>
      <c r="D655" s="44" t="n"/>
    </row>
    <row r="656" customFormat="1" s="129">
      <c r="A656" s="19" t="n"/>
      <c r="C656" s="43" t="n"/>
      <c r="D656" s="44" t="n"/>
    </row>
    <row r="657" customFormat="1" s="129">
      <c r="A657" s="19" t="n"/>
      <c r="C657" s="43" t="n"/>
      <c r="D657" s="44" t="n"/>
    </row>
    <row r="658" customFormat="1" s="129">
      <c r="A658" s="19" t="n"/>
      <c r="C658" s="43" t="n"/>
      <c r="D658" s="44" t="n"/>
    </row>
    <row r="659" customFormat="1" s="129">
      <c r="A659" s="19" t="n"/>
      <c r="C659" s="43" t="n"/>
      <c r="D659" s="44" t="n"/>
    </row>
    <row r="660" customFormat="1" s="129">
      <c r="A660" s="19" t="n"/>
      <c r="C660" s="43" t="n"/>
      <c r="D660" s="44" t="n"/>
    </row>
    <row r="661" customFormat="1" s="129">
      <c r="A661" s="19" t="n"/>
      <c r="C661" s="43" t="n"/>
      <c r="D661" s="44" t="n"/>
    </row>
    <row r="662" customFormat="1" s="129">
      <c r="A662" s="19" t="n"/>
      <c r="C662" s="43" t="n"/>
      <c r="D662" s="44" t="n"/>
    </row>
    <row r="663" customFormat="1" s="129">
      <c r="A663" s="19" t="n"/>
      <c r="C663" s="43" t="n"/>
      <c r="D663" s="44" t="n"/>
    </row>
    <row r="664" customFormat="1" s="129">
      <c r="A664" s="19" t="n"/>
      <c r="C664" s="43" t="n"/>
      <c r="D664" s="44" t="n"/>
    </row>
    <row r="665" customFormat="1" s="129">
      <c r="A665" s="19" t="n"/>
      <c r="C665" s="43" t="n"/>
      <c r="D665" s="44" t="n"/>
    </row>
    <row r="666" customFormat="1" s="129">
      <c r="A666" s="19" t="n"/>
      <c r="C666" s="43" t="n"/>
      <c r="D666" s="44" t="n"/>
    </row>
    <row r="667" customFormat="1" s="129">
      <c r="A667" s="19" t="n"/>
      <c r="C667" s="43" t="n"/>
      <c r="D667" s="44" t="n"/>
    </row>
    <row r="668" customFormat="1" s="129">
      <c r="A668" s="19" t="n"/>
      <c r="C668" s="43" t="n"/>
      <c r="D668" s="44" t="n"/>
    </row>
    <row r="669" customFormat="1" s="129">
      <c r="A669" s="19" t="n"/>
      <c r="C669" s="43" t="n"/>
      <c r="D669" s="44" t="n"/>
    </row>
    <row r="670" customFormat="1" s="129">
      <c r="A670" s="19" t="n"/>
      <c r="C670" s="43" t="n"/>
      <c r="D670" s="44" t="n"/>
    </row>
    <row r="671" customFormat="1" s="129">
      <c r="A671" s="19" t="n"/>
      <c r="C671" s="43" t="n"/>
      <c r="D671" s="44" t="n"/>
    </row>
    <row r="672" customFormat="1" s="129">
      <c r="A672" s="19" t="n"/>
      <c r="C672" s="43" t="n"/>
      <c r="D672" s="44" t="n"/>
    </row>
    <row r="673" customFormat="1" s="129">
      <c r="A673" s="19" t="n"/>
      <c r="C673" s="43" t="n"/>
      <c r="D673" s="44" t="n"/>
    </row>
    <row r="674" customFormat="1" s="129">
      <c r="A674" s="19" t="n"/>
      <c r="C674" s="43" t="n"/>
      <c r="D674" s="44" t="n"/>
    </row>
    <row r="675" customFormat="1" s="129">
      <c r="A675" s="19" t="n"/>
      <c r="C675" s="43" t="n"/>
      <c r="D675" s="44" t="n"/>
    </row>
    <row r="676" customFormat="1" s="129">
      <c r="A676" s="19" t="n"/>
      <c r="C676" s="43" t="n"/>
      <c r="D676" s="44" t="n"/>
    </row>
    <row r="677" customFormat="1" s="129">
      <c r="A677" s="19" t="n"/>
      <c r="C677" s="43" t="n"/>
      <c r="D677" s="44" t="n"/>
    </row>
    <row r="678" customFormat="1" s="129">
      <c r="A678" s="19" t="n"/>
      <c r="C678" s="43" t="n"/>
      <c r="D678" s="44" t="n"/>
    </row>
    <row r="679" customFormat="1" s="129">
      <c r="A679" s="19" t="n"/>
      <c r="C679" s="43" t="n"/>
      <c r="D679" s="44" t="n"/>
    </row>
    <row r="680" customFormat="1" s="129">
      <c r="A680" s="19" t="n"/>
      <c r="C680" s="43" t="n"/>
      <c r="D680" s="44" t="n"/>
    </row>
    <row r="681" customFormat="1" s="129">
      <c r="A681" s="19" t="n"/>
      <c r="C681" s="43" t="n"/>
      <c r="D681" s="44" t="n"/>
    </row>
    <row r="682" customFormat="1" s="129">
      <c r="A682" s="19" t="n"/>
      <c r="C682" s="43" t="n"/>
      <c r="D682" s="44" t="n"/>
    </row>
    <row r="683" customFormat="1" s="129">
      <c r="A683" s="19" t="n"/>
      <c r="C683" s="43" t="n"/>
      <c r="D683" s="44" t="n"/>
    </row>
    <row r="684" customFormat="1" s="129">
      <c r="A684" s="19" t="n"/>
      <c r="C684" s="43" t="n"/>
      <c r="D684" s="44" t="n"/>
    </row>
    <row r="685" customFormat="1" s="129">
      <c r="A685" s="19" t="n"/>
      <c r="C685" s="43" t="n"/>
      <c r="D685" s="44" t="n"/>
    </row>
    <row r="686" customFormat="1" s="129">
      <c r="A686" s="19" t="n"/>
      <c r="C686" s="43" t="n"/>
      <c r="D686" s="44" t="n"/>
    </row>
    <row r="687" customFormat="1" s="129">
      <c r="A687" s="19" t="n"/>
      <c r="C687" s="43" t="n"/>
      <c r="D687" s="44" t="n"/>
    </row>
    <row r="688" customFormat="1" s="129">
      <c r="A688" s="19" t="n"/>
      <c r="C688" s="43" t="n"/>
      <c r="D688" s="44" t="n"/>
    </row>
    <row r="689" customFormat="1" s="129">
      <c r="A689" s="19" t="n"/>
      <c r="C689" s="43" t="n"/>
      <c r="D689" s="44" t="n"/>
    </row>
    <row r="690" customFormat="1" s="129">
      <c r="A690" s="19" t="n"/>
      <c r="C690" s="43" t="n"/>
      <c r="D690" s="44" t="n"/>
    </row>
    <row r="691" customFormat="1" s="129">
      <c r="A691" s="19" t="n"/>
      <c r="C691" s="43" t="n"/>
      <c r="D691" s="44" t="n"/>
    </row>
    <row r="692" customFormat="1" s="129">
      <c r="A692" s="19" t="n"/>
      <c r="C692" s="43" t="n"/>
      <c r="D692" s="44" t="n"/>
    </row>
    <row r="693" customFormat="1" s="129">
      <c r="A693" s="19" t="n"/>
      <c r="C693" s="43" t="n"/>
      <c r="D693" s="44" t="n"/>
    </row>
    <row r="694" customFormat="1" s="129">
      <c r="A694" s="19" t="n"/>
      <c r="C694" s="43" t="n"/>
      <c r="D694" s="44" t="n"/>
    </row>
    <row r="695" customFormat="1" s="129">
      <c r="A695" s="19" t="n"/>
      <c r="C695" s="43" t="n"/>
      <c r="D695" s="44" t="n"/>
    </row>
    <row r="696" customFormat="1" s="129">
      <c r="A696" s="19" t="n"/>
      <c r="C696" s="43" t="n"/>
      <c r="D696" s="44" t="n"/>
    </row>
    <row r="697" customFormat="1" s="129">
      <c r="A697" s="19" t="n"/>
      <c r="C697" s="43" t="n"/>
      <c r="D697" s="44" t="n"/>
    </row>
    <row r="698" customFormat="1" s="129">
      <c r="A698" s="19" t="n"/>
      <c r="C698" s="43" t="n"/>
      <c r="D698" s="44" t="n"/>
    </row>
    <row r="699" customFormat="1" s="129">
      <c r="A699" s="19" t="n"/>
      <c r="C699" s="43" t="n"/>
      <c r="D699" s="44" t="n"/>
    </row>
    <row r="700" customFormat="1" s="129">
      <c r="A700" s="19" t="n"/>
      <c r="C700" s="43" t="n"/>
      <c r="D700" s="44" t="n"/>
    </row>
    <row r="701" customFormat="1" s="129">
      <c r="A701" s="19" t="n"/>
      <c r="C701" s="43" t="n"/>
      <c r="D701" s="44" t="n"/>
    </row>
    <row r="702" customFormat="1" s="129">
      <c r="A702" s="19" t="n"/>
      <c r="C702" s="43" t="n"/>
      <c r="D702" s="44" t="n"/>
    </row>
    <row r="703" customFormat="1" s="129">
      <c r="A703" s="19" t="n"/>
      <c r="C703" s="43" t="n"/>
      <c r="D703" s="44" t="n"/>
    </row>
    <row r="704" customFormat="1" s="129">
      <c r="A704" s="19" t="n"/>
      <c r="C704" s="43" t="n"/>
      <c r="D704" s="44" t="n"/>
    </row>
    <row r="705" customFormat="1" s="129">
      <c r="A705" s="19" t="n"/>
      <c r="C705" s="43" t="n"/>
      <c r="D705" s="44" t="n"/>
    </row>
    <row r="706" customFormat="1" s="129">
      <c r="A706" s="19" t="n"/>
      <c r="C706" s="43" t="n"/>
      <c r="D706" s="44" t="n"/>
    </row>
    <row r="707" customFormat="1" s="129">
      <c r="A707" s="19" t="n"/>
      <c r="C707" s="43" t="n"/>
      <c r="D707" s="44" t="n"/>
    </row>
    <row r="708" customFormat="1" s="129">
      <c r="A708" s="19" t="n"/>
      <c r="C708" s="43" t="n"/>
      <c r="D708" s="44" t="n"/>
    </row>
    <row r="709" customFormat="1" s="129">
      <c r="A709" s="19" t="n"/>
      <c r="C709" s="43" t="n"/>
      <c r="D709" s="44" t="n"/>
    </row>
    <row r="710" customFormat="1" s="129">
      <c r="A710" s="19" t="n"/>
      <c r="C710" s="43" t="n"/>
      <c r="D710" s="44" t="n"/>
    </row>
    <row r="711" customFormat="1" s="129">
      <c r="A711" s="19" t="n"/>
      <c r="C711" s="43" t="n"/>
      <c r="D711" s="44" t="n"/>
    </row>
    <row r="712" customFormat="1" s="129">
      <c r="A712" s="19" t="n"/>
      <c r="C712" s="43" t="n"/>
      <c r="D712" s="44" t="n"/>
    </row>
    <row r="713" customFormat="1" s="129">
      <c r="A713" s="19" t="n"/>
      <c r="C713" s="43" t="n"/>
      <c r="D713" s="44" t="n"/>
    </row>
    <row r="714" customFormat="1" s="129">
      <c r="A714" s="19" t="n"/>
      <c r="C714" s="43" t="n"/>
      <c r="D714" s="44" t="n"/>
    </row>
    <row r="715" customFormat="1" s="129">
      <c r="A715" s="19" t="n"/>
      <c r="C715" s="43" t="n"/>
      <c r="D715" s="44" t="n"/>
    </row>
    <row r="716" customFormat="1" s="129">
      <c r="A716" s="19" t="n"/>
      <c r="C716" s="43" t="n"/>
      <c r="D716" s="44" t="n"/>
    </row>
    <row r="717" customFormat="1" s="129">
      <c r="A717" s="19" t="n"/>
      <c r="C717" s="43" t="n"/>
      <c r="D717" s="44" t="n"/>
    </row>
    <row r="718" customFormat="1" s="129">
      <c r="A718" s="19" t="n"/>
      <c r="C718" s="43" t="n"/>
      <c r="D718" s="44" t="n"/>
    </row>
    <row r="719" customFormat="1" s="129">
      <c r="A719" s="19" t="n"/>
      <c r="C719" s="43" t="n"/>
      <c r="D719" s="44" t="n"/>
    </row>
    <row r="720" customFormat="1" s="129">
      <c r="A720" s="19" t="n"/>
      <c r="C720" s="43" t="n"/>
      <c r="D720" s="44" t="n"/>
    </row>
    <row r="721" customFormat="1" s="129">
      <c r="A721" s="19" t="n"/>
      <c r="C721" s="43" t="n"/>
      <c r="D721" s="44" t="n"/>
    </row>
    <row r="722" customFormat="1" s="129">
      <c r="A722" s="19" t="n"/>
      <c r="C722" s="43" t="n"/>
      <c r="D722" s="44" t="n"/>
    </row>
    <row r="723" customFormat="1" s="129">
      <c r="A723" s="19" t="n"/>
      <c r="C723" s="43" t="n"/>
      <c r="D723" s="44" t="n"/>
    </row>
    <row r="724" customFormat="1" s="129">
      <c r="A724" s="19" t="n"/>
      <c r="C724" s="43" t="n"/>
      <c r="D724" s="44" t="n"/>
    </row>
    <row r="725" customFormat="1" s="129">
      <c r="A725" s="19" t="n"/>
      <c r="C725" s="43" t="n"/>
      <c r="D725" s="44" t="n"/>
    </row>
    <row r="726" customFormat="1" s="129">
      <c r="A726" s="19" t="n"/>
      <c r="C726" s="43" t="n"/>
      <c r="D726" s="44" t="n"/>
    </row>
    <row r="727" customFormat="1" s="129">
      <c r="A727" s="19" t="n"/>
      <c r="C727" s="43" t="n"/>
      <c r="D727" s="44" t="n"/>
    </row>
    <row r="728" customFormat="1" s="129">
      <c r="A728" s="19" t="n"/>
      <c r="C728" s="43" t="n"/>
      <c r="D728" s="44" t="n"/>
    </row>
    <row r="729" customFormat="1" s="129">
      <c r="A729" s="19" t="n"/>
      <c r="C729" s="43" t="n"/>
      <c r="D729" s="44" t="n"/>
    </row>
    <row r="730" customFormat="1" s="129">
      <c r="A730" s="19" t="n"/>
      <c r="C730" s="43" t="n"/>
      <c r="D730" s="44" t="n"/>
    </row>
    <row r="731" customFormat="1" s="129">
      <c r="A731" s="19" t="n"/>
      <c r="C731" s="43" t="n"/>
      <c r="D731" s="44" t="n"/>
    </row>
    <row r="732" customFormat="1" s="129">
      <c r="A732" s="19" t="n"/>
      <c r="C732" s="43" t="n"/>
      <c r="D732" s="44" t="n"/>
    </row>
    <row r="733" customFormat="1" s="129">
      <c r="A733" s="19" t="n"/>
      <c r="C733" s="43" t="n"/>
      <c r="D733" s="44" t="n"/>
    </row>
    <row r="734" customFormat="1" s="129">
      <c r="A734" s="19" t="n"/>
      <c r="C734" s="43" t="n"/>
      <c r="D734" s="44" t="n"/>
    </row>
    <row r="735" customFormat="1" s="129">
      <c r="A735" s="19" t="n"/>
      <c r="C735" s="43" t="n"/>
      <c r="D735" s="44" t="n"/>
    </row>
    <row r="736" customFormat="1" s="129">
      <c r="A736" s="19" t="n"/>
      <c r="C736" s="43" t="n"/>
      <c r="D736" s="44" t="n"/>
    </row>
    <row r="737" customFormat="1" s="129">
      <c r="A737" s="19" t="n"/>
      <c r="C737" s="43" t="n"/>
      <c r="D737" s="44" t="n"/>
    </row>
    <row r="738" customFormat="1" s="129">
      <c r="A738" s="19" t="n"/>
      <c r="C738" s="43" t="n"/>
      <c r="D738" s="44" t="n"/>
    </row>
    <row r="739" customFormat="1" s="129">
      <c r="A739" s="19" t="n"/>
      <c r="C739" s="43" t="n"/>
      <c r="D739" s="44" t="n"/>
    </row>
    <row r="740" customFormat="1" s="129">
      <c r="A740" s="19" t="n"/>
      <c r="C740" s="43" t="n"/>
      <c r="D740" s="44" t="n"/>
    </row>
    <row r="741" customFormat="1" s="129">
      <c r="A741" s="19" t="n"/>
      <c r="C741" s="43" t="n"/>
      <c r="D741" s="44" t="n"/>
    </row>
    <row r="742" customFormat="1" s="129">
      <c r="A742" s="19" t="n"/>
      <c r="C742" s="43" t="n"/>
      <c r="D742" s="44" t="n"/>
    </row>
    <row r="743" customFormat="1" s="129">
      <c r="A743" s="19" t="n"/>
      <c r="C743" s="43" t="n"/>
      <c r="D743" s="44" t="n"/>
    </row>
    <row r="744" customFormat="1" s="129">
      <c r="A744" s="19" t="n"/>
      <c r="C744" s="43" t="n"/>
      <c r="D744" s="44" t="n"/>
    </row>
    <row r="745" customFormat="1" s="129">
      <c r="A745" s="19" t="n"/>
      <c r="C745" s="43" t="n"/>
      <c r="D745" s="44" t="n"/>
    </row>
    <row r="746" customFormat="1" s="129">
      <c r="A746" s="19" t="n"/>
      <c r="C746" s="43" t="n"/>
      <c r="D746" s="44" t="n"/>
    </row>
    <row r="747" customFormat="1" s="129">
      <c r="A747" s="19" t="n"/>
      <c r="C747" s="43" t="n"/>
      <c r="D747" s="44" t="n"/>
    </row>
    <row r="748" customFormat="1" s="129">
      <c r="A748" s="19" t="n"/>
      <c r="C748" s="43" t="n"/>
      <c r="D748" s="44" t="n"/>
    </row>
    <row r="749" customFormat="1" s="129">
      <c r="A749" s="19" t="n"/>
      <c r="C749" s="43" t="n"/>
      <c r="D749" s="44" t="n"/>
    </row>
    <row r="750" customFormat="1" s="129">
      <c r="A750" s="19" t="n"/>
      <c r="C750" s="43" t="n"/>
      <c r="D750" s="44" t="n"/>
    </row>
    <row r="751" customFormat="1" s="129">
      <c r="A751" s="19" t="n"/>
      <c r="C751" s="43" t="n"/>
      <c r="D751" s="44" t="n"/>
    </row>
    <row r="752" customFormat="1" s="129">
      <c r="A752" s="19" t="n"/>
      <c r="C752" s="43" t="n"/>
      <c r="D752" s="44" t="n"/>
    </row>
    <row r="753" customFormat="1" s="129">
      <c r="A753" s="19" t="n"/>
      <c r="C753" s="43" t="n"/>
      <c r="D753" s="44" t="n"/>
    </row>
    <row r="754" customFormat="1" s="129">
      <c r="A754" s="19" t="n"/>
      <c r="C754" s="43" t="n"/>
      <c r="D754" s="44" t="n"/>
    </row>
    <row r="755" customFormat="1" s="129">
      <c r="A755" s="19" t="n"/>
      <c r="C755" s="43" t="n"/>
      <c r="D755" s="44" t="n"/>
    </row>
    <row r="756" customFormat="1" s="129">
      <c r="A756" s="19" t="n"/>
      <c r="C756" s="43" t="n"/>
      <c r="D756" s="44" t="n"/>
    </row>
    <row r="757" customFormat="1" s="129">
      <c r="A757" s="19" t="n"/>
      <c r="C757" s="43" t="n"/>
      <c r="D757" s="44" t="n"/>
    </row>
    <row r="758" customFormat="1" s="129">
      <c r="A758" s="19" t="n"/>
      <c r="C758" s="43" t="n"/>
      <c r="D758" s="44" t="n"/>
    </row>
    <row r="759" customFormat="1" s="129">
      <c r="A759" s="19" t="n"/>
      <c r="C759" s="43" t="n"/>
      <c r="D759" s="44" t="n"/>
    </row>
    <row r="760" customFormat="1" s="129">
      <c r="A760" s="19" t="n"/>
      <c r="C760" s="43" t="n"/>
      <c r="D760" s="44" t="n"/>
    </row>
    <row r="761" customFormat="1" s="129">
      <c r="A761" s="19" t="n"/>
      <c r="C761" s="43" t="n"/>
      <c r="D761" s="44" t="n"/>
    </row>
    <row r="762" customFormat="1" s="129">
      <c r="A762" s="19" t="n"/>
      <c r="C762" s="43" t="n"/>
      <c r="D762" s="44" t="n"/>
    </row>
    <row r="763" customFormat="1" s="129">
      <c r="A763" s="19" t="n"/>
      <c r="C763" s="43" t="n"/>
      <c r="D763" s="44" t="n"/>
    </row>
    <row r="764" customFormat="1" s="129">
      <c r="A764" s="19" t="n"/>
      <c r="C764" s="43" t="n"/>
      <c r="D764" s="44" t="n"/>
    </row>
    <row r="765" customFormat="1" s="129">
      <c r="A765" s="19" t="n"/>
      <c r="C765" s="43" t="n"/>
      <c r="D765" s="44" t="n"/>
    </row>
    <row r="766" customFormat="1" s="129">
      <c r="A766" s="19" t="n"/>
      <c r="C766" s="43" t="n"/>
      <c r="D766" s="44" t="n"/>
    </row>
    <row r="767" customFormat="1" s="129">
      <c r="A767" s="19" t="n"/>
      <c r="C767" s="43" t="n"/>
      <c r="D767" s="44" t="n"/>
    </row>
    <row r="768" customFormat="1" s="129">
      <c r="A768" s="19" t="n"/>
      <c r="C768" s="43" t="n"/>
      <c r="D768" s="44" t="n"/>
    </row>
    <row r="769" customFormat="1" s="129">
      <c r="A769" s="19" t="n"/>
      <c r="C769" s="43" t="n"/>
      <c r="D769" s="44" t="n"/>
    </row>
    <row r="770" customFormat="1" s="129">
      <c r="A770" s="19" t="n"/>
      <c r="C770" s="43" t="n"/>
      <c r="D770" s="44" t="n"/>
    </row>
    <row r="771" customFormat="1" s="129">
      <c r="A771" s="19" t="n"/>
      <c r="C771" s="43" t="n"/>
      <c r="D771" s="44" t="n"/>
    </row>
    <row r="772" customFormat="1" s="129">
      <c r="A772" s="19" t="n"/>
      <c r="C772" s="43" t="n"/>
      <c r="D772" s="44" t="n"/>
    </row>
    <row r="773" customFormat="1" s="129">
      <c r="A773" s="19" t="n"/>
      <c r="C773" s="43" t="n"/>
      <c r="D773" s="44" t="n"/>
    </row>
    <row r="774" customFormat="1" s="129">
      <c r="A774" s="19" t="n"/>
      <c r="C774" s="43" t="n"/>
      <c r="D774" s="44" t="n"/>
    </row>
    <row r="775" customFormat="1" s="129">
      <c r="A775" s="19" t="n"/>
      <c r="C775" s="43" t="n"/>
      <c r="D775" s="44" t="n"/>
    </row>
    <row r="776" customFormat="1" s="129">
      <c r="A776" s="19" t="n"/>
      <c r="C776" s="43" t="n"/>
      <c r="D776" s="44" t="n"/>
    </row>
    <row r="777" customFormat="1" s="129">
      <c r="A777" s="19" t="n"/>
      <c r="C777" s="43" t="n"/>
      <c r="D777" s="44" t="n"/>
    </row>
    <row r="778" customFormat="1" s="129">
      <c r="A778" s="19" t="n"/>
      <c r="C778" s="43" t="n"/>
      <c r="D778" s="44" t="n"/>
    </row>
    <row r="779" customFormat="1" s="129">
      <c r="A779" s="19" t="n"/>
      <c r="C779" s="43" t="n"/>
      <c r="D779" s="44" t="n"/>
    </row>
    <row r="780" customFormat="1" s="129">
      <c r="A780" s="19" t="n"/>
      <c r="C780" s="43" t="n"/>
      <c r="D780" s="44" t="n"/>
    </row>
    <row r="781" customFormat="1" s="129">
      <c r="A781" s="19" t="n"/>
      <c r="C781" s="43" t="n"/>
      <c r="D781" s="44" t="n"/>
    </row>
    <row r="782" customFormat="1" s="129">
      <c r="A782" s="19" t="n"/>
      <c r="C782" s="43" t="n"/>
      <c r="D782" s="44" t="n"/>
    </row>
    <row r="783" customFormat="1" s="129">
      <c r="A783" s="19" t="n"/>
      <c r="C783" s="43" t="n"/>
      <c r="D783" s="44" t="n"/>
    </row>
    <row r="784" customFormat="1" s="129">
      <c r="A784" s="19" t="n"/>
      <c r="C784" s="43" t="n"/>
      <c r="D784" s="44" t="n"/>
    </row>
    <row r="785" customFormat="1" s="129">
      <c r="A785" s="19" t="n"/>
      <c r="C785" s="43" t="n"/>
      <c r="D785" s="44" t="n"/>
    </row>
    <row r="786" customFormat="1" s="129">
      <c r="A786" s="19" t="n"/>
      <c r="C786" s="43" t="n"/>
      <c r="D786" s="44" t="n"/>
    </row>
    <row r="787" customFormat="1" s="129">
      <c r="A787" s="19" t="n"/>
      <c r="C787" s="43" t="n"/>
      <c r="D787" s="44" t="n"/>
    </row>
    <row r="788" customFormat="1" s="129">
      <c r="A788" s="19" t="n"/>
      <c r="C788" s="43" t="n"/>
      <c r="D788" s="44" t="n"/>
    </row>
    <row r="789" customFormat="1" s="129">
      <c r="A789" s="19" t="n"/>
      <c r="C789" s="43" t="n"/>
      <c r="D789" s="44" t="n"/>
    </row>
    <row r="790" customFormat="1" s="129">
      <c r="A790" s="19" t="n"/>
      <c r="C790" s="43" t="n"/>
      <c r="D790" s="44" t="n"/>
    </row>
    <row r="791" customFormat="1" s="129">
      <c r="A791" s="19" t="n"/>
      <c r="C791" s="43" t="n"/>
      <c r="D791" s="44" t="n"/>
    </row>
    <row r="792" customFormat="1" s="129">
      <c r="A792" s="19" t="n"/>
      <c r="C792" s="43" t="n"/>
      <c r="D792" s="44" t="n"/>
    </row>
    <row r="793" customFormat="1" s="129">
      <c r="A793" s="19" t="n"/>
      <c r="C793" s="43" t="n"/>
      <c r="D793" s="44" t="n"/>
    </row>
    <row r="794" customFormat="1" s="129">
      <c r="A794" s="19" t="n"/>
      <c r="C794" s="43" t="n"/>
      <c r="D794" s="44" t="n"/>
    </row>
    <row r="795" customFormat="1" s="129">
      <c r="A795" s="19" t="n"/>
      <c r="C795" s="43" t="n"/>
      <c r="D795" s="44" t="n"/>
    </row>
    <row r="796" customFormat="1" s="129">
      <c r="A796" s="19" t="n"/>
      <c r="C796" s="43" t="n"/>
      <c r="D796" s="44" t="n"/>
    </row>
    <row r="797" customFormat="1" s="129">
      <c r="A797" s="19" t="n"/>
      <c r="C797" s="43" t="n"/>
      <c r="D797" s="44" t="n"/>
    </row>
    <row r="798" customFormat="1" s="129">
      <c r="A798" s="19" t="n"/>
      <c r="C798" s="43" t="n"/>
      <c r="D798" s="44" t="n"/>
    </row>
    <row r="799" customFormat="1" s="129">
      <c r="A799" s="19" t="n"/>
      <c r="C799" s="43" t="n"/>
      <c r="D799" s="44" t="n"/>
    </row>
    <row r="800" customFormat="1" s="129">
      <c r="A800" s="19" t="n"/>
      <c r="C800" s="43" t="n"/>
      <c r="D800" s="44" t="n"/>
    </row>
    <row r="801" customFormat="1" s="129">
      <c r="A801" s="19" t="n"/>
      <c r="C801" s="43" t="n"/>
      <c r="D801" s="44" t="n"/>
    </row>
    <row r="802" customFormat="1" s="129">
      <c r="A802" s="19" t="n"/>
      <c r="C802" s="43" t="n"/>
      <c r="D802" s="44" t="n"/>
    </row>
    <row r="803" customFormat="1" s="129">
      <c r="A803" s="19" t="n"/>
      <c r="C803" s="43" t="n"/>
      <c r="D803" s="44" t="n"/>
    </row>
    <row r="804" customFormat="1" s="129">
      <c r="A804" s="19" t="n"/>
      <c r="C804" s="43" t="n"/>
      <c r="D804" s="44" t="n"/>
    </row>
    <row r="805" customFormat="1" s="129">
      <c r="A805" s="19" t="n"/>
      <c r="C805" s="43" t="n"/>
      <c r="D805" s="44" t="n"/>
    </row>
    <row r="806" customFormat="1" s="129">
      <c r="A806" s="19" t="n"/>
      <c r="C806" s="43" t="n"/>
      <c r="D806" s="44" t="n"/>
    </row>
    <row r="807" customFormat="1" s="129">
      <c r="A807" s="19" t="n"/>
      <c r="C807" s="43" t="n"/>
      <c r="D807" s="44" t="n"/>
    </row>
    <row r="808" customFormat="1" s="129">
      <c r="A808" s="19" t="n"/>
      <c r="C808" s="43" t="n"/>
      <c r="D808" s="44" t="n"/>
    </row>
    <row r="809" customFormat="1" s="129">
      <c r="A809" s="19" t="n"/>
      <c r="C809" s="43" t="n"/>
      <c r="D809" s="44" t="n"/>
    </row>
    <row r="810" customFormat="1" s="129">
      <c r="A810" s="19" t="n"/>
      <c r="C810" s="43" t="n"/>
      <c r="D810" s="44" t="n"/>
    </row>
    <row r="811" customFormat="1" s="129">
      <c r="A811" s="19" t="n"/>
      <c r="C811" s="43" t="n"/>
      <c r="D811" s="44" t="n"/>
    </row>
    <row r="812" customFormat="1" s="129">
      <c r="A812" s="19" t="n"/>
      <c r="C812" s="43" t="n"/>
      <c r="D812" s="44" t="n"/>
    </row>
    <row r="813" customFormat="1" s="129">
      <c r="A813" s="19" t="n"/>
      <c r="C813" s="43" t="n"/>
      <c r="D813" s="44" t="n"/>
    </row>
    <row r="814" customFormat="1" s="129">
      <c r="A814" s="19" t="n"/>
      <c r="C814" s="43" t="n"/>
      <c r="D814" s="44" t="n"/>
    </row>
    <row r="815" customFormat="1" s="129">
      <c r="A815" s="19" t="n"/>
      <c r="C815" s="43" t="n"/>
      <c r="D815" s="44" t="n"/>
    </row>
    <row r="816">
      <c r="A816" s="19" t="n"/>
      <c r="B816" s="129" t="n"/>
      <c r="C816" s="43" t="n"/>
      <c r="D816" s="44" t="n"/>
      <c r="E816" s="129" t="n"/>
      <c r="F816" s="129" t="n"/>
      <c r="G816" s="129" t="n"/>
      <c r="H816" s="129" t="n"/>
      <c r="I816" s="129" t="n"/>
      <c r="J816" s="129" t="n"/>
      <c r="K816" s="129" t="n"/>
      <c r="L816" s="129" t="n"/>
      <c r="M816" s="129" t="n"/>
      <c r="N816" s="129" t="n"/>
      <c r="O816" s="129" t="n"/>
      <c r="P816" s="129" t="n"/>
      <c r="Q816" s="129" t="n"/>
    </row>
    <row r="817">
      <c r="A817" s="19" t="n"/>
      <c r="B817" s="129" t="n"/>
      <c r="C817" s="43" t="n"/>
      <c r="D817" s="44" t="n"/>
      <c r="E817" s="129" t="n"/>
      <c r="F817" s="129" t="n"/>
      <c r="G817" s="129" t="n"/>
      <c r="H817" s="129" t="n"/>
      <c r="I817" s="129" t="n"/>
      <c r="J817" s="129" t="n"/>
      <c r="K817" s="129" t="n"/>
      <c r="L817" s="129" t="n"/>
      <c r="M817" s="129" t="n"/>
      <c r="N817" s="129" t="n"/>
      <c r="O817" s="129" t="n"/>
      <c r="P817" s="129" t="n"/>
      <c r="Q817" s="129" t="n"/>
    </row>
    <row r="818">
      <c r="A818" s="19" t="n"/>
      <c r="B818" s="129" t="n"/>
      <c r="C818" s="43" t="n"/>
      <c r="D818" s="44" t="n"/>
      <c r="E818" s="129" t="n"/>
      <c r="F818" s="129" t="n"/>
      <c r="G818" s="129" t="n"/>
      <c r="H818" s="129" t="n"/>
      <c r="I818" s="129" t="n"/>
      <c r="J818" s="129" t="n"/>
      <c r="K818" s="129" t="n"/>
      <c r="L818" s="129" t="n"/>
      <c r="M818" s="129" t="n"/>
      <c r="N818" s="129" t="n"/>
      <c r="O818" s="129" t="n"/>
      <c r="P818" s="129" t="n"/>
      <c r="Q818" s="129" t="n"/>
    </row>
    <row r="819">
      <c r="A819" s="19" t="n"/>
      <c r="B819" s="129" t="n"/>
      <c r="C819" s="43" t="n"/>
      <c r="D819" s="44" t="n"/>
      <c r="E819" s="129" t="n"/>
      <c r="F819" s="129" t="n"/>
      <c r="G819" s="129" t="n"/>
      <c r="H819" s="129" t="n"/>
      <c r="I819" s="129" t="n"/>
      <c r="J819" s="129" t="n"/>
      <c r="K819" s="129" t="n"/>
      <c r="L819" s="129" t="n"/>
      <c r="M819" s="129" t="n"/>
      <c r="N819" s="129" t="n"/>
      <c r="O819" s="129" t="n"/>
      <c r="P819" s="129" t="n"/>
      <c r="Q819" s="129" t="n"/>
    </row>
    <row r="820">
      <c r="A820" s="19" t="n"/>
      <c r="B820" s="129" t="n"/>
      <c r="C820" s="43" t="n"/>
      <c r="D820" s="44" t="n"/>
      <c r="E820" s="129" t="n"/>
      <c r="F820" s="129" t="n"/>
      <c r="G820" s="129" t="n"/>
      <c r="H820" s="129" t="n"/>
      <c r="I820" s="129" t="n"/>
      <c r="J820" s="129" t="n"/>
      <c r="K820" s="129" t="n"/>
      <c r="L820" s="129" t="n"/>
      <c r="M820" s="129" t="n"/>
      <c r="N820" s="129" t="n"/>
      <c r="O820" s="129" t="n"/>
      <c r="P820" s="129" t="n"/>
      <c r="Q820" s="129" t="n"/>
    </row>
    <row r="821">
      <c r="A821" s="19" t="n"/>
      <c r="B821" s="129" t="n"/>
      <c r="C821" s="43" t="n"/>
      <c r="D821" s="44" t="n"/>
      <c r="E821" s="129" t="n"/>
      <c r="F821" s="129" t="n"/>
      <c r="G821" s="129" t="n"/>
      <c r="H821" s="129" t="n"/>
      <c r="I821" s="129" t="n"/>
      <c r="J821" s="129" t="n"/>
      <c r="K821" s="129" t="n"/>
      <c r="L821" s="129" t="n"/>
      <c r="M821" s="129" t="n"/>
      <c r="N821" s="129" t="n"/>
      <c r="O821" s="129" t="n"/>
      <c r="P821" s="129" t="n"/>
      <c r="Q821" s="129" t="n"/>
    </row>
    <row r="822">
      <c r="A822" s="19" t="n"/>
      <c r="B822" s="129" t="n"/>
      <c r="C822" s="43" t="n"/>
      <c r="D822" s="44" t="n"/>
      <c r="E822" s="129" t="n"/>
      <c r="F822" s="129" t="n"/>
      <c r="G822" s="129" t="n"/>
      <c r="H822" s="129" t="n"/>
      <c r="I822" s="129" t="n"/>
      <c r="J822" s="129" t="n"/>
      <c r="K822" s="129" t="n"/>
      <c r="L822" s="129" t="n"/>
      <c r="M822" s="129" t="n"/>
      <c r="N822" s="129" t="n"/>
      <c r="O822" s="129" t="n"/>
      <c r="P822" s="129" t="n"/>
      <c r="Q822" s="129" t="n"/>
    </row>
    <row r="823">
      <c r="A823" s="19" t="n"/>
      <c r="B823" s="129" t="n"/>
      <c r="C823" s="43" t="n"/>
      <c r="D823" s="44" t="n"/>
      <c r="E823" s="129" t="n"/>
      <c r="F823" s="129" t="n"/>
      <c r="G823" s="129" t="n"/>
      <c r="H823" s="129" t="n"/>
      <c r="I823" s="129" t="n"/>
      <c r="J823" s="129" t="n"/>
      <c r="K823" s="129" t="n"/>
      <c r="L823" s="129" t="n"/>
      <c r="M823" s="129" t="n"/>
      <c r="N823" s="129" t="n"/>
      <c r="O823" s="129" t="n"/>
      <c r="P823" s="129" t="n"/>
      <c r="Q823" s="129" t="n"/>
    </row>
    <row r="824">
      <c r="A824" s="19" t="n"/>
      <c r="B824" s="129" t="n"/>
      <c r="C824" s="43" t="n"/>
      <c r="D824" s="44" t="n"/>
      <c r="E824" s="129" t="n"/>
      <c r="F824" s="129" t="n"/>
      <c r="G824" s="129" t="n"/>
      <c r="H824" s="129" t="n"/>
      <c r="I824" s="129" t="n"/>
      <c r="J824" s="129" t="n"/>
      <c r="K824" s="129" t="n"/>
      <c r="L824" s="129" t="n"/>
      <c r="M824" s="129" t="n"/>
      <c r="N824" s="129" t="n"/>
      <c r="O824" s="129" t="n"/>
      <c r="P824" s="129" t="n"/>
      <c r="Q824" s="129" t="n"/>
    </row>
    <row r="825">
      <c r="A825" s="19" t="n"/>
      <c r="B825" s="129" t="n"/>
      <c r="C825" s="43" t="n"/>
      <c r="D825" s="44" t="n"/>
      <c r="E825" s="129" t="n"/>
      <c r="F825" s="129" t="n"/>
      <c r="G825" s="129" t="n"/>
      <c r="H825" s="129" t="n"/>
      <c r="I825" s="129" t="n"/>
      <c r="J825" s="129" t="n"/>
      <c r="K825" s="129" t="n"/>
      <c r="L825" s="129" t="n"/>
      <c r="M825" s="129" t="n"/>
      <c r="N825" s="129" t="n"/>
      <c r="O825" s="129" t="n"/>
      <c r="P825" s="129" t="n"/>
      <c r="Q825" s="129" t="n"/>
    </row>
    <row r="826">
      <c r="A826" s="19" t="n"/>
      <c r="B826" s="129" t="n"/>
      <c r="C826" s="43" t="n"/>
      <c r="D826" s="44" t="n"/>
      <c r="E826" s="129" t="n"/>
      <c r="F826" s="129" t="n"/>
      <c r="G826" s="129" t="n"/>
      <c r="H826" s="129" t="n"/>
      <c r="I826" s="129" t="n"/>
      <c r="J826" s="129" t="n"/>
      <c r="K826" s="129" t="n"/>
      <c r="L826" s="129" t="n"/>
      <c r="M826" s="129" t="n"/>
      <c r="N826" s="129" t="n"/>
      <c r="O826" s="129" t="n"/>
      <c r="P826" s="129" t="n"/>
      <c r="Q826" s="129" t="n"/>
    </row>
    <row r="827">
      <c r="A827" s="19" t="n"/>
      <c r="B827" s="129" t="n"/>
      <c r="C827" s="43" t="n"/>
      <c r="D827" s="44" t="n"/>
      <c r="E827" s="129" t="n"/>
      <c r="F827" s="129" t="n"/>
      <c r="G827" s="129" t="n"/>
      <c r="H827" s="129" t="n"/>
      <c r="I827" s="129" t="n"/>
      <c r="J827" s="129" t="n"/>
      <c r="K827" s="129" t="n"/>
      <c r="L827" s="129" t="n"/>
      <c r="M827" s="129" t="n"/>
      <c r="N827" s="129" t="n"/>
      <c r="O827" s="129" t="n"/>
      <c r="P827" s="129" t="n"/>
      <c r="Q827" s="129" t="n"/>
    </row>
    <row r="828">
      <c r="A828" s="19" t="n"/>
      <c r="B828" s="129" t="n"/>
      <c r="C828" s="43" t="n"/>
      <c r="D828" s="44" t="n"/>
      <c r="E828" s="129" t="n"/>
      <c r="F828" s="129" t="n"/>
      <c r="G828" s="129" t="n"/>
      <c r="H828" s="129" t="n"/>
      <c r="I828" s="129" t="n"/>
      <c r="J828" s="129" t="n"/>
      <c r="K828" s="129" t="n"/>
      <c r="L828" s="129" t="n"/>
      <c r="M828" s="129" t="n"/>
      <c r="N828" s="129" t="n"/>
      <c r="O828" s="129" t="n"/>
      <c r="P828" s="129" t="n"/>
      <c r="Q828" s="129" t="n"/>
    </row>
    <row r="829">
      <c r="A829" s="19" t="n"/>
      <c r="B829" s="129" t="n"/>
      <c r="C829" s="43" t="n"/>
      <c r="D829" s="44" t="n"/>
      <c r="E829" s="129" t="n"/>
      <c r="F829" s="129" t="n"/>
      <c r="G829" s="129" t="n"/>
      <c r="H829" s="129" t="n"/>
      <c r="I829" s="129" t="n"/>
      <c r="J829" s="129" t="n"/>
      <c r="K829" s="129" t="n"/>
      <c r="L829" s="129" t="n"/>
      <c r="M829" s="129" t="n"/>
      <c r="N829" s="129" t="n"/>
      <c r="O829" s="129" t="n"/>
      <c r="P829" s="129" t="n"/>
      <c r="Q829" s="129" t="n"/>
    </row>
    <row r="830">
      <c r="A830" s="19" t="n"/>
      <c r="B830" s="129" t="n"/>
      <c r="C830" s="43" t="n"/>
      <c r="D830" s="44" t="n"/>
      <c r="E830" s="129" t="n"/>
      <c r="F830" s="129" t="n"/>
      <c r="G830" s="129" t="n"/>
      <c r="H830" s="129" t="n"/>
      <c r="I830" s="129" t="n"/>
      <c r="J830" s="129" t="n"/>
      <c r="K830" s="129" t="n"/>
      <c r="L830" s="129" t="n"/>
      <c r="M830" s="129" t="n"/>
      <c r="N830" s="129" t="n"/>
      <c r="O830" s="129" t="n"/>
      <c r="P830" s="129" t="n"/>
      <c r="Q830" s="129" t="n"/>
    </row>
    <row r="831">
      <c r="A831" s="19" t="n"/>
      <c r="B831" s="129" t="n"/>
      <c r="C831" s="43" t="n"/>
      <c r="D831" s="44" t="n"/>
      <c r="E831" s="129" t="n"/>
      <c r="F831" s="129" t="n"/>
      <c r="G831" s="129" t="n"/>
      <c r="H831" s="129" t="n"/>
      <c r="I831" s="129" t="n"/>
      <c r="J831" s="129" t="n"/>
      <c r="K831" s="129" t="n"/>
      <c r="L831" s="129" t="n"/>
      <c r="M831" s="129" t="n"/>
      <c r="N831" s="129" t="n"/>
      <c r="O831" s="129" t="n"/>
      <c r="P831" s="129" t="n"/>
      <c r="Q831" s="129" t="n"/>
    </row>
    <row r="832">
      <c r="A832" s="19" t="n"/>
      <c r="B832" s="129" t="n"/>
      <c r="C832" s="43" t="n"/>
      <c r="D832" s="44" t="n"/>
      <c r="E832" s="129" t="n"/>
      <c r="F832" s="129" t="n"/>
      <c r="G832" s="129" t="n"/>
      <c r="H832" s="129" t="n"/>
      <c r="I832" s="129" t="n"/>
      <c r="J832" s="129" t="n"/>
      <c r="K832" s="129" t="n"/>
      <c r="L832" s="129" t="n"/>
      <c r="M832" s="129" t="n"/>
      <c r="N832" s="129" t="n"/>
      <c r="O832" s="129" t="n"/>
      <c r="P832" s="129" t="n"/>
      <c r="Q832" s="129" t="n"/>
    </row>
    <row r="833">
      <c r="A833" s="19" t="n"/>
      <c r="B833" s="129" t="n"/>
      <c r="C833" s="43" t="n"/>
      <c r="D833" s="44" t="n"/>
      <c r="E833" s="129" t="n"/>
      <c r="F833" s="129" t="n"/>
      <c r="G833" s="129" t="n"/>
      <c r="H833" s="129" t="n"/>
      <c r="I833" s="129" t="n"/>
      <c r="J833" s="129" t="n"/>
      <c r="K833" s="129" t="n"/>
      <c r="L833" s="129" t="n"/>
      <c r="M833" s="129" t="n"/>
      <c r="N833" s="129" t="n"/>
      <c r="O833" s="129" t="n"/>
      <c r="P833" s="129" t="n"/>
      <c r="Q833" s="129" t="n"/>
    </row>
    <row r="834">
      <c r="A834" s="19" t="n"/>
      <c r="B834" s="129" t="n"/>
      <c r="C834" s="43" t="n"/>
      <c r="D834" s="44" t="n"/>
      <c r="E834" s="129" t="n"/>
      <c r="F834" s="129" t="n"/>
      <c r="G834" s="129" t="n"/>
      <c r="H834" s="129" t="n"/>
      <c r="I834" s="129" t="n"/>
      <c r="J834" s="129" t="n"/>
      <c r="K834" s="129" t="n"/>
      <c r="L834" s="129" t="n"/>
      <c r="M834" s="129" t="n"/>
      <c r="N834" s="129" t="n"/>
      <c r="O834" s="129" t="n"/>
      <c r="P834" s="129" t="n"/>
      <c r="Q834" s="129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6" activePane="bottomLeft" state="frozen"/>
      <selection pane="bottomLeft" activeCell="B326" sqref="B326"/>
    </sheetView>
  </sheetViews>
  <sheetFormatPr baseColWidth="10" defaultColWidth="8.83203125" defaultRowHeight="15"/>
  <cols>
    <col width="14.1640625" customWidth="1" style="2" min="1" max="1"/>
    <col width="12.6640625" bestFit="1" customWidth="1" style="135" min="2" max="2"/>
    <col width="11.6640625" customWidth="1" style="11" min="3" max="4"/>
    <col width="9.1640625" customWidth="1" style="129" min="5" max="129"/>
  </cols>
  <sheetData>
    <row r="1" customFormat="1" s="34">
      <c r="A1" s="42" t="inlineStr">
        <is>
          <t>*Country Code in B4</t>
        </is>
      </c>
      <c r="C1" s="38" t="n"/>
      <c r="D1" s="38" t="n"/>
      <c r="E1" s="35" t="n"/>
      <c r="F1" s="35" t="n"/>
      <c r="G1" s="37">
        <f>VLOOKUP(O1,Note!O:P,2,)</f>
        <v/>
      </c>
      <c r="H1" s="35" t="n"/>
      <c r="I1" s="35" t="n"/>
      <c r="J1" s="35" t="n"/>
      <c r="K1" s="35" t="n"/>
      <c r="L1" s="35" t="n"/>
      <c r="M1" s="35" t="n"/>
      <c r="N1" s="35" t="n"/>
      <c r="O1" s="39">
        <f>Table13456789101112131415161734[[#Headers],[FRA]]</f>
        <v/>
      </c>
      <c r="P1" s="35" t="n"/>
      <c r="Q1" s="35" t="n"/>
      <c r="R1" s="35" t="n"/>
      <c r="S1" s="35" t="n"/>
      <c r="T1" s="35" t="n"/>
      <c r="U1" s="35" t="n"/>
      <c r="V1" s="35" t="n"/>
      <c r="W1" s="35" t="n"/>
      <c r="X1" s="35" t="n"/>
      <c r="Y1" s="35" t="n"/>
      <c r="Z1" s="35" t="n"/>
      <c r="AA1" s="35" t="n"/>
      <c r="AB1" s="35" t="n"/>
      <c r="AC1" s="35" t="n"/>
      <c r="AD1" s="35" t="n"/>
      <c r="AE1" s="35" t="n"/>
      <c r="AF1" s="35" t="n"/>
      <c r="AG1" s="35" t="n"/>
      <c r="AH1" s="35" t="n"/>
      <c r="AI1" s="35" t="n"/>
      <c r="AJ1" s="35" t="n"/>
      <c r="AK1" s="35" t="n"/>
      <c r="AL1" s="35" t="n"/>
      <c r="AM1" s="35" t="n"/>
      <c r="AN1" s="35" t="n"/>
      <c r="AO1" s="35" t="n"/>
      <c r="AP1" s="35" t="n"/>
      <c r="AQ1" s="35" t="n"/>
      <c r="AR1" s="35" t="n"/>
      <c r="AS1" s="35" t="n"/>
      <c r="AT1" s="35" t="n"/>
      <c r="AU1" s="35" t="n"/>
      <c r="AV1" s="35" t="n"/>
      <c r="AW1" s="35" t="n"/>
      <c r="AX1" s="35" t="n"/>
      <c r="AY1" s="35" t="n"/>
      <c r="AZ1" s="35" t="n"/>
      <c r="BA1" s="35" t="n"/>
      <c r="BB1" s="35" t="n"/>
      <c r="BC1" s="35" t="n"/>
      <c r="BD1" s="35" t="n"/>
      <c r="BE1" s="35" t="n"/>
      <c r="BF1" s="35" t="n"/>
      <c r="BG1" s="35" t="n"/>
      <c r="BH1" s="35" t="n"/>
      <c r="BI1" s="35" t="n"/>
      <c r="BJ1" s="35" t="n"/>
      <c r="BK1" s="35" t="n"/>
      <c r="BL1" s="35" t="n"/>
      <c r="BM1" s="35" t="n"/>
      <c r="BN1" s="35" t="n"/>
      <c r="BO1" s="35" t="n"/>
      <c r="BP1" s="35" t="n"/>
      <c r="BQ1" s="35" t="n"/>
      <c r="BR1" s="35" t="n"/>
      <c r="BS1" s="35" t="n"/>
      <c r="BT1" s="35" t="n"/>
      <c r="BU1" s="35" t="n"/>
      <c r="BV1" s="35" t="n"/>
      <c r="BW1" s="35" t="n"/>
      <c r="BX1" s="35" t="n"/>
      <c r="BY1" s="35" t="n"/>
      <c r="BZ1" s="35" t="n"/>
      <c r="CA1" s="35" t="n"/>
      <c r="CB1" s="35" t="n"/>
      <c r="CC1" s="35" t="n"/>
      <c r="CD1" s="35" t="n"/>
      <c r="CE1" s="35" t="n"/>
      <c r="CF1" s="35" t="n"/>
      <c r="CG1" s="35" t="n"/>
      <c r="CH1" s="35" t="n"/>
      <c r="CI1" s="35" t="n"/>
      <c r="CJ1" s="35" t="n"/>
      <c r="CK1" s="35" t="n"/>
      <c r="CL1" s="35" t="n"/>
      <c r="CM1" s="35" t="n"/>
      <c r="CN1" s="35" t="n"/>
      <c r="CO1" s="35" t="n"/>
      <c r="CP1" s="35" t="n"/>
      <c r="CQ1" s="35" t="n"/>
      <c r="CR1" s="35" t="n"/>
      <c r="CS1" s="35" t="n"/>
      <c r="CT1" s="35" t="n"/>
      <c r="CU1" s="35" t="n"/>
      <c r="CV1" s="35" t="n"/>
      <c r="CW1" s="35" t="n"/>
      <c r="CX1" s="35" t="n"/>
      <c r="CY1" s="35" t="n"/>
      <c r="CZ1" s="35" t="n"/>
      <c r="DA1" s="35" t="n"/>
      <c r="DB1" s="35" t="n"/>
      <c r="DC1" s="35" t="n"/>
      <c r="DD1" s="35" t="n"/>
      <c r="DE1" s="35" t="n"/>
      <c r="DF1" s="35" t="n"/>
      <c r="DG1" s="35" t="n"/>
      <c r="DH1" s="35" t="n"/>
      <c r="DI1" s="35" t="n"/>
      <c r="DJ1" s="35" t="n"/>
      <c r="DK1" s="35" t="n"/>
      <c r="DL1" s="35" t="n"/>
      <c r="DM1" s="35" t="n"/>
      <c r="DN1" s="35" t="n"/>
      <c r="DO1" s="35" t="n"/>
      <c r="DP1" s="35" t="n"/>
      <c r="DQ1" s="35" t="n"/>
      <c r="DR1" s="35" t="n"/>
      <c r="DS1" s="35" t="n"/>
      <c r="DT1" s="35" t="n"/>
      <c r="DU1" s="35" t="n"/>
      <c r="DV1" s="35" t="n"/>
      <c r="DW1" s="35" t="n"/>
      <c r="DX1" s="35" t="n"/>
      <c r="DY1" s="35" t="n"/>
    </row>
    <row r="2" customFormat="1" s="34">
      <c r="A2" s="41" t="inlineStr">
        <is>
          <t>Example FRA for France USA for the U.S.</t>
        </is>
      </c>
      <c r="B2" s="37" t="n"/>
      <c r="C2" s="38" t="n"/>
      <c r="D2" s="38" t="n"/>
      <c r="E2" s="35" t="n"/>
      <c r="F2" s="35" t="n"/>
      <c r="G2" s="37">
        <f>G1&amp;" Industrial Production mom"</f>
        <v/>
      </c>
      <c r="H2" s="35" t="n"/>
      <c r="I2" s="35" t="n"/>
      <c r="J2" s="35" t="n"/>
      <c r="K2" s="35" t="n"/>
      <c r="L2" s="35" t="n"/>
      <c r="M2" s="35" t="n"/>
      <c r="N2" s="35" t="n"/>
      <c r="O2" s="35" t="n"/>
      <c r="P2" s="35" t="n"/>
      <c r="Q2" s="35" t="n"/>
      <c r="R2" s="35" t="n"/>
      <c r="S2" s="35" t="n"/>
      <c r="T2" s="35" t="n"/>
      <c r="U2" s="35" t="n"/>
      <c r="V2" s="35" t="n"/>
      <c r="W2" s="35" t="n"/>
      <c r="X2" s="35" t="n"/>
      <c r="Y2" s="35" t="n"/>
      <c r="Z2" s="35" t="n"/>
      <c r="AA2" s="35" t="n"/>
      <c r="AB2" s="35" t="n"/>
      <c r="AC2" s="35" t="n"/>
      <c r="AD2" s="35" t="n"/>
      <c r="AE2" s="35" t="n"/>
      <c r="AF2" s="35" t="n"/>
      <c r="AG2" s="35" t="n"/>
      <c r="AH2" s="35" t="n"/>
      <c r="AI2" s="35" t="n"/>
      <c r="AJ2" s="35" t="n"/>
      <c r="AK2" s="35" t="n"/>
      <c r="AL2" s="35" t="n"/>
      <c r="AM2" s="35" t="n"/>
      <c r="AN2" s="35" t="n"/>
      <c r="AO2" s="35" t="n"/>
      <c r="AP2" s="35" t="n"/>
      <c r="AQ2" s="35" t="n"/>
      <c r="AR2" s="35" t="n"/>
      <c r="AS2" s="35" t="n"/>
      <c r="AT2" s="35" t="n"/>
      <c r="AU2" s="35" t="n"/>
      <c r="AV2" s="35" t="n"/>
      <c r="AW2" s="35" t="n"/>
      <c r="AX2" s="35" t="n"/>
      <c r="AY2" s="35" t="n"/>
      <c r="AZ2" s="35" t="n"/>
      <c r="BA2" s="35" t="n"/>
      <c r="BB2" s="35" t="n"/>
      <c r="BC2" s="35" t="n"/>
      <c r="BD2" s="35" t="n"/>
      <c r="BE2" s="35" t="n"/>
      <c r="BF2" s="35" t="n"/>
      <c r="BG2" s="35" t="n"/>
      <c r="BH2" s="35" t="n"/>
      <c r="BI2" s="35" t="n"/>
      <c r="BJ2" s="35" t="n"/>
      <c r="BK2" s="35" t="n"/>
      <c r="BL2" s="35" t="n"/>
      <c r="BM2" s="35" t="n"/>
      <c r="BN2" s="35" t="n"/>
      <c r="BO2" s="35" t="n"/>
      <c r="BP2" s="35" t="n"/>
      <c r="BQ2" s="35" t="n"/>
      <c r="BR2" s="35" t="n"/>
      <c r="BS2" s="35" t="n"/>
      <c r="BT2" s="35" t="n"/>
      <c r="BU2" s="35" t="n"/>
      <c r="BV2" s="35" t="n"/>
      <c r="BW2" s="35" t="n"/>
      <c r="BX2" s="35" t="n"/>
      <c r="BY2" s="35" t="n"/>
      <c r="BZ2" s="35" t="n"/>
      <c r="CA2" s="35" t="n"/>
      <c r="CB2" s="35" t="n"/>
      <c r="CC2" s="35" t="n"/>
      <c r="CD2" s="35" t="n"/>
      <c r="CE2" s="35" t="n"/>
      <c r="CF2" s="35" t="n"/>
      <c r="CG2" s="35" t="n"/>
      <c r="CH2" s="35" t="n"/>
      <c r="CI2" s="35" t="n"/>
      <c r="CJ2" s="35" t="n"/>
      <c r="CK2" s="35" t="n"/>
      <c r="CL2" s="35" t="n"/>
      <c r="CM2" s="35" t="n"/>
      <c r="CN2" s="35" t="n"/>
      <c r="CO2" s="35" t="n"/>
      <c r="CP2" s="35" t="n"/>
      <c r="CQ2" s="35" t="n"/>
      <c r="CR2" s="35" t="n"/>
      <c r="CS2" s="35" t="n"/>
      <c r="CT2" s="35" t="n"/>
      <c r="CU2" s="35" t="n"/>
      <c r="CV2" s="35" t="n"/>
      <c r="CW2" s="35" t="n"/>
      <c r="CX2" s="35" t="n"/>
      <c r="CY2" s="35" t="n"/>
      <c r="CZ2" s="35" t="n"/>
      <c r="DA2" s="35" t="n"/>
      <c r="DB2" s="35" t="n"/>
      <c r="DC2" s="35" t="n"/>
      <c r="DD2" s="35" t="n"/>
      <c r="DE2" s="35" t="n"/>
      <c r="DF2" s="35" t="n"/>
      <c r="DG2" s="35" t="n"/>
      <c r="DH2" s="35" t="n"/>
      <c r="DI2" s="35" t="n"/>
      <c r="DJ2" s="35" t="n"/>
      <c r="DK2" s="35" t="n"/>
      <c r="DL2" s="35" t="n"/>
      <c r="DM2" s="35" t="n"/>
      <c r="DN2" s="35" t="n"/>
      <c r="DO2" s="35" t="n"/>
      <c r="DP2" s="35" t="n"/>
      <c r="DQ2" s="35" t="n"/>
      <c r="DR2" s="35" t="n"/>
      <c r="DS2" s="35" t="n"/>
      <c r="DT2" s="35" t="n"/>
      <c r="DU2" s="35" t="n"/>
      <c r="DV2" s="35" t="n"/>
      <c r="DW2" s="35" t="n"/>
      <c r="DX2" s="35" t="n"/>
      <c r="DY2" s="35" t="n"/>
    </row>
    <row r="3" customFormat="1" s="34">
      <c r="A3" s="36" t="n"/>
      <c r="B3" s="37" t="n"/>
      <c r="C3" s="38" t="n"/>
      <c r="D3" s="38" t="n"/>
      <c r="E3" s="35" t="n"/>
      <c r="F3" s="35" t="n"/>
      <c r="G3" s="37">
        <f>G1&amp;" Industrial Production yoy"</f>
        <v/>
      </c>
      <c r="H3" s="35" t="n"/>
      <c r="I3" s="35" t="n"/>
      <c r="J3" s="35" t="n"/>
      <c r="K3" s="35" t="n"/>
      <c r="L3" s="35" t="n"/>
      <c r="M3" s="35" t="n"/>
      <c r="N3" s="35" t="n"/>
      <c r="O3" s="35" t="n"/>
      <c r="P3" s="35" t="n"/>
      <c r="Q3" s="35" t="n"/>
      <c r="R3" s="35" t="n"/>
      <c r="S3" s="35" t="n"/>
      <c r="T3" s="35" t="n"/>
      <c r="U3" s="35" t="n"/>
      <c r="V3" s="35" t="n"/>
      <c r="W3" s="35" t="n"/>
      <c r="X3" s="35" t="n"/>
      <c r="Y3" s="35" t="n"/>
      <c r="Z3" s="35" t="n"/>
      <c r="AA3" s="35" t="n"/>
      <c r="AB3" s="35" t="n"/>
      <c r="AC3" s="35" t="n"/>
      <c r="AD3" s="35" t="n"/>
      <c r="AE3" s="35" t="n"/>
      <c r="AF3" s="35" t="n"/>
      <c r="AG3" s="35" t="n"/>
      <c r="AH3" s="35" t="n"/>
      <c r="AI3" s="35" t="n"/>
      <c r="AJ3" s="35" t="n"/>
      <c r="AK3" s="35" t="n"/>
      <c r="AL3" s="35" t="n"/>
      <c r="AM3" s="35" t="n"/>
      <c r="AN3" s="35" t="n"/>
      <c r="AO3" s="35" t="n"/>
      <c r="AP3" s="35" t="n"/>
      <c r="AQ3" s="35" t="n"/>
      <c r="AR3" s="35" t="n"/>
      <c r="AS3" s="35" t="n"/>
      <c r="AT3" s="35" t="n"/>
      <c r="AU3" s="35" t="n"/>
      <c r="AV3" s="35" t="n"/>
      <c r="AW3" s="35" t="n"/>
      <c r="AX3" s="35" t="n"/>
      <c r="AY3" s="35" t="n"/>
      <c r="AZ3" s="35" t="n"/>
      <c r="BA3" s="35" t="n"/>
      <c r="BB3" s="35" t="n"/>
      <c r="BC3" s="35" t="n"/>
      <c r="BD3" s="35" t="n"/>
      <c r="BE3" s="35" t="n"/>
      <c r="BF3" s="35" t="n"/>
      <c r="BG3" s="35" t="n"/>
      <c r="BH3" s="35" t="n"/>
      <c r="BI3" s="35" t="n"/>
      <c r="BJ3" s="35" t="n"/>
      <c r="BK3" s="35" t="n"/>
      <c r="BL3" s="35" t="n"/>
      <c r="BM3" s="35" t="n"/>
      <c r="BN3" s="35" t="n"/>
      <c r="BO3" s="35" t="n"/>
      <c r="BP3" s="35" t="n"/>
      <c r="BQ3" s="35" t="n"/>
      <c r="BR3" s="35" t="n"/>
      <c r="BS3" s="35" t="n"/>
      <c r="BT3" s="35" t="n"/>
      <c r="BU3" s="35" t="n"/>
      <c r="BV3" s="35" t="n"/>
      <c r="BW3" s="35" t="n"/>
      <c r="BX3" s="35" t="n"/>
      <c r="BY3" s="35" t="n"/>
      <c r="BZ3" s="35" t="n"/>
      <c r="CA3" s="35" t="n"/>
      <c r="CB3" s="35" t="n"/>
      <c r="CC3" s="35" t="n"/>
      <c r="CD3" s="35" t="n"/>
      <c r="CE3" s="35" t="n"/>
      <c r="CF3" s="35" t="n"/>
      <c r="CG3" s="35" t="n"/>
      <c r="CH3" s="35" t="n"/>
      <c r="CI3" s="35" t="n"/>
      <c r="CJ3" s="35" t="n"/>
      <c r="CK3" s="35" t="n"/>
      <c r="CL3" s="35" t="n"/>
      <c r="CM3" s="35" t="n"/>
      <c r="CN3" s="35" t="n"/>
      <c r="CO3" s="35" t="n"/>
      <c r="CP3" s="35" t="n"/>
      <c r="CQ3" s="35" t="n"/>
      <c r="CR3" s="35" t="n"/>
      <c r="CS3" s="35" t="n"/>
      <c r="CT3" s="35" t="n"/>
      <c r="CU3" s="35" t="n"/>
      <c r="CV3" s="35" t="n"/>
      <c r="CW3" s="35" t="n"/>
      <c r="CX3" s="35" t="n"/>
      <c r="CY3" s="35" t="n"/>
      <c r="CZ3" s="35" t="n"/>
      <c r="DA3" s="35" t="n"/>
      <c r="DB3" s="35" t="n"/>
      <c r="DC3" s="35" t="n"/>
      <c r="DD3" s="35" t="n"/>
      <c r="DE3" s="35" t="n"/>
      <c r="DF3" s="35" t="n"/>
      <c r="DG3" s="35" t="n"/>
      <c r="DH3" s="35" t="n"/>
      <c r="DI3" s="35" t="n"/>
      <c r="DJ3" s="35" t="n"/>
      <c r="DK3" s="35" t="n"/>
      <c r="DL3" s="35" t="n"/>
      <c r="DM3" s="35" t="n"/>
      <c r="DN3" s="35" t="n"/>
      <c r="DO3" s="35" t="n"/>
      <c r="DP3" s="35" t="n"/>
      <c r="DQ3" s="35" t="n"/>
      <c r="DR3" s="35" t="n"/>
      <c r="DS3" s="35" t="n"/>
      <c r="DT3" s="35" t="n"/>
      <c r="DU3" s="35" t="n"/>
      <c r="DV3" s="35" t="n"/>
      <c r="DW3" s="35" t="n"/>
      <c r="DX3" s="35" t="n"/>
      <c r="DY3" s="35" t="n"/>
    </row>
    <row r="4">
      <c r="A4" s="32" t="inlineStr">
        <is>
          <t>Month</t>
        </is>
      </c>
      <c r="B4" s="40" t="inlineStr">
        <is>
          <t>FRA</t>
        </is>
      </c>
      <c r="C4" s="33" t="inlineStr">
        <is>
          <t>mom</t>
        </is>
      </c>
      <c r="D4" s="33" t="inlineStr">
        <is>
          <t>yoy</t>
        </is>
      </c>
      <c r="G4" s="37">
        <f>G1&amp;" Industrial Production"</f>
        <v/>
      </c>
    </row>
    <row r="5">
      <c r="A5" s="28" t="n">
        <v>33208</v>
      </c>
      <c r="B5" s="29">
        <f>VLOOKUP(A5,Database!$E:$AY,MATCH($B$4,Database!$E$1:$AY$1,0),FALSE)</f>
        <v/>
      </c>
      <c r="C5" s="30" t="n"/>
      <c r="D5" s="31" t="n"/>
    </row>
    <row r="6">
      <c r="A6" s="28" t="n">
        <v>33239</v>
      </c>
      <c r="B6" s="29">
        <f>VLOOKUP(A6,Database!$E:$AY,MATCH($B$4,Database!$E$1:$AY$1,0),FALSE)</f>
        <v/>
      </c>
      <c r="C6" s="30">
        <f>(Table13456789101112131415161734[[#This Row],[FRA]]-B5)/B5</f>
        <v/>
      </c>
      <c r="D6" s="31" t="n"/>
    </row>
    <row r="7">
      <c r="A7" s="28" t="n">
        <v>33270</v>
      </c>
      <c r="B7" s="29">
        <f>VLOOKUP(A7,Database!$E:$AY,MATCH($B$4,Database!$E$1:$AY$1,0),FALSE)</f>
        <v/>
      </c>
      <c r="C7" s="30">
        <f>(Table13456789101112131415161734[[#This Row],[FRA]]-B6)/B6</f>
        <v/>
      </c>
      <c r="D7" s="31" t="n"/>
    </row>
    <row r="8">
      <c r="A8" s="28" t="n">
        <v>33298</v>
      </c>
      <c r="B8" s="29">
        <f>VLOOKUP(A8,Database!$E:$AY,MATCH($B$4,Database!$E$1:$AY$1,0),FALSE)</f>
        <v/>
      </c>
      <c r="C8" s="30">
        <f>(Table13456789101112131415161734[[#This Row],[FRA]]-B7)/B7</f>
        <v/>
      </c>
      <c r="D8" s="31" t="n"/>
    </row>
    <row r="9">
      <c r="A9" s="28" t="n">
        <v>33329</v>
      </c>
      <c r="B9" s="29">
        <f>VLOOKUP(A9,Database!$E:$AY,MATCH($B$4,Database!$E$1:$AY$1,0),FALSE)</f>
        <v/>
      </c>
      <c r="C9" s="30">
        <f>(Table13456789101112131415161734[[#This Row],[FRA]]-B8)/B8</f>
        <v/>
      </c>
      <c r="D9" s="31" t="n"/>
    </row>
    <row r="10">
      <c r="A10" s="28" t="n">
        <v>33359</v>
      </c>
      <c r="B10" s="29">
        <f>VLOOKUP(A10,Database!$E:$AY,MATCH($B$4,Database!$E$1:$AY$1,0),FALSE)</f>
        <v/>
      </c>
      <c r="C10" s="30">
        <f>(Table13456789101112131415161734[[#This Row],[FRA]]-B9)/B9</f>
        <v/>
      </c>
      <c r="D10" s="31" t="n"/>
    </row>
    <row r="11">
      <c r="A11" s="28" t="n">
        <v>33390</v>
      </c>
      <c r="B11" s="29">
        <f>VLOOKUP(A11,Database!$E:$AY,MATCH($B$4,Database!$E$1:$AY$1,0),FALSE)</f>
        <v/>
      </c>
      <c r="C11" s="30">
        <f>(Table13456789101112131415161734[[#This Row],[FRA]]-B10)/B10</f>
        <v/>
      </c>
      <c r="D11" s="31" t="n"/>
    </row>
    <row r="12">
      <c r="A12" s="28" t="n">
        <v>33420</v>
      </c>
      <c r="B12" s="29">
        <f>VLOOKUP(A12,Database!$E:$AY,MATCH($B$4,Database!$E$1:$AY$1,0),FALSE)</f>
        <v/>
      </c>
      <c r="C12" s="30">
        <f>(Table13456789101112131415161734[[#This Row],[FRA]]-B11)/B11</f>
        <v/>
      </c>
      <c r="D12" s="31" t="n"/>
    </row>
    <row r="13">
      <c r="A13" s="28" t="n">
        <v>33451</v>
      </c>
      <c r="B13" s="29">
        <f>VLOOKUP(A13,Database!$E:$AY,MATCH($B$4,Database!$E$1:$AY$1,0),FALSE)</f>
        <v/>
      </c>
      <c r="C13" s="30">
        <f>(Table13456789101112131415161734[[#This Row],[FRA]]-B12)/B12</f>
        <v/>
      </c>
      <c r="D13" s="31" t="n"/>
    </row>
    <row r="14">
      <c r="A14" s="28" t="n">
        <v>33482</v>
      </c>
      <c r="B14" s="29">
        <f>VLOOKUP(A14,Database!$E:$AY,MATCH($B$4,Database!$E$1:$AY$1,0),FALSE)</f>
        <v/>
      </c>
      <c r="C14" s="30">
        <f>(Table13456789101112131415161734[[#This Row],[FRA]]-B13)/B13</f>
        <v/>
      </c>
      <c r="D14" s="31" t="n"/>
    </row>
    <row r="15">
      <c r="A15" s="28" t="n">
        <v>33512</v>
      </c>
      <c r="B15" s="29">
        <f>VLOOKUP(A15,Database!$E:$AY,MATCH($B$4,Database!$E$1:$AY$1,0),FALSE)</f>
        <v/>
      </c>
      <c r="C15" s="30">
        <f>(Table13456789101112131415161734[[#This Row],[FRA]]-B14)/B14</f>
        <v/>
      </c>
      <c r="D15" s="31" t="n"/>
    </row>
    <row r="16">
      <c r="A16" s="28" t="n">
        <v>33543</v>
      </c>
      <c r="B16" s="29">
        <f>VLOOKUP(A16,Database!$E:$AY,MATCH($B$4,Database!$E$1:$AY$1,0),FALSE)</f>
        <v/>
      </c>
      <c r="C16" s="30">
        <f>(Table13456789101112131415161734[[#This Row],[FRA]]-B15)/B15</f>
        <v/>
      </c>
      <c r="D16" s="31" t="n"/>
    </row>
    <row r="17">
      <c r="A17" s="28" t="n">
        <v>33573</v>
      </c>
      <c r="B17" s="29">
        <f>VLOOKUP(A17,Database!$E:$AY,MATCH($B$4,Database!$E$1:$AY$1,0),FALSE)</f>
        <v/>
      </c>
      <c r="C17" s="30">
        <f>(Table13456789101112131415161734[[#This Row],[FRA]]-B16)/B16</f>
        <v/>
      </c>
      <c r="D17" s="31">
        <f>(Table13456789101112131415161734[[#This Row],[FRA]]-B5)/B5</f>
        <v/>
      </c>
    </row>
    <row r="18">
      <c r="A18" s="28" t="n">
        <v>33604</v>
      </c>
      <c r="B18" s="29">
        <f>VLOOKUP(A18,Database!$E:$AY,MATCH($B$4,Database!$E$1:$AY$1,0),FALSE)</f>
        <v/>
      </c>
      <c r="C18" s="30">
        <f>(Table13456789101112131415161734[[#This Row],[FRA]]-B17)/B17</f>
        <v/>
      </c>
      <c r="D18" s="31">
        <f>(Table13456789101112131415161734[[#This Row],[FRA]]-B6)/B6</f>
        <v/>
      </c>
    </row>
    <row r="19">
      <c r="A19" s="28" t="n">
        <v>33635</v>
      </c>
      <c r="B19" s="29">
        <f>VLOOKUP(A19,Database!$E:$AY,MATCH($B$4,Database!$E$1:$AY$1,0),FALSE)</f>
        <v/>
      </c>
      <c r="C19" s="30">
        <f>(Table13456789101112131415161734[[#This Row],[FRA]]-B18)/B18</f>
        <v/>
      </c>
      <c r="D19" s="31">
        <f>(Table13456789101112131415161734[[#This Row],[FRA]]-B7)/B7</f>
        <v/>
      </c>
    </row>
    <row r="20">
      <c r="A20" s="28" t="n">
        <v>33664</v>
      </c>
      <c r="B20" s="29">
        <f>VLOOKUP(A20,Database!$E:$AY,MATCH($B$4,Database!$E$1:$AY$1,0),FALSE)</f>
        <v/>
      </c>
      <c r="C20" s="30">
        <f>(Table13456789101112131415161734[[#This Row],[FRA]]-B19)/B19</f>
        <v/>
      </c>
      <c r="D20" s="31">
        <f>(Table13456789101112131415161734[[#This Row],[FRA]]-B8)/B8</f>
        <v/>
      </c>
    </row>
    <row r="21">
      <c r="A21" s="28" t="n">
        <v>33695</v>
      </c>
      <c r="B21" s="29">
        <f>VLOOKUP(A21,Database!$E:$AY,MATCH($B$4,Database!$E$1:$AY$1,0),FALSE)</f>
        <v/>
      </c>
      <c r="C21" s="30">
        <f>(Table13456789101112131415161734[[#This Row],[FRA]]-B20)/B20</f>
        <v/>
      </c>
      <c r="D21" s="31">
        <f>(Table13456789101112131415161734[[#This Row],[FRA]]-B9)/B9</f>
        <v/>
      </c>
    </row>
    <row r="22">
      <c r="A22" s="28" t="n">
        <v>33725</v>
      </c>
      <c r="B22" s="29">
        <f>VLOOKUP(A22,Database!$E:$AY,MATCH($B$4,Database!$E$1:$AY$1,0),FALSE)</f>
        <v/>
      </c>
      <c r="C22" s="30">
        <f>(Table13456789101112131415161734[[#This Row],[FRA]]-B21)/B21</f>
        <v/>
      </c>
      <c r="D22" s="31">
        <f>(Table13456789101112131415161734[[#This Row],[FRA]]-B10)/B10</f>
        <v/>
      </c>
    </row>
    <row r="23">
      <c r="A23" s="28" t="n">
        <v>33756</v>
      </c>
      <c r="B23" s="29">
        <f>VLOOKUP(A23,Database!$E:$AY,MATCH($B$4,Database!$E$1:$AY$1,0),FALSE)</f>
        <v/>
      </c>
      <c r="C23" s="30">
        <f>(Table13456789101112131415161734[[#This Row],[FRA]]-B22)/B22</f>
        <v/>
      </c>
      <c r="D23" s="31">
        <f>(Table13456789101112131415161734[[#This Row],[FRA]]-B11)/B11</f>
        <v/>
      </c>
    </row>
    <row r="24">
      <c r="A24" s="28" t="n">
        <v>33786</v>
      </c>
      <c r="B24" s="29">
        <f>VLOOKUP(A24,Database!$E:$AY,MATCH($B$4,Database!$E$1:$AY$1,0),FALSE)</f>
        <v/>
      </c>
      <c r="C24" s="30">
        <f>(Table13456789101112131415161734[[#This Row],[FRA]]-B23)/B23</f>
        <v/>
      </c>
      <c r="D24" s="31">
        <f>(Table13456789101112131415161734[[#This Row],[FRA]]-B12)/B12</f>
        <v/>
      </c>
    </row>
    <row r="25">
      <c r="A25" s="28" t="n">
        <v>33817</v>
      </c>
      <c r="B25" s="29">
        <f>VLOOKUP(A25,Database!$E:$AY,MATCH($B$4,Database!$E$1:$AY$1,0),FALSE)</f>
        <v/>
      </c>
      <c r="C25" s="30">
        <f>(Table13456789101112131415161734[[#This Row],[FRA]]-B24)/B24</f>
        <v/>
      </c>
      <c r="D25" s="31">
        <f>(Table13456789101112131415161734[[#This Row],[FRA]]-B13)/B13</f>
        <v/>
      </c>
    </row>
    <row r="26">
      <c r="A26" s="28" t="n">
        <v>33848</v>
      </c>
      <c r="B26" s="29">
        <f>VLOOKUP(A26,Database!$E:$AY,MATCH($B$4,Database!$E$1:$AY$1,0),FALSE)</f>
        <v/>
      </c>
      <c r="C26" s="30">
        <f>(Table13456789101112131415161734[[#This Row],[FRA]]-B25)/B25</f>
        <v/>
      </c>
      <c r="D26" s="31">
        <f>(Table13456789101112131415161734[[#This Row],[FRA]]-B14)/B14</f>
        <v/>
      </c>
    </row>
    <row r="27">
      <c r="A27" s="28" t="n">
        <v>33878</v>
      </c>
      <c r="B27" s="29">
        <f>VLOOKUP(A27,Database!$E:$AY,MATCH($B$4,Database!$E$1:$AY$1,0),FALSE)</f>
        <v/>
      </c>
      <c r="C27" s="30">
        <f>(Table13456789101112131415161734[[#This Row],[FRA]]-B26)/B26</f>
        <v/>
      </c>
      <c r="D27" s="31">
        <f>(Table13456789101112131415161734[[#This Row],[FRA]]-B15)/B15</f>
        <v/>
      </c>
    </row>
    <row r="28">
      <c r="A28" s="28" t="n">
        <v>33909</v>
      </c>
      <c r="B28" s="29">
        <f>VLOOKUP(A28,Database!$E:$AY,MATCH($B$4,Database!$E$1:$AY$1,0),FALSE)</f>
        <v/>
      </c>
      <c r="C28" s="30">
        <f>(Table13456789101112131415161734[[#This Row],[FRA]]-B27)/B27</f>
        <v/>
      </c>
      <c r="D28" s="31">
        <f>(Table13456789101112131415161734[[#This Row],[FRA]]-B16)/B16</f>
        <v/>
      </c>
    </row>
    <row r="29">
      <c r="A29" s="28" t="n">
        <v>33939</v>
      </c>
      <c r="B29" s="29">
        <f>VLOOKUP(A29,Database!$E:$AY,MATCH($B$4,Database!$E$1:$AY$1,0),FALSE)</f>
        <v/>
      </c>
      <c r="C29" s="30">
        <f>(Table13456789101112131415161734[[#This Row],[FRA]]-B28)/B28</f>
        <v/>
      </c>
      <c r="D29" s="31">
        <f>(Table13456789101112131415161734[[#This Row],[FRA]]-B17)/B17</f>
        <v/>
      </c>
    </row>
    <row r="30">
      <c r="A30" s="28" t="n">
        <v>33970</v>
      </c>
      <c r="B30" s="29">
        <f>VLOOKUP(A30,Database!$E:$AY,MATCH($B$4,Database!$E$1:$AY$1,0),FALSE)</f>
        <v/>
      </c>
      <c r="C30" s="30">
        <f>(Table13456789101112131415161734[[#This Row],[FRA]]-B29)/B29</f>
        <v/>
      </c>
      <c r="D30" s="31">
        <f>(Table13456789101112131415161734[[#This Row],[FRA]]-B18)/B18</f>
        <v/>
      </c>
    </row>
    <row r="31">
      <c r="A31" s="28" t="n">
        <v>34001</v>
      </c>
      <c r="B31" s="29">
        <f>VLOOKUP(A31,Database!$E:$AY,MATCH($B$4,Database!$E$1:$AY$1,0),FALSE)</f>
        <v/>
      </c>
      <c r="C31" s="30">
        <f>(Table13456789101112131415161734[[#This Row],[FRA]]-B30)/B30</f>
        <v/>
      </c>
      <c r="D31" s="31">
        <f>(Table13456789101112131415161734[[#This Row],[FRA]]-B19)/B19</f>
        <v/>
      </c>
    </row>
    <row r="32">
      <c r="A32" s="28" t="n">
        <v>34029</v>
      </c>
      <c r="B32" s="29">
        <f>VLOOKUP(A32,Database!$E:$AY,MATCH($B$4,Database!$E$1:$AY$1,0),FALSE)</f>
        <v/>
      </c>
      <c r="C32" s="30">
        <f>(Table13456789101112131415161734[[#This Row],[FRA]]-B31)/B31</f>
        <v/>
      </c>
      <c r="D32" s="31">
        <f>(Table13456789101112131415161734[[#This Row],[FRA]]-B20)/B20</f>
        <v/>
      </c>
    </row>
    <row r="33">
      <c r="A33" s="28" t="n">
        <v>34060</v>
      </c>
      <c r="B33" s="29">
        <f>VLOOKUP(A33,Database!$E:$AY,MATCH($B$4,Database!$E$1:$AY$1,0),FALSE)</f>
        <v/>
      </c>
      <c r="C33" s="30">
        <f>(Table13456789101112131415161734[[#This Row],[FRA]]-B32)/B32</f>
        <v/>
      </c>
      <c r="D33" s="31">
        <f>(Table13456789101112131415161734[[#This Row],[FRA]]-B21)/B21</f>
        <v/>
      </c>
    </row>
    <row r="34">
      <c r="A34" s="28" t="n">
        <v>34090</v>
      </c>
      <c r="B34" s="29">
        <f>VLOOKUP(A34,Database!$E:$AY,MATCH($B$4,Database!$E$1:$AY$1,0),FALSE)</f>
        <v/>
      </c>
      <c r="C34" s="30">
        <f>(Table13456789101112131415161734[[#This Row],[FRA]]-B33)/B33</f>
        <v/>
      </c>
      <c r="D34" s="31">
        <f>(Table13456789101112131415161734[[#This Row],[FRA]]-B22)/B22</f>
        <v/>
      </c>
    </row>
    <row r="35">
      <c r="A35" s="28" t="n">
        <v>34121</v>
      </c>
      <c r="B35" s="29">
        <f>VLOOKUP(A35,Database!$E:$AY,MATCH($B$4,Database!$E$1:$AY$1,0),FALSE)</f>
        <v/>
      </c>
      <c r="C35" s="30">
        <f>(Table13456789101112131415161734[[#This Row],[FRA]]-B34)/B34</f>
        <v/>
      </c>
      <c r="D35" s="31">
        <f>(Table13456789101112131415161734[[#This Row],[FRA]]-B23)/B23</f>
        <v/>
      </c>
    </row>
    <row r="36">
      <c r="A36" s="28" t="n">
        <v>34151</v>
      </c>
      <c r="B36" s="29">
        <f>VLOOKUP(A36,Database!$E:$AY,MATCH($B$4,Database!$E$1:$AY$1,0),FALSE)</f>
        <v/>
      </c>
      <c r="C36" s="30">
        <f>(Table13456789101112131415161734[[#This Row],[FRA]]-B35)/B35</f>
        <v/>
      </c>
      <c r="D36" s="31">
        <f>(Table13456789101112131415161734[[#This Row],[FRA]]-B24)/B24</f>
        <v/>
      </c>
    </row>
    <row r="37">
      <c r="A37" s="28" t="n">
        <v>34182</v>
      </c>
      <c r="B37" s="29">
        <f>VLOOKUP(A37,Database!$E:$AY,MATCH($B$4,Database!$E$1:$AY$1,0),FALSE)</f>
        <v/>
      </c>
      <c r="C37" s="30">
        <f>(Table13456789101112131415161734[[#This Row],[FRA]]-B36)/B36</f>
        <v/>
      </c>
      <c r="D37" s="31">
        <f>(Table13456789101112131415161734[[#This Row],[FRA]]-B25)/B25</f>
        <v/>
      </c>
    </row>
    <row r="38">
      <c r="A38" s="28" t="n">
        <v>34213</v>
      </c>
      <c r="B38" s="29">
        <f>VLOOKUP(A38,Database!$E:$AY,MATCH($B$4,Database!$E$1:$AY$1,0),FALSE)</f>
        <v/>
      </c>
      <c r="C38" s="30">
        <f>(Table13456789101112131415161734[[#This Row],[FRA]]-B37)/B37</f>
        <v/>
      </c>
      <c r="D38" s="31">
        <f>(Table13456789101112131415161734[[#This Row],[FRA]]-B26)/B26</f>
        <v/>
      </c>
    </row>
    <row r="39">
      <c r="A39" s="28" t="n">
        <v>34243</v>
      </c>
      <c r="B39" s="29">
        <f>VLOOKUP(A39,Database!$E:$AY,MATCH($B$4,Database!$E$1:$AY$1,0),FALSE)</f>
        <v/>
      </c>
      <c r="C39" s="30">
        <f>(Table13456789101112131415161734[[#This Row],[FRA]]-B38)/B38</f>
        <v/>
      </c>
      <c r="D39" s="31">
        <f>(Table13456789101112131415161734[[#This Row],[FRA]]-B27)/B27</f>
        <v/>
      </c>
    </row>
    <row r="40">
      <c r="A40" s="28" t="n">
        <v>34274</v>
      </c>
      <c r="B40" s="29">
        <f>VLOOKUP(A40,Database!$E:$AY,MATCH($B$4,Database!$E$1:$AY$1,0),FALSE)</f>
        <v/>
      </c>
      <c r="C40" s="30">
        <f>(Table13456789101112131415161734[[#This Row],[FRA]]-B39)/B39</f>
        <v/>
      </c>
      <c r="D40" s="31">
        <f>(Table13456789101112131415161734[[#This Row],[FRA]]-B28)/B28</f>
        <v/>
      </c>
    </row>
    <row r="41">
      <c r="A41" s="28" t="n">
        <v>34304</v>
      </c>
      <c r="B41" s="29">
        <f>VLOOKUP(A41,Database!$E:$AY,MATCH($B$4,Database!$E$1:$AY$1,0),FALSE)</f>
        <v/>
      </c>
      <c r="C41" s="30">
        <f>(Table13456789101112131415161734[[#This Row],[FRA]]-B40)/B40</f>
        <v/>
      </c>
      <c r="D41" s="31">
        <f>(Table13456789101112131415161734[[#This Row],[FRA]]-B29)/B29</f>
        <v/>
      </c>
    </row>
    <row r="42">
      <c r="A42" s="28" t="n">
        <v>34335</v>
      </c>
      <c r="B42" s="29">
        <f>VLOOKUP(A42,Database!$E:$AY,MATCH($B$4,Database!$E$1:$AY$1,0),FALSE)</f>
        <v/>
      </c>
      <c r="C42" s="30">
        <f>(Table13456789101112131415161734[[#This Row],[FRA]]-B41)/B41</f>
        <v/>
      </c>
      <c r="D42" s="31">
        <f>(Table13456789101112131415161734[[#This Row],[FRA]]-B30)/B30</f>
        <v/>
      </c>
    </row>
    <row r="43">
      <c r="A43" s="28" t="n">
        <v>34366</v>
      </c>
      <c r="B43" s="29">
        <f>VLOOKUP(A43,Database!$E:$AY,MATCH($B$4,Database!$E$1:$AY$1,0),FALSE)</f>
        <v/>
      </c>
      <c r="C43" s="30">
        <f>(Table13456789101112131415161734[[#This Row],[FRA]]-B42)/B42</f>
        <v/>
      </c>
      <c r="D43" s="31">
        <f>(Table13456789101112131415161734[[#This Row],[FRA]]-B31)/B31</f>
        <v/>
      </c>
    </row>
    <row r="44">
      <c r="A44" s="28" t="n">
        <v>34394</v>
      </c>
      <c r="B44" s="29">
        <f>VLOOKUP(A44,Database!$E:$AY,MATCH($B$4,Database!$E$1:$AY$1,0),FALSE)</f>
        <v/>
      </c>
      <c r="C44" s="30">
        <f>(Table13456789101112131415161734[[#This Row],[FRA]]-B43)/B43</f>
        <v/>
      </c>
      <c r="D44" s="31">
        <f>(Table13456789101112131415161734[[#This Row],[FRA]]-B32)/B32</f>
        <v/>
      </c>
    </row>
    <row r="45">
      <c r="A45" s="28" t="n">
        <v>34425</v>
      </c>
      <c r="B45" s="29">
        <f>VLOOKUP(A45,Database!$E:$AY,MATCH($B$4,Database!$E$1:$AY$1,0),FALSE)</f>
        <v/>
      </c>
      <c r="C45" s="30">
        <f>(Table13456789101112131415161734[[#This Row],[FRA]]-B44)/B44</f>
        <v/>
      </c>
      <c r="D45" s="31">
        <f>(Table13456789101112131415161734[[#This Row],[FRA]]-B33)/B33</f>
        <v/>
      </c>
    </row>
    <row r="46">
      <c r="A46" s="28" t="n">
        <v>34455</v>
      </c>
      <c r="B46" s="29">
        <f>VLOOKUP(A46,Database!$E:$AY,MATCH($B$4,Database!$E$1:$AY$1,0),FALSE)</f>
        <v/>
      </c>
      <c r="C46" s="30">
        <f>(Table13456789101112131415161734[[#This Row],[FRA]]-B45)/B45</f>
        <v/>
      </c>
      <c r="D46" s="31">
        <f>(Table13456789101112131415161734[[#This Row],[FRA]]-B34)/B34</f>
        <v/>
      </c>
    </row>
    <row r="47">
      <c r="A47" s="28" t="n">
        <v>34486</v>
      </c>
      <c r="B47" s="29">
        <f>VLOOKUP(A47,Database!$E:$AY,MATCH($B$4,Database!$E$1:$AY$1,0),FALSE)</f>
        <v/>
      </c>
      <c r="C47" s="30">
        <f>(Table13456789101112131415161734[[#This Row],[FRA]]-B46)/B46</f>
        <v/>
      </c>
      <c r="D47" s="31">
        <f>(Table13456789101112131415161734[[#This Row],[FRA]]-B35)/B35</f>
        <v/>
      </c>
    </row>
    <row r="48">
      <c r="A48" s="28" t="n">
        <v>34516</v>
      </c>
      <c r="B48" s="29">
        <f>VLOOKUP(A48,Database!$E:$AY,MATCH($B$4,Database!$E$1:$AY$1,0),FALSE)</f>
        <v/>
      </c>
      <c r="C48" s="30">
        <f>(Table13456789101112131415161734[[#This Row],[FRA]]-B47)/B47</f>
        <v/>
      </c>
      <c r="D48" s="31">
        <f>(Table13456789101112131415161734[[#This Row],[FRA]]-B36)/B36</f>
        <v/>
      </c>
    </row>
    <row r="49">
      <c r="A49" s="28" t="n">
        <v>34547</v>
      </c>
      <c r="B49" s="29">
        <f>VLOOKUP(A49,Database!$E:$AY,MATCH($B$4,Database!$E$1:$AY$1,0),FALSE)</f>
        <v/>
      </c>
      <c r="C49" s="30">
        <f>(Table13456789101112131415161734[[#This Row],[FRA]]-B48)/B48</f>
        <v/>
      </c>
      <c r="D49" s="31">
        <f>(Table13456789101112131415161734[[#This Row],[FRA]]-B37)/B37</f>
        <v/>
      </c>
    </row>
    <row r="50">
      <c r="A50" s="28" t="n">
        <v>34578</v>
      </c>
      <c r="B50" s="29">
        <f>VLOOKUP(A50,Database!$E:$AY,MATCH($B$4,Database!$E$1:$AY$1,0),FALSE)</f>
        <v/>
      </c>
      <c r="C50" s="30">
        <f>(Table13456789101112131415161734[[#This Row],[FRA]]-B49)/B49</f>
        <v/>
      </c>
      <c r="D50" s="31">
        <f>(Table13456789101112131415161734[[#This Row],[FRA]]-B38)/B38</f>
        <v/>
      </c>
    </row>
    <row r="51">
      <c r="A51" s="28" t="n">
        <v>34608</v>
      </c>
      <c r="B51" s="29">
        <f>VLOOKUP(A51,Database!$E:$AY,MATCH($B$4,Database!$E$1:$AY$1,0),FALSE)</f>
        <v/>
      </c>
      <c r="C51" s="30">
        <f>(Table13456789101112131415161734[[#This Row],[FRA]]-B50)/B50</f>
        <v/>
      </c>
      <c r="D51" s="31">
        <f>(Table13456789101112131415161734[[#This Row],[FRA]]-B39)/B39</f>
        <v/>
      </c>
    </row>
    <row r="52">
      <c r="A52" s="28" t="n">
        <v>34639</v>
      </c>
      <c r="B52" s="29">
        <f>VLOOKUP(A52,Database!$E:$AY,MATCH($B$4,Database!$E$1:$AY$1,0),FALSE)</f>
        <v/>
      </c>
      <c r="C52" s="30">
        <f>(Table13456789101112131415161734[[#This Row],[FRA]]-B51)/B51</f>
        <v/>
      </c>
      <c r="D52" s="31">
        <f>(Table13456789101112131415161734[[#This Row],[FRA]]-B40)/B40</f>
        <v/>
      </c>
    </row>
    <row r="53">
      <c r="A53" s="28" t="n">
        <v>34669</v>
      </c>
      <c r="B53" s="29">
        <f>VLOOKUP(A53,Database!$E:$AY,MATCH($B$4,Database!$E$1:$AY$1,0),FALSE)</f>
        <v/>
      </c>
      <c r="C53" s="30">
        <f>(Table13456789101112131415161734[[#This Row],[FRA]]-B52)/B52</f>
        <v/>
      </c>
      <c r="D53" s="31">
        <f>(Table13456789101112131415161734[[#This Row],[FRA]]-B41)/B41</f>
        <v/>
      </c>
    </row>
    <row r="54">
      <c r="A54" s="28" t="n">
        <v>34700</v>
      </c>
      <c r="B54" s="29">
        <f>VLOOKUP(A54,Database!$E:$AY,MATCH($B$4,Database!$E$1:$AY$1,0),FALSE)</f>
        <v/>
      </c>
      <c r="C54" s="30">
        <f>(Table13456789101112131415161734[[#This Row],[FRA]]-B53)/B53</f>
        <v/>
      </c>
      <c r="D54" s="31">
        <f>(Table13456789101112131415161734[[#This Row],[FRA]]-B42)/B42</f>
        <v/>
      </c>
    </row>
    <row r="55">
      <c r="A55" s="28" t="n">
        <v>34731</v>
      </c>
      <c r="B55" s="29">
        <f>VLOOKUP(A55,Database!$E:$AY,MATCH($B$4,Database!$E$1:$AY$1,0),FALSE)</f>
        <v/>
      </c>
      <c r="C55" s="30">
        <f>(Table13456789101112131415161734[[#This Row],[FRA]]-B54)/B54</f>
        <v/>
      </c>
      <c r="D55" s="31">
        <f>(Table13456789101112131415161734[[#This Row],[FRA]]-B43)/B43</f>
        <v/>
      </c>
    </row>
    <row r="56">
      <c r="A56" s="28" t="n">
        <v>34759</v>
      </c>
      <c r="B56" s="29">
        <f>VLOOKUP(A56,Database!$E:$AY,MATCH($B$4,Database!$E$1:$AY$1,0),FALSE)</f>
        <v/>
      </c>
      <c r="C56" s="30">
        <f>(Table13456789101112131415161734[[#This Row],[FRA]]-B55)/B55</f>
        <v/>
      </c>
      <c r="D56" s="31">
        <f>(Table13456789101112131415161734[[#This Row],[FRA]]-B44)/B44</f>
        <v/>
      </c>
    </row>
    <row r="57">
      <c r="A57" s="28" t="n">
        <v>34790</v>
      </c>
      <c r="B57" s="29">
        <f>VLOOKUP(A57,Database!$E:$AY,MATCH($B$4,Database!$E$1:$AY$1,0),FALSE)</f>
        <v/>
      </c>
      <c r="C57" s="30">
        <f>(Table13456789101112131415161734[[#This Row],[FRA]]-B56)/B56</f>
        <v/>
      </c>
      <c r="D57" s="31">
        <f>(Table13456789101112131415161734[[#This Row],[FRA]]-B45)/B45</f>
        <v/>
      </c>
    </row>
    <row r="58">
      <c r="A58" s="28" t="n">
        <v>34820</v>
      </c>
      <c r="B58" s="29">
        <f>VLOOKUP(A58,Database!$E:$AY,MATCH($B$4,Database!$E$1:$AY$1,0),FALSE)</f>
        <v/>
      </c>
      <c r="C58" s="30">
        <f>(Table13456789101112131415161734[[#This Row],[FRA]]-B57)/B57</f>
        <v/>
      </c>
      <c r="D58" s="31">
        <f>(Table13456789101112131415161734[[#This Row],[FRA]]-B46)/B46</f>
        <v/>
      </c>
    </row>
    <row r="59">
      <c r="A59" s="28" t="n">
        <v>34851</v>
      </c>
      <c r="B59" s="29">
        <f>VLOOKUP(A59,Database!$E:$AY,MATCH($B$4,Database!$E$1:$AY$1,0),FALSE)</f>
        <v/>
      </c>
      <c r="C59" s="30">
        <f>(Table13456789101112131415161734[[#This Row],[FRA]]-B58)/B58</f>
        <v/>
      </c>
      <c r="D59" s="31">
        <f>(Table13456789101112131415161734[[#This Row],[FRA]]-B47)/B47</f>
        <v/>
      </c>
    </row>
    <row r="60">
      <c r="A60" s="28" t="n">
        <v>34881</v>
      </c>
      <c r="B60" s="29">
        <f>VLOOKUP(A60,Database!$E:$AY,MATCH($B$4,Database!$E$1:$AY$1,0),FALSE)</f>
        <v/>
      </c>
      <c r="C60" s="30">
        <f>(Table13456789101112131415161734[[#This Row],[FRA]]-B59)/B59</f>
        <v/>
      </c>
      <c r="D60" s="31">
        <f>(Table13456789101112131415161734[[#This Row],[FRA]]-B48)/B48</f>
        <v/>
      </c>
    </row>
    <row r="61">
      <c r="A61" s="28" t="n">
        <v>34912</v>
      </c>
      <c r="B61" s="29">
        <f>VLOOKUP(A61,Database!$E:$AY,MATCH($B$4,Database!$E$1:$AY$1,0),FALSE)</f>
        <v/>
      </c>
      <c r="C61" s="30">
        <f>(Table13456789101112131415161734[[#This Row],[FRA]]-B60)/B60</f>
        <v/>
      </c>
      <c r="D61" s="31">
        <f>(Table13456789101112131415161734[[#This Row],[FRA]]-B49)/B49</f>
        <v/>
      </c>
    </row>
    <row r="62">
      <c r="A62" s="28" t="n">
        <v>34943</v>
      </c>
      <c r="B62" s="29">
        <f>VLOOKUP(A62,Database!$E:$AY,MATCH($B$4,Database!$E$1:$AY$1,0),FALSE)</f>
        <v/>
      </c>
      <c r="C62" s="30">
        <f>(Table13456789101112131415161734[[#This Row],[FRA]]-B61)/B61</f>
        <v/>
      </c>
      <c r="D62" s="31">
        <f>(Table13456789101112131415161734[[#This Row],[FRA]]-B50)/B50</f>
        <v/>
      </c>
    </row>
    <row r="63">
      <c r="A63" s="28" t="n">
        <v>34973</v>
      </c>
      <c r="B63" s="29">
        <f>VLOOKUP(A63,Database!$E:$AY,MATCH($B$4,Database!$E$1:$AY$1,0),FALSE)</f>
        <v/>
      </c>
      <c r="C63" s="30">
        <f>(Table13456789101112131415161734[[#This Row],[FRA]]-B62)/B62</f>
        <v/>
      </c>
      <c r="D63" s="31">
        <f>(Table13456789101112131415161734[[#This Row],[FRA]]-B51)/B51</f>
        <v/>
      </c>
    </row>
    <row r="64">
      <c r="A64" s="28" t="n">
        <v>35004</v>
      </c>
      <c r="B64" s="29">
        <f>VLOOKUP(A64,Database!$E:$AY,MATCH($B$4,Database!$E$1:$AY$1,0),FALSE)</f>
        <v/>
      </c>
      <c r="C64" s="30">
        <f>(Table13456789101112131415161734[[#This Row],[FRA]]-B63)/B63</f>
        <v/>
      </c>
      <c r="D64" s="31">
        <f>(Table13456789101112131415161734[[#This Row],[FRA]]-B52)/B52</f>
        <v/>
      </c>
    </row>
    <row r="65">
      <c r="A65" s="28" t="n">
        <v>35034</v>
      </c>
      <c r="B65" s="29">
        <f>VLOOKUP(A65,Database!$E:$AY,MATCH($B$4,Database!$E$1:$AY$1,0),FALSE)</f>
        <v/>
      </c>
      <c r="C65" s="30">
        <f>(Table13456789101112131415161734[[#This Row],[FRA]]-B64)/B64</f>
        <v/>
      </c>
      <c r="D65" s="31">
        <f>(Table13456789101112131415161734[[#This Row],[FRA]]-B53)/B53</f>
        <v/>
      </c>
    </row>
    <row r="66">
      <c r="A66" s="28" t="n">
        <v>35065</v>
      </c>
      <c r="B66" s="29">
        <f>VLOOKUP(A66,Database!$E:$AY,MATCH($B$4,Database!$E$1:$AY$1,0),FALSE)</f>
        <v/>
      </c>
      <c r="C66" s="30">
        <f>(Table13456789101112131415161734[[#This Row],[FRA]]-B65)/B65</f>
        <v/>
      </c>
      <c r="D66" s="31">
        <f>(Table13456789101112131415161734[[#This Row],[FRA]]-B54)/B54</f>
        <v/>
      </c>
    </row>
    <row r="67">
      <c r="A67" s="28" t="n">
        <v>35096</v>
      </c>
      <c r="B67" s="29">
        <f>VLOOKUP(A67,Database!$E:$AY,MATCH($B$4,Database!$E$1:$AY$1,0),FALSE)</f>
        <v/>
      </c>
      <c r="C67" s="30">
        <f>(Table13456789101112131415161734[[#This Row],[FRA]]-B66)/B66</f>
        <v/>
      </c>
      <c r="D67" s="31">
        <f>(Table13456789101112131415161734[[#This Row],[FRA]]-B55)/B55</f>
        <v/>
      </c>
    </row>
    <row r="68">
      <c r="A68" s="28" t="n">
        <v>35125</v>
      </c>
      <c r="B68" s="29">
        <f>VLOOKUP(A68,Database!$E:$AY,MATCH($B$4,Database!$E$1:$AY$1,0),FALSE)</f>
        <v/>
      </c>
      <c r="C68" s="30">
        <f>(Table13456789101112131415161734[[#This Row],[FRA]]-B67)/B67</f>
        <v/>
      </c>
      <c r="D68" s="31">
        <f>(Table13456789101112131415161734[[#This Row],[FRA]]-B56)/B56</f>
        <v/>
      </c>
    </row>
    <row r="69">
      <c r="A69" s="28" t="n">
        <v>35156</v>
      </c>
      <c r="B69" s="29">
        <f>VLOOKUP(A69,Database!$E:$AY,MATCH($B$4,Database!$E$1:$AY$1,0),FALSE)</f>
        <v/>
      </c>
      <c r="C69" s="30">
        <f>(Table13456789101112131415161734[[#This Row],[FRA]]-B68)/B68</f>
        <v/>
      </c>
      <c r="D69" s="31">
        <f>(Table13456789101112131415161734[[#This Row],[FRA]]-B57)/B57</f>
        <v/>
      </c>
    </row>
    <row r="70">
      <c r="A70" s="28" t="n">
        <v>35186</v>
      </c>
      <c r="B70" s="29">
        <f>VLOOKUP(A70,Database!$E:$AY,MATCH($B$4,Database!$E$1:$AY$1,0),FALSE)</f>
        <v/>
      </c>
      <c r="C70" s="30">
        <f>(Table13456789101112131415161734[[#This Row],[FRA]]-B69)/B69</f>
        <v/>
      </c>
      <c r="D70" s="31">
        <f>(Table13456789101112131415161734[[#This Row],[FRA]]-B58)/B58</f>
        <v/>
      </c>
    </row>
    <row r="71">
      <c r="A71" s="28" t="n">
        <v>35217</v>
      </c>
      <c r="B71" s="29">
        <f>VLOOKUP(A71,Database!$E:$AY,MATCH($B$4,Database!$E$1:$AY$1,0),FALSE)</f>
        <v/>
      </c>
      <c r="C71" s="30">
        <f>(Table13456789101112131415161734[[#This Row],[FRA]]-B70)/B70</f>
        <v/>
      </c>
      <c r="D71" s="31">
        <f>(Table13456789101112131415161734[[#This Row],[FRA]]-B59)/B59</f>
        <v/>
      </c>
    </row>
    <row r="72">
      <c r="A72" s="28" t="n">
        <v>35247</v>
      </c>
      <c r="B72" s="29">
        <f>VLOOKUP(A72,Database!$E:$AY,MATCH($B$4,Database!$E$1:$AY$1,0),FALSE)</f>
        <v/>
      </c>
      <c r="C72" s="30">
        <f>(Table13456789101112131415161734[[#This Row],[FRA]]-B71)/B71</f>
        <v/>
      </c>
      <c r="D72" s="31">
        <f>(Table13456789101112131415161734[[#This Row],[FRA]]-B60)/B60</f>
        <v/>
      </c>
    </row>
    <row r="73">
      <c r="A73" s="28" t="n">
        <v>35278</v>
      </c>
      <c r="B73" s="29">
        <f>VLOOKUP(A73,Database!$E:$AY,MATCH($B$4,Database!$E$1:$AY$1,0),FALSE)</f>
        <v/>
      </c>
      <c r="C73" s="30">
        <f>(Table13456789101112131415161734[[#This Row],[FRA]]-B72)/B72</f>
        <v/>
      </c>
      <c r="D73" s="31">
        <f>(Table13456789101112131415161734[[#This Row],[FRA]]-B61)/B61</f>
        <v/>
      </c>
    </row>
    <row r="74">
      <c r="A74" s="28" t="n">
        <v>35309</v>
      </c>
      <c r="B74" s="29">
        <f>VLOOKUP(A74,Database!$E:$AY,MATCH($B$4,Database!$E$1:$AY$1,0),FALSE)</f>
        <v/>
      </c>
      <c r="C74" s="30">
        <f>(Table13456789101112131415161734[[#This Row],[FRA]]-B73)/B73</f>
        <v/>
      </c>
      <c r="D74" s="31">
        <f>(Table13456789101112131415161734[[#This Row],[FRA]]-B62)/B62</f>
        <v/>
      </c>
    </row>
    <row r="75">
      <c r="A75" s="28" t="n">
        <v>35339</v>
      </c>
      <c r="B75" s="29">
        <f>VLOOKUP(A75,Database!$E:$AY,MATCH($B$4,Database!$E$1:$AY$1,0),FALSE)</f>
        <v/>
      </c>
      <c r="C75" s="30">
        <f>(Table13456789101112131415161734[[#This Row],[FRA]]-B74)/B74</f>
        <v/>
      </c>
      <c r="D75" s="31">
        <f>(Table13456789101112131415161734[[#This Row],[FRA]]-B63)/B63</f>
        <v/>
      </c>
    </row>
    <row r="76">
      <c r="A76" s="28" t="n">
        <v>35370</v>
      </c>
      <c r="B76" s="29">
        <f>VLOOKUP(A76,Database!$E:$AY,MATCH($B$4,Database!$E$1:$AY$1,0),FALSE)</f>
        <v/>
      </c>
      <c r="C76" s="30">
        <f>(Table13456789101112131415161734[[#This Row],[FRA]]-B75)/B75</f>
        <v/>
      </c>
      <c r="D76" s="31">
        <f>(Table13456789101112131415161734[[#This Row],[FRA]]-B64)/B64</f>
        <v/>
      </c>
    </row>
    <row r="77">
      <c r="A77" s="28" t="n">
        <v>35400</v>
      </c>
      <c r="B77" s="29">
        <f>VLOOKUP(A77,Database!$E:$AY,MATCH($B$4,Database!$E$1:$AY$1,0),FALSE)</f>
        <v/>
      </c>
      <c r="C77" s="30">
        <f>(Table13456789101112131415161734[[#This Row],[FRA]]-B76)/B76</f>
        <v/>
      </c>
      <c r="D77" s="31">
        <f>(Table13456789101112131415161734[[#This Row],[FRA]]-B65)/B65</f>
        <v/>
      </c>
    </row>
    <row r="78">
      <c r="A78" s="28" t="n">
        <v>35431</v>
      </c>
      <c r="B78" s="29">
        <f>VLOOKUP(A78,Database!$E:$AY,MATCH($B$4,Database!$E$1:$AY$1,0),FALSE)</f>
        <v/>
      </c>
      <c r="C78" s="30">
        <f>(Table13456789101112131415161734[[#This Row],[FRA]]-B77)/B77</f>
        <v/>
      </c>
      <c r="D78" s="31">
        <f>(Table13456789101112131415161734[[#This Row],[FRA]]-B66)/B66</f>
        <v/>
      </c>
    </row>
    <row r="79">
      <c r="A79" s="28" t="n">
        <v>35462</v>
      </c>
      <c r="B79" s="29">
        <f>VLOOKUP(A79,Database!$E:$AY,MATCH($B$4,Database!$E$1:$AY$1,0),FALSE)</f>
        <v/>
      </c>
      <c r="C79" s="30">
        <f>(Table13456789101112131415161734[[#This Row],[FRA]]-B78)/B78</f>
        <v/>
      </c>
      <c r="D79" s="31">
        <f>(Table13456789101112131415161734[[#This Row],[FRA]]-B67)/B67</f>
        <v/>
      </c>
    </row>
    <row r="80">
      <c r="A80" s="28" t="n">
        <v>35490</v>
      </c>
      <c r="B80" s="29">
        <f>VLOOKUP(A80,Database!$E:$AY,MATCH($B$4,Database!$E$1:$AY$1,0),FALSE)</f>
        <v/>
      </c>
      <c r="C80" s="30">
        <f>(Table13456789101112131415161734[[#This Row],[FRA]]-B79)/B79</f>
        <v/>
      </c>
      <c r="D80" s="31">
        <f>(Table13456789101112131415161734[[#This Row],[FRA]]-B68)/B68</f>
        <v/>
      </c>
    </row>
    <row r="81">
      <c r="A81" s="28" t="n">
        <v>35521</v>
      </c>
      <c r="B81" s="29">
        <f>VLOOKUP(A81,Database!$E:$AY,MATCH($B$4,Database!$E$1:$AY$1,0),FALSE)</f>
        <v/>
      </c>
      <c r="C81" s="30">
        <f>(Table13456789101112131415161734[[#This Row],[FRA]]-B80)/B80</f>
        <v/>
      </c>
      <c r="D81" s="31">
        <f>(Table13456789101112131415161734[[#This Row],[FRA]]-B69)/B69</f>
        <v/>
      </c>
    </row>
    <row r="82">
      <c r="A82" s="28" t="n">
        <v>35551</v>
      </c>
      <c r="B82" s="29">
        <f>VLOOKUP(A82,Database!$E:$AY,MATCH($B$4,Database!$E$1:$AY$1,0),FALSE)</f>
        <v/>
      </c>
      <c r="C82" s="30">
        <f>(Table13456789101112131415161734[[#This Row],[FRA]]-B81)/B81</f>
        <v/>
      </c>
      <c r="D82" s="31">
        <f>(Table13456789101112131415161734[[#This Row],[FRA]]-B70)/B70</f>
        <v/>
      </c>
    </row>
    <row r="83">
      <c r="A83" s="28" t="n">
        <v>35582</v>
      </c>
      <c r="B83" s="29">
        <f>VLOOKUP(A83,Database!$E:$AY,MATCH($B$4,Database!$E$1:$AY$1,0),FALSE)</f>
        <v/>
      </c>
      <c r="C83" s="30">
        <f>(Table13456789101112131415161734[[#This Row],[FRA]]-B82)/B82</f>
        <v/>
      </c>
      <c r="D83" s="31">
        <f>(Table13456789101112131415161734[[#This Row],[FRA]]-B71)/B71</f>
        <v/>
      </c>
    </row>
    <row r="84">
      <c r="A84" s="28" t="n">
        <v>35612</v>
      </c>
      <c r="B84" s="29">
        <f>VLOOKUP(A84,Database!$E:$AY,MATCH($B$4,Database!$E$1:$AY$1,0),FALSE)</f>
        <v/>
      </c>
      <c r="C84" s="30">
        <f>(Table13456789101112131415161734[[#This Row],[FRA]]-B83)/B83</f>
        <v/>
      </c>
      <c r="D84" s="31">
        <f>(Table13456789101112131415161734[[#This Row],[FRA]]-B72)/B72</f>
        <v/>
      </c>
    </row>
    <row r="85">
      <c r="A85" s="28" t="n">
        <v>35643</v>
      </c>
      <c r="B85" s="29">
        <f>VLOOKUP(A85,Database!$E:$AY,MATCH($B$4,Database!$E$1:$AY$1,0),FALSE)</f>
        <v/>
      </c>
      <c r="C85" s="30">
        <f>(Table13456789101112131415161734[[#This Row],[FRA]]-B84)/B84</f>
        <v/>
      </c>
      <c r="D85" s="31">
        <f>(Table13456789101112131415161734[[#This Row],[FRA]]-B73)/B73</f>
        <v/>
      </c>
    </row>
    <row r="86">
      <c r="A86" s="28" t="n">
        <v>35674</v>
      </c>
      <c r="B86" s="29">
        <f>VLOOKUP(A86,Database!$E:$AY,MATCH($B$4,Database!$E$1:$AY$1,0),FALSE)</f>
        <v/>
      </c>
      <c r="C86" s="30">
        <f>(Table13456789101112131415161734[[#This Row],[FRA]]-B85)/B85</f>
        <v/>
      </c>
      <c r="D86" s="31">
        <f>(Table13456789101112131415161734[[#This Row],[FRA]]-B74)/B74</f>
        <v/>
      </c>
    </row>
    <row r="87">
      <c r="A87" s="28" t="n">
        <v>35704</v>
      </c>
      <c r="B87" s="29">
        <f>VLOOKUP(A87,Database!$E:$AY,MATCH($B$4,Database!$E$1:$AY$1,0),FALSE)</f>
        <v/>
      </c>
      <c r="C87" s="30">
        <f>(Table13456789101112131415161734[[#This Row],[FRA]]-B86)/B86</f>
        <v/>
      </c>
      <c r="D87" s="31">
        <f>(Table13456789101112131415161734[[#This Row],[FRA]]-B75)/B75</f>
        <v/>
      </c>
    </row>
    <row r="88">
      <c r="A88" s="28" t="n">
        <v>35735</v>
      </c>
      <c r="B88" s="29">
        <f>VLOOKUP(A88,Database!$E:$AY,MATCH($B$4,Database!$E$1:$AY$1,0),FALSE)</f>
        <v/>
      </c>
      <c r="C88" s="30">
        <f>(Table13456789101112131415161734[[#This Row],[FRA]]-B87)/B87</f>
        <v/>
      </c>
      <c r="D88" s="31">
        <f>(Table13456789101112131415161734[[#This Row],[FRA]]-B76)/B76</f>
        <v/>
      </c>
    </row>
    <row r="89">
      <c r="A89" s="28" t="n">
        <v>35765</v>
      </c>
      <c r="B89" s="29">
        <f>VLOOKUP(A89,Database!$E:$AY,MATCH($B$4,Database!$E$1:$AY$1,0),FALSE)</f>
        <v/>
      </c>
      <c r="C89" s="30">
        <f>(Table13456789101112131415161734[[#This Row],[FRA]]-B88)/B88</f>
        <v/>
      </c>
      <c r="D89" s="31">
        <f>(Table13456789101112131415161734[[#This Row],[FRA]]-B77)/B77</f>
        <v/>
      </c>
    </row>
    <row r="90">
      <c r="A90" s="28" t="n">
        <v>35796</v>
      </c>
      <c r="B90" s="29">
        <f>VLOOKUP(A90,Database!$E:$AY,MATCH($B$4,Database!$E$1:$AY$1,0),FALSE)</f>
        <v/>
      </c>
      <c r="C90" s="30">
        <f>(Table13456789101112131415161734[[#This Row],[FRA]]-B89)/B89</f>
        <v/>
      </c>
      <c r="D90" s="31">
        <f>(Table13456789101112131415161734[[#This Row],[FRA]]-B78)/B78</f>
        <v/>
      </c>
    </row>
    <row r="91">
      <c r="A91" s="28" t="n">
        <v>35827</v>
      </c>
      <c r="B91" s="29">
        <f>VLOOKUP(A91,Database!$E:$AY,MATCH($B$4,Database!$E$1:$AY$1,0),FALSE)</f>
        <v/>
      </c>
      <c r="C91" s="30">
        <f>(Table13456789101112131415161734[[#This Row],[FRA]]-B90)/B90</f>
        <v/>
      </c>
      <c r="D91" s="31">
        <f>(Table13456789101112131415161734[[#This Row],[FRA]]-B79)/B79</f>
        <v/>
      </c>
    </row>
    <row r="92">
      <c r="A92" s="28" t="n">
        <v>35855</v>
      </c>
      <c r="B92" s="29">
        <f>VLOOKUP(A92,Database!$E:$AY,MATCH($B$4,Database!$E$1:$AY$1,0),FALSE)</f>
        <v/>
      </c>
      <c r="C92" s="30">
        <f>(Table13456789101112131415161734[[#This Row],[FRA]]-B91)/B91</f>
        <v/>
      </c>
      <c r="D92" s="31">
        <f>(Table13456789101112131415161734[[#This Row],[FRA]]-B80)/B80</f>
        <v/>
      </c>
    </row>
    <row r="93">
      <c r="A93" s="28" t="n">
        <v>35886</v>
      </c>
      <c r="B93" s="29">
        <f>VLOOKUP(A93,Database!$E:$AY,MATCH($B$4,Database!$E$1:$AY$1,0),FALSE)</f>
        <v/>
      </c>
      <c r="C93" s="30">
        <f>(Table13456789101112131415161734[[#This Row],[FRA]]-B92)/B92</f>
        <v/>
      </c>
      <c r="D93" s="31">
        <f>(Table13456789101112131415161734[[#This Row],[FRA]]-B81)/B81</f>
        <v/>
      </c>
    </row>
    <row r="94">
      <c r="A94" s="28" t="n">
        <v>35916</v>
      </c>
      <c r="B94" s="29">
        <f>VLOOKUP(A94,Database!$E:$AY,MATCH($B$4,Database!$E$1:$AY$1,0),FALSE)</f>
        <v/>
      </c>
      <c r="C94" s="30">
        <f>(Table13456789101112131415161734[[#This Row],[FRA]]-B93)/B93</f>
        <v/>
      </c>
      <c r="D94" s="31">
        <f>(Table13456789101112131415161734[[#This Row],[FRA]]-B82)/B82</f>
        <v/>
      </c>
    </row>
    <row r="95">
      <c r="A95" s="28" t="n">
        <v>35947</v>
      </c>
      <c r="B95" s="29">
        <f>VLOOKUP(A95,Database!$E:$AY,MATCH($B$4,Database!$E$1:$AY$1,0),FALSE)</f>
        <v/>
      </c>
      <c r="C95" s="30">
        <f>(Table13456789101112131415161734[[#This Row],[FRA]]-B94)/B94</f>
        <v/>
      </c>
      <c r="D95" s="31">
        <f>(Table13456789101112131415161734[[#This Row],[FRA]]-B83)/B83</f>
        <v/>
      </c>
    </row>
    <row r="96">
      <c r="A96" s="28" t="n">
        <v>35977</v>
      </c>
      <c r="B96" s="29">
        <f>VLOOKUP(A96,Database!$E:$AY,MATCH($B$4,Database!$E$1:$AY$1,0),FALSE)</f>
        <v/>
      </c>
      <c r="C96" s="30">
        <f>(Table13456789101112131415161734[[#This Row],[FRA]]-B95)/B95</f>
        <v/>
      </c>
      <c r="D96" s="31">
        <f>(Table13456789101112131415161734[[#This Row],[FRA]]-B84)/B84</f>
        <v/>
      </c>
    </row>
    <row r="97">
      <c r="A97" s="28" t="n">
        <v>36008</v>
      </c>
      <c r="B97" s="29">
        <f>VLOOKUP(A97,Database!$E:$AY,MATCH($B$4,Database!$E$1:$AY$1,0),FALSE)</f>
        <v/>
      </c>
      <c r="C97" s="30">
        <f>(Table13456789101112131415161734[[#This Row],[FRA]]-B96)/B96</f>
        <v/>
      </c>
      <c r="D97" s="31">
        <f>(Table13456789101112131415161734[[#This Row],[FRA]]-B85)/B85</f>
        <v/>
      </c>
    </row>
    <row r="98">
      <c r="A98" s="28" t="n">
        <v>36039</v>
      </c>
      <c r="B98" s="29">
        <f>VLOOKUP(A98,Database!$E:$AY,MATCH($B$4,Database!$E$1:$AY$1,0),FALSE)</f>
        <v/>
      </c>
      <c r="C98" s="30">
        <f>(Table13456789101112131415161734[[#This Row],[FRA]]-B97)/B97</f>
        <v/>
      </c>
      <c r="D98" s="31">
        <f>(Table13456789101112131415161734[[#This Row],[FRA]]-B86)/B86</f>
        <v/>
      </c>
    </row>
    <row r="99">
      <c r="A99" s="28" t="n">
        <v>36069</v>
      </c>
      <c r="B99" s="29">
        <f>VLOOKUP(A99,Database!$E:$AY,MATCH($B$4,Database!$E$1:$AY$1,0),FALSE)</f>
        <v/>
      </c>
      <c r="C99" s="30">
        <f>(Table13456789101112131415161734[[#This Row],[FRA]]-B98)/B98</f>
        <v/>
      </c>
      <c r="D99" s="31">
        <f>(Table13456789101112131415161734[[#This Row],[FRA]]-B87)/B87</f>
        <v/>
      </c>
    </row>
    <row r="100">
      <c r="A100" s="28" t="n">
        <v>36100</v>
      </c>
      <c r="B100" s="29">
        <f>VLOOKUP(A100,Database!$E:$AY,MATCH($B$4,Database!$E$1:$AY$1,0),FALSE)</f>
        <v/>
      </c>
      <c r="C100" s="30">
        <f>(Table13456789101112131415161734[[#This Row],[FRA]]-B99)/B99</f>
        <v/>
      </c>
      <c r="D100" s="31">
        <f>(Table13456789101112131415161734[[#This Row],[FRA]]-B88)/B88</f>
        <v/>
      </c>
    </row>
    <row r="101">
      <c r="A101" s="28" t="n">
        <v>36130</v>
      </c>
      <c r="B101" s="29">
        <f>VLOOKUP(A101,Database!$E:$AY,MATCH($B$4,Database!$E$1:$AY$1,0),FALSE)</f>
        <v/>
      </c>
      <c r="C101" s="30">
        <f>(Table13456789101112131415161734[[#This Row],[FRA]]-B100)/B100</f>
        <v/>
      </c>
      <c r="D101" s="31">
        <f>(Table13456789101112131415161734[[#This Row],[FRA]]-B89)/B89</f>
        <v/>
      </c>
    </row>
    <row r="102">
      <c r="A102" s="28" t="n">
        <v>36161</v>
      </c>
      <c r="B102" s="29">
        <f>VLOOKUP(A102,Database!$E:$AY,MATCH($B$4,Database!$E$1:$AY$1,0),FALSE)</f>
        <v/>
      </c>
      <c r="C102" s="30">
        <f>(Table13456789101112131415161734[[#This Row],[FRA]]-B101)/B101</f>
        <v/>
      </c>
      <c r="D102" s="31">
        <f>(Table13456789101112131415161734[[#This Row],[FRA]]-B90)/B90</f>
        <v/>
      </c>
    </row>
    <row r="103">
      <c r="A103" s="28" t="n">
        <v>36192</v>
      </c>
      <c r="B103" s="29">
        <f>VLOOKUP(A103,Database!$E:$AY,MATCH($B$4,Database!$E$1:$AY$1,0),FALSE)</f>
        <v/>
      </c>
      <c r="C103" s="30">
        <f>(Table13456789101112131415161734[[#This Row],[FRA]]-B102)/B102</f>
        <v/>
      </c>
      <c r="D103" s="31">
        <f>(Table13456789101112131415161734[[#This Row],[FRA]]-B91)/B91</f>
        <v/>
      </c>
    </row>
    <row r="104">
      <c r="A104" s="28" t="n">
        <v>36220</v>
      </c>
      <c r="B104" s="29">
        <f>VLOOKUP(A104,Database!$E:$AY,MATCH($B$4,Database!$E$1:$AY$1,0),FALSE)</f>
        <v/>
      </c>
      <c r="C104" s="30">
        <f>(Table13456789101112131415161734[[#This Row],[FRA]]-B103)/B103</f>
        <v/>
      </c>
      <c r="D104" s="31">
        <f>(Table13456789101112131415161734[[#This Row],[FRA]]-B92)/B92</f>
        <v/>
      </c>
    </row>
    <row r="105">
      <c r="A105" s="28" t="n">
        <v>36251</v>
      </c>
      <c r="B105" s="29">
        <f>VLOOKUP(A105,Database!$E:$AY,MATCH($B$4,Database!$E$1:$AY$1,0),FALSE)</f>
        <v/>
      </c>
      <c r="C105" s="30">
        <f>(Table13456789101112131415161734[[#This Row],[FRA]]-B104)/B104</f>
        <v/>
      </c>
      <c r="D105" s="31">
        <f>(Table13456789101112131415161734[[#This Row],[FRA]]-B93)/B93</f>
        <v/>
      </c>
    </row>
    <row r="106">
      <c r="A106" s="28" t="n">
        <v>36281</v>
      </c>
      <c r="B106" s="29">
        <f>VLOOKUP(A106,Database!$E:$AY,MATCH($B$4,Database!$E$1:$AY$1,0),FALSE)</f>
        <v/>
      </c>
      <c r="C106" s="30">
        <f>(Table13456789101112131415161734[[#This Row],[FRA]]-B105)/B105</f>
        <v/>
      </c>
      <c r="D106" s="31">
        <f>(Table13456789101112131415161734[[#This Row],[FRA]]-B94)/B94</f>
        <v/>
      </c>
    </row>
    <row r="107">
      <c r="A107" s="28" t="n">
        <v>36312</v>
      </c>
      <c r="B107" s="29">
        <f>VLOOKUP(A107,Database!$E:$AY,MATCH($B$4,Database!$E$1:$AY$1,0),FALSE)</f>
        <v/>
      </c>
      <c r="C107" s="30">
        <f>(Table13456789101112131415161734[[#This Row],[FRA]]-B106)/B106</f>
        <v/>
      </c>
      <c r="D107" s="31">
        <f>(Table13456789101112131415161734[[#This Row],[FRA]]-B95)/B95</f>
        <v/>
      </c>
    </row>
    <row r="108">
      <c r="A108" s="28" t="n">
        <v>36342</v>
      </c>
      <c r="B108" s="29">
        <f>VLOOKUP(A108,Database!$E:$AY,MATCH($B$4,Database!$E$1:$AY$1,0),FALSE)</f>
        <v/>
      </c>
      <c r="C108" s="30">
        <f>(Table13456789101112131415161734[[#This Row],[FRA]]-B107)/B107</f>
        <v/>
      </c>
      <c r="D108" s="31">
        <f>(Table13456789101112131415161734[[#This Row],[FRA]]-B96)/B96</f>
        <v/>
      </c>
    </row>
    <row r="109">
      <c r="A109" s="28" t="n">
        <v>36373</v>
      </c>
      <c r="B109" s="29">
        <f>VLOOKUP(A109,Database!$E:$AY,MATCH($B$4,Database!$E$1:$AY$1,0),FALSE)</f>
        <v/>
      </c>
      <c r="C109" s="30">
        <f>(Table13456789101112131415161734[[#This Row],[FRA]]-B108)/B108</f>
        <v/>
      </c>
      <c r="D109" s="31">
        <f>(Table13456789101112131415161734[[#This Row],[FRA]]-B97)/B97</f>
        <v/>
      </c>
    </row>
    <row r="110">
      <c r="A110" s="28" t="n">
        <v>36404</v>
      </c>
      <c r="B110" s="29">
        <f>VLOOKUP(A110,Database!$E:$AY,MATCH($B$4,Database!$E$1:$AY$1,0),FALSE)</f>
        <v/>
      </c>
      <c r="C110" s="30">
        <f>(Table13456789101112131415161734[[#This Row],[FRA]]-B109)/B109</f>
        <v/>
      </c>
      <c r="D110" s="31">
        <f>(Table13456789101112131415161734[[#This Row],[FRA]]-B98)/B98</f>
        <v/>
      </c>
    </row>
    <row r="111">
      <c r="A111" s="28" t="n">
        <v>36434</v>
      </c>
      <c r="B111" s="29">
        <f>VLOOKUP(A111,Database!$E:$AY,MATCH($B$4,Database!$E$1:$AY$1,0),FALSE)</f>
        <v/>
      </c>
      <c r="C111" s="30">
        <f>(Table13456789101112131415161734[[#This Row],[FRA]]-B110)/B110</f>
        <v/>
      </c>
      <c r="D111" s="31">
        <f>(Table13456789101112131415161734[[#This Row],[FRA]]-B99)/B99</f>
        <v/>
      </c>
    </row>
    <row r="112">
      <c r="A112" s="28" t="n">
        <v>36465</v>
      </c>
      <c r="B112" s="29">
        <f>VLOOKUP(A112,Database!$E:$AY,MATCH($B$4,Database!$E$1:$AY$1,0),FALSE)</f>
        <v/>
      </c>
      <c r="C112" s="30">
        <f>(Table13456789101112131415161734[[#This Row],[FRA]]-B111)/B111</f>
        <v/>
      </c>
      <c r="D112" s="31">
        <f>(Table13456789101112131415161734[[#This Row],[FRA]]-B100)/B100</f>
        <v/>
      </c>
    </row>
    <row r="113">
      <c r="A113" s="28" t="n">
        <v>36495</v>
      </c>
      <c r="B113" s="29">
        <f>VLOOKUP(A113,Database!$E:$AY,MATCH($B$4,Database!$E$1:$AY$1,0),FALSE)</f>
        <v/>
      </c>
      <c r="C113" s="30">
        <f>(Table13456789101112131415161734[[#This Row],[FRA]]-B112)/B112</f>
        <v/>
      </c>
      <c r="D113" s="31">
        <f>(Table13456789101112131415161734[[#This Row],[FRA]]-B101)/B101</f>
        <v/>
      </c>
    </row>
    <row r="114">
      <c r="A114" s="28" t="n">
        <v>36526</v>
      </c>
      <c r="B114" s="29">
        <f>VLOOKUP(A114,Database!$E:$AY,MATCH($B$4,Database!$E$1:$AY$1,0),FALSE)</f>
        <v/>
      </c>
      <c r="C114" s="30">
        <f>(Table13456789101112131415161734[[#This Row],[FRA]]-B113)/B113</f>
        <v/>
      </c>
      <c r="D114" s="31">
        <f>(Table13456789101112131415161734[[#This Row],[FRA]]-B102)/B102</f>
        <v/>
      </c>
    </row>
    <row r="115">
      <c r="A115" s="28" t="n">
        <v>36557</v>
      </c>
      <c r="B115" s="29">
        <f>VLOOKUP(A115,Database!$E:$AY,MATCH($B$4,Database!$E$1:$AY$1,0),FALSE)</f>
        <v/>
      </c>
      <c r="C115" s="30">
        <f>(Table13456789101112131415161734[[#This Row],[FRA]]-B114)/B114</f>
        <v/>
      </c>
      <c r="D115" s="31">
        <f>(Table13456789101112131415161734[[#This Row],[FRA]]-B103)/B103</f>
        <v/>
      </c>
    </row>
    <row r="116">
      <c r="A116" s="28" t="n">
        <v>36586</v>
      </c>
      <c r="B116" s="29">
        <f>VLOOKUP(A116,Database!$E:$AY,MATCH($B$4,Database!$E$1:$AY$1,0),FALSE)</f>
        <v/>
      </c>
      <c r="C116" s="30">
        <f>(Table13456789101112131415161734[[#This Row],[FRA]]-B115)/B115</f>
        <v/>
      </c>
      <c r="D116" s="31">
        <f>(Table13456789101112131415161734[[#This Row],[FRA]]-B104)/B104</f>
        <v/>
      </c>
    </row>
    <row r="117">
      <c r="A117" s="28" t="n">
        <v>36617</v>
      </c>
      <c r="B117" s="29">
        <f>VLOOKUP(A117,Database!$E:$AY,MATCH($B$4,Database!$E$1:$AY$1,0),FALSE)</f>
        <v/>
      </c>
      <c r="C117" s="30">
        <f>(Table13456789101112131415161734[[#This Row],[FRA]]-B116)/B116</f>
        <v/>
      </c>
      <c r="D117" s="31">
        <f>(Table13456789101112131415161734[[#This Row],[FRA]]-B105)/B105</f>
        <v/>
      </c>
    </row>
    <row r="118">
      <c r="A118" s="28" t="n">
        <v>36647</v>
      </c>
      <c r="B118" s="29">
        <f>VLOOKUP(A118,Database!$E:$AY,MATCH($B$4,Database!$E$1:$AY$1,0),FALSE)</f>
        <v/>
      </c>
      <c r="C118" s="30">
        <f>(Table13456789101112131415161734[[#This Row],[FRA]]-B117)/B117</f>
        <v/>
      </c>
      <c r="D118" s="31">
        <f>(Table13456789101112131415161734[[#This Row],[FRA]]-B106)/B106</f>
        <v/>
      </c>
    </row>
    <row r="119">
      <c r="A119" s="28" t="n">
        <v>36678</v>
      </c>
      <c r="B119" s="29">
        <f>VLOOKUP(A119,Database!$E:$AY,MATCH($B$4,Database!$E$1:$AY$1,0),FALSE)</f>
        <v/>
      </c>
      <c r="C119" s="30">
        <f>(Table13456789101112131415161734[[#This Row],[FRA]]-B118)/B118</f>
        <v/>
      </c>
      <c r="D119" s="31">
        <f>(Table13456789101112131415161734[[#This Row],[FRA]]-B107)/B107</f>
        <v/>
      </c>
    </row>
    <row r="120">
      <c r="A120" s="28" t="n">
        <v>36708</v>
      </c>
      <c r="B120" s="29">
        <f>VLOOKUP(A120,Database!$E:$AY,MATCH($B$4,Database!$E$1:$AY$1,0),FALSE)</f>
        <v/>
      </c>
      <c r="C120" s="30">
        <f>(Table13456789101112131415161734[[#This Row],[FRA]]-B119)/B119</f>
        <v/>
      </c>
      <c r="D120" s="31">
        <f>(Table13456789101112131415161734[[#This Row],[FRA]]-B108)/B108</f>
        <v/>
      </c>
    </row>
    <row r="121">
      <c r="A121" s="28" t="n">
        <v>36739</v>
      </c>
      <c r="B121" s="29">
        <f>VLOOKUP(A121,Database!$E:$AY,MATCH($B$4,Database!$E$1:$AY$1,0),FALSE)</f>
        <v/>
      </c>
      <c r="C121" s="30">
        <f>(Table13456789101112131415161734[[#This Row],[FRA]]-B120)/B120</f>
        <v/>
      </c>
      <c r="D121" s="31">
        <f>(Table13456789101112131415161734[[#This Row],[FRA]]-B109)/B109</f>
        <v/>
      </c>
    </row>
    <row r="122">
      <c r="A122" s="28" t="n">
        <v>36770</v>
      </c>
      <c r="B122" s="29">
        <f>VLOOKUP(A122,Database!$E:$AY,MATCH($B$4,Database!$E$1:$AY$1,0),FALSE)</f>
        <v/>
      </c>
      <c r="C122" s="30">
        <f>(Table13456789101112131415161734[[#This Row],[FRA]]-B121)/B121</f>
        <v/>
      </c>
      <c r="D122" s="31">
        <f>(Table13456789101112131415161734[[#This Row],[FRA]]-B110)/B110</f>
        <v/>
      </c>
    </row>
    <row r="123">
      <c r="A123" s="28" t="n">
        <v>36800</v>
      </c>
      <c r="B123" s="29">
        <f>VLOOKUP(A123,Database!$E:$AY,MATCH($B$4,Database!$E$1:$AY$1,0),FALSE)</f>
        <v/>
      </c>
      <c r="C123" s="30">
        <f>(Table13456789101112131415161734[[#This Row],[FRA]]-B122)/B122</f>
        <v/>
      </c>
      <c r="D123" s="31">
        <f>(Table13456789101112131415161734[[#This Row],[FRA]]-B111)/B111</f>
        <v/>
      </c>
    </row>
    <row r="124">
      <c r="A124" s="28" t="n">
        <v>36831</v>
      </c>
      <c r="B124" s="29">
        <f>VLOOKUP(A124,Database!$E:$AY,MATCH($B$4,Database!$E$1:$AY$1,0),FALSE)</f>
        <v/>
      </c>
      <c r="C124" s="30">
        <f>(Table13456789101112131415161734[[#This Row],[FRA]]-B123)/B123</f>
        <v/>
      </c>
      <c r="D124" s="31">
        <f>(Table13456789101112131415161734[[#This Row],[FRA]]-B112)/B112</f>
        <v/>
      </c>
    </row>
    <row r="125">
      <c r="A125" s="28" t="n">
        <v>36861</v>
      </c>
      <c r="B125" s="29">
        <f>VLOOKUP(A125,Database!$E:$AY,MATCH($B$4,Database!$E$1:$AY$1,0),FALSE)</f>
        <v/>
      </c>
      <c r="C125" s="30">
        <f>(Table13456789101112131415161734[[#This Row],[FRA]]-B124)/B124</f>
        <v/>
      </c>
      <c r="D125" s="31">
        <f>(Table13456789101112131415161734[[#This Row],[FRA]]-B113)/B113</f>
        <v/>
      </c>
    </row>
    <row r="126">
      <c r="A126" s="28" t="n">
        <v>36892</v>
      </c>
      <c r="B126" s="29">
        <f>VLOOKUP(A126,Database!$E:$AY,MATCH($B$4,Database!$E$1:$AY$1,0),FALSE)</f>
        <v/>
      </c>
      <c r="C126" s="30">
        <f>(Table13456789101112131415161734[[#This Row],[FRA]]-B125)/B125</f>
        <v/>
      </c>
      <c r="D126" s="31">
        <f>(Table13456789101112131415161734[[#This Row],[FRA]]-B114)/B114</f>
        <v/>
      </c>
    </row>
    <row r="127">
      <c r="A127" s="28" t="n">
        <v>36923</v>
      </c>
      <c r="B127" s="29">
        <f>VLOOKUP(A127,Database!$E:$AY,MATCH($B$4,Database!$E$1:$AY$1,0),FALSE)</f>
        <v/>
      </c>
      <c r="C127" s="30">
        <f>(Table13456789101112131415161734[[#This Row],[FRA]]-B126)/B126</f>
        <v/>
      </c>
      <c r="D127" s="31">
        <f>(Table13456789101112131415161734[[#This Row],[FRA]]-B115)/B115</f>
        <v/>
      </c>
    </row>
    <row r="128">
      <c r="A128" s="28" t="n">
        <v>36951</v>
      </c>
      <c r="B128" s="29">
        <f>VLOOKUP(A128,Database!$E:$AY,MATCH($B$4,Database!$E$1:$AY$1,0),FALSE)</f>
        <v/>
      </c>
      <c r="C128" s="30">
        <f>(Table13456789101112131415161734[[#This Row],[FRA]]-B127)/B127</f>
        <v/>
      </c>
      <c r="D128" s="31">
        <f>(Table13456789101112131415161734[[#This Row],[FRA]]-B116)/B116</f>
        <v/>
      </c>
    </row>
    <row r="129">
      <c r="A129" s="28" t="n">
        <v>36982</v>
      </c>
      <c r="B129" s="29">
        <f>VLOOKUP(A129,Database!$E:$AY,MATCH($B$4,Database!$E$1:$AY$1,0),FALSE)</f>
        <v/>
      </c>
      <c r="C129" s="30">
        <f>(Table13456789101112131415161734[[#This Row],[FRA]]-B128)/B128</f>
        <v/>
      </c>
      <c r="D129" s="31">
        <f>(Table13456789101112131415161734[[#This Row],[FRA]]-B117)/B117</f>
        <v/>
      </c>
    </row>
    <row r="130">
      <c r="A130" s="28" t="n">
        <v>37012</v>
      </c>
      <c r="B130" s="29">
        <f>VLOOKUP(A130,Database!$E:$AY,MATCH($B$4,Database!$E$1:$AY$1,0),FALSE)</f>
        <v/>
      </c>
      <c r="C130" s="30">
        <f>(Table13456789101112131415161734[[#This Row],[FRA]]-B129)/B129</f>
        <v/>
      </c>
      <c r="D130" s="31">
        <f>(Table13456789101112131415161734[[#This Row],[FRA]]-B118)/B118</f>
        <v/>
      </c>
    </row>
    <row r="131">
      <c r="A131" s="28" t="n">
        <v>37043</v>
      </c>
      <c r="B131" s="29">
        <f>VLOOKUP(A131,Database!$E:$AY,MATCH($B$4,Database!$E$1:$AY$1,0),FALSE)</f>
        <v/>
      </c>
      <c r="C131" s="30">
        <f>(Table13456789101112131415161734[[#This Row],[FRA]]-B130)/B130</f>
        <v/>
      </c>
      <c r="D131" s="31">
        <f>(Table13456789101112131415161734[[#This Row],[FRA]]-B119)/B119</f>
        <v/>
      </c>
    </row>
    <row r="132">
      <c r="A132" s="28" t="n">
        <v>37073</v>
      </c>
      <c r="B132" s="29">
        <f>VLOOKUP(A132,Database!$E:$AY,MATCH($B$4,Database!$E$1:$AY$1,0),FALSE)</f>
        <v/>
      </c>
      <c r="C132" s="30">
        <f>(Table13456789101112131415161734[[#This Row],[FRA]]-B131)/B131</f>
        <v/>
      </c>
      <c r="D132" s="31">
        <f>(Table13456789101112131415161734[[#This Row],[FRA]]-B120)/B120</f>
        <v/>
      </c>
    </row>
    <row r="133">
      <c r="A133" s="28" t="n">
        <v>37104</v>
      </c>
      <c r="B133" s="29">
        <f>VLOOKUP(A133,Database!$E:$AY,MATCH($B$4,Database!$E$1:$AY$1,0),FALSE)</f>
        <v/>
      </c>
      <c r="C133" s="30">
        <f>(Table13456789101112131415161734[[#This Row],[FRA]]-B132)/B132</f>
        <v/>
      </c>
      <c r="D133" s="31">
        <f>(Table13456789101112131415161734[[#This Row],[FRA]]-B121)/B121</f>
        <v/>
      </c>
    </row>
    <row r="134">
      <c r="A134" s="28" t="n">
        <v>37135</v>
      </c>
      <c r="B134" s="29">
        <f>VLOOKUP(A134,Database!$E:$AY,MATCH($B$4,Database!$E$1:$AY$1,0),FALSE)</f>
        <v/>
      </c>
      <c r="C134" s="30">
        <f>(Table13456789101112131415161734[[#This Row],[FRA]]-B133)/B133</f>
        <v/>
      </c>
      <c r="D134" s="31">
        <f>(Table13456789101112131415161734[[#This Row],[FRA]]-B122)/B122</f>
        <v/>
      </c>
    </row>
    <row r="135">
      <c r="A135" s="28" t="n">
        <v>37165</v>
      </c>
      <c r="B135" s="29">
        <f>VLOOKUP(A135,Database!$E:$AY,MATCH($B$4,Database!$E$1:$AY$1,0),FALSE)</f>
        <v/>
      </c>
      <c r="C135" s="30">
        <f>(Table13456789101112131415161734[[#This Row],[FRA]]-B134)/B134</f>
        <v/>
      </c>
      <c r="D135" s="31">
        <f>(Table13456789101112131415161734[[#This Row],[FRA]]-B123)/B123</f>
        <v/>
      </c>
    </row>
    <row r="136">
      <c r="A136" s="28" t="n">
        <v>37196</v>
      </c>
      <c r="B136" s="29">
        <f>VLOOKUP(A136,Database!$E:$AY,MATCH($B$4,Database!$E$1:$AY$1,0),FALSE)</f>
        <v/>
      </c>
      <c r="C136" s="30">
        <f>(Table13456789101112131415161734[[#This Row],[FRA]]-B135)/B135</f>
        <v/>
      </c>
      <c r="D136" s="31">
        <f>(Table13456789101112131415161734[[#This Row],[FRA]]-B124)/B124</f>
        <v/>
      </c>
    </row>
    <row r="137">
      <c r="A137" s="28" t="n">
        <v>37226</v>
      </c>
      <c r="B137" s="29">
        <f>VLOOKUP(A137,Database!$E:$AY,MATCH($B$4,Database!$E$1:$AY$1,0),FALSE)</f>
        <v/>
      </c>
      <c r="C137" s="30">
        <f>(Table13456789101112131415161734[[#This Row],[FRA]]-B136)/B136</f>
        <v/>
      </c>
      <c r="D137" s="31">
        <f>(Table13456789101112131415161734[[#This Row],[FRA]]-B125)/B125</f>
        <v/>
      </c>
    </row>
    <row r="138">
      <c r="A138" s="28" t="n">
        <v>37257</v>
      </c>
      <c r="B138" s="29">
        <f>VLOOKUP(A138,Database!$E:$AY,MATCH($B$4,Database!$E$1:$AY$1,0),FALSE)</f>
        <v/>
      </c>
      <c r="C138" s="30">
        <f>(Table13456789101112131415161734[[#This Row],[FRA]]-B137)/B137</f>
        <v/>
      </c>
      <c r="D138" s="31">
        <f>(Table13456789101112131415161734[[#This Row],[FRA]]-B126)/B126</f>
        <v/>
      </c>
    </row>
    <row r="139">
      <c r="A139" s="28" t="n">
        <v>37288</v>
      </c>
      <c r="B139" s="29">
        <f>VLOOKUP(A139,Database!$E:$AY,MATCH($B$4,Database!$E$1:$AY$1,0),FALSE)</f>
        <v/>
      </c>
      <c r="C139" s="30">
        <f>(Table13456789101112131415161734[[#This Row],[FRA]]-B138)/B138</f>
        <v/>
      </c>
      <c r="D139" s="31">
        <f>(Table13456789101112131415161734[[#This Row],[FRA]]-B127)/B127</f>
        <v/>
      </c>
    </row>
    <row r="140">
      <c r="A140" s="28" t="n">
        <v>37316</v>
      </c>
      <c r="B140" s="29">
        <f>VLOOKUP(A140,Database!$E:$AY,MATCH($B$4,Database!$E$1:$AY$1,0),FALSE)</f>
        <v/>
      </c>
      <c r="C140" s="30">
        <f>(Table13456789101112131415161734[[#This Row],[FRA]]-B139)/B139</f>
        <v/>
      </c>
      <c r="D140" s="31">
        <f>(Table13456789101112131415161734[[#This Row],[FRA]]-B128)/B128</f>
        <v/>
      </c>
    </row>
    <row r="141">
      <c r="A141" s="28" t="n">
        <v>37347</v>
      </c>
      <c r="B141" s="29">
        <f>VLOOKUP(A141,Database!$E:$AY,MATCH($B$4,Database!$E$1:$AY$1,0),FALSE)</f>
        <v/>
      </c>
      <c r="C141" s="30">
        <f>(Table13456789101112131415161734[[#This Row],[FRA]]-B140)/B140</f>
        <v/>
      </c>
      <c r="D141" s="31">
        <f>(Table13456789101112131415161734[[#This Row],[FRA]]-B129)/B129</f>
        <v/>
      </c>
    </row>
    <row r="142">
      <c r="A142" s="28" t="n">
        <v>37377</v>
      </c>
      <c r="B142" s="29">
        <f>VLOOKUP(A142,Database!$E:$AY,MATCH($B$4,Database!$E$1:$AY$1,0),FALSE)</f>
        <v/>
      </c>
      <c r="C142" s="30">
        <f>(Table13456789101112131415161734[[#This Row],[FRA]]-B141)/B141</f>
        <v/>
      </c>
      <c r="D142" s="31">
        <f>(Table13456789101112131415161734[[#This Row],[FRA]]-B130)/B130</f>
        <v/>
      </c>
    </row>
    <row r="143">
      <c r="A143" s="28" t="n">
        <v>37408</v>
      </c>
      <c r="B143" s="29">
        <f>VLOOKUP(A143,Database!$E:$AY,MATCH($B$4,Database!$E$1:$AY$1,0),FALSE)</f>
        <v/>
      </c>
      <c r="C143" s="30">
        <f>(Table13456789101112131415161734[[#This Row],[FRA]]-B142)/B142</f>
        <v/>
      </c>
      <c r="D143" s="31">
        <f>(Table13456789101112131415161734[[#This Row],[FRA]]-B131)/B131</f>
        <v/>
      </c>
    </row>
    <row r="144">
      <c r="A144" s="28" t="n">
        <v>37438</v>
      </c>
      <c r="B144" s="29">
        <f>VLOOKUP(A144,Database!$E:$AY,MATCH($B$4,Database!$E$1:$AY$1,0),FALSE)</f>
        <v/>
      </c>
      <c r="C144" s="30">
        <f>(Table13456789101112131415161734[[#This Row],[FRA]]-B143)/B143</f>
        <v/>
      </c>
      <c r="D144" s="31">
        <f>(Table13456789101112131415161734[[#This Row],[FRA]]-B132)/B132</f>
        <v/>
      </c>
    </row>
    <row r="145">
      <c r="A145" s="28" t="n">
        <v>37469</v>
      </c>
      <c r="B145" s="29">
        <f>VLOOKUP(A145,Database!$E:$AY,MATCH($B$4,Database!$E$1:$AY$1,0),FALSE)</f>
        <v/>
      </c>
      <c r="C145" s="30">
        <f>(Table13456789101112131415161734[[#This Row],[FRA]]-B144)/B144</f>
        <v/>
      </c>
      <c r="D145" s="31">
        <f>(Table13456789101112131415161734[[#This Row],[FRA]]-B133)/B133</f>
        <v/>
      </c>
    </row>
    <row r="146">
      <c r="A146" s="28" t="n">
        <v>37500</v>
      </c>
      <c r="B146" s="29">
        <f>VLOOKUP(A146,Database!$E:$AY,MATCH($B$4,Database!$E$1:$AY$1,0),FALSE)</f>
        <v/>
      </c>
      <c r="C146" s="30">
        <f>(Table13456789101112131415161734[[#This Row],[FRA]]-B145)/B145</f>
        <v/>
      </c>
      <c r="D146" s="31">
        <f>(Table13456789101112131415161734[[#This Row],[FRA]]-B134)/B134</f>
        <v/>
      </c>
    </row>
    <row r="147">
      <c r="A147" s="28" t="n">
        <v>37530</v>
      </c>
      <c r="B147" s="29">
        <f>VLOOKUP(A147,Database!$E:$AY,MATCH($B$4,Database!$E$1:$AY$1,0),FALSE)</f>
        <v/>
      </c>
      <c r="C147" s="30">
        <f>(Table13456789101112131415161734[[#This Row],[FRA]]-B146)/B146</f>
        <v/>
      </c>
      <c r="D147" s="31">
        <f>(Table13456789101112131415161734[[#This Row],[FRA]]-B135)/B135</f>
        <v/>
      </c>
    </row>
    <row r="148">
      <c r="A148" s="28" t="n">
        <v>37561</v>
      </c>
      <c r="B148" s="29">
        <f>VLOOKUP(A148,Database!$E:$AY,MATCH($B$4,Database!$E$1:$AY$1,0),FALSE)</f>
        <v/>
      </c>
      <c r="C148" s="30">
        <f>(Table13456789101112131415161734[[#This Row],[FRA]]-B147)/B147</f>
        <v/>
      </c>
      <c r="D148" s="31">
        <f>(Table13456789101112131415161734[[#This Row],[FRA]]-B136)/B136</f>
        <v/>
      </c>
    </row>
    <row r="149">
      <c r="A149" s="28" t="n">
        <v>37591</v>
      </c>
      <c r="B149" s="29">
        <f>VLOOKUP(A149,Database!$E:$AY,MATCH($B$4,Database!$E$1:$AY$1,0),FALSE)</f>
        <v/>
      </c>
      <c r="C149" s="30">
        <f>(Table13456789101112131415161734[[#This Row],[FRA]]-B148)/B148</f>
        <v/>
      </c>
      <c r="D149" s="31">
        <f>(Table13456789101112131415161734[[#This Row],[FRA]]-B137)/B137</f>
        <v/>
      </c>
    </row>
    <row r="150">
      <c r="A150" s="28" t="n">
        <v>37622</v>
      </c>
      <c r="B150" s="29">
        <f>VLOOKUP(A150,Database!$E:$AY,MATCH($B$4,Database!$E$1:$AY$1,0),FALSE)</f>
        <v/>
      </c>
      <c r="C150" s="30">
        <f>(Table13456789101112131415161734[[#This Row],[FRA]]-B149)/B149</f>
        <v/>
      </c>
      <c r="D150" s="31">
        <f>(Table13456789101112131415161734[[#This Row],[FRA]]-B138)/B138</f>
        <v/>
      </c>
    </row>
    <row r="151">
      <c r="A151" s="28" t="n">
        <v>37653</v>
      </c>
      <c r="B151" s="29">
        <f>VLOOKUP(A151,Database!$E:$AY,MATCH($B$4,Database!$E$1:$AY$1,0),FALSE)</f>
        <v/>
      </c>
      <c r="C151" s="30">
        <f>(Table13456789101112131415161734[[#This Row],[FRA]]-B150)/B150</f>
        <v/>
      </c>
      <c r="D151" s="31">
        <f>(Table13456789101112131415161734[[#This Row],[FRA]]-B139)/B139</f>
        <v/>
      </c>
    </row>
    <row r="152">
      <c r="A152" s="28" t="n">
        <v>37681</v>
      </c>
      <c r="B152" s="29">
        <f>VLOOKUP(A152,Database!$E:$AY,MATCH($B$4,Database!$E$1:$AY$1,0),FALSE)</f>
        <v/>
      </c>
      <c r="C152" s="30">
        <f>(Table13456789101112131415161734[[#This Row],[FRA]]-B151)/B151</f>
        <v/>
      </c>
      <c r="D152" s="31">
        <f>(Table13456789101112131415161734[[#This Row],[FRA]]-B140)/B140</f>
        <v/>
      </c>
    </row>
    <row r="153">
      <c r="A153" s="28" t="n">
        <v>37712</v>
      </c>
      <c r="B153" s="29">
        <f>VLOOKUP(A153,Database!$E:$AY,MATCH($B$4,Database!$E$1:$AY$1,0),FALSE)</f>
        <v/>
      </c>
      <c r="C153" s="30">
        <f>(Table13456789101112131415161734[[#This Row],[FRA]]-B152)/B152</f>
        <v/>
      </c>
      <c r="D153" s="31">
        <f>(Table13456789101112131415161734[[#This Row],[FRA]]-B141)/B141</f>
        <v/>
      </c>
    </row>
    <row r="154">
      <c r="A154" s="28" t="n">
        <v>37742</v>
      </c>
      <c r="B154" s="29">
        <f>VLOOKUP(A154,Database!$E:$AY,MATCH($B$4,Database!$E$1:$AY$1,0),FALSE)</f>
        <v/>
      </c>
      <c r="C154" s="30">
        <f>(Table13456789101112131415161734[[#This Row],[FRA]]-B153)/B153</f>
        <v/>
      </c>
      <c r="D154" s="31">
        <f>(Table13456789101112131415161734[[#This Row],[FRA]]-B142)/B142</f>
        <v/>
      </c>
    </row>
    <row r="155">
      <c r="A155" s="28" t="n">
        <v>37773</v>
      </c>
      <c r="B155" s="29">
        <f>VLOOKUP(A155,Database!$E:$AY,MATCH($B$4,Database!$E$1:$AY$1,0),FALSE)</f>
        <v/>
      </c>
      <c r="C155" s="30">
        <f>(Table13456789101112131415161734[[#This Row],[FRA]]-B154)/B154</f>
        <v/>
      </c>
      <c r="D155" s="31">
        <f>(Table13456789101112131415161734[[#This Row],[FRA]]-B143)/B143</f>
        <v/>
      </c>
    </row>
    <row r="156">
      <c r="A156" s="28" t="n">
        <v>37803</v>
      </c>
      <c r="B156" s="29">
        <f>VLOOKUP(A156,Database!$E:$AY,MATCH($B$4,Database!$E$1:$AY$1,0),FALSE)</f>
        <v/>
      </c>
      <c r="C156" s="30">
        <f>(Table13456789101112131415161734[[#This Row],[FRA]]-B155)/B155</f>
        <v/>
      </c>
      <c r="D156" s="31">
        <f>(Table13456789101112131415161734[[#This Row],[FRA]]-B144)/B144</f>
        <v/>
      </c>
    </row>
    <row r="157">
      <c r="A157" s="28" t="n">
        <v>37834</v>
      </c>
      <c r="B157" s="29">
        <f>VLOOKUP(A157,Database!$E:$AY,MATCH($B$4,Database!$E$1:$AY$1,0),FALSE)</f>
        <v/>
      </c>
      <c r="C157" s="30">
        <f>(Table13456789101112131415161734[[#This Row],[FRA]]-B156)/B156</f>
        <v/>
      </c>
      <c r="D157" s="31">
        <f>(Table13456789101112131415161734[[#This Row],[FRA]]-B145)/B145</f>
        <v/>
      </c>
    </row>
    <row r="158">
      <c r="A158" s="28" t="n">
        <v>37865</v>
      </c>
      <c r="B158" s="29">
        <f>VLOOKUP(A158,Database!$E:$AY,MATCH($B$4,Database!$E$1:$AY$1,0),FALSE)</f>
        <v/>
      </c>
      <c r="C158" s="30">
        <f>(Table13456789101112131415161734[[#This Row],[FRA]]-B157)/B157</f>
        <v/>
      </c>
      <c r="D158" s="31">
        <f>(Table13456789101112131415161734[[#This Row],[FRA]]-B146)/B146</f>
        <v/>
      </c>
    </row>
    <row r="159">
      <c r="A159" s="28" t="n">
        <v>37895</v>
      </c>
      <c r="B159" s="29">
        <f>VLOOKUP(A159,Database!$E:$AY,MATCH($B$4,Database!$E$1:$AY$1,0),FALSE)</f>
        <v/>
      </c>
      <c r="C159" s="30">
        <f>(Table13456789101112131415161734[[#This Row],[FRA]]-B158)/B158</f>
        <v/>
      </c>
      <c r="D159" s="31">
        <f>(Table13456789101112131415161734[[#This Row],[FRA]]-B147)/B147</f>
        <v/>
      </c>
    </row>
    <row r="160">
      <c r="A160" s="28" t="n">
        <v>37926</v>
      </c>
      <c r="B160" s="29">
        <f>VLOOKUP(A160,Database!$E:$AY,MATCH($B$4,Database!$E$1:$AY$1,0),FALSE)</f>
        <v/>
      </c>
      <c r="C160" s="30">
        <f>(Table13456789101112131415161734[[#This Row],[FRA]]-B159)/B159</f>
        <v/>
      </c>
      <c r="D160" s="31">
        <f>(Table13456789101112131415161734[[#This Row],[FRA]]-B148)/B148</f>
        <v/>
      </c>
    </row>
    <row r="161">
      <c r="A161" s="28" t="n">
        <v>37956</v>
      </c>
      <c r="B161" s="29">
        <f>VLOOKUP(A161,Database!$E:$AY,MATCH($B$4,Database!$E$1:$AY$1,0),FALSE)</f>
        <v/>
      </c>
      <c r="C161" s="30">
        <f>(Table13456789101112131415161734[[#This Row],[FRA]]-B160)/B160</f>
        <v/>
      </c>
      <c r="D161" s="31">
        <f>(Table13456789101112131415161734[[#This Row],[FRA]]-B149)/B149</f>
        <v/>
      </c>
    </row>
    <row r="162">
      <c r="A162" s="28" t="n">
        <v>37987</v>
      </c>
      <c r="B162" s="29">
        <f>VLOOKUP(A162,Database!$E:$AY,MATCH($B$4,Database!$E$1:$AY$1,0),FALSE)</f>
        <v/>
      </c>
      <c r="C162" s="30">
        <f>(Table13456789101112131415161734[[#This Row],[FRA]]-B161)/B161</f>
        <v/>
      </c>
      <c r="D162" s="31">
        <f>(Table13456789101112131415161734[[#This Row],[FRA]]-B150)/B150</f>
        <v/>
      </c>
    </row>
    <row r="163">
      <c r="A163" s="28" t="n">
        <v>38018</v>
      </c>
      <c r="B163" s="29">
        <f>VLOOKUP(A163,Database!$E:$AY,MATCH($B$4,Database!$E$1:$AY$1,0),FALSE)</f>
        <v/>
      </c>
      <c r="C163" s="30">
        <f>(Table13456789101112131415161734[[#This Row],[FRA]]-B162)/B162</f>
        <v/>
      </c>
      <c r="D163" s="31">
        <f>(Table13456789101112131415161734[[#This Row],[FRA]]-B151)/B151</f>
        <v/>
      </c>
    </row>
    <row r="164">
      <c r="A164" s="28" t="n">
        <v>38047</v>
      </c>
      <c r="B164" s="29">
        <f>VLOOKUP(A164,Database!$E:$AY,MATCH($B$4,Database!$E$1:$AY$1,0),FALSE)</f>
        <v/>
      </c>
      <c r="C164" s="30">
        <f>(Table13456789101112131415161734[[#This Row],[FRA]]-B163)/B163</f>
        <v/>
      </c>
      <c r="D164" s="31">
        <f>(Table13456789101112131415161734[[#This Row],[FRA]]-B152)/B152</f>
        <v/>
      </c>
    </row>
    <row r="165">
      <c r="A165" s="28" t="n">
        <v>38078</v>
      </c>
      <c r="B165" s="29">
        <f>VLOOKUP(A165,Database!$E:$AY,MATCH($B$4,Database!$E$1:$AY$1,0),FALSE)</f>
        <v/>
      </c>
      <c r="C165" s="30">
        <f>(Table13456789101112131415161734[[#This Row],[FRA]]-B164)/B164</f>
        <v/>
      </c>
      <c r="D165" s="31">
        <f>(Table13456789101112131415161734[[#This Row],[FRA]]-B153)/B153</f>
        <v/>
      </c>
    </row>
    <row r="166">
      <c r="A166" s="28" t="n">
        <v>38108</v>
      </c>
      <c r="B166" s="29">
        <f>VLOOKUP(A166,Database!$E:$AY,MATCH($B$4,Database!$E$1:$AY$1,0),FALSE)</f>
        <v/>
      </c>
      <c r="C166" s="30">
        <f>(Table13456789101112131415161734[[#This Row],[FRA]]-B165)/B165</f>
        <v/>
      </c>
      <c r="D166" s="31">
        <f>(Table13456789101112131415161734[[#This Row],[FRA]]-B154)/B154</f>
        <v/>
      </c>
    </row>
    <row r="167">
      <c r="A167" s="28" t="n">
        <v>38139</v>
      </c>
      <c r="B167" s="29">
        <f>VLOOKUP(A167,Database!$E:$AY,MATCH($B$4,Database!$E$1:$AY$1,0),FALSE)</f>
        <v/>
      </c>
      <c r="C167" s="30">
        <f>(Table13456789101112131415161734[[#This Row],[FRA]]-B166)/B166</f>
        <v/>
      </c>
      <c r="D167" s="31">
        <f>(Table13456789101112131415161734[[#This Row],[FRA]]-B155)/B155</f>
        <v/>
      </c>
    </row>
    <row r="168">
      <c r="A168" s="28" t="n">
        <v>38169</v>
      </c>
      <c r="B168" s="29">
        <f>VLOOKUP(A168,Database!$E:$AY,MATCH($B$4,Database!$E$1:$AY$1,0),FALSE)</f>
        <v/>
      </c>
      <c r="C168" s="30">
        <f>(Table13456789101112131415161734[[#This Row],[FRA]]-B167)/B167</f>
        <v/>
      </c>
      <c r="D168" s="31">
        <f>(Table13456789101112131415161734[[#This Row],[FRA]]-B156)/B156</f>
        <v/>
      </c>
    </row>
    <row r="169">
      <c r="A169" s="28" t="n">
        <v>38200</v>
      </c>
      <c r="B169" s="29">
        <f>VLOOKUP(A169,Database!$E:$AY,MATCH($B$4,Database!$E$1:$AY$1,0),FALSE)</f>
        <v/>
      </c>
      <c r="C169" s="30">
        <f>(Table13456789101112131415161734[[#This Row],[FRA]]-B168)/B168</f>
        <v/>
      </c>
      <c r="D169" s="31">
        <f>(Table13456789101112131415161734[[#This Row],[FRA]]-B157)/B157</f>
        <v/>
      </c>
    </row>
    <row r="170">
      <c r="A170" s="28" t="n">
        <v>38231</v>
      </c>
      <c r="B170" s="29">
        <f>VLOOKUP(A170,Database!$E:$AY,MATCH($B$4,Database!$E$1:$AY$1,0),FALSE)</f>
        <v/>
      </c>
      <c r="C170" s="30">
        <f>(Table13456789101112131415161734[[#This Row],[FRA]]-B169)/B169</f>
        <v/>
      </c>
      <c r="D170" s="31">
        <f>(Table13456789101112131415161734[[#This Row],[FRA]]-B158)/B158</f>
        <v/>
      </c>
    </row>
    <row r="171">
      <c r="A171" s="28" t="n">
        <v>38261</v>
      </c>
      <c r="B171" s="29">
        <f>VLOOKUP(A171,Database!$E:$AY,MATCH($B$4,Database!$E$1:$AY$1,0),FALSE)</f>
        <v/>
      </c>
      <c r="C171" s="30">
        <f>(Table13456789101112131415161734[[#This Row],[FRA]]-B170)/B170</f>
        <v/>
      </c>
      <c r="D171" s="31">
        <f>(Table13456789101112131415161734[[#This Row],[FRA]]-B159)/B159</f>
        <v/>
      </c>
    </row>
    <row r="172">
      <c r="A172" s="28" t="n">
        <v>38292</v>
      </c>
      <c r="B172" s="29">
        <f>VLOOKUP(A172,Database!$E:$AY,MATCH($B$4,Database!$E$1:$AY$1,0),FALSE)</f>
        <v/>
      </c>
      <c r="C172" s="30">
        <f>(Table13456789101112131415161734[[#This Row],[FRA]]-B171)/B171</f>
        <v/>
      </c>
      <c r="D172" s="31">
        <f>(Table13456789101112131415161734[[#This Row],[FRA]]-B160)/B160</f>
        <v/>
      </c>
    </row>
    <row r="173">
      <c r="A173" s="28" t="n">
        <v>38322</v>
      </c>
      <c r="B173" s="29">
        <f>VLOOKUP(A173,Database!$E:$AY,MATCH($B$4,Database!$E$1:$AY$1,0),FALSE)</f>
        <v/>
      </c>
      <c r="C173" s="30">
        <f>(Table13456789101112131415161734[[#This Row],[FRA]]-B172)/B172</f>
        <v/>
      </c>
      <c r="D173" s="31">
        <f>(Table13456789101112131415161734[[#This Row],[FRA]]-B161)/B161</f>
        <v/>
      </c>
    </row>
    <row r="174">
      <c r="A174" s="28" t="n">
        <v>38353</v>
      </c>
      <c r="B174" s="29">
        <f>VLOOKUP(A174,Database!$E:$AY,MATCH($B$4,Database!$E$1:$AY$1,0),FALSE)</f>
        <v/>
      </c>
      <c r="C174" s="30">
        <f>(Table13456789101112131415161734[[#This Row],[FRA]]-B173)/B173</f>
        <v/>
      </c>
      <c r="D174" s="31">
        <f>(Table13456789101112131415161734[[#This Row],[FRA]]-B162)/B162</f>
        <v/>
      </c>
    </row>
    <row r="175">
      <c r="A175" s="28" t="n">
        <v>38384</v>
      </c>
      <c r="B175" s="29">
        <f>VLOOKUP(A175,Database!$E:$AY,MATCH($B$4,Database!$E$1:$AY$1,0),FALSE)</f>
        <v/>
      </c>
      <c r="C175" s="30">
        <f>(Table13456789101112131415161734[[#This Row],[FRA]]-B174)/B174</f>
        <v/>
      </c>
      <c r="D175" s="31">
        <f>(Table13456789101112131415161734[[#This Row],[FRA]]-B163)/B163</f>
        <v/>
      </c>
    </row>
    <row r="176">
      <c r="A176" s="28" t="n">
        <v>38412</v>
      </c>
      <c r="B176" s="29">
        <f>VLOOKUP(A176,Database!$E:$AY,MATCH($B$4,Database!$E$1:$AY$1,0),FALSE)</f>
        <v/>
      </c>
      <c r="C176" s="30">
        <f>(Table13456789101112131415161734[[#This Row],[FRA]]-B175)/B175</f>
        <v/>
      </c>
      <c r="D176" s="31">
        <f>(Table13456789101112131415161734[[#This Row],[FRA]]-B164)/B164</f>
        <v/>
      </c>
    </row>
    <row r="177">
      <c r="A177" s="28" t="n">
        <v>38443</v>
      </c>
      <c r="B177" s="29">
        <f>VLOOKUP(A177,Database!$E:$AY,MATCH($B$4,Database!$E$1:$AY$1,0),FALSE)</f>
        <v/>
      </c>
      <c r="C177" s="30">
        <f>(Table13456789101112131415161734[[#This Row],[FRA]]-B176)/B176</f>
        <v/>
      </c>
      <c r="D177" s="31">
        <f>(Table13456789101112131415161734[[#This Row],[FRA]]-B165)/B165</f>
        <v/>
      </c>
    </row>
    <row r="178">
      <c r="A178" s="28" t="n">
        <v>38473</v>
      </c>
      <c r="B178" s="29">
        <f>VLOOKUP(A178,Database!$E:$AY,MATCH($B$4,Database!$E$1:$AY$1,0),FALSE)</f>
        <v/>
      </c>
      <c r="C178" s="30">
        <f>(Table13456789101112131415161734[[#This Row],[FRA]]-B177)/B177</f>
        <v/>
      </c>
      <c r="D178" s="31">
        <f>(Table13456789101112131415161734[[#This Row],[FRA]]-B166)/B166</f>
        <v/>
      </c>
    </row>
    <row r="179">
      <c r="A179" s="28" t="n">
        <v>38504</v>
      </c>
      <c r="B179" s="29">
        <f>VLOOKUP(A179,Database!$E:$AY,MATCH($B$4,Database!$E$1:$AY$1,0),FALSE)</f>
        <v/>
      </c>
      <c r="C179" s="30">
        <f>(Table13456789101112131415161734[[#This Row],[FRA]]-B178)/B178</f>
        <v/>
      </c>
      <c r="D179" s="31">
        <f>(Table13456789101112131415161734[[#This Row],[FRA]]-B167)/B167</f>
        <v/>
      </c>
    </row>
    <row r="180">
      <c r="A180" s="28" t="n">
        <v>38534</v>
      </c>
      <c r="B180" s="29">
        <f>VLOOKUP(A180,Database!$E:$AY,MATCH($B$4,Database!$E$1:$AY$1,0),FALSE)</f>
        <v/>
      </c>
      <c r="C180" s="30">
        <f>(Table13456789101112131415161734[[#This Row],[FRA]]-B179)/B179</f>
        <v/>
      </c>
      <c r="D180" s="31">
        <f>(Table13456789101112131415161734[[#This Row],[FRA]]-B168)/B168</f>
        <v/>
      </c>
    </row>
    <row r="181">
      <c r="A181" s="28" t="n">
        <v>38565</v>
      </c>
      <c r="B181" s="29">
        <f>VLOOKUP(A181,Database!$E:$AY,MATCH($B$4,Database!$E$1:$AY$1,0),FALSE)</f>
        <v/>
      </c>
      <c r="C181" s="30">
        <f>(Table13456789101112131415161734[[#This Row],[FRA]]-B180)/B180</f>
        <v/>
      </c>
      <c r="D181" s="31">
        <f>(Table13456789101112131415161734[[#This Row],[FRA]]-B169)/B169</f>
        <v/>
      </c>
    </row>
    <row r="182">
      <c r="A182" s="28" t="n">
        <v>38596</v>
      </c>
      <c r="B182" s="29">
        <f>VLOOKUP(A182,Database!$E:$AY,MATCH($B$4,Database!$E$1:$AY$1,0),FALSE)</f>
        <v/>
      </c>
      <c r="C182" s="30">
        <f>(Table13456789101112131415161734[[#This Row],[FRA]]-B181)/B181</f>
        <v/>
      </c>
      <c r="D182" s="31">
        <f>(Table13456789101112131415161734[[#This Row],[FRA]]-B170)/B170</f>
        <v/>
      </c>
    </row>
    <row r="183">
      <c r="A183" s="28" t="n">
        <v>38626</v>
      </c>
      <c r="B183" s="29">
        <f>VLOOKUP(A183,Database!$E:$AY,MATCH($B$4,Database!$E$1:$AY$1,0),FALSE)</f>
        <v/>
      </c>
      <c r="C183" s="30">
        <f>(Table13456789101112131415161734[[#This Row],[FRA]]-B182)/B182</f>
        <v/>
      </c>
      <c r="D183" s="31">
        <f>(Table13456789101112131415161734[[#This Row],[FRA]]-B171)/B171</f>
        <v/>
      </c>
    </row>
    <row r="184">
      <c r="A184" s="28" t="n">
        <v>38657</v>
      </c>
      <c r="B184" s="29">
        <f>VLOOKUP(A184,Database!$E:$AY,MATCH($B$4,Database!$E$1:$AY$1,0),FALSE)</f>
        <v/>
      </c>
      <c r="C184" s="30">
        <f>(Table13456789101112131415161734[[#This Row],[FRA]]-B183)/B183</f>
        <v/>
      </c>
      <c r="D184" s="31">
        <f>(Table13456789101112131415161734[[#This Row],[FRA]]-B172)/B172</f>
        <v/>
      </c>
    </row>
    <row r="185">
      <c r="A185" s="28" t="n">
        <v>38687</v>
      </c>
      <c r="B185" s="29">
        <f>VLOOKUP(A185,Database!$E:$AY,MATCH($B$4,Database!$E$1:$AY$1,0),FALSE)</f>
        <v/>
      </c>
      <c r="C185" s="30">
        <f>(Table13456789101112131415161734[[#This Row],[FRA]]-B184)/B184</f>
        <v/>
      </c>
      <c r="D185" s="31">
        <f>(Table13456789101112131415161734[[#This Row],[FRA]]-B173)/B173</f>
        <v/>
      </c>
    </row>
    <row r="186">
      <c r="A186" s="28" t="n">
        <v>38718</v>
      </c>
      <c r="B186" s="29">
        <f>VLOOKUP(A186,Database!$E:$AY,MATCH($B$4,Database!$E$1:$AY$1,0),FALSE)</f>
        <v/>
      </c>
      <c r="C186" s="30">
        <f>(Table13456789101112131415161734[[#This Row],[FRA]]-B185)/B185</f>
        <v/>
      </c>
      <c r="D186" s="31">
        <f>(Table13456789101112131415161734[[#This Row],[FRA]]-B174)/B174</f>
        <v/>
      </c>
    </row>
    <row r="187">
      <c r="A187" s="28" t="n">
        <v>38749</v>
      </c>
      <c r="B187" s="29">
        <f>VLOOKUP(A187,Database!$E:$AY,MATCH($B$4,Database!$E$1:$AY$1,0),FALSE)</f>
        <v/>
      </c>
      <c r="C187" s="30">
        <f>(Table13456789101112131415161734[[#This Row],[FRA]]-B186)/B186</f>
        <v/>
      </c>
      <c r="D187" s="31">
        <f>(Table13456789101112131415161734[[#This Row],[FRA]]-B175)/B175</f>
        <v/>
      </c>
    </row>
    <row r="188">
      <c r="A188" s="28" t="n">
        <v>38777</v>
      </c>
      <c r="B188" s="29">
        <f>VLOOKUP(A188,Database!$E:$AY,MATCH($B$4,Database!$E$1:$AY$1,0),FALSE)</f>
        <v/>
      </c>
      <c r="C188" s="30">
        <f>(Table13456789101112131415161734[[#This Row],[FRA]]-B187)/B187</f>
        <v/>
      </c>
      <c r="D188" s="31">
        <f>(Table13456789101112131415161734[[#This Row],[FRA]]-B176)/B176</f>
        <v/>
      </c>
    </row>
    <row r="189">
      <c r="A189" s="28" t="n">
        <v>38808</v>
      </c>
      <c r="B189" s="29">
        <f>VLOOKUP(A189,Database!$E:$AY,MATCH($B$4,Database!$E$1:$AY$1,0),FALSE)</f>
        <v/>
      </c>
      <c r="C189" s="30">
        <f>(Table13456789101112131415161734[[#This Row],[FRA]]-B188)/B188</f>
        <v/>
      </c>
      <c r="D189" s="31">
        <f>(Table13456789101112131415161734[[#This Row],[FRA]]-B177)/B177</f>
        <v/>
      </c>
    </row>
    <row r="190">
      <c r="A190" s="28" t="n">
        <v>38838</v>
      </c>
      <c r="B190" s="29">
        <f>VLOOKUP(A190,Database!$E:$AY,MATCH($B$4,Database!$E$1:$AY$1,0),FALSE)</f>
        <v/>
      </c>
      <c r="C190" s="30">
        <f>(Table13456789101112131415161734[[#This Row],[FRA]]-B189)/B189</f>
        <v/>
      </c>
      <c r="D190" s="31">
        <f>(Table13456789101112131415161734[[#This Row],[FRA]]-B178)/B178</f>
        <v/>
      </c>
    </row>
    <row r="191">
      <c r="A191" s="28" t="n">
        <v>38869</v>
      </c>
      <c r="B191" s="29">
        <f>VLOOKUP(A191,Database!$E:$AY,MATCH($B$4,Database!$E$1:$AY$1,0),FALSE)</f>
        <v/>
      </c>
      <c r="C191" s="30">
        <f>(Table13456789101112131415161734[[#This Row],[FRA]]-B190)/B190</f>
        <v/>
      </c>
      <c r="D191" s="31">
        <f>(Table13456789101112131415161734[[#This Row],[FRA]]-B179)/B179</f>
        <v/>
      </c>
    </row>
    <row r="192">
      <c r="A192" s="28" t="n">
        <v>38899</v>
      </c>
      <c r="B192" s="29">
        <f>VLOOKUP(A192,Database!$E:$AY,MATCH($B$4,Database!$E$1:$AY$1,0),FALSE)</f>
        <v/>
      </c>
      <c r="C192" s="30">
        <f>(Table13456789101112131415161734[[#This Row],[FRA]]-B191)/B191</f>
        <v/>
      </c>
      <c r="D192" s="31">
        <f>(Table13456789101112131415161734[[#This Row],[FRA]]-B180)/B180</f>
        <v/>
      </c>
    </row>
    <row r="193">
      <c r="A193" s="28" t="n">
        <v>38930</v>
      </c>
      <c r="B193" s="29">
        <f>VLOOKUP(A193,Database!$E:$AY,MATCH($B$4,Database!$E$1:$AY$1,0),FALSE)</f>
        <v/>
      </c>
      <c r="C193" s="30">
        <f>(Table13456789101112131415161734[[#This Row],[FRA]]-B192)/B192</f>
        <v/>
      </c>
      <c r="D193" s="31">
        <f>(Table13456789101112131415161734[[#This Row],[FRA]]-B181)/B181</f>
        <v/>
      </c>
    </row>
    <row r="194">
      <c r="A194" s="28" t="n">
        <v>38961</v>
      </c>
      <c r="B194" s="29">
        <f>VLOOKUP(A194,Database!$E:$AY,MATCH($B$4,Database!$E$1:$AY$1,0),FALSE)</f>
        <v/>
      </c>
      <c r="C194" s="30">
        <f>(Table13456789101112131415161734[[#This Row],[FRA]]-B193)/B193</f>
        <v/>
      </c>
      <c r="D194" s="31">
        <f>(Table13456789101112131415161734[[#This Row],[FRA]]-B182)/B182</f>
        <v/>
      </c>
    </row>
    <row r="195">
      <c r="A195" s="28" t="n">
        <v>38991</v>
      </c>
      <c r="B195" s="29">
        <f>VLOOKUP(A195,Database!$E:$AY,MATCH($B$4,Database!$E$1:$AY$1,0),FALSE)</f>
        <v/>
      </c>
      <c r="C195" s="30">
        <f>(Table13456789101112131415161734[[#This Row],[FRA]]-B194)/B194</f>
        <v/>
      </c>
      <c r="D195" s="31">
        <f>(Table13456789101112131415161734[[#This Row],[FRA]]-B183)/B183</f>
        <v/>
      </c>
    </row>
    <row r="196">
      <c r="A196" s="28" t="n">
        <v>39022</v>
      </c>
      <c r="B196" s="29">
        <f>VLOOKUP(A196,Database!$E:$AY,MATCH($B$4,Database!$E$1:$AY$1,0),FALSE)</f>
        <v/>
      </c>
      <c r="C196" s="30">
        <f>(Table13456789101112131415161734[[#This Row],[FRA]]-B195)/B195</f>
        <v/>
      </c>
      <c r="D196" s="31">
        <f>(Table13456789101112131415161734[[#This Row],[FRA]]-B184)/B184</f>
        <v/>
      </c>
    </row>
    <row r="197">
      <c r="A197" s="28" t="n">
        <v>39052</v>
      </c>
      <c r="B197" s="29">
        <f>VLOOKUP(A197,Database!$E:$AY,MATCH($B$4,Database!$E$1:$AY$1,0),FALSE)</f>
        <v/>
      </c>
      <c r="C197" s="30">
        <f>(Table13456789101112131415161734[[#This Row],[FRA]]-B196)/B196</f>
        <v/>
      </c>
      <c r="D197" s="31">
        <f>(Table13456789101112131415161734[[#This Row],[FRA]]-B185)/B185</f>
        <v/>
      </c>
    </row>
    <row r="198">
      <c r="A198" s="28" t="n">
        <v>39083</v>
      </c>
      <c r="B198" s="29">
        <f>VLOOKUP(A198,Database!$E:$AY,MATCH($B$4,Database!$E$1:$AY$1,0),FALSE)</f>
        <v/>
      </c>
      <c r="C198" s="30">
        <f>(Table13456789101112131415161734[[#This Row],[FRA]]-B197)/B197</f>
        <v/>
      </c>
      <c r="D198" s="31">
        <f>(Table13456789101112131415161734[[#This Row],[FRA]]-B186)/B186</f>
        <v/>
      </c>
    </row>
    <row r="199">
      <c r="A199" s="28" t="n">
        <v>39114</v>
      </c>
      <c r="B199" s="29">
        <f>VLOOKUP(A199,Database!$E:$AY,MATCH($B$4,Database!$E$1:$AY$1,0),FALSE)</f>
        <v/>
      </c>
      <c r="C199" s="30">
        <f>(Table13456789101112131415161734[[#This Row],[FRA]]-B198)/B198</f>
        <v/>
      </c>
      <c r="D199" s="31">
        <f>(Table13456789101112131415161734[[#This Row],[FRA]]-B187)/B187</f>
        <v/>
      </c>
    </row>
    <row r="200">
      <c r="A200" s="28" t="n">
        <v>39142</v>
      </c>
      <c r="B200" s="29">
        <f>VLOOKUP(A200,Database!$E:$AY,MATCH($B$4,Database!$E$1:$AY$1,0),FALSE)</f>
        <v/>
      </c>
      <c r="C200" s="30">
        <f>(Table13456789101112131415161734[[#This Row],[FRA]]-B199)/B199</f>
        <v/>
      </c>
      <c r="D200" s="31">
        <f>(Table13456789101112131415161734[[#This Row],[FRA]]-B188)/B188</f>
        <v/>
      </c>
    </row>
    <row r="201">
      <c r="A201" s="28" t="n">
        <v>39173</v>
      </c>
      <c r="B201" s="29">
        <f>VLOOKUP(A201,Database!$E:$AY,MATCH($B$4,Database!$E$1:$AY$1,0),FALSE)</f>
        <v/>
      </c>
      <c r="C201" s="30">
        <f>(Table13456789101112131415161734[[#This Row],[FRA]]-B200)/B200</f>
        <v/>
      </c>
      <c r="D201" s="31">
        <f>(Table13456789101112131415161734[[#This Row],[FRA]]-B189)/B189</f>
        <v/>
      </c>
    </row>
    <row r="202">
      <c r="A202" s="28" t="n">
        <v>39203</v>
      </c>
      <c r="B202" s="29">
        <f>VLOOKUP(A202,Database!$E:$AY,MATCH($B$4,Database!$E$1:$AY$1,0),FALSE)</f>
        <v/>
      </c>
      <c r="C202" s="30">
        <f>(Table13456789101112131415161734[[#This Row],[FRA]]-B201)/B201</f>
        <v/>
      </c>
      <c r="D202" s="31">
        <f>(Table13456789101112131415161734[[#This Row],[FRA]]-B190)/B190</f>
        <v/>
      </c>
    </row>
    <row r="203">
      <c r="A203" s="28" t="n">
        <v>39234</v>
      </c>
      <c r="B203" s="29">
        <f>VLOOKUP(A203,Database!$E:$AY,MATCH($B$4,Database!$E$1:$AY$1,0),FALSE)</f>
        <v/>
      </c>
      <c r="C203" s="30">
        <f>(Table13456789101112131415161734[[#This Row],[FRA]]-B202)/B202</f>
        <v/>
      </c>
      <c r="D203" s="31">
        <f>(Table13456789101112131415161734[[#This Row],[FRA]]-B191)/B191</f>
        <v/>
      </c>
    </row>
    <row r="204">
      <c r="A204" s="28" t="n">
        <v>39264</v>
      </c>
      <c r="B204" s="29">
        <f>VLOOKUP(A204,Database!$E:$AY,MATCH($B$4,Database!$E$1:$AY$1,0),FALSE)</f>
        <v/>
      </c>
      <c r="C204" s="30">
        <f>(Table13456789101112131415161734[[#This Row],[FRA]]-B203)/B203</f>
        <v/>
      </c>
      <c r="D204" s="31">
        <f>(Table13456789101112131415161734[[#This Row],[FRA]]-B192)/B192</f>
        <v/>
      </c>
    </row>
    <row r="205">
      <c r="A205" s="28" t="n">
        <v>39295</v>
      </c>
      <c r="B205" s="29">
        <f>VLOOKUP(A205,Database!$E:$AY,MATCH($B$4,Database!$E$1:$AY$1,0),FALSE)</f>
        <v/>
      </c>
      <c r="C205" s="30">
        <f>(Table13456789101112131415161734[[#This Row],[FRA]]-B204)/B204</f>
        <v/>
      </c>
      <c r="D205" s="31">
        <f>(Table13456789101112131415161734[[#This Row],[FRA]]-B193)/B193</f>
        <v/>
      </c>
    </row>
    <row r="206">
      <c r="A206" s="28" t="n">
        <v>39326</v>
      </c>
      <c r="B206" s="29">
        <f>VLOOKUP(A206,Database!$E:$AY,MATCH($B$4,Database!$E$1:$AY$1,0),FALSE)</f>
        <v/>
      </c>
      <c r="C206" s="30">
        <f>(Table13456789101112131415161734[[#This Row],[FRA]]-B205)/B205</f>
        <v/>
      </c>
      <c r="D206" s="31">
        <f>(Table13456789101112131415161734[[#This Row],[FRA]]-B194)/B194</f>
        <v/>
      </c>
    </row>
    <row r="207">
      <c r="A207" s="28" t="n">
        <v>39356</v>
      </c>
      <c r="B207" s="29">
        <f>VLOOKUP(A207,Database!$E:$AY,MATCH($B$4,Database!$E$1:$AY$1,0),FALSE)</f>
        <v/>
      </c>
      <c r="C207" s="30">
        <f>(Table13456789101112131415161734[[#This Row],[FRA]]-B206)/B206</f>
        <v/>
      </c>
      <c r="D207" s="31">
        <f>(Table13456789101112131415161734[[#This Row],[FRA]]-B195)/B195</f>
        <v/>
      </c>
    </row>
    <row r="208">
      <c r="A208" s="28" t="n">
        <v>39387</v>
      </c>
      <c r="B208" s="29">
        <f>VLOOKUP(A208,Database!$E:$AY,MATCH($B$4,Database!$E$1:$AY$1,0),FALSE)</f>
        <v/>
      </c>
      <c r="C208" s="30">
        <f>(Table13456789101112131415161734[[#This Row],[FRA]]-B207)/B207</f>
        <v/>
      </c>
      <c r="D208" s="31">
        <f>(Table13456789101112131415161734[[#This Row],[FRA]]-B196)/B196</f>
        <v/>
      </c>
    </row>
    <row r="209">
      <c r="A209" s="28" t="n">
        <v>39417</v>
      </c>
      <c r="B209" s="29">
        <f>VLOOKUP(A209,Database!$E:$AY,MATCH($B$4,Database!$E$1:$AY$1,0),FALSE)</f>
        <v/>
      </c>
      <c r="C209" s="30">
        <f>(Table13456789101112131415161734[[#This Row],[FRA]]-B208)/B208</f>
        <v/>
      </c>
      <c r="D209" s="31">
        <f>(Table13456789101112131415161734[[#This Row],[FRA]]-B197)/B197</f>
        <v/>
      </c>
    </row>
    <row r="210">
      <c r="A210" s="28" t="n">
        <v>39448</v>
      </c>
      <c r="B210" s="29">
        <f>VLOOKUP(A210,Database!$E:$AY,MATCH($B$4,Database!$E$1:$AY$1,0),FALSE)</f>
        <v/>
      </c>
      <c r="C210" s="30">
        <f>(Table13456789101112131415161734[[#This Row],[FRA]]-B209)/B209</f>
        <v/>
      </c>
      <c r="D210" s="31">
        <f>(Table13456789101112131415161734[[#This Row],[FRA]]-B198)/B198</f>
        <v/>
      </c>
    </row>
    <row r="211">
      <c r="A211" s="28" t="n">
        <v>39479</v>
      </c>
      <c r="B211" s="29">
        <f>VLOOKUP(A211,Database!$E:$AY,MATCH($B$4,Database!$E$1:$AY$1,0),FALSE)</f>
        <v/>
      </c>
      <c r="C211" s="30">
        <f>(Table13456789101112131415161734[[#This Row],[FRA]]-B210)/B210</f>
        <v/>
      </c>
      <c r="D211" s="31">
        <f>(Table13456789101112131415161734[[#This Row],[FRA]]-B199)/B199</f>
        <v/>
      </c>
    </row>
    <row r="212">
      <c r="A212" s="28" t="n">
        <v>39508</v>
      </c>
      <c r="B212" s="29">
        <f>VLOOKUP(A212,Database!$E:$AY,MATCH($B$4,Database!$E$1:$AY$1,0),FALSE)</f>
        <v/>
      </c>
      <c r="C212" s="30">
        <f>(Table13456789101112131415161734[[#This Row],[FRA]]-B211)/B211</f>
        <v/>
      </c>
      <c r="D212" s="31">
        <f>(Table13456789101112131415161734[[#This Row],[FRA]]-B200)/B200</f>
        <v/>
      </c>
    </row>
    <row r="213">
      <c r="A213" s="28" t="n">
        <v>39539</v>
      </c>
      <c r="B213" s="29">
        <f>VLOOKUP(A213,Database!$E:$AY,MATCH($B$4,Database!$E$1:$AY$1,0),FALSE)</f>
        <v/>
      </c>
      <c r="C213" s="30">
        <f>(Table13456789101112131415161734[[#This Row],[FRA]]-B212)/B212</f>
        <v/>
      </c>
      <c r="D213" s="31">
        <f>(Table13456789101112131415161734[[#This Row],[FRA]]-B201)/B201</f>
        <v/>
      </c>
    </row>
    <row r="214">
      <c r="A214" s="28" t="n">
        <v>39569</v>
      </c>
      <c r="B214" s="29">
        <f>VLOOKUP(A214,Database!$E:$AY,MATCH($B$4,Database!$E$1:$AY$1,0),FALSE)</f>
        <v/>
      </c>
      <c r="C214" s="30">
        <f>(Table13456789101112131415161734[[#This Row],[FRA]]-B213)/B213</f>
        <v/>
      </c>
      <c r="D214" s="31">
        <f>(Table13456789101112131415161734[[#This Row],[FRA]]-B202)/B202</f>
        <v/>
      </c>
    </row>
    <row r="215">
      <c r="A215" s="28" t="n">
        <v>39600</v>
      </c>
      <c r="B215" s="29">
        <f>VLOOKUP(A215,Database!$E:$AY,MATCH($B$4,Database!$E$1:$AY$1,0),FALSE)</f>
        <v/>
      </c>
      <c r="C215" s="30">
        <f>(Table13456789101112131415161734[[#This Row],[FRA]]-B214)/B214</f>
        <v/>
      </c>
      <c r="D215" s="31">
        <f>(Table13456789101112131415161734[[#This Row],[FRA]]-B203)/B203</f>
        <v/>
      </c>
    </row>
    <row r="216">
      <c r="A216" s="28" t="n">
        <v>39630</v>
      </c>
      <c r="B216" s="29">
        <f>VLOOKUP(A216,Database!$E:$AY,MATCH($B$4,Database!$E$1:$AY$1,0),FALSE)</f>
        <v/>
      </c>
      <c r="C216" s="30">
        <f>(Table13456789101112131415161734[[#This Row],[FRA]]-B215)/B215</f>
        <v/>
      </c>
      <c r="D216" s="31">
        <f>(Table13456789101112131415161734[[#This Row],[FRA]]-B204)/B204</f>
        <v/>
      </c>
    </row>
    <row r="217">
      <c r="A217" s="28" t="n">
        <v>39661</v>
      </c>
      <c r="B217" s="29">
        <f>VLOOKUP(A217,Database!$E:$AY,MATCH($B$4,Database!$E$1:$AY$1,0),FALSE)</f>
        <v/>
      </c>
      <c r="C217" s="30">
        <f>(Table13456789101112131415161734[[#This Row],[FRA]]-B216)/B216</f>
        <v/>
      </c>
      <c r="D217" s="31">
        <f>(Table13456789101112131415161734[[#This Row],[FRA]]-B205)/B205</f>
        <v/>
      </c>
    </row>
    <row r="218">
      <c r="A218" s="28" t="n">
        <v>39692</v>
      </c>
      <c r="B218" s="29">
        <f>VLOOKUP(A218,Database!$E:$AY,MATCH($B$4,Database!$E$1:$AY$1,0),FALSE)</f>
        <v/>
      </c>
      <c r="C218" s="30">
        <f>(Table13456789101112131415161734[[#This Row],[FRA]]-B217)/B217</f>
        <v/>
      </c>
      <c r="D218" s="31">
        <f>(Table13456789101112131415161734[[#This Row],[FRA]]-B206)/B206</f>
        <v/>
      </c>
    </row>
    <row r="219">
      <c r="A219" s="28" t="n">
        <v>39722</v>
      </c>
      <c r="B219" s="29">
        <f>VLOOKUP(A219,Database!$E:$AY,MATCH($B$4,Database!$E$1:$AY$1,0),FALSE)</f>
        <v/>
      </c>
      <c r="C219" s="30">
        <f>(Table13456789101112131415161734[[#This Row],[FRA]]-B218)/B218</f>
        <v/>
      </c>
      <c r="D219" s="31">
        <f>(Table13456789101112131415161734[[#This Row],[FRA]]-B207)/B207</f>
        <v/>
      </c>
    </row>
    <row r="220">
      <c r="A220" s="28" t="n">
        <v>39753</v>
      </c>
      <c r="B220" s="29">
        <f>VLOOKUP(A220,Database!$E:$AY,MATCH($B$4,Database!$E$1:$AY$1,0),FALSE)</f>
        <v/>
      </c>
      <c r="C220" s="30">
        <f>(Table13456789101112131415161734[[#This Row],[FRA]]-B219)/B219</f>
        <v/>
      </c>
      <c r="D220" s="31">
        <f>(Table13456789101112131415161734[[#This Row],[FRA]]-B208)/B208</f>
        <v/>
      </c>
    </row>
    <row r="221">
      <c r="A221" s="28" t="n">
        <v>39783</v>
      </c>
      <c r="B221" s="29">
        <f>VLOOKUP(A221,Database!$E:$AY,MATCH($B$4,Database!$E$1:$AY$1,0),FALSE)</f>
        <v/>
      </c>
      <c r="C221" s="30">
        <f>(Table13456789101112131415161734[[#This Row],[FRA]]-B220)/B220</f>
        <v/>
      </c>
      <c r="D221" s="31">
        <f>(Table13456789101112131415161734[[#This Row],[FRA]]-B209)/B209</f>
        <v/>
      </c>
    </row>
    <row r="222">
      <c r="A222" s="28" t="n">
        <v>39814</v>
      </c>
      <c r="B222" s="29">
        <f>VLOOKUP(A222,Database!$E:$AY,MATCH($B$4,Database!$E$1:$AY$1,0),FALSE)</f>
        <v/>
      </c>
      <c r="C222" s="30">
        <f>(Table13456789101112131415161734[[#This Row],[FRA]]-B221)/B221</f>
        <v/>
      </c>
      <c r="D222" s="31">
        <f>(Table13456789101112131415161734[[#This Row],[FRA]]-B210)/B210</f>
        <v/>
      </c>
    </row>
    <row r="223">
      <c r="A223" s="28" t="n">
        <v>39845</v>
      </c>
      <c r="B223" s="29">
        <f>VLOOKUP(A223,Database!$E:$AY,MATCH($B$4,Database!$E$1:$AY$1,0),FALSE)</f>
        <v/>
      </c>
      <c r="C223" s="30">
        <f>(Table13456789101112131415161734[[#This Row],[FRA]]-B222)/B222</f>
        <v/>
      </c>
      <c r="D223" s="31">
        <f>(Table13456789101112131415161734[[#This Row],[FRA]]-B211)/B211</f>
        <v/>
      </c>
    </row>
    <row r="224">
      <c r="A224" s="28" t="n">
        <v>39873</v>
      </c>
      <c r="B224" s="29">
        <f>VLOOKUP(A224,Database!$E:$AY,MATCH($B$4,Database!$E$1:$AY$1,0),FALSE)</f>
        <v/>
      </c>
      <c r="C224" s="30">
        <f>(Table13456789101112131415161734[[#This Row],[FRA]]-B223)/B223</f>
        <v/>
      </c>
      <c r="D224" s="31">
        <f>(Table13456789101112131415161734[[#This Row],[FRA]]-B212)/B212</f>
        <v/>
      </c>
    </row>
    <row r="225">
      <c r="A225" s="28" t="n">
        <v>39904</v>
      </c>
      <c r="B225" s="29">
        <f>VLOOKUP(A225,Database!$E:$AY,MATCH($B$4,Database!$E$1:$AY$1,0),FALSE)</f>
        <v/>
      </c>
      <c r="C225" s="30">
        <f>(Table13456789101112131415161734[[#This Row],[FRA]]-B224)/B224</f>
        <v/>
      </c>
      <c r="D225" s="31">
        <f>(Table13456789101112131415161734[[#This Row],[FRA]]-B213)/B213</f>
        <v/>
      </c>
    </row>
    <row r="226">
      <c r="A226" s="28" t="n">
        <v>39934</v>
      </c>
      <c r="B226" s="29">
        <f>VLOOKUP(A226,Database!$E:$AY,MATCH($B$4,Database!$E$1:$AY$1,0),FALSE)</f>
        <v/>
      </c>
      <c r="C226" s="30">
        <f>(Table13456789101112131415161734[[#This Row],[FRA]]-B225)/B225</f>
        <v/>
      </c>
      <c r="D226" s="31">
        <f>(Table13456789101112131415161734[[#This Row],[FRA]]-B214)/B214</f>
        <v/>
      </c>
    </row>
    <row r="227">
      <c r="A227" s="28" t="n">
        <v>39965</v>
      </c>
      <c r="B227" s="29">
        <f>VLOOKUP(A227,Database!$E:$AY,MATCH($B$4,Database!$E$1:$AY$1,0),FALSE)</f>
        <v/>
      </c>
      <c r="C227" s="30">
        <f>(Table13456789101112131415161734[[#This Row],[FRA]]-B226)/B226</f>
        <v/>
      </c>
      <c r="D227" s="31">
        <f>(Table13456789101112131415161734[[#This Row],[FRA]]-B215)/B215</f>
        <v/>
      </c>
    </row>
    <row r="228">
      <c r="A228" s="28" t="n">
        <v>39995</v>
      </c>
      <c r="B228" s="29">
        <f>VLOOKUP(A228,Database!$E:$AY,MATCH($B$4,Database!$E$1:$AY$1,0),FALSE)</f>
        <v/>
      </c>
      <c r="C228" s="30">
        <f>(Table13456789101112131415161734[[#This Row],[FRA]]-B227)/B227</f>
        <v/>
      </c>
      <c r="D228" s="31">
        <f>(Table13456789101112131415161734[[#This Row],[FRA]]-B216)/B216</f>
        <v/>
      </c>
    </row>
    <row r="229">
      <c r="A229" s="28" t="n">
        <v>40026</v>
      </c>
      <c r="B229" s="29">
        <f>VLOOKUP(A229,Database!$E:$AY,MATCH($B$4,Database!$E$1:$AY$1,0),FALSE)</f>
        <v/>
      </c>
      <c r="C229" s="30">
        <f>(Table13456789101112131415161734[[#This Row],[FRA]]-B228)/B228</f>
        <v/>
      </c>
      <c r="D229" s="31">
        <f>(Table13456789101112131415161734[[#This Row],[FRA]]-B217)/B217</f>
        <v/>
      </c>
    </row>
    <row r="230">
      <c r="A230" s="28" t="n">
        <v>40057</v>
      </c>
      <c r="B230" s="29">
        <f>VLOOKUP(A230,Database!$E:$AY,MATCH($B$4,Database!$E$1:$AY$1,0),FALSE)</f>
        <v/>
      </c>
      <c r="C230" s="30">
        <f>(Table13456789101112131415161734[[#This Row],[FRA]]-B229)/B229</f>
        <v/>
      </c>
      <c r="D230" s="31">
        <f>(Table13456789101112131415161734[[#This Row],[FRA]]-B218)/B218</f>
        <v/>
      </c>
    </row>
    <row r="231">
      <c r="A231" s="28" t="n">
        <v>40087</v>
      </c>
      <c r="B231" s="29">
        <f>VLOOKUP(A231,Database!$E:$AY,MATCH($B$4,Database!$E$1:$AY$1,0),FALSE)</f>
        <v/>
      </c>
      <c r="C231" s="30">
        <f>(Table13456789101112131415161734[[#This Row],[FRA]]-B230)/B230</f>
        <v/>
      </c>
      <c r="D231" s="31">
        <f>(Table13456789101112131415161734[[#This Row],[FRA]]-B219)/B219</f>
        <v/>
      </c>
    </row>
    <row r="232">
      <c r="A232" s="28" t="n">
        <v>40118</v>
      </c>
      <c r="B232" s="29">
        <f>VLOOKUP(A232,Database!$E:$AY,MATCH($B$4,Database!$E$1:$AY$1,0),FALSE)</f>
        <v/>
      </c>
      <c r="C232" s="30">
        <f>(Table13456789101112131415161734[[#This Row],[FRA]]-B231)/B231</f>
        <v/>
      </c>
      <c r="D232" s="31">
        <f>(Table13456789101112131415161734[[#This Row],[FRA]]-B220)/B220</f>
        <v/>
      </c>
    </row>
    <row r="233">
      <c r="A233" s="28" t="n">
        <v>40148</v>
      </c>
      <c r="B233" s="29">
        <f>VLOOKUP(A233,Database!$E:$AY,MATCH($B$4,Database!$E$1:$AY$1,0),FALSE)</f>
        <v/>
      </c>
      <c r="C233" s="30">
        <f>(Table13456789101112131415161734[[#This Row],[FRA]]-B232)/B232</f>
        <v/>
      </c>
      <c r="D233" s="31">
        <f>(Table13456789101112131415161734[[#This Row],[FRA]]-B221)/B221</f>
        <v/>
      </c>
    </row>
    <row r="234">
      <c r="A234" s="28" t="n">
        <v>40179</v>
      </c>
      <c r="B234" s="29">
        <f>VLOOKUP(A234,Database!$E:$AY,MATCH($B$4,Database!$E$1:$AY$1,0),FALSE)</f>
        <v/>
      </c>
      <c r="C234" s="30">
        <f>(Table13456789101112131415161734[[#This Row],[FRA]]-B233)/B233</f>
        <v/>
      </c>
      <c r="D234" s="31">
        <f>(Table13456789101112131415161734[[#This Row],[FRA]]-B222)/B222</f>
        <v/>
      </c>
    </row>
    <row r="235">
      <c r="A235" s="28" t="n">
        <v>40210</v>
      </c>
      <c r="B235" s="29">
        <f>VLOOKUP(A235,Database!$E:$AY,MATCH($B$4,Database!$E$1:$AY$1,0),FALSE)</f>
        <v/>
      </c>
      <c r="C235" s="30">
        <f>(Table13456789101112131415161734[[#This Row],[FRA]]-B234)/B234</f>
        <v/>
      </c>
      <c r="D235" s="31">
        <f>(Table13456789101112131415161734[[#This Row],[FRA]]-B223)/B223</f>
        <v/>
      </c>
    </row>
    <row r="236">
      <c r="A236" s="28" t="n">
        <v>40238</v>
      </c>
      <c r="B236" s="29">
        <f>VLOOKUP(A236,Database!$E:$AY,MATCH($B$4,Database!$E$1:$AY$1,0),FALSE)</f>
        <v/>
      </c>
      <c r="C236" s="30">
        <f>(Table13456789101112131415161734[[#This Row],[FRA]]-B235)/B235</f>
        <v/>
      </c>
      <c r="D236" s="31">
        <f>(Table13456789101112131415161734[[#This Row],[FRA]]-B224)/B224</f>
        <v/>
      </c>
    </row>
    <row r="237">
      <c r="A237" s="28" t="n">
        <v>40269</v>
      </c>
      <c r="B237" s="29">
        <f>VLOOKUP(A237,Database!$E:$AY,MATCH($B$4,Database!$E$1:$AY$1,0),FALSE)</f>
        <v/>
      </c>
      <c r="C237" s="30">
        <f>(Table13456789101112131415161734[[#This Row],[FRA]]-B236)/B236</f>
        <v/>
      </c>
      <c r="D237" s="31">
        <f>(Table13456789101112131415161734[[#This Row],[FRA]]-B225)/B225</f>
        <v/>
      </c>
    </row>
    <row r="238">
      <c r="A238" s="28" t="n">
        <v>40299</v>
      </c>
      <c r="B238" s="29">
        <f>VLOOKUP(A238,Database!$E:$AY,MATCH($B$4,Database!$E$1:$AY$1,0),FALSE)</f>
        <v/>
      </c>
      <c r="C238" s="30">
        <f>(Table13456789101112131415161734[[#This Row],[FRA]]-B237)/B237</f>
        <v/>
      </c>
      <c r="D238" s="31">
        <f>(Table13456789101112131415161734[[#This Row],[FRA]]-B226)/B226</f>
        <v/>
      </c>
    </row>
    <row r="239">
      <c r="A239" s="28" t="n">
        <v>40330</v>
      </c>
      <c r="B239" s="29">
        <f>VLOOKUP(A239,Database!$E:$AY,MATCH($B$4,Database!$E$1:$AY$1,0),FALSE)</f>
        <v/>
      </c>
      <c r="C239" s="30">
        <f>(Table13456789101112131415161734[[#This Row],[FRA]]-B238)/B238</f>
        <v/>
      </c>
      <c r="D239" s="31">
        <f>(Table13456789101112131415161734[[#This Row],[FRA]]-B227)/B227</f>
        <v/>
      </c>
    </row>
    <row r="240">
      <c r="A240" s="28" t="n">
        <v>40360</v>
      </c>
      <c r="B240" s="29">
        <f>VLOOKUP(A240,Database!$E:$AY,MATCH($B$4,Database!$E$1:$AY$1,0),FALSE)</f>
        <v/>
      </c>
      <c r="C240" s="30">
        <f>(Table13456789101112131415161734[[#This Row],[FRA]]-B239)/B239</f>
        <v/>
      </c>
      <c r="D240" s="31">
        <f>(Table13456789101112131415161734[[#This Row],[FRA]]-B228)/B228</f>
        <v/>
      </c>
    </row>
    <row r="241">
      <c r="A241" s="28" t="n">
        <v>40391</v>
      </c>
      <c r="B241" s="29">
        <f>VLOOKUP(A241,Database!$E:$AY,MATCH($B$4,Database!$E$1:$AY$1,0),FALSE)</f>
        <v/>
      </c>
      <c r="C241" s="30">
        <f>(Table13456789101112131415161734[[#This Row],[FRA]]-B240)/B240</f>
        <v/>
      </c>
      <c r="D241" s="31">
        <f>(Table13456789101112131415161734[[#This Row],[FRA]]-B229)/B229</f>
        <v/>
      </c>
    </row>
    <row r="242">
      <c r="A242" s="28" t="n">
        <v>40422</v>
      </c>
      <c r="B242" s="29">
        <f>VLOOKUP(A242,Database!$E:$AY,MATCH($B$4,Database!$E$1:$AY$1,0),FALSE)</f>
        <v/>
      </c>
      <c r="C242" s="30">
        <f>(Table13456789101112131415161734[[#This Row],[FRA]]-B241)/B241</f>
        <v/>
      </c>
      <c r="D242" s="31">
        <f>(Table13456789101112131415161734[[#This Row],[FRA]]-B230)/B230</f>
        <v/>
      </c>
    </row>
    <row r="243">
      <c r="A243" s="28" t="n">
        <v>40452</v>
      </c>
      <c r="B243" s="29">
        <f>VLOOKUP(A243,Database!$E:$AY,MATCH($B$4,Database!$E$1:$AY$1,0),FALSE)</f>
        <v/>
      </c>
      <c r="C243" s="30">
        <f>(Table13456789101112131415161734[[#This Row],[FRA]]-B242)/B242</f>
        <v/>
      </c>
      <c r="D243" s="31">
        <f>(Table13456789101112131415161734[[#This Row],[FRA]]-B231)/B231</f>
        <v/>
      </c>
    </row>
    <row r="244">
      <c r="A244" s="28" t="n">
        <v>40483</v>
      </c>
      <c r="B244" s="29">
        <f>VLOOKUP(A244,Database!$E:$AY,MATCH($B$4,Database!$E$1:$AY$1,0),FALSE)</f>
        <v/>
      </c>
      <c r="C244" s="30">
        <f>(Table13456789101112131415161734[[#This Row],[FRA]]-B243)/B243</f>
        <v/>
      </c>
      <c r="D244" s="31">
        <f>(Table13456789101112131415161734[[#This Row],[FRA]]-B232)/B232</f>
        <v/>
      </c>
    </row>
    <row r="245">
      <c r="A245" s="28" t="n">
        <v>40513</v>
      </c>
      <c r="B245" s="29">
        <f>VLOOKUP(A245,Database!$E:$AY,MATCH($B$4,Database!$E$1:$AY$1,0),FALSE)</f>
        <v/>
      </c>
      <c r="C245" s="30">
        <f>(Table13456789101112131415161734[[#This Row],[FRA]]-B244)/B244</f>
        <v/>
      </c>
      <c r="D245" s="31">
        <f>(Table13456789101112131415161734[[#This Row],[FRA]]-B233)/B233</f>
        <v/>
      </c>
    </row>
    <row r="246">
      <c r="A246" s="28" t="n">
        <v>40544</v>
      </c>
      <c r="B246" s="29">
        <f>VLOOKUP(A246,Database!$E:$AY,MATCH($B$4,Database!$E$1:$AY$1,0),FALSE)</f>
        <v/>
      </c>
      <c r="C246" s="30">
        <f>(Table13456789101112131415161734[[#This Row],[FRA]]-B245)/B245</f>
        <v/>
      </c>
      <c r="D246" s="31">
        <f>(Table13456789101112131415161734[[#This Row],[FRA]]-B234)/B234</f>
        <v/>
      </c>
    </row>
    <row r="247">
      <c r="A247" s="28" t="n">
        <v>40575</v>
      </c>
      <c r="B247" s="29">
        <f>VLOOKUP(A247,Database!$E:$AY,MATCH($B$4,Database!$E$1:$AY$1,0),FALSE)</f>
        <v/>
      </c>
      <c r="C247" s="30">
        <f>(Table13456789101112131415161734[[#This Row],[FRA]]-B246)/B246</f>
        <v/>
      </c>
      <c r="D247" s="31">
        <f>(Table13456789101112131415161734[[#This Row],[FRA]]-B235)/B235</f>
        <v/>
      </c>
    </row>
    <row r="248">
      <c r="A248" s="28" t="n">
        <v>40603</v>
      </c>
      <c r="B248" s="29">
        <f>VLOOKUP(A248,Database!$E:$AY,MATCH($B$4,Database!$E$1:$AY$1,0),FALSE)</f>
        <v/>
      </c>
      <c r="C248" s="30">
        <f>(Table13456789101112131415161734[[#This Row],[FRA]]-B247)/B247</f>
        <v/>
      </c>
      <c r="D248" s="31">
        <f>(Table13456789101112131415161734[[#This Row],[FRA]]-B236)/B236</f>
        <v/>
      </c>
    </row>
    <row r="249">
      <c r="A249" s="28" t="n">
        <v>40634</v>
      </c>
      <c r="B249" s="29">
        <f>VLOOKUP(A249,Database!$E:$AY,MATCH($B$4,Database!$E$1:$AY$1,0),FALSE)</f>
        <v/>
      </c>
      <c r="C249" s="30">
        <f>(Table13456789101112131415161734[[#This Row],[FRA]]-B248)/B248</f>
        <v/>
      </c>
      <c r="D249" s="31">
        <f>(Table13456789101112131415161734[[#This Row],[FRA]]-B237)/B237</f>
        <v/>
      </c>
    </row>
    <row r="250">
      <c r="A250" s="28" t="n">
        <v>40664</v>
      </c>
      <c r="B250" s="29">
        <f>VLOOKUP(A250,Database!$E:$AY,MATCH($B$4,Database!$E$1:$AY$1,0),FALSE)</f>
        <v/>
      </c>
      <c r="C250" s="30">
        <f>(Table13456789101112131415161734[[#This Row],[FRA]]-B249)/B249</f>
        <v/>
      </c>
      <c r="D250" s="31">
        <f>(Table13456789101112131415161734[[#This Row],[FRA]]-B238)/B238</f>
        <v/>
      </c>
    </row>
    <row r="251">
      <c r="A251" s="28" t="n">
        <v>40695</v>
      </c>
      <c r="B251" s="29">
        <f>VLOOKUP(A251,Database!$E:$AY,MATCH($B$4,Database!$E$1:$AY$1,0),FALSE)</f>
        <v/>
      </c>
      <c r="C251" s="30">
        <f>(Table13456789101112131415161734[[#This Row],[FRA]]-B250)/B250</f>
        <v/>
      </c>
      <c r="D251" s="31">
        <f>(Table13456789101112131415161734[[#This Row],[FRA]]-B239)/B239</f>
        <v/>
      </c>
    </row>
    <row r="252">
      <c r="A252" s="28" t="n">
        <v>40725</v>
      </c>
      <c r="B252" s="29">
        <f>VLOOKUP(A252,Database!$E:$AY,MATCH($B$4,Database!$E$1:$AY$1,0),FALSE)</f>
        <v/>
      </c>
      <c r="C252" s="30">
        <f>(Table13456789101112131415161734[[#This Row],[FRA]]-B251)/B251</f>
        <v/>
      </c>
      <c r="D252" s="31">
        <f>(Table13456789101112131415161734[[#This Row],[FRA]]-B240)/B240</f>
        <v/>
      </c>
    </row>
    <row r="253">
      <c r="A253" s="28" t="n">
        <v>40756</v>
      </c>
      <c r="B253" s="29">
        <f>VLOOKUP(A253,Database!$E:$AY,MATCH($B$4,Database!$E$1:$AY$1,0),FALSE)</f>
        <v/>
      </c>
      <c r="C253" s="30">
        <f>(Table13456789101112131415161734[[#This Row],[FRA]]-B252)/B252</f>
        <v/>
      </c>
      <c r="D253" s="31">
        <f>(Table13456789101112131415161734[[#This Row],[FRA]]-B241)/B241</f>
        <v/>
      </c>
    </row>
    <row r="254">
      <c r="A254" s="28" t="n">
        <v>40787</v>
      </c>
      <c r="B254" s="29">
        <f>VLOOKUP(A254,Database!$E:$AY,MATCH($B$4,Database!$E$1:$AY$1,0),FALSE)</f>
        <v/>
      </c>
      <c r="C254" s="30">
        <f>(Table13456789101112131415161734[[#This Row],[FRA]]-B253)/B253</f>
        <v/>
      </c>
      <c r="D254" s="31">
        <f>(Table13456789101112131415161734[[#This Row],[FRA]]-B242)/B242</f>
        <v/>
      </c>
    </row>
    <row r="255">
      <c r="A255" s="28" t="n">
        <v>40817</v>
      </c>
      <c r="B255" s="29">
        <f>VLOOKUP(A255,Database!$E:$AY,MATCH($B$4,Database!$E$1:$AY$1,0),FALSE)</f>
        <v/>
      </c>
      <c r="C255" s="30">
        <f>(Table13456789101112131415161734[[#This Row],[FRA]]-B254)/B254</f>
        <v/>
      </c>
      <c r="D255" s="31">
        <f>(Table13456789101112131415161734[[#This Row],[FRA]]-B243)/B243</f>
        <v/>
      </c>
    </row>
    <row r="256">
      <c r="A256" s="28" t="n">
        <v>40848</v>
      </c>
      <c r="B256" s="29">
        <f>VLOOKUP(A256,Database!$E:$AY,MATCH($B$4,Database!$E$1:$AY$1,0),FALSE)</f>
        <v/>
      </c>
      <c r="C256" s="30">
        <f>(Table13456789101112131415161734[[#This Row],[FRA]]-B255)/B255</f>
        <v/>
      </c>
      <c r="D256" s="31">
        <f>(Table13456789101112131415161734[[#This Row],[FRA]]-B244)/B244</f>
        <v/>
      </c>
    </row>
    <row r="257">
      <c r="A257" s="28" t="n">
        <v>40878</v>
      </c>
      <c r="B257" s="29">
        <f>VLOOKUP(A257,Database!$E:$AY,MATCH($B$4,Database!$E$1:$AY$1,0),FALSE)</f>
        <v/>
      </c>
      <c r="C257" s="30">
        <f>(Table13456789101112131415161734[[#This Row],[FRA]]-B256)/B256</f>
        <v/>
      </c>
      <c r="D257" s="31">
        <f>(Table13456789101112131415161734[[#This Row],[FRA]]-B245)/B245</f>
        <v/>
      </c>
    </row>
    <row r="258">
      <c r="A258" s="28" t="n">
        <v>40909</v>
      </c>
      <c r="B258" s="29">
        <f>VLOOKUP(A258,Database!$E:$AY,MATCH($B$4,Database!$E$1:$AY$1,0),FALSE)</f>
        <v/>
      </c>
      <c r="C258" s="30">
        <f>(Table13456789101112131415161734[[#This Row],[FRA]]-B257)/B257</f>
        <v/>
      </c>
      <c r="D258" s="31">
        <f>(Table13456789101112131415161734[[#This Row],[FRA]]-B246)/B246</f>
        <v/>
      </c>
    </row>
    <row r="259">
      <c r="A259" s="28" t="n">
        <v>40940</v>
      </c>
      <c r="B259" s="29">
        <f>VLOOKUP(A259,Database!$E:$AY,MATCH($B$4,Database!$E$1:$AY$1,0),FALSE)</f>
        <v/>
      </c>
      <c r="C259" s="30">
        <f>(Table13456789101112131415161734[[#This Row],[FRA]]-B258)/B258</f>
        <v/>
      </c>
      <c r="D259" s="31">
        <f>(Table13456789101112131415161734[[#This Row],[FRA]]-B247)/B247</f>
        <v/>
      </c>
    </row>
    <row r="260">
      <c r="A260" s="28" t="n">
        <v>40969</v>
      </c>
      <c r="B260" s="29">
        <f>VLOOKUP(A260,Database!$E:$AY,MATCH($B$4,Database!$E$1:$AY$1,0),FALSE)</f>
        <v/>
      </c>
      <c r="C260" s="30">
        <f>(Table13456789101112131415161734[[#This Row],[FRA]]-B259)/B259</f>
        <v/>
      </c>
      <c r="D260" s="31">
        <f>(Table13456789101112131415161734[[#This Row],[FRA]]-B248)/B248</f>
        <v/>
      </c>
    </row>
    <row r="261">
      <c r="A261" s="28" t="n">
        <v>41000</v>
      </c>
      <c r="B261" s="29">
        <f>VLOOKUP(A261,Database!$E:$AY,MATCH($B$4,Database!$E$1:$AY$1,0),FALSE)</f>
        <v/>
      </c>
      <c r="C261" s="30">
        <f>(Table13456789101112131415161734[[#This Row],[FRA]]-B260)/B260</f>
        <v/>
      </c>
      <c r="D261" s="31">
        <f>(Table13456789101112131415161734[[#This Row],[FRA]]-B249)/B249</f>
        <v/>
      </c>
    </row>
    <row r="262">
      <c r="A262" s="28" t="n">
        <v>41030</v>
      </c>
      <c r="B262" s="29">
        <f>VLOOKUP(A262,Database!$E:$AY,MATCH($B$4,Database!$E$1:$AY$1,0),FALSE)</f>
        <v/>
      </c>
      <c r="C262" s="30">
        <f>(Table13456789101112131415161734[[#This Row],[FRA]]-B261)/B261</f>
        <v/>
      </c>
      <c r="D262" s="31">
        <f>(Table13456789101112131415161734[[#This Row],[FRA]]-B250)/B250</f>
        <v/>
      </c>
    </row>
    <row r="263">
      <c r="A263" s="28" t="n">
        <v>41061</v>
      </c>
      <c r="B263" s="29">
        <f>VLOOKUP(A263,Database!$E:$AY,MATCH($B$4,Database!$E$1:$AY$1,0),FALSE)</f>
        <v/>
      </c>
      <c r="C263" s="30">
        <f>(Table13456789101112131415161734[[#This Row],[FRA]]-B262)/B262</f>
        <v/>
      </c>
      <c r="D263" s="31">
        <f>(Table13456789101112131415161734[[#This Row],[FRA]]-B251)/B251</f>
        <v/>
      </c>
    </row>
    <row r="264">
      <c r="A264" s="28" t="n">
        <v>41091</v>
      </c>
      <c r="B264" s="29">
        <f>VLOOKUP(A264,Database!$E:$AY,MATCH($B$4,Database!$E$1:$AY$1,0),FALSE)</f>
        <v/>
      </c>
      <c r="C264" s="30">
        <f>(Table13456789101112131415161734[[#This Row],[FRA]]-B263)/B263</f>
        <v/>
      </c>
      <c r="D264" s="31">
        <f>(Table13456789101112131415161734[[#This Row],[FRA]]-B252)/B252</f>
        <v/>
      </c>
    </row>
    <row r="265">
      <c r="A265" s="28" t="n">
        <v>41122</v>
      </c>
      <c r="B265" s="29">
        <f>VLOOKUP(A265,Database!$E:$AY,MATCH($B$4,Database!$E$1:$AY$1,0),FALSE)</f>
        <v/>
      </c>
      <c r="C265" s="30">
        <f>(Table13456789101112131415161734[[#This Row],[FRA]]-B264)/B264</f>
        <v/>
      </c>
      <c r="D265" s="31">
        <f>(Table13456789101112131415161734[[#This Row],[FRA]]-B253)/B253</f>
        <v/>
      </c>
    </row>
    <row r="266">
      <c r="A266" s="28" t="n">
        <v>41153</v>
      </c>
      <c r="B266" s="29">
        <f>VLOOKUP(A266,Database!$E:$AY,MATCH($B$4,Database!$E$1:$AY$1,0),FALSE)</f>
        <v/>
      </c>
      <c r="C266" s="30">
        <f>(Table13456789101112131415161734[[#This Row],[FRA]]-B265)/B265</f>
        <v/>
      </c>
      <c r="D266" s="31">
        <f>(Table13456789101112131415161734[[#This Row],[FRA]]-B254)/B254</f>
        <v/>
      </c>
    </row>
    <row r="267">
      <c r="A267" s="28" t="n">
        <v>41183</v>
      </c>
      <c r="B267" s="29">
        <f>VLOOKUP(A267,Database!$E:$AY,MATCH($B$4,Database!$E$1:$AY$1,0),FALSE)</f>
        <v/>
      </c>
      <c r="C267" s="30">
        <f>(Table13456789101112131415161734[[#This Row],[FRA]]-B266)/B266</f>
        <v/>
      </c>
      <c r="D267" s="31">
        <f>(Table13456789101112131415161734[[#This Row],[FRA]]-B255)/B255</f>
        <v/>
      </c>
    </row>
    <row r="268">
      <c r="A268" s="28" t="n">
        <v>41214</v>
      </c>
      <c r="B268" s="29">
        <f>VLOOKUP(A268,Database!$E:$AY,MATCH($B$4,Database!$E$1:$AY$1,0),FALSE)</f>
        <v/>
      </c>
      <c r="C268" s="30">
        <f>(Table13456789101112131415161734[[#This Row],[FRA]]-B267)/B267</f>
        <v/>
      </c>
      <c r="D268" s="31">
        <f>(Table13456789101112131415161734[[#This Row],[FRA]]-B256)/B256</f>
        <v/>
      </c>
    </row>
    <row r="269">
      <c r="A269" s="28" t="n">
        <v>41244</v>
      </c>
      <c r="B269" s="29">
        <f>VLOOKUP(A269,Database!$E:$AY,MATCH($B$4,Database!$E$1:$AY$1,0),FALSE)</f>
        <v/>
      </c>
      <c r="C269" s="30">
        <f>(Table13456789101112131415161734[[#This Row],[FRA]]-B268)/B268</f>
        <v/>
      </c>
      <c r="D269" s="31">
        <f>(Table13456789101112131415161734[[#This Row],[FRA]]-B257)/B257</f>
        <v/>
      </c>
    </row>
    <row r="270">
      <c r="A270" s="28" t="n">
        <v>41275</v>
      </c>
      <c r="B270" s="29">
        <f>VLOOKUP(A270,Database!$E:$AY,MATCH($B$4,Database!$E$1:$AY$1,0),FALSE)</f>
        <v/>
      </c>
      <c r="C270" s="30">
        <f>(Table13456789101112131415161734[[#This Row],[FRA]]-B269)/B269</f>
        <v/>
      </c>
      <c r="D270" s="31">
        <f>(Table13456789101112131415161734[[#This Row],[FRA]]-B258)/B258</f>
        <v/>
      </c>
    </row>
    <row r="271">
      <c r="A271" s="28" t="n">
        <v>41306</v>
      </c>
      <c r="B271" s="29">
        <f>VLOOKUP(A271,Database!$E:$AY,MATCH($B$4,Database!$E$1:$AY$1,0),FALSE)</f>
        <v/>
      </c>
      <c r="C271" s="30">
        <f>(Table13456789101112131415161734[[#This Row],[FRA]]-B270)/B270</f>
        <v/>
      </c>
      <c r="D271" s="31">
        <f>(Table13456789101112131415161734[[#This Row],[FRA]]-B259)/B259</f>
        <v/>
      </c>
    </row>
    <row r="272">
      <c r="A272" s="28" t="n">
        <v>41334</v>
      </c>
      <c r="B272" s="29">
        <f>VLOOKUP(A272,Database!$E:$AY,MATCH($B$4,Database!$E$1:$AY$1,0),FALSE)</f>
        <v/>
      </c>
      <c r="C272" s="30">
        <f>(Table13456789101112131415161734[[#This Row],[FRA]]-B271)/B271</f>
        <v/>
      </c>
      <c r="D272" s="31">
        <f>(Table13456789101112131415161734[[#This Row],[FRA]]-B260)/B260</f>
        <v/>
      </c>
    </row>
    <row r="273">
      <c r="A273" s="28" t="n">
        <v>41365</v>
      </c>
      <c r="B273" s="29">
        <f>VLOOKUP(A273,Database!$E:$AY,MATCH($B$4,Database!$E$1:$AY$1,0),FALSE)</f>
        <v/>
      </c>
      <c r="C273" s="30">
        <f>(Table13456789101112131415161734[[#This Row],[FRA]]-B272)/B272</f>
        <v/>
      </c>
      <c r="D273" s="31">
        <f>(Table13456789101112131415161734[[#This Row],[FRA]]-B261)/B261</f>
        <v/>
      </c>
    </row>
    <row r="274">
      <c r="A274" s="28" t="n">
        <v>41395</v>
      </c>
      <c r="B274" s="29">
        <f>VLOOKUP(A274,Database!$E:$AY,MATCH($B$4,Database!$E$1:$AY$1,0),FALSE)</f>
        <v/>
      </c>
      <c r="C274" s="30">
        <f>(Table13456789101112131415161734[[#This Row],[FRA]]-B273)/B273</f>
        <v/>
      </c>
      <c r="D274" s="31">
        <f>(Table13456789101112131415161734[[#This Row],[FRA]]-B262)/B262</f>
        <v/>
      </c>
    </row>
    <row r="275">
      <c r="A275" s="28" t="n">
        <v>41426</v>
      </c>
      <c r="B275" s="29">
        <f>VLOOKUP(A275,Database!$E:$AY,MATCH($B$4,Database!$E$1:$AY$1,0),FALSE)</f>
        <v/>
      </c>
      <c r="C275" s="30">
        <f>(Table13456789101112131415161734[[#This Row],[FRA]]-B274)/B274</f>
        <v/>
      </c>
      <c r="D275" s="31">
        <f>(Table13456789101112131415161734[[#This Row],[FRA]]-B263)/B263</f>
        <v/>
      </c>
    </row>
    <row r="276">
      <c r="A276" s="28" t="n">
        <v>41456</v>
      </c>
      <c r="B276" s="29">
        <f>VLOOKUP(A276,Database!$E:$AY,MATCH($B$4,Database!$E$1:$AY$1,0),FALSE)</f>
        <v/>
      </c>
      <c r="C276" s="30">
        <f>(Table13456789101112131415161734[[#This Row],[FRA]]-B275)/B275</f>
        <v/>
      </c>
      <c r="D276" s="31">
        <f>(Table13456789101112131415161734[[#This Row],[FRA]]-B264)/B264</f>
        <v/>
      </c>
    </row>
    <row r="277">
      <c r="A277" s="28" t="n">
        <v>41487</v>
      </c>
      <c r="B277" s="29">
        <f>VLOOKUP(A277,Database!$E:$AY,MATCH($B$4,Database!$E$1:$AY$1,0),FALSE)</f>
        <v/>
      </c>
      <c r="C277" s="30">
        <f>(Table13456789101112131415161734[[#This Row],[FRA]]-B276)/B276</f>
        <v/>
      </c>
      <c r="D277" s="31">
        <f>(Table13456789101112131415161734[[#This Row],[FRA]]-B265)/B265</f>
        <v/>
      </c>
    </row>
    <row r="278">
      <c r="A278" s="28" t="n">
        <v>41518</v>
      </c>
      <c r="B278" s="29">
        <f>VLOOKUP(A278,Database!$E:$AY,MATCH($B$4,Database!$E$1:$AY$1,0),FALSE)</f>
        <v/>
      </c>
      <c r="C278" s="30">
        <f>(Table13456789101112131415161734[[#This Row],[FRA]]-B277)/B277</f>
        <v/>
      </c>
      <c r="D278" s="31">
        <f>(Table13456789101112131415161734[[#This Row],[FRA]]-B266)/B266</f>
        <v/>
      </c>
    </row>
    <row r="279">
      <c r="A279" s="28" t="n">
        <v>41548</v>
      </c>
      <c r="B279" s="29">
        <f>VLOOKUP(A279,Database!$E:$AY,MATCH($B$4,Database!$E$1:$AY$1,0),FALSE)</f>
        <v/>
      </c>
      <c r="C279" s="30">
        <f>(Table13456789101112131415161734[[#This Row],[FRA]]-B278)/B278</f>
        <v/>
      </c>
      <c r="D279" s="31">
        <f>(Table13456789101112131415161734[[#This Row],[FRA]]-B267)/B267</f>
        <v/>
      </c>
    </row>
    <row r="280">
      <c r="A280" s="28" t="n">
        <v>41579</v>
      </c>
      <c r="B280" s="29">
        <f>VLOOKUP(A280,Database!$E:$AY,MATCH($B$4,Database!$E$1:$AY$1,0),FALSE)</f>
        <v/>
      </c>
      <c r="C280" s="30">
        <f>(Table13456789101112131415161734[[#This Row],[FRA]]-B279)/B279</f>
        <v/>
      </c>
      <c r="D280" s="31">
        <f>(Table13456789101112131415161734[[#This Row],[FRA]]-B268)/B268</f>
        <v/>
      </c>
    </row>
    <row r="281">
      <c r="A281" s="28" t="n">
        <v>41609</v>
      </c>
      <c r="B281" s="29">
        <f>VLOOKUP(A281,Database!$E:$AY,MATCH($B$4,Database!$E$1:$AY$1,0),FALSE)</f>
        <v/>
      </c>
      <c r="C281" s="30">
        <f>(Table13456789101112131415161734[[#This Row],[FRA]]-B280)/B280</f>
        <v/>
      </c>
      <c r="D281" s="31">
        <f>(Table13456789101112131415161734[[#This Row],[FRA]]-B269)/B269</f>
        <v/>
      </c>
    </row>
    <row r="282">
      <c r="A282" s="28" t="n">
        <v>41640</v>
      </c>
      <c r="B282" s="29">
        <f>VLOOKUP(A282,Database!$E:$AY,MATCH($B$4,Database!$E$1:$AY$1,0),FALSE)</f>
        <v/>
      </c>
      <c r="C282" s="30">
        <f>(Table13456789101112131415161734[[#This Row],[FRA]]-B281)/B281</f>
        <v/>
      </c>
      <c r="D282" s="31">
        <f>(Table13456789101112131415161734[[#This Row],[FRA]]-B270)/B270</f>
        <v/>
      </c>
    </row>
    <row r="283">
      <c r="A283" s="28" t="n">
        <v>41671</v>
      </c>
      <c r="B283" s="29">
        <f>VLOOKUP(A283,Database!$E:$AY,MATCH($B$4,Database!$E$1:$AY$1,0),FALSE)</f>
        <v/>
      </c>
      <c r="C283" s="30">
        <f>(Table13456789101112131415161734[[#This Row],[FRA]]-B282)/B282</f>
        <v/>
      </c>
      <c r="D283" s="31">
        <f>(Table13456789101112131415161734[[#This Row],[FRA]]-B271)/B271</f>
        <v/>
      </c>
    </row>
    <row r="284">
      <c r="A284" s="28" t="n">
        <v>41699</v>
      </c>
      <c r="B284" s="29">
        <f>VLOOKUP(A284,Database!$E:$AY,MATCH($B$4,Database!$E$1:$AY$1,0),FALSE)</f>
        <v/>
      </c>
      <c r="C284" s="30">
        <f>(Table13456789101112131415161734[[#This Row],[FRA]]-B283)/B283</f>
        <v/>
      </c>
      <c r="D284" s="31">
        <f>(Table13456789101112131415161734[[#This Row],[FRA]]-B272)/B272</f>
        <v/>
      </c>
    </row>
    <row r="285">
      <c r="A285" s="28" t="n">
        <v>41730</v>
      </c>
      <c r="B285" s="29">
        <f>VLOOKUP(A285,Database!$E:$AY,MATCH($B$4,Database!$E$1:$AY$1,0),FALSE)</f>
        <v/>
      </c>
      <c r="C285" s="30">
        <f>(Table13456789101112131415161734[[#This Row],[FRA]]-B284)/B284</f>
        <v/>
      </c>
      <c r="D285" s="31">
        <f>(Table13456789101112131415161734[[#This Row],[FRA]]-B273)/B273</f>
        <v/>
      </c>
    </row>
    <row r="286">
      <c r="A286" s="28" t="n">
        <v>41760</v>
      </c>
      <c r="B286" s="29">
        <f>VLOOKUP(A286,Database!$E:$AY,MATCH($B$4,Database!$E$1:$AY$1,0),FALSE)</f>
        <v/>
      </c>
      <c r="C286" s="30">
        <f>(Table13456789101112131415161734[[#This Row],[FRA]]-B285)/B285</f>
        <v/>
      </c>
      <c r="D286" s="31">
        <f>(Table13456789101112131415161734[[#This Row],[FRA]]-B274)/B274</f>
        <v/>
      </c>
    </row>
    <row r="287">
      <c r="A287" s="28" t="n">
        <v>41791</v>
      </c>
      <c r="B287" s="29">
        <f>VLOOKUP(A287,Database!$E:$AY,MATCH($B$4,Database!$E$1:$AY$1,0),FALSE)</f>
        <v/>
      </c>
      <c r="C287" s="30">
        <f>(Table13456789101112131415161734[[#This Row],[FRA]]-B286)/B286</f>
        <v/>
      </c>
      <c r="D287" s="31">
        <f>(Table13456789101112131415161734[[#This Row],[FRA]]-B275)/B275</f>
        <v/>
      </c>
    </row>
    <row r="288">
      <c r="A288" s="28" t="n">
        <v>41821</v>
      </c>
      <c r="B288" s="29">
        <f>VLOOKUP(A288,Database!$E:$AY,MATCH($B$4,Database!$E$1:$AY$1,0),FALSE)</f>
        <v/>
      </c>
      <c r="C288" s="30">
        <f>(Table13456789101112131415161734[[#This Row],[FRA]]-B287)/B287</f>
        <v/>
      </c>
      <c r="D288" s="31">
        <f>(Table13456789101112131415161734[[#This Row],[FRA]]-B276)/B276</f>
        <v/>
      </c>
    </row>
    <row r="289">
      <c r="A289" s="28" t="n">
        <v>41852</v>
      </c>
      <c r="B289" s="29">
        <f>VLOOKUP(A289,Database!$E:$AY,MATCH($B$4,Database!$E$1:$AY$1,0),FALSE)</f>
        <v/>
      </c>
      <c r="C289" s="30">
        <f>(Table13456789101112131415161734[[#This Row],[FRA]]-B288)/B288</f>
        <v/>
      </c>
      <c r="D289" s="31">
        <f>(Table13456789101112131415161734[[#This Row],[FRA]]-B277)/B277</f>
        <v/>
      </c>
    </row>
    <row r="290">
      <c r="A290" s="28" t="n">
        <v>41883</v>
      </c>
      <c r="B290" s="29">
        <f>VLOOKUP(A290,Database!$E:$AY,MATCH($B$4,Database!$E$1:$AY$1,0),FALSE)</f>
        <v/>
      </c>
      <c r="C290" s="30">
        <f>(Table13456789101112131415161734[[#This Row],[FRA]]-B289)/B289</f>
        <v/>
      </c>
      <c r="D290" s="31">
        <f>(Table13456789101112131415161734[[#This Row],[FRA]]-B278)/B278</f>
        <v/>
      </c>
    </row>
    <row r="291">
      <c r="A291" s="28" t="n">
        <v>41913</v>
      </c>
      <c r="B291" s="29">
        <f>VLOOKUP(A291,Database!$E:$AY,MATCH($B$4,Database!$E$1:$AY$1,0),FALSE)</f>
        <v/>
      </c>
      <c r="C291" s="30">
        <f>(Table13456789101112131415161734[[#This Row],[FRA]]-B290)/B290</f>
        <v/>
      </c>
      <c r="D291" s="31">
        <f>(Table13456789101112131415161734[[#This Row],[FRA]]-B279)/B279</f>
        <v/>
      </c>
    </row>
    <row r="292">
      <c r="A292" s="28" t="n">
        <v>41944</v>
      </c>
      <c r="B292" s="29">
        <f>VLOOKUP(A292,Database!$E:$AY,MATCH($B$4,Database!$E$1:$AY$1,0),FALSE)</f>
        <v/>
      </c>
      <c r="C292" s="30">
        <f>(Table13456789101112131415161734[[#This Row],[FRA]]-B291)/B291</f>
        <v/>
      </c>
      <c r="D292" s="31">
        <f>(Table13456789101112131415161734[[#This Row],[FRA]]-B280)/B280</f>
        <v/>
      </c>
    </row>
    <row r="293">
      <c r="A293" s="28" t="n">
        <v>41974</v>
      </c>
      <c r="B293" s="29">
        <f>VLOOKUP(A293,Database!$E:$AY,MATCH($B$4,Database!$E$1:$AY$1,0),FALSE)</f>
        <v/>
      </c>
      <c r="C293" s="30">
        <f>(Table13456789101112131415161734[[#This Row],[FRA]]-B292)/B292</f>
        <v/>
      </c>
      <c r="D293" s="31">
        <f>(Table13456789101112131415161734[[#This Row],[FRA]]-B281)/B281</f>
        <v/>
      </c>
    </row>
    <row r="294">
      <c r="A294" s="28" t="n">
        <v>42005</v>
      </c>
      <c r="B294" s="29">
        <f>VLOOKUP(A294,Database!$E:$AY,MATCH($B$4,Database!$E$1:$AY$1,0),FALSE)</f>
        <v/>
      </c>
      <c r="C294" s="30">
        <f>(Table13456789101112131415161734[[#This Row],[FRA]]-B293)/B293</f>
        <v/>
      </c>
      <c r="D294" s="31">
        <f>(Table13456789101112131415161734[[#This Row],[FRA]]-B282)/B282</f>
        <v/>
      </c>
    </row>
    <row r="295">
      <c r="A295" s="28" t="n">
        <v>42036</v>
      </c>
      <c r="B295" s="29">
        <f>VLOOKUP(A295,Database!$E:$AY,MATCH($B$4,Database!$E$1:$AY$1,0),FALSE)</f>
        <v/>
      </c>
      <c r="C295" s="30">
        <f>(Table13456789101112131415161734[[#This Row],[FRA]]-B294)/B294</f>
        <v/>
      </c>
      <c r="D295" s="31">
        <f>(Table13456789101112131415161734[[#This Row],[FRA]]-B283)/B283</f>
        <v/>
      </c>
    </row>
    <row r="296">
      <c r="A296" s="28" t="n">
        <v>42064</v>
      </c>
      <c r="B296" s="29">
        <f>VLOOKUP(A296,Database!$E:$AY,MATCH($B$4,Database!$E$1:$AY$1,0),FALSE)</f>
        <v/>
      </c>
      <c r="C296" s="30">
        <f>(Table13456789101112131415161734[[#This Row],[FRA]]-B295)/B295</f>
        <v/>
      </c>
      <c r="D296" s="31">
        <f>(Table13456789101112131415161734[[#This Row],[FRA]]-B284)/B284</f>
        <v/>
      </c>
    </row>
    <row r="297">
      <c r="A297" s="28" t="n">
        <v>42095</v>
      </c>
      <c r="B297" s="29">
        <f>VLOOKUP(A297,Database!$E:$AY,MATCH($B$4,Database!$E$1:$AY$1,0),FALSE)</f>
        <v/>
      </c>
      <c r="C297" s="30">
        <f>(Table13456789101112131415161734[[#This Row],[FRA]]-B296)/B296</f>
        <v/>
      </c>
      <c r="D297" s="31">
        <f>(Table13456789101112131415161734[[#This Row],[FRA]]-B285)/B285</f>
        <v/>
      </c>
    </row>
    <row r="298">
      <c r="A298" s="28" t="n">
        <v>42125</v>
      </c>
      <c r="B298" s="29">
        <f>VLOOKUP(A298,Database!$E:$AY,MATCH($B$4,Database!$E$1:$AY$1,0),FALSE)</f>
        <v/>
      </c>
      <c r="C298" s="30">
        <f>(Table13456789101112131415161734[[#This Row],[FRA]]-B297)/B297</f>
        <v/>
      </c>
      <c r="D298" s="31">
        <f>(Table13456789101112131415161734[[#This Row],[FRA]]-B286)/B286</f>
        <v/>
      </c>
    </row>
    <row r="299">
      <c r="A299" s="28" t="n">
        <v>42156</v>
      </c>
      <c r="B299" s="29">
        <f>VLOOKUP(A299,Database!$E:$AY,MATCH($B$4,Database!$E$1:$AY$1,0),FALSE)</f>
        <v/>
      </c>
      <c r="C299" s="30">
        <f>(Table13456789101112131415161734[[#This Row],[FRA]]-B298)/B298</f>
        <v/>
      </c>
      <c r="D299" s="31">
        <f>(Table13456789101112131415161734[[#This Row],[FRA]]-B287)/B287</f>
        <v/>
      </c>
    </row>
    <row r="300">
      <c r="A300" s="28" t="n">
        <v>42186</v>
      </c>
      <c r="B300" s="29">
        <f>VLOOKUP(A300,Database!$E:$AY,MATCH($B$4,Database!$E$1:$AY$1,0),FALSE)</f>
        <v/>
      </c>
      <c r="C300" s="30">
        <f>(Table13456789101112131415161734[[#This Row],[FRA]]-B299)/B299</f>
        <v/>
      </c>
      <c r="D300" s="31">
        <f>(Table13456789101112131415161734[[#This Row],[FRA]]-B288)/B288</f>
        <v/>
      </c>
    </row>
    <row r="301">
      <c r="A301" s="28" t="n">
        <v>42217</v>
      </c>
      <c r="B301" s="29">
        <f>VLOOKUP(A301,Database!$E:$AY,MATCH($B$4,Database!$E$1:$AY$1,0),FALSE)</f>
        <v/>
      </c>
      <c r="C301" s="30">
        <f>(Table13456789101112131415161734[[#This Row],[FRA]]-B300)/B300</f>
        <v/>
      </c>
      <c r="D301" s="31">
        <f>(Table13456789101112131415161734[[#This Row],[FRA]]-B289)/B289</f>
        <v/>
      </c>
    </row>
    <row r="302">
      <c r="A302" s="28" t="n">
        <v>42248</v>
      </c>
      <c r="B302" s="29">
        <f>VLOOKUP(A302,Database!$E:$AY,MATCH($B$4,Database!$E$1:$AY$1,0),FALSE)</f>
        <v/>
      </c>
      <c r="C302" s="30">
        <f>(Table13456789101112131415161734[[#This Row],[FRA]]-B301)/B301</f>
        <v/>
      </c>
      <c r="D302" s="31">
        <f>(Table13456789101112131415161734[[#This Row],[FRA]]-B290)/B290</f>
        <v/>
      </c>
    </row>
    <row r="303">
      <c r="A303" s="28" t="n">
        <v>42278</v>
      </c>
      <c r="B303" s="29">
        <f>VLOOKUP(A303,Database!$E:$AY,MATCH($B$4,Database!$E$1:$AY$1,0),FALSE)</f>
        <v/>
      </c>
      <c r="C303" s="30">
        <f>(Table13456789101112131415161734[[#This Row],[FRA]]-B302)/B302</f>
        <v/>
      </c>
      <c r="D303" s="31">
        <f>(Table13456789101112131415161734[[#This Row],[FRA]]-B291)/B291</f>
        <v/>
      </c>
    </row>
    <row r="304">
      <c r="A304" s="28" t="n">
        <v>42309</v>
      </c>
      <c r="B304" s="29">
        <f>VLOOKUP(A304,Database!$E:$AY,MATCH($B$4,Database!$E$1:$AY$1,0),FALSE)</f>
        <v/>
      </c>
      <c r="C304" s="30">
        <f>(Table13456789101112131415161734[[#This Row],[FRA]]-B303)/B303</f>
        <v/>
      </c>
      <c r="D304" s="31">
        <f>(Table13456789101112131415161734[[#This Row],[FRA]]-B292)/B292</f>
        <v/>
      </c>
    </row>
    <row r="305">
      <c r="A305" s="28" t="n">
        <v>42339</v>
      </c>
      <c r="B305" s="29">
        <f>VLOOKUP(A305,Database!$E:$AY,MATCH($B$4,Database!$E$1:$AY$1,0),FALSE)</f>
        <v/>
      </c>
      <c r="C305" s="30">
        <f>(Table13456789101112131415161734[[#This Row],[FRA]]-B304)/B304</f>
        <v/>
      </c>
      <c r="D305" s="31">
        <f>(Table13456789101112131415161734[[#This Row],[FRA]]-B293)/B293</f>
        <v/>
      </c>
    </row>
    <row r="306" customFormat="1" s="129">
      <c r="A306" s="28" t="n">
        <v>42370</v>
      </c>
      <c r="B306" s="29">
        <f>VLOOKUP(A306,Database!$E:$AY,MATCH($B$4,Database!$E$1:$AY$1,0),FALSE)</f>
        <v/>
      </c>
      <c r="C306" s="30">
        <f>(Table13456789101112131415161734[[#This Row],[FRA]]-B305)/B305</f>
        <v/>
      </c>
      <c r="D306" s="31">
        <f>(Table13456789101112131415161734[[#This Row],[FRA]]-B294)/B294</f>
        <v/>
      </c>
    </row>
    <row r="307" customFormat="1" s="129">
      <c r="A307" s="28" t="n">
        <v>42401</v>
      </c>
      <c r="B307" s="29">
        <f>VLOOKUP(A307,Database!$E:$AY,MATCH($B$4,Database!$E$1:$AY$1,0),FALSE)</f>
        <v/>
      </c>
      <c r="C307" s="30">
        <f>(Table13456789101112131415161734[[#This Row],[FRA]]-B306)/B306</f>
        <v/>
      </c>
      <c r="D307" s="31">
        <f>(Table13456789101112131415161734[[#This Row],[FRA]]-B295)/B295</f>
        <v/>
      </c>
    </row>
    <row r="308" customFormat="1" s="129">
      <c r="A308" s="28" t="n">
        <v>42430</v>
      </c>
      <c r="B308" s="29">
        <f>VLOOKUP(A308,Database!$E:$AY,MATCH($B$4,Database!$E$1:$AY$1,0),FALSE)</f>
        <v/>
      </c>
      <c r="C308" s="30">
        <f>(Table13456789101112131415161734[[#This Row],[FRA]]-B307)/B307</f>
        <v/>
      </c>
      <c r="D308" s="31">
        <f>(Table13456789101112131415161734[[#This Row],[FRA]]-B296)/B296</f>
        <v/>
      </c>
    </row>
    <row r="309" customFormat="1" s="129">
      <c r="A309" s="28" t="n">
        <v>42461</v>
      </c>
      <c r="B309" s="29">
        <f>VLOOKUP(A309,Database!$E:$AY,MATCH($B$4,Database!$E$1:$AY$1,0),FALSE)</f>
        <v/>
      </c>
      <c r="C309" s="30">
        <f>(Table13456789101112131415161734[[#This Row],[FRA]]-B308)/B308</f>
        <v/>
      </c>
      <c r="D309" s="31">
        <f>(Table13456789101112131415161734[[#This Row],[FRA]]-B297)/B297</f>
        <v/>
      </c>
    </row>
    <row r="310" customFormat="1" s="129">
      <c r="A310" s="28" t="n">
        <v>42491</v>
      </c>
      <c r="B310" s="29">
        <f>VLOOKUP(A310,Database!$E:$AY,MATCH($B$4,Database!$E$1:$AY$1,0),FALSE)</f>
        <v/>
      </c>
      <c r="C310" s="30">
        <f>(Table13456789101112131415161734[[#This Row],[FRA]]-B309)/B309</f>
        <v/>
      </c>
      <c r="D310" s="31">
        <f>(Table13456789101112131415161734[[#This Row],[FRA]]-B298)/B298</f>
        <v/>
      </c>
    </row>
    <row r="311" customFormat="1" s="129">
      <c r="A311" s="28" t="n">
        <v>42522</v>
      </c>
      <c r="B311" s="29">
        <f>VLOOKUP(A311,Database!$E:$AY,MATCH($B$4,Database!$E$1:$AY$1,0),FALSE)</f>
        <v/>
      </c>
      <c r="C311" s="30">
        <f>(Table13456789101112131415161734[[#This Row],[FRA]]-B310)/B310</f>
        <v/>
      </c>
      <c r="D311" s="31">
        <f>(Table13456789101112131415161734[[#This Row],[FRA]]-B299)/B299</f>
        <v/>
      </c>
    </row>
    <row r="312" customFormat="1" s="129">
      <c r="A312" s="28" t="n">
        <v>42552</v>
      </c>
      <c r="B312" s="29">
        <f>VLOOKUP(A312,Database!$E:$AY,MATCH($B$4,Database!$E$1:$AY$1,0),FALSE)</f>
        <v/>
      </c>
      <c r="C312" s="30">
        <f>(Table13456789101112131415161734[[#This Row],[FRA]]-B311)/B311</f>
        <v/>
      </c>
      <c r="D312" s="31">
        <f>(Table13456789101112131415161734[[#This Row],[FRA]]-B300)/B300</f>
        <v/>
      </c>
    </row>
    <row r="313" customFormat="1" s="129">
      <c r="A313" s="28" t="n">
        <v>42583</v>
      </c>
      <c r="B313" s="29">
        <f>VLOOKUP(A313,Database!$E:$AY,MATCH($B$4,Database!$E$1:$AY$1,0),FALSE)</f>
        <v/>
      </c>
      <c r="C313" s="30">
        <f>(Table13456789101112131415161734[[#This Row],[FRA]]-B312)/B312</f>
        <v/>
      </c>
      <c r="D313" s="31">
        <f>(Table13456789101112131415161734[[#This Row],[FRA]]-B301)/B301</f>
        <v/>
      </c>
    </row>
    <row r="314" customFormat="1" s="129">
      <c r="A314" s="28" t="n">
        <v>42614</v>
      </c>
      <c r="B314" s="29">
        <f>VLOOKUP(A314,Database!$E:$AY,MATCH($B$4,Database!$E$1:$AY$1,0),FALSE)</f>
        <v/>
      </c>
      <c r="C314" s="30">
        <f>(Table13456789101112131415161734[[#This Row],[FRA]]-B313)/B313</f>
        <v/>
      </c>
      <c r="D314" s="31">
        <f>(Table13456789101112131415161734[[#This Row],[FRA]]-B302)/B302</f>
        <v/>
      </c>
    </row>
    <row r="315" customFormat="1" s="129">
      <c r="A315" s="28" t="n">
        <v>42644</v>
      </c>
      <c r="B315" s="29">
        <f>VLOOKUP(A315,Database!$E:$AY,MATCH($B$4,Database!$E$1:$AY$1,0),FALSE)</f>
        <v/>
      </c>
      <c r="C315" s="30">
        <f>(Table13456789101112131415161734[[#This Row],[FRA]]-B314)/B314</f>
        <v/>
      </c>
      <c r="D315" s="31">
        <f>(Table13456789101112131415161734[[#This Row],[FRA]]-B303)/B303</f>
        <v/>
      </c>
    </row>
    <row r="316" customFormat="1" s="129">
      <c r="A316" s="28" t="n">
        <v>42675</v>
      </c>
      <c r="B316" s="29">
        <f>VLOOKUP(A316,Database!$E:$AY,MATCH($B$4,Database!$E$1:$AY$1,0),FALSE)</f>
        <v/>
      </c>
      <c r="C316" s="30">
        <f>(Table13456789101112131415161734[[#This Row],[FRA]]-B315)/B315</f>
        <v/>
      </c>
      <c r="D316" s="31">
        <f>(Table13456789101112131415161734[[#This Row],[FRA]]-B304)/B304</f>
        <v/>
      </c>
    </row>
    <row r="317" customFormat="1" s="129">
      <c r="A317" s="28" t="n">
        <v>42705</v>
      </c>
      <c r="B317" s="29">
        <f>VLOOKUP(A317,Database!$E:$AY,MATCH($B$4,Database!$E$1:$AY$1,0),FALSE)</f>
        <v/>
      </c>
      <c r="C317" s="30">
        <f>(Table13456789101112131415161734[[#This Row],[FRA]]-B316)/B316</f>
        <v/>
      </c>
      <c r="D317" s="31">
        <f>(Table13456789101112131415161734[[#This Row],[FRA]]-B305)/B305</f>
        <v/>
      </c>
    </row>
    <row r="318" customFormat="1" s="129">
      <c r="A318" s="28" t="n">
        <v>42736</v>
      </c>
      <c r="B318" s="29">
        <f>VLOOKUP(A318,Database!$E:$AY,MATCH($B$4,Database!$E$1:$AY$1,0),FALSE)</f>
        <v/>
      </c>
      <c r="C318" s="30">
        <f>(Table13456789101112131415161734[[#This Row],[FRA]]-B317)/B317</f>
        <v/>
      </c>
      <c r="D318" s="31">
        <f>(Table13456789101112131415161734[[#This Row],[FRA]]-B306)/B306</f>
        <v/>
      </c>
    </row>
    <row r="319" customFormat="1" s="129">
      <c r="A319" s="28" t="n">
        <v>42767</v>
      </c>
      <c r="B319" s="29">
        <f>VLOOKUP(A319,Database!$E:$AY,MATCH($B$4,Database!$E$1:$AY$1,0),FALSE)</f>
        <v/>
      </c>
      <c r="C319" s="30">
        <f>(Table13456789101112131415161734[[#This Row],[FRA]]-B318)/B318</f>
        <v/>
      </c>
      <c r="D319" s="31">
        <f>(Table13456789101112131415161734[[#This Row],[FRA]]-B307)/B307</f>
        <v/>
      </c>
    </row>
    <row r="320" customFormat="1" s="129">
      <c r="A320" s="28" t="n">
        <v>42795</v>
      </c>
      <c r="B320" s="29">
        <f>VLOOKUP(A320,Database!$E:$AY,MATCH($B$4,Database!$E$1:$AY$1,0),FALSE)</f>
        <v/>
      </c>
      <c r="C320" s="30">
        <f>(Table13456789101112131415161734[[#This Row],[FRA]]-B319)/B319</f>
        <v/>
      </c>
      <c r="D320" s="31">
        <f>(Table13456789101112131415161734[[#This Row],[FRA]]-B308)/B308</f>
        <v/>
      </c>
    </row>
    <row r="321" customFormat="1" s="129">
      <c r="A321" s="28" t="n">
        <v>42826</v>
      </c>
      <c r="B321" s="29">
        <f>VLOOKUP(A321,Database!$E:$AY,MATCH($B$4,Database!$E$1:$AY$1,0),FALSE)</f>
        <v/>
      </c>
      <c r="C321" s="30">
        <f>(Table13456789101112131415161734[[#This Row],[FRA]]-B320)/B320</f>
        <v/>
      </c>
      <c r="D321" s="31">
        <f>(Table13456789101112131415161734[[#This Row],[FRA]]-B309)/B309</f>
        <v/>
      </c>
    </row>
    <row r="322" customFormat="1" s="129">
      <c r="A322" s="28" t="n">
        <v>42856</v>
      </c>
      <c r="B322" s="29">
        <f>VLOOKUP(A322,Database!$E:$AY,MATCH($B$4,Database!$E$1:$AY$1,0),FALSE)</f>
        <v/>
      </c>
      <c r="C322" s="30">
        <f>(Table13456789101112131415161734[[#This Row],[FRA]]-B321)/B321</f>
        <v/>
      </c>
      <c r="D322" s="31">
        <f>(Table13456789101112131415161734[[#This Row],[FRA]]-B310)/B310</f>
        <v/>
      </c>
    </row>
    <row r="323" customFormat="1" s="129">
      <c r="A323" s="28" t="n">
        <v>42887</v>
      </c>
      <c r="B323" s="29">
        <f>VLOOKUP(A323,Database!$E:$AY,MATCH($B$4,Database!$E$1:$AY$1,0),FALSE)</f>
        <v/>
      </c>
      <c r="C323" s="30">
        <f>(Table13456789101112131415161734[[#This Row],[FRA]]-B322)/B322</f>
        <v/>
      </c>
      <c r="D323" s="31">
        <f>(Table13456789101112131415161734[[#This Row],[FRA]]-B311)/B311</f>
        <v/>
      </c>
    </row>
    <row r="324" customFormat="1" s="129">
      <c r="A324" s="28" t="n">
        <v>42917</v>
      </c>
      <c r="B324" s="29">
        <f>VLOOKUP(A324,Database!$E:$AY,MATCH($B$4,Database!$E$1:$AY$1,0),FALSE)</f>
        <v/>
      </c>
      <c r="C324" s="30">
        <f>(Table13456789101112131415161734[[#This Row],[FRA]]-B323)/B323</f>
        <v/>
      </c>
      <c r="D324" s="31">
        <f>(Table13456789101112131415161734[[#This Row],[FRA]]-B312)/B312</f>
        <v/>
      </c>
    </row>
    <row r="325" customFormat="1" s="129">
      <c r="A325" s="28" t="n">
        <v>42948</v>
      </c>
      <c r="B325" s="29">
        <f>VLOOKUP(A325,Database!$E:$AY,MATCH($B$4,Database!$E$1:$AY$1,0),FALSE)</f>
        <v/>
      </c>
      <c r="C325" s="30">
        <f>(Table13456789101112131415161734[[#This Row],[FRA]]-B324)/B324</f>
        <v/>
      </c>
      <c r="D325" s="31">
        <f>(Table13456789101112131415161734[[#This Row],[FRA]]-B313)/B313</f>
        <v/>
      </c>
    </row>
    <row r="326" customFormat="1" s="129">
      <c r="A326" s="28" t="n">
        <v>42979</v>
      </c>
      <c r="B326" s="29">
        <f>VLOOKUP(A326,Database!$E:$AY,MATCH($B$4,Database!$E$1:$AY$1,0),FALSE)</f>
        <v/>
      </c>
      <c r="C326" s="30">
        <f>(Table13456789101112131415161734[[#This Row],[FRA]]-B325)/B325</f>
        <v/>
      </c>
      <c r="D326" s="31">
        <f>(Table13456789101112131415161734[[#This Row],[FRA]]-B314)/B314</f>
        <v/>
      </c>
    </row>
    <row r="327" customFormat="1" s="129">
      <c r="A327" s="28" t="n">
        <v>43009</v>
      </c>
      <c r="B327" s="29">
        <f>VLOOKUP(A327,Database!$E:$AY,MATCH($B$4,Database!$E$1:$AY$1,0),FALSE)</f>
        <v/>
      </c>
      <c r="C327" s="30">
        <f>(Table13456789101112131415161734[[#This Row],[FRA]]-B326)/B326</f>
        <v/>
      </c>
      <c r="D327" s="31">
        <f>(Table13456789101112131415161734[[#This Row],[FRA]]-B315)/B315</f>
        <v/>
      </c>
    </row>
    <row r="328" customFormat="1" s="129">
      <c r="A328" s="28" t="n">
        <v>43040</v>
      </c>
      <c r="B328" s="29">
        <f>VLOOKUP(A328,Database!$E:$AY,MATCH($B$4,Database!$E$1:$AY$1,0),FALSE)</f>
        <v/>
      </c>
      <c r="C328" s="30">
        <f>(Table13456789101112131415161734[[#This Row],[FRA]]-B327)/B327</f>
        <v/>
      </c>
      <c r="D328" s="31">
        <f>(Table13456789101112131415161734[[#This Row],[FRA]]-B316)/B316</f>
        <v/>
      </c>
    </row>
    <row r="329" customFormat="1" s="129">
      <c r="A329" s="28" t="n">
        <v>43070</v>
      </c>
      <c r="B329" s="29">
        <f>VLOOKUP(A329,Database!$E:$AY,MATCH($B$4,Database!$E$1:$AY$1,0),FALSE)</f>
        <v/>
      </c>
      <c r="C329" s="30">
        <f>(Table13456789101112131415161734[[#This Row],[FRA]]-B328)/B328</f>
        <v/>
      </c>
      <c r="D329" s="31">
        <f>(Table13456789101112131415161734[[#This Row],[FRA]]-B317)/B317</f>
        <v/>
      </c>
    </row>
    <row r="330" customFormat="1" s="129">
      <c r="A330" s="28" t="n">
        <v>43101</v>
      </c>
      <c r="B330" s="29">
        <f>VLOOKUP(A330,Database!$E:$AY,MATCH($B$4,Database!$E$1:$AY$1,0),FALSE)</f>
        <v/>
      </c>
      <c r="C330" s="30">
        <f>(Table13456789101112131415161734[[#This Row],[FRA]]-B329)/B329</f>
        <v/>
      </c>
      <c r="D330" s="31">
        <f>(Table13456789101112131415161734[[#This Row],[FRA]]-B318)/B318</f>
        <v/>
      </c>
    </row>
    <row r="331" customFormat="1" s="129">
      <c r="A331" s="28" t="n">
        <v>43132</v>
      </c>
      <c r="B331" s="29">
        <f>VLOOKUP(A331,Database!$E:$AY,MATCH($B$4,Database!$E$1:$AY$1,0),FALSE)</f>
        <v/>
      </c>
      <c r="C331" s="30">
        <f>(Table13456789101112131415161734[[#This Row],[FRA]]-B330)/B330</f>
        <v/>
      </c>
      <c r="D331" s="31">
        <f>(Table13456789101112131415161734[[#This Row],[FRA]]-B319)/B319</f>
        <v/>
      </c>
    </row>
    <row r="332" customFormat="1" s="129">
      <c r="A332" s="28" t="n">
        <v>43160</v>
      </c>
      <c r="B332" s="29">
        <f>VLOOKUP(A332,Database!$E:$AY,MATCH($B$4,Database!$E$1:$AY$1,0),FALSE)</f>
        <v/>
      </c>
      <c r="C332" s="30">
        <f>(Table13456789101112131415161734[[#This Row],[FRA]]-B331)/B331</f>
        <v/>
      </c>
      <c r="D332" s="31">
        <f>(Table13456789101112131415161734[[#This Row],[FRA]]-B320)/B320</f>
        <v/>
      </c>
    </row>
    <row r="333" customFormat="1" s="129">
      <c r="A333" s="28" t="n">
        <v>43191</v>
      </c>
      <c r="B333" s="29">
        <f>VLOOKUP(A333,Database!$E:$AY,MATCH($B$4,Database!$E$1:$AY$1,0),FALSE)</f>
        <v/>
      </c>
      <c r="C333" s="30">
        <f>(Table13456789101112131415161734[[#This Row],[FRA]]-B332)/B332</f>
        <v/>
      </c>
      <c r="D333" s="31">
        <f>(Table13456789101112131415161734[[#This Row],[FRA]]-B321)/B321</f>
        <v/>
      </c>
    </row>
    <row r="334" customFormat="1" s="129">
      <c r="A334" s="28" t="n">
        <v>43221</v>
      </c>
      <c r="B334" s="29">
        <f>VLOOKUP(A334,Database!$E:$AY,MATCH($B$4,Database!$E$1:$AY$1,0),FALSE)</f>
        <v/>
      </c>
      <c r="C334" s="30">
        <f>(Table13456789101112131415161734[[#This Row],[FRA]]-B333)/B333</f>
        <v/>
      </c>
      <c r="D334" s="31">
        <f>(Table13456789101112131415161734[[#This Row],[FRA]]-B322)/B322</f>
        <v/>
      </c>
    </row>
    <row r="335" customFormat="1" s="129">
      <c r="A335" s="28" t="n">
        <v>43252</v>
      </c>
      <c r="B335" s="29">
        <f>VLOOKUP(A335,Database!$E:$AY,MATCH($B$4,Database!$E$1:$AY$1,0),FALSE)</f>
        <v/>
      </c>
      <c r="C335" s="30">
        <f>(Table13456789101112131415161734[[#This Row],[FRA]]-B334)/B334</f>
        <v/>
      </c>
      <c r="D335" s="31">
        <f>(Table13456789101112131415161734[[#This Row],[FRA]]-B323)/B323</f>
        <v/>
      </c>
    </row>
    <row r="336" customFormat="1" s="129">
      <c r="A336" s="28" t="n">
        <v>43282</v>
      </c>
      <c r="B336" s="29">
        <f>VLOOKUP(A336,Database!$E:$AY,MATCH($B$4,Database!$E$1:$AY$1,0),FALSE)</f>
        <v/>
      </c>
      <c r="C336" s="30">
        <f>(Table13456789101112131415161734[[#This Row],[FRA]]-B335)/B335</f>
        <v/>
      </c>
      <c r="D336" s="31">
        <f>(Table13456789101112131415161734[[#This Row],[FRA]]-B324)/B324</f>
        <v/>
      </c>
    </row>
    <row r="337" customFormat="1" s="129">
      <c r="A337" s="28" t="n">
        <v>43313</v>
      </c>
      <c r="B337" s="29">
        <f>VLOOKUP(A337,Database!$E:$AY,MATCH($B$4,Database!$E$1:$AY$1,0),FALSE)</f>
        <v/>
      </c>
      <c r="C337" s="30">
        <f>(Table13456789101112131415161734[[#This Row],[FRA]]-B336)/B336</f>
        <v/>
      </c>
      <c r="D337" s="31">
        <f>(Table13456789101112131415161734[[#This Row],[FRA]]-B325)/B325</f>
        <v/>
      </c>
    </row>
    <row r="338" customFormat="1" s="129">
      <c r="A338" s="28" t="n">
        <v>43344</v>
      </c>
      <c r="B338" s="29">
        <f>VLOOKUP(A338,Database!$E:$AY,MATCH($B$4,Database!$E$1:$AY$1,0),FALSE)</f>
        <v/>
      </c>
      <c r="C338" s="30">
        <f>(Table13456789101112131415161734[[#This Row],[FRA]]-B337)/B337</f>
        <v/>
      </c>
      <c r="D338" s="31">
        <f>(Table13456789101112131415161734[[#This Row],[FRA]]-B326)/B326</f>
        <v/>
      </c>
    </row>
    <row r="339" customFormat="1" s="129">
      <c r="A339" s="28" t="n">
        <v>43374</v>
      </c>
      <c r="B339" s="29">
        <f>VLOOKUP(A339,Database!$E:$AY,MATCH($B$4,Database!$E$1:$AY$1,0),FALSE)</f>
        <v/>
      </c>
      <c r="C339" s="30">
        <f>(Table13456789101112131415161734[[#This Row],[FRA]]-B338)/B338</f>
        <v/>
      </c>
      <c r="D339" s="31">
        <f>(Table13456789101112131415161734[[#This Row],[FRA]]-B327)/B327</f>
        <v/>
      </c>
    </row>
    <row r="340" customFormat="1" s="129">
      <c r="A340" s="28" t="n">
        <v>43405</v>
      </c>
      <c r="B340" s="29">
        <f>VLOOKUP(A340,Database!$E:$AY,MATCH($B$4,Database!$E$1:$AY$1,0),FALSE)</f>
        <v/>
      </c>
      <c r="C340" s="30">
        <f>(Table13456789101112131415161734[[#This Row],[FRA]]-B339)/B339</f>
        <v/>
      </c>
      <c r="D340" s="31">
        <f>(Table13456789101112131415161734[[#This Row],[FRA]]-B328)/B328</f>
        <v/>
      </c>
    </row>
    <row r="341" customFormat="1" s="129">
      <c r="A341" s="28" t="n">
        <v>43435</v>
      </c>
      <c r="B341" s="29">
        <f>VLOOKUP(A341,Database!$E:$AY,MATCH($B$4,Database!$E$1:$AY$1,0),FALSE)</f>
        <v/>
      </c>
      <c r="C341" s="30">
        <f>(Table13456789101112131415161734[[#This Row],[FRA]]-B340)/B340</f>
        <v/>
      </c>
      <c r="D341" s="31">
        <f>(Table13456789101112131415161734[[#This Row],[FRA]]-B329)/B329</f>
        <v/>
      </c>
    </row>
    <row r="342" customFormat="1" s="129">
      <c r="A342" s="28" t="n">
        <v>43466</v>
      </c>
      <c r="B342" s="29">
        <f>VLOOKUP(A342,Database!$E:$AY,MATCH($B$4,Database!$E$1:$AY$1,0),FALSE)</f>
        <v/>
      </c>
      <c r="C342" s="30">
        <f>(Table13456789101112131415161734[[#This Row],[FRA]]-B341)/B341</f>
        <v/>
      </c>
      <c r="D342" s="31">
        <f>(Table13456789101112131415161734[[#This Row],[FRA]]-B330)/B330</f>
        <v/>
      </c>
    </row>
    <row r="343" customFormat="1" s="129">
      <c r="A343" s="28" t="n">
        <v>43497</v>
      </c>
      <c r="B343" s="29">
        <f>VLOOKUP(A343,Database!$E:$AY,MATCH($B$4,Database!$E$1:$AY$1,0),FALSE)</f>
        <v/>
      </c>
      <c r="C343" s="30">
        <f>(Table13456789101112131415161734[[#This Row],[FRA]]-B342)/B342</f>
        <v/>
      </c>
      <c r="D343" s="31">
        <f>(Table13456789101112131415161734[[#This Row],[FRA]]-B331)/B331</f>
        <v/>
      </c>
    </row>
    <row r="344" customFormat="1" s="129">
      <c r="A344" s="28" t="n">
        <v>43525</v>
      </c>
      <c r="B344" s="29">
        <f>VLOOKUP(A344,Database!$E:$AY,MATCH($B$4,Database!$E$1:$AY$1,0),FALSE)</f>
        <v/>
      </c>
      <c r="C344" s="30">
        <f>(Table13456789101112131415161734[[#This Row],[FRA]]-B343)/B343</f>
        <v/>
      </c>
      <c r="D344" s="31">
        <f>(Table13456789101112131415161734[[#This Row],[FRA]]-B332)/B332</f>
        <v/>
      </c>
    </row>
    <row r="345" customFormat="1" s="129">
      <c r="A345" s="28" t="n">
        <v>43556</v>
      </c>
      <c r="B345" s="29">
        <f>VLOOKUP(A345,Database!$E:$AY,MATCH($B$4,Database!$E$1:$AY$1,0),FALSE)</f>
        <v/>
      </c>
      <c r="C345" s="30">
        <f>(Table13456789101112131415161734[[#This Row],[FRA]]-B344)/B344</f>
        <v/>
      </c>
      <c r="D345" s="31">
        <f>(Table13456789101112131415161734[[#This Row],[FRA]]-B333)/B333</f>
        <v/>
      </c>
    </row>
    <row r="346" customFormat="1" s="129">
      <c r="A346" s="28" t="n">
        <v>43586</v>
      </c>
      <c r="B346" s="29">
        <f>VLOOKUP(A346,Database!$E:$AY,MATCH($B$4,Database!$E$1:$AY$1,0),FALSE)</f>
        <v/>
      </c>
      <c r="C346" s="30">
        <f>(Table13456789101112131415161734[[#This Row],[FRA]]-B345)/B345</f>
        <v/>
      </c>
      <c r="D346" s="31">
        <f>(Table13456789101112131415161734[[#This Row],[FRA]]-B334)/B334</f>
        <v/>
      </c>
    </row>
    <row r="347" customFormat="1" s="129">
      <c r="A347" s="28" t="n">
        <v>43617</v>
      </c>
      <c r="B347" s="29">
        <f>VLOOKUP(A347,Database!$E:$AY,MATCH($B$4,Database!$E$1:$AY$1,0),FALSE)</f>
        <v/>
      </c>
      <c r="C347" s="30">
        <f>(Table13456789101112131415161734[[#This Row],[FRA]]-B346)/B346</f>
        <v/>
      </c>
      <c r="D347" s="31">
        <f>(Table13456789101112131415161734[[#This Row],[FRA]]-B335)/B335</f>
        <v/>
      </c>
    </row>
    <row r="348" customFormat="1" s="129">
      <c r="A348" s="28" t="n">
        <v>43647</v>
      </c>
      <c r="B348" s="29">
        <f>VLOOKUP(A348,Database!$E:$AY,MATCH($B$4,Database!$E$1:$AY$1,0),FALSE)</f>
        <v/>
      </c>
      <c r="C348" s="30">
        <f>(Table13456789101112131415161734[[#This Row],[FRA]]-B347)/B347</f>
        <v/>
      </c>
      <c r="D348" s="31">
        <f>(Table13456789101112131415161734[[#This Row],[FRA]]-B336)/B336</f>
        <v/>
      </c>
    </row>
    <row r="349" customFormat="1" s="129">
      <c r="A349" s="28" t="n">
        <v>43678</v>
      </c>
      <c r="B349" s="29">
        <f>VLOOKUP(A349,Database!$E:$AY,MATCH($B$4,Database!$E$1:$AY$1,0),FALSE)</f>
        <v/>
      </c>
      <c r="C349" s="30">
        <f>(Table13456789101112131415161734[[#This Row],[FRA]]-B348)/B348</f>
        <v/>
      </c>
      <c r="D349" s="31">
        <f>(Table13456789101112131415161734[[#This Row],[FRA]]-B337)/B337</f>
        <v/>
      </c>
    </row>
    <row r="350" customFormat="1" s="129">
      <c r="A350" s="28" t="n">
        <v>43709</v>
      </c>
      <c r="B350" s="29">
        <f>VLOOKUP(A350,Database!$E:$AY,MATCH($B$4,Database!$E$1:$AY$1,0),FALSE)</f>
        <v/>
      </c>
      <c r="C350" s="30">
        <f>(Table13456789101112131415161734[[#This Row],[FRA]]-B349)/B349</f>
        <v/>
      </c>
      <c r="D350" s="31">
        <f>(Table13456789101112131415161734[[#This Row],[FRA]]-B338)/B338</f>
        <v/>
      </c>
    </row>
    <row r="351" customFormat="1" s="129">
      <c r="A351" s="28" t="n">
        <v>43739</v>
      </c>
      <c r="B351" s="29">
        <f>VLOOKUP(A351,Database!$E:$AY,MATCH($B$4,Database!$E$1:$AY$1,0),FALSE)</f>
        <v/>
      </c>
      <c r="C351" s="30">
        <f>(Table13456789101112131415161734[[#This Row],[FRA]]-B350)/B350</f>
        <v/>
      </c>
      <c r="D351" s="31">
        <f>(Table13456789101112131415161734[[#This Row],[FRA]]-B339)/B339</f>
        <v/>
      </c>
    </row>
    <row r="352" customFormat="1" s="129">
      <c r="A352" s="19" t="n"/>
      <c r="C352" s="25" t="n"/>
      <c r="D352" s="25" t="n"/>
    </row>
    <row r="353" customFormat="1" s="129">
      <c r="A353" s="19" t="n"/>
      <c r="C353" s="25" t="n"/>
      <c r="D353" s="25" t="n"/>
    </row>
    <row r="354" customFormat="1" s="129">
      <c r="A354" s="19" t="n"/>
      <c r="C354" s="25" t="n"/>
      <c r="D354" s="25" t="n"/>
    </row>
    <row r="355" customFormat="1" s="129">
      <c r="A355" s="19" t="n"/>
      <c r="C355" s="25" t="n"/>
      <c r="D355" s="25" t="n"/>
    </row>
    <row r="356" customFormat="1" s="129">
      <c r="A356" s="19" t="n"/>
      <c r="C356" s="25" t="n"/>
      <c r="D356" s="25" t="n"/>
    </row>
    <row r="357" customFormat="1" s="129">
      <c r="A357" s="19" t="n"/>
      <c r="C357" s="25" t="n"/>
      <c r="D357" s="25" t="n"/>
    </row>
    <row r="358" customFormat="1" s="129">
      <c r="A358" s="19" t="n"/>
      <c r="C358" s="25" t="n"/>
      <c r="D358" s="25" t="n"/>
    </row>
    <row r="359" customFormat="1" s="129">
      <c r="A359" s="19" t="n"/>
      <c r="C359" s="25" t="n"/>
      <c r="D359" s="25" t="n"/>
    </row>
    <row r="360" customFormat="1" s="129">
      <c r="A360" s="19" t="n"/>
      <c r="C360" s="25" t="n"/>
      <c r="D360" s="25" t="n"/>
    </row>
    <row r="361" customFormat="1" s="129">
      <c r="A361" s="19" t="n"/>
      <c r="C361" s="25" t="n"/>
      <c r="D361" s="25" t="n"/>
    </row>
    <row r="362" customFormat="1" s="129">
      <c r="A362" s="19" t="n"/>
      <c r="C362" s="25" t="n"/>
      <c r="D362" s="25" t="n"/>
    </row>
    <row r="363" customFormat="1" s="129">
      <c r="A363" s="19" t="n"/>
      <c r="C363" s="25" t="n"/>
      <c r="D363" s="25" t="n"/>
    </row>
    <row r="364" customFormat="1" s="129">
      <c r="A364" s="19" t="n"/>
      <c r="C364" s="25" t="n"/>
      <c r="D364" s="25" t="n"/>
    </row>
    <row r="365" customFormat="1" s="129">
      <c r="A365" s="19" t="n"/>
      <c r="C365" s="25" t="n"/>
      <c r="D365" s="25" t="n"/>
    </row>
    <row r="366" customFormat="1" s="129">
      <c r="A366" s="19" t="n"/>
      <c r="C366" s="25" t="n"/>
      <c r="D366" s="25" t="n"/>
    </row>
    <row r="367" customFormat="1" s="129">
      <c r="A367" s="19" t="n"/>
      <c r="C367" s="25" t="n"/>
      <c r="D367" s="25" t="n"/>
    </row>
    <row r="368" customFormat="1" s="129">
      <c r="A368" s="19" t="n"/>
      <c r="C368" s="25" t="n"/>
      <c r="D368" s="25" t="n"/>
    </row>
    <row r="369" customFormat="1" s="129">
      <c r="A369" s="19" t="n"/>
      <c r="C369" s="25" t="n"/>
      <c r="D369" s="25" t="n"/>
    </row>
    <row r="370" customFormat="1" s="129">
      <c r="A370" s="19" t="n"/>
      <c r="C370" s="25" t="n"/>
      <c r="D370" s="25" t="n"/>
    </row>
    <row r="371" customFormat="1" s="129">
      <c r="A371" s="19" t="n"/>
      <c r="C371" s="25" t="n"/>
      <c r="D371" s="25" t="n"/>
    </row>
    <row r="372" customFormat="1" s="129">
      <c r="A372" s="19" t="n"/>
      <c r="C372" s="25" t="n"/>
      <c r="D372" s="25" t="n"/>
    </row>
    <row r="373" customFormat="1" s="129">
      <c r="A373" s="19" t="n"/>
      <c r="C373" s="25" t="n"/>
      <c r="D373" s="25" t="n"/>
    </row>
    <row r="374" customFormat="1" s="129">
      <c r="A374" s="19" t="n"/>
      <c r="C374" s="25" t="n"/>
      <c r="D374" s="25" t="n"/>
    </row>
    <row r="375" customFormat="1" s="129">
      <c r="A375" s="19" t="n"/>
      <c r="C375" s="25" t="n"/>
      <c r="D375" s="25" t="n"/>
    </row>
    <row r="376" customFormat="1" s="129">
      <c r="A376" s="19" t="n"/>
      <c r="C376" s="25" t="n"/>
      <c r="D376" s="25" t="n"/>
    </row>
    <row r="377" customFormat="1" s="129">
      <c r="A377" s="19" t="n"/>
      <c r="C377" s="25" t="n"/>
      <c r="D377" s="25" t="n"/>
    </row>
    <row r="378" customFormat="1" s="129">
      <c r="A378" s="19" t="n"/>
      <c r="C378" s="25" t="n"/>
      <c r="D378" s="25" t="n"/>
    </row>
    <row r="379" customFormat="1" s="129">
      <c r="A379" s="19" t="n"/>
      <c r="C379" s="25" t="n"/>
      <c r="D379" s="25" t="n"/>
    </row>
    <row r="380" customFormat="1" s="129">
      <c r="A380" s="19" t="n"/>
      <c r="C380" s="25" t="n"/>
      <c r="D380" s="25" t="n"/>
    </row>
    <row r="381" customFormat="1" s="129">
      <c r="A381" s="19" t="n"/>
      <c r="C381" s="25" t="n"/>
      <c r="D381" s="25" t="n"/>
    </row>
    <row r="382" customFormat="1" s="129">
      <c r="A382" s="19" t="n"/>
      <c r="C382" s="25" t="n"/>
      <c r="D382" s="25" t="n"/>
    </row>
    <row r="383" customFormat="1" s="129">
      <c r="A383" s="19" t="n"/>
      <c r="C383" s="25" t="n"/>
      <c r="D383" s="25" t="n"/>
    </row>
    <row r="384" customFormat="1" s="129">
      <c r="A384" s="19" t="n"/>
      <c r="C384" s="25" t="n"/>
      <c r="D384" s="25" t="n"/>
    </row>
    <row r="385" customFormat="1" s="129">
      <c r="A385" s="19" t="n"/>
      <c r="C385" s="25" t="n"/>
      <c r="D385" s="25" t="n"/>
    </row>
    <row r="386" customFormat="1" s="129">
      <c r="A386" s="19" t="n"/>
      <c r="C386" s="25" t="n"/>
      <c r="D386" s="25" t="n"/>
    </row>
    <row r="387" customFormat="1" s="129">
      <c r="A387" s="19" t="n"/>
      <c r="C387" s="25" t="n"/>
      <c r="D387" s="25" t="n"/>
    </row>
    <row r="388" customFormat="1" s="129">
      <c r="A388" s="19" t="n"/>
      <c r="C388" s="25" t="n"/>
      <c r="D388" s="25" t="n"/>
    </row>
    <row r="389" customFormat="1" s="129">
      <c r="A389" s="19" t="n"/>
      <c r="C389" s="25" t="n"/>
      <c r="D389" s="25" t="n"/>
    </row>
    <row r="390" customFormat="1" s="129">
      <c r="A390" s="19" t="n"/>
      <c r="C390" s="25" t="n"/>
      <c r="D390" s="25" t="n"/>
    </row>
    <row r="391" customFormat="1" s="129">
      <c r="A391" s="19" t="n"/>
      <c r="C391" s="25" t="n"/>
      <c r="D391" s="25" t="n"/>
    </row>
    <row r="392" customFormat="1" s="129">
      <c r="A392" s="19" t="n"/>
      <c r="C392" s="25" t="n"/>
      <c r="D392" s="25" t="n"/>
    </row>
    <row r="393" customFormat="1" s="129">
      <c r="A393" s="19" t="n"/>
      <c r="C393" s="25" t="n"/>
      <c r="D393" s="25" t="n"/>
    </row>
    <row r="394" customFormat="1" s="129">
      <c r="A394" s="19" t="n"/>
      <c r="C394" s="25" t="n"/>
      <c r="D394" s="25" t="n"/>
    </row>
    <row r="395" customFormat="1" s="129">
      <c r="A395" s="19" t="n"/>
      <c r="C395" s="25" t="n"/>
      <c r="D395" s="25" t="n"/>
    </row>
    <row r="396" customFormat="1" s="129">
      <c r="A396" s="19" t="n"/>
      <c r="C396" s="25" t="n"/>
      <c r="D396" s="25" t="n"/>
    </row>
    <row r="397" customFormat="1" s="129">
      <c r="A397" s="19" t="n"/>
      <c r="C397" s="25" t="n"/>
      <c r="D397" s="25" t="n"/>
    </row>
    <row r="398" customFormat="1" s="129">
      <c r="A398" s="19" t="n"/>
      <c r="C398" s="25" t="n"/>
      <c r="D398" s="25" t="n"/>
    </row>
    <row r="399" customFormat="1" s="129">
      <c r="A399" s="19" t="n"/>
      <c r="C399" s="25" t="n"/>
      <c r="D399" s="25" t="n"/>
    </row>
    <row r="400" customFormat="1" s="129">
      <c r="A400" s="19" t="n"/>
      <c r="C400" s="25" t="n"/>
      <c r="D400" s="25" t="n"/>
    </row>
    <row r="401" customFormat="1" s="129">
      <c r="A401" s="19" t="n"/>
      <c r="C401" s="25" t="n"/>
      <c r="D401" s="25" t="n"/>
    </row>
    <row r="402" customFormat="1" s="129">
      <c r="A402" s="19" t="n"/>
      <c r="C402" s="25" t="n"/>
      <c r="D402" s="25" t="n"/>
    </row>
    <row r="403" customFormat="1" s="129">
      <c r="A403" s="19" t="n"/>
      <c r="C403" s="25" t="n"/>
      <c r="D403" s="25" t="n"/>
    </row>
    <row r="404" customFormat="1" s="129">
      <c r="A404" s="19" t="n"/>
      <c r="C404" s="25" t="n"/>
      <c r="D404" s="25" t="n"/>
    </row>
    <row r="405" customFormat="1" s="129">
      <c r="A405" s="19" t="n"/>
      <c r="C405" s="25" t="n"/>
      <c r="D405" s="25" t="n"/>
    </row>
    <row r="406" customFormat="1" s="129">
      <c r="A406" s="19" t="n"/>
      <c r="C406" s="25" t="n"/>
      <c r="D406" s="25" t="n"/>
    </row>
    <row r="407" customFormat="1" s="129">
      <c r="A407" s="19" t="n"/>
      <c r="C407" s="25" t="n"/>
      <c r="D407" s="25" t="n"/>
    </row>
    <row r="408" customFormat="1" s="129">
      <c r="A408" s="19" t="n"/>
      <c r="C408" s="25" t="n"/>
      <c r="D408" s="25" t="n"/>
    </row>
    <row r="409" customFormat="1" s="129">
      <c r="A409" s="19" t="n"/>
      <c r="C409" s="25" t="n"/>
      <c r="D409" s="25" t="n"/>
    </row>
    <row r="410" customFormat="1" s="129">
      <c r="A410" s="19" t="n"/>
      <c r="C410" s="25" t="n"/>
      <c r="D410" s="25" t="n"/>
    </row>
    <row r="411" customFormat="1" s="129">
      <c r="A411" s="19" t="n"/>
      <c r="C411" s="25" t="n"/>
      <c r="D411" s="25" t="n"/>
    </row>
    <row r="412" customFormat="1" s="129">
      <c r="A412" s="19" t="n"/>
      <c r="C412" s="25" t="n"/>
      <c r="D412" s="25" t="n"/>
    </row>
    <row r="413" customFormat="1" s="129">
      <c r="A413" s="19" t="n"/>
      <c r="C413" s="25" t="n"/>
      <c r="D413" s="25" t="n"/>
    </row>
    <row r="414" customFormat="1" s="129">
      <c r="A414" s="19" t="n"/>
      <c r="C414" s="25" t="n"/>
      <c r="D414" s="25" t="n"/>
    </row>
    <row r="415" customFormat="1" s="129">
      <c r="A415" s="19" t="n"/>
      <c r="C415" s="25" t="n"/>
      <c r="D415" s="25" t="n"/>
    </row>
    <row r="416" customFormat="1" s="129">
      <c r="A416" s="19" t="n"/>
      <c r="C416" s="25" t="n"/>
      <c r="D416" s="25" t="n"/>
    </row>
    <row r="417" customFormat="1" s="129">
      <c r="A417" s="19" t="n"/>
      <c r="C417" s="25" t="n"/>
      <c r="D417" s="25" t="n"/>
    </row>
    <row r="418" customFormat="1" s="129">
      <c r="A418" s="19" t="n"/>
      <c r="C418" s="25" t="n"/>
      <c r="D418" s="25" t="n"/>
    </row>
    <row r="419" customFormat="1" s="129">
      <c r="A419" s="19" t="n"/>
      <c r="C419" s="25" t="n"/>
      <c r="D419" s="25" t="n"/>
    </row>
    <row r="420" customFormat="1" s="129">
      <c r="A420" s="19" t="n"/>
      <c r="C420" s="25" t="n"/>
      <c r="D420" s="25" t="n"/>
    </row>
    <row r="421" customFormat="1" s="129">
      <c r="A421" s="19" t="n"/>
      <c r="C421" s="25" t="n"/>
      <c r="D421" s="25" t="n"/>
    </row>
    <row r="422" customFormat="1" s="129">
      <c r="A422" s="19" t="n"/>
      <c r="C422" s="25" t="n"/>
      <c r="D422" s="25" t="n"/>
    </row>
    <row r="423" customFormat="1" s="129">
      <c r="A423" s="19" t="n"/>
      <c r="C423" s="25" t="n"/>
      <c r="D423" s="25" t="n"/>
    </row>
    <row r="424" customFormat="1" s="129">
      <c r="A424" s="19" t="n"/>
      <c r="C424" s="25" t="n"/>
      <c r="D424" s="25" t="n"/>
    </row>
    <row r="425" customFormat="1" s="129">
      <c r="A425" s="19" t="n"/>
      <c r="C425" s="25" t="n"/>
      <c r="D425" s="25" t="n"/>
    </row>
    <row r="426" customFormat="1" s="129">
      <c r="A426" s="19" t="n"/>
      <c r="C426" s="25" t="n"/>
      <c r="D426" s="25" t="n"/>
    </row>
    <row r="427" customFormat="1" s="129">
      <c r="A427" s="19" t="n"/>
      <c r="C427" s="25" t="n"/>
      <c r="D427" s="25" t="n"/>
    </row>
    <row r="428" customFormat="1" s="129">
      <c r="A428" s="19" t="n"/>
      <c r="C428" s="25" t="n"/>
      <c r="D428" s="25" t="n"/>
    </row>
    <row r="429" customFormat="1" s="129">
      <c r="A429" s="19" t="n"/>
      <c r="C429" s="25" t="n"/>
      <c r="D429" s="25" t="n"/>
    </row>
    <row r="430" customFormat="1" s="129">
      <c r="A430" s="19" t="n"/>
      <c r="C430" s="25" t="n"/>
      <c r="D430" s="25" t="n"/>
    </row>
    <row r="431" customFormat="1" s="129">
      <c r="A431" s="19" t="n"/>
      <c r="C431" s="25" t="n"/>
      <c r="D431" s="25" t="n"/>
    </row>
    <row r="432" customFormat="1" s="129">
      <c r="A432" s="19" t="n"/>
      <c r="C432" s="25" t="n"/>
      <c r="D432" s="25" t="n"/>
    </row>
    <row r="433" customFormat="1" s="129">
      <c r="A433" s="19" t="n"/>
      <c r="C433" s="25" t="n"/>
      <c r="D433" s="25" t="n"/>
    </row>
    <row r="434" customFormat="1" s="129">
      <c r="A434" s="19" t="n"/>
      <c r="C434" s="25" t="n"/>
      <c r="D434" s="25" t="n"/>
    </row>
    <row r="435" customFormat="1" s="129">
      <c r="A435" s="19" t="n"/>
      <c r="C435" s="25" t="n"/>
      <c r="D435" s="25" t="n"/>
    </row>
    <row r="436" customFormat="1" s="129">
      <c r="A436" s="19" t="n"/>
      <c r="C436" s="25" t="n"/>
      <c r="D436" s="25" t="n"/>
    </row>
    <row r="437" customFormat="1" s="129">
      <c r="A437" s="19" t="n"/>
      <c r="C437" s="25" t="n"/>
      <c r="D437" s="25" t="n"/>
    </row>
    <row r="438" customFormat="1" s="129">
      <c r="A438" s="19" t="n"/>
      <c r="C438" s="25" t="n"/>
      <c r="D438" s="25" t="n"/>
    </row>
    <row r="439" customFormat="1" s="129">
      <c r="A439" s="19" t="n"/>
      <c r="C439" s="25" t="n"/>
      <c r="D439" s="25" t="n"/>
    </row>
    <row r="440" customFormat="1" s="129">
      <c r="A440" s="19" t="n"/>
      <c r="C440" s="25" t="n"/>
      <c r="D440" s="25" t="n"/>
    </row>
    <row r="441" customFormat="1" s="129">
      <c r="A441" s="19" t="n"/>
      <c r="C441" s="25" t="n"/>
      <c r="D441" s="25" t="n"/>
    </row>
    <row r="442" customFormat="1" s="129">
      <c r="A442" s="19" t="n"/>
      <c r="C442" s="25" t="n"/>
      <c r="D442" s="25" t="n"/>
    </row>
    <row r="443" customFormat="1" s="129">
      <c r="A443" s="19" t="n"/>
      <c r="C443" s="25" t="n"/>
      <c r="D443" s="25" t="n"/>
    </row>
    <row r="444" customFormat="1" s="129">
      <c r="A444" s="19" t="n"/>
      <c r="C444" s="25" t="n"/>
      <c r="D444" s="25" t="n"/>
    </row>
    <row r="445" customFormat="1" s="129">
      <c r="A445" s="19" t="n"/>
      <c r="C445" s="25" t="n"/>
      <c r="D445" s="25" t="n"/>
    </row>
    <row r="446" customFormat="1" s="129">
      <c r="A446" s="19" t="n"/>
      <c r="C446" s="25" t="n"/>
      <c r="D446" s="25" t="n"/>
    </row>
    <row r="447" customFormat="1" s="129">
      <c r="A447" s="19" t="n"/>
      <c r="C447" s="25" t="n"/>
      <c r="D447" s="25" t="n"/>
    </row>
    <row r="448" customFormat="1" s="129">
      <c r="A448" s="19" t="n"/>
      <c r="C448" s="25" t="n"/>
      <c r="D448" s="25" t="n"/>
    </row>
    <row r="449" customFormat="1" s="129">
      <c r="A449" s="19" t="n"/>
      <c r="C449" s="25" t="n"/>
      <c r="D449" s="25" t="n"/>
    </row>
    <row r="450" customFormat="1" s="129">
      <c r="A450" s="19" t="n"/>
      <c r="C450" s="25" t="n"/>
      <c r="D450" s="25" t="n"/>
    </row>
    <row r="451" customFormat="1" s="129">
      <c r="A451" s="19" t="n"/>
      <c r="C451" s="25" t="n"/>
      <c r="D451" s="25" t="n"/>
    </row>
    <row r="452" customFormat="1" s="129">
      <c r="A452" s="19" t="n"/>
      <c r="C452" s="25" t="n"/>
      <c r="D452" s="25" t="n"/>
    </row>
    <row r="453" customFormat="1" s="129">
      <c r="A453" s="19" t="n"/>
      <c r="C453" s="25" t="n"/>
      <c r="D453" s="25" t="n"/>
    </row>
    <row r="454" customFormat="1" s="129">
      <c r="A454" s="19" t="n"/>
      <c r="C454" s="25" t="n"/>
      <c r="D454" s="25" t="n"/>
    </row>
    <row r="455" customFormat="1" s="129">
      <c r="A455" s="19" t="n"/>
      <c r="C455" s="25" t="n"/>
      <c r="D455" s="25" t="n"/>
    </row>
    <row r="456" customFormat="1" s="129">
      <c r="A456" s="19" t="n"/>
      <c r="C456" s="25" t="n"/>
      <c r="D456" s="25" t="n"/>
    </row>
    <row r="457" customFormat="1" s="129">
      <c r="A457" s="19" t="n"/>
      <c r="C457" s="25" t="n"/>
      <c r="D457" s="25" t="n"/>
    </row>
    <row r="458" customFormat="1" s="129">
      <c r="A458" s="19" t="n"/>
      <c r="C458" s="25" t="n"/>
      <c r="D458" s="25" t="n"/>
    </row>
    <row r="459" customFormat="1" s="129">
      <c r="A459" s="19" t="n"/>
      <c r="C459" s="25" t="n"/>
      <c r="D459" s="25" t="n"/>
    </row>
    <row r="460" customFormat="1" s="129">
      <c r="A460" s="19" t="n"/>
      <c r="C460" s="25" t="n"/>
      <c r="D460" s="25" t="n"/>
    </row>
    <row r="461" customFormat="1" s="129">
      <c r="A461" s="19" t="n"/>
      <c r="C461" s="25" t="n"/>
      <c r="D461" s="25" t="n"/>
    </row>
    <row r="462" customFormat="1" s="129">
      <c r="A462" s="19" t="n"/>
      <c r="C462" s="25" t="n"/>
      <c r="D462" s="25" t="n"/>
    </row>
    <row r="463" customFormat="1" s="129">
      <c r="A463" s="19" t="n"/>
      <c r="C463" s="25" t="n"/>
      <c r="D463" s="25" t="n"/>
    </row>
    <row r="464" customFormat="1" s="129">
      <c r="A464" s="19" t="n"/>
      <c r="C464" s="25" t="n"/>
      <c r="D464" s="25" t="n"/>
    </row>
    <row r="465" customFormat="1" s="129">
      <c r="A465" s="19" t="n"/>
      <c r="C465" s="25" t="n"/>
      <c r="D465" s="25" t="n"/>
    </row>
    <row r="466" customFormat="1" s="129">
      <c r="A466" s="19" t="n"/>
      <c r="C466" s="25" t="n"/>
      <c r="D466" s="25" t="n"/>
    </row>
    <row r="467" customFormat="1" s="129">
      <c r="A467" s="19" t="n"/>
      <c r="C467" s="25" t="n"/>
      <c r="D467" s="25" t="n"/>
    </row>
    <row r="468" customFormat="1" s="129">
      <c r="A468" s="19" t="n"/>
      <c r="C468" s="25" t="n"/>
      <c r="D468" s="25" t="n"/>
    </row>
    <row r="469" customFormat="1" s="129">
      <c r="A469" s="19" t="n"/>
      <c r="C469" s="25" t="n"/>
      <c r="D469" s="25" t="n"/>
    </row>
    <row r="470" customFormat="1" s="129">
      <c r="A470" s="19" t="n"/>
      <c r="C470" s="25" t="n"/>
      <c r="D470" s="25" t="n"/>
    </row>
    <row r="471" customFormat="1" s="129">
      <c r="A471" s="19" t="n"/>
      <c r="C471" s="25" t="n"/>
      <c r="D471" s="25" t="n"/>
    </row>
    <row r="472" customFormat="1" s="129">
      <c r="A472" s="19" t="n"/>
      <c r="C472" s="25" t="n"/>
      <c r="D472" s="25" t="n"/>
    </row>
    <row r="473" customFormat="1" s="129">
      <c r="A473" s="19" t="n"/>
      <c r="C473" s="25" t="n"/>
      <c r="D473" s="25" t="n"/>
    </row>
    <row r="474" customFormat="1" s="129">
      <c r="A474" s="19" t="n"/>
      <c r="C474" s="25" t="n"/>
      <c r="D474" s="25" t="n"/>
    </row>
    <row r="475" customFormat="1" s="129">
      <c r="A475" s="19" t="n"/>
      <c r="C475" s="25" t="n"/>
      <c r="D475" s="25" t="n"/>
    </row>
    <row r="476" customFormat="1" s="129">
      <c r="A476" s="19" t="n"/>
      <c r="C476" s="25" t="n"/>
      <c r="D476" s="25" t="n"/>
    </row>
    <row r="477" customFormat="1" s="129">
      <c r="A477" s="19" t="n"/>
      <c r="C477" s="25" t="n"/>
      <c r="D477" s="25" t="n"/>
    </row>
    <row r="478" customFormat="1" s="129">
      <c r="A478" s="19" t="n"/>
      <c r="C478" s="25" t="n"/>
      <c r="D478" s="25" t="n"/>
    </row>
    <row r="479" customFormat="1" s="129">
      <c r="A479" s="19" t="n"/>
      <c r="C479" s="25" t="n"/>
      <c r="D479" s="25" t="n"/>
    </row>
    <row r="480" customFormat="1" s="129">
      <c r="A480" s="19" t="n"/>
      <c r="C480" s="25" t="n"/>
      <c r="D480" s="25" t="n"/>
    </row>
    <row r="481" customFormat="1" s="129">
      <c r="A481" s="19" t="n"/>
      <c r="C481" s="25" t="n"/>
      <c r="D481" s="25" t="n"/>
    </row>
    <row r="482" customFormat="1" s="129">
      <c r="A482" s="19" t="n"/>
      <c r="C482" s="25" t="n"/>
      <c r="D482" s="25" t="n"/>
    </row>
    <row r="483" customFormat="1" s="129">
      <c r="A483" s="19" t="n"/>
      <c r="C483" s="25" t="n"/>
      <c r="D483" s="25" t="n"/>
    </row>
    <row r="484" customFormat="1" s="129">
      <c r="A484" s="19" t="n"/>
      <c r="C484" s="25" t="n"/>
      <c r="D484" s="25" t="n"/>
    </row>
    <row r="485" customFormat="1" s="129">
      <c r="A485" s="19" t="n"/>
      <c r="C485" s="25" t="n"/>
      <c r="D485" s="25" t="n"/>
    </row>
    <row r="486" customFormat="1" s="129">
      <c r="A486" s="19" t="n"/>
      <c r="C486" s="25" t="n"/>
      <c r="D486" s="25" t="n"/>
    </row>
    <row r="487" customFormat="1" s="129">
      <c r="A487" s="19" t="n"/>
      <c r="C487" s="25" t="n"/>
      <c r="D487" s="25" t="n"/>
    </row>
    <row r="488" customFormat="1" s="129">
      <c r="A488" s="19" t="n"/>
      <c r="C488" s="25" t="n"/>
      <c r="D488" s="25" t="n"/>
    </row>
    <row r="489" customFormat="1" s="129">
      <c r="A489" s="19" t="n"/>
      <c r="C489" s="25" t="n"/>
      <c r="D489" s="25" t="n"/>
    </row>
    <row r="490" customFormat="1" s="129">
      <c r="A490" s="19" t="n"/>
      <c r="C490" s="25" t="n"/>
      <c r="D490" s="25" t="n"/>
    </row>
    <row r="491" customFormat="1" s="129">
      <c r="A491" s="19" t="n"/>
      <c r="C491" s="25" t="n"/>
      <c r="D491" s="25" t="n"/>
    </row>
    <row r="492" customFormat="1" s="129">
      <c r="A492" s="19" t="n"/>
      <c r="C492" s="25" t="n"/>
      <c r="D492" s="25" t="n"/>
    </row>
    <row r="493" customFormat="1" s="129">
      <c r="A493" s="19" t="n"/>
      <c r="C493" s="25" t="n"/>
      <c r="D493" s="25" t="n"/>
    </row>
    <row r="494" customFormat="1" s="129">
      <c r="A494" s="19" t="n"/>
      <c r="C494" s="25" t="n"/>
      <c r="D494" s="25" t="n"/>
    </row>
    <row r="495" customFormat="1" s="129">
      <c r="A495" s="19" t="n"/>
      <c r="C495" s="25" t="n"/>
      <c r="D495" s="25" t="n"/>
    </row>
    <row r="496" customFormat="1" s="129">
      <c r="A496" s="19" t="n"/>
      <c r="C496" s="25" t="n"/>
      <c r="D496" s="25" t="n"/>
    </row>
    <row r="497" customFormat="1" s="129">
      <c r="A497" s="19" t="n"/>
      <c r="C497" s="25" t="n"/>
      <c r="D497" s="25" t="n"/>
    </row>
    <row r="498" customFormat="1" s="129">
      <c r="A498" s="19" t="n"/>
      <c r="C498" s="25" t="n"/>
      <c r="D498" s="25" t="n"/>
    </row>
    <row r="499" customFormat="1" s="129">
      <c r="A499" s="19" t="n"/>
      <c r="C499" s="25" t="n"/>
      <c r="D499" s="25" t="n"/>
    </row>
    <row r="500" customFormat="1" s="129">
      <c r="A500" s="19" t="n"/>
      <c r="C500" s="25" t="n"/>
      <c r="D500" s="25" t="n"/>
    </row>
    <row r="501" customFormat="1" s="129">
      <c r="A501" s="19" t="n"/>
      <c r="C501" s="25" t="n"/>
      <c r="D501" s="25" t="n"/>
    </row>
    <row r="502" customFormat="1" s="129">
      <c r="A502" s="19" t="n"/>
      <c r="C502" s="25" t="n"/>
      <c r="D502" s="25" t="n"/>
    </row>
    <row r="503" customFormat="1" s="129">
      <c r="A503" s="19" t="n"/>
      <c r="C503" s="25" t="n"/>
      <c r="D503" s="25" t="n"/>
    </row>
    <row r="504" customFormat="1" s="129">
      <c r="A504" s="19" t="n"/>
      <c r="C504" s="25" t="n"/>
      <c r="D504" s="25" t="n"/>
    </row>
    <row r="505" customFormat="1" s="129">
      <c r="A505" s="19" t="n"/>
      <c r="C505" s="25" t="n"/>
      <c r="D505" s="25" t="n"/>
    </row>
    <row r="506" customFormat="1" s="129">
      <c r="A506" s="19" t="n"/>
      <c r="C506" s="25" t="n"/>
      <c r="D506" s="25" t="n"/>
    </row>
    <row r="507" customFormat="1" s="129">
      <c r="A507" s="19" t="n"/>
      <c r="C507" s="25" t="n"/>
      <c r="D507" s="25" t="n"/>
    </row>
    <row r="508" customFormat="1" s="129">
      <c r="A508" s="19" t="n"/>
      <c r="C508" s="25" t="n"/>
      <c r="D508" s="25" t="n"/>
    </row>
    <row r="509" customFormat="1" s="129">
      <c r="A509" s="19" t="n"/>
      <c r="C509" s="25" t="n"/>
      <c r="D509" s="25" t="n"/>
    </row>
    <row r="510" customFormat="1" s="129">
      <c r="A510" s="19" t="n"/>
      <c r="C510" s="25" t="n"/>
      <c r="D510" s="25" t="n"/>
    </row>
    <row r="511" customFormat="1" s="129">
      <c r="A511" s="19" t="n"/>
      <c r="C511" s="25" t="n"/>
      <c r="D511" s="25" t="n"/>
    </row>
    <row r="512" customFormat="1" s="129">
      <c r="A512" s="19" t="n"/>
      <c r="C512" s="25" t="n"/>
      <c r="D512" s="25" t="n"/>
    </row>
    <row r="513" customFormat="1" s="129">
      <c r="A513" s="19" t="n"/>
      <c r="C513" s="25" t="n"/>
      <c r="D513" s="25" t="n"/>
    </row>
    <row r="514" customFormat="1" s="129">
      <c r="A514" s="19" t="n"/>
      <c r="C514" s="25" t="n"/>
      <c r="D514" s="25" t="n"/>
    </row>
    <row r="515" customFormat="1" s="129">
      <c r="A515" s="19" t="n"/>
      <c r="C515" s="25" t="n"/>
      <c r="D515" s="25" t="n"/>
    </row>
    <row r="516" customFormat="1" s="129">
      <c r="A516" s="19" t="n"/>
      <c r="C516" s="25" t="n"/>
      <c r="D516" s="25" t="n"/>
    </row>
    <row r="517" customFormat="1" s="129">
      <c r="A517" s="19" t="n"/>
      <c r="C517" s="25" t="n"/>
      <c r="D517" s="25" t="n"/>
    </row>
    <row r="518" customFormat="1" s="129">
      <c r="A518" s="19" t="n"/>
      <c r="C518" s="25" t="n"/>
      <c r="D518" s="25" t="n"/>
    </row>
    <row r="519" customFormat="1" s="129">
      <c r="A519" s="19" t="n"/>
      <c r="C519" s="25" t="n"/>
      <c r="D519" s="25" t="n"/>
    </row>
    <row r="520" customFormat="1" s="129">
      <c r="A520" s="19" t="n"/>
      <c r="C520" s="25" t="n"/>
      <c r="D520" s="25" t="n"/>
    </row>
    <row r="521" customFormat="1" s="129">
      <c r="A521" s="19" t="n"/>
      <c r="C521" s="25" t="n"/>
      <c r="D521" s="25" t="n"/>
    </row>
    <row r="522" customFormat="1" s="129">
      <c r="A522" s="19" t="n"/>
      <c r="C522" s="25" t="n"/>
      <c r="D522" s="25" t="n"/>
    </row>
    <row r="523" customFormat="1" s="129">
      <c r="A523" s="19" t="n"/>
      <c r="C523" s="25" t="n"/>
      <c r="D523" s="25" t="n"/>
    </row>
    <row r="524" customFormat="1" s="129">
      <c r="A524" s="19" t="n"/>
      <c r="C524" s="25" t="n"/>
      <c r="D524" s="25" t="n"/>
    </row>
    <row r="525" customFormat="1" s="129">
      <c r="A525" s="19" t="n"/>
      <c r="C525" s="25" t="n"/>
      <c r="D525" s="25" t="n"/>
    </row>
    <row r="526" customFormat="1" s="129">
      <c r="A526" s="19" t="n"/>
      <c r="C526" s="25" t="n"/>
      <c r="D526" s="25" t="n"/>
    </row>
    <row r="527" customFormat="1" s="129">
      <c r="A527" s="19" t="n"/>
      <c r="C527" s="25" t="n"/>
      <c r="D527" s="25" t="n"/>
    </row>
    <row r="528" customFormat="1" s="129">
      <c r="A528" s="19" t="n"/>
      <c r="C528" s="25" t="n"/>
      <c r="D528" s="25" t="n"/>
    </row>
    <row r="529" customFormat="1" s="129">
      <c r="A529" s="19" t="n"/>
      <c r="C529" s="25" t="n"/>
      <c r="D529" s="25" t="n"/>
    </row>
    <row r="530" customFormat="1" s="129">
      <c r="A530" s="19" t="n"/>
      <c r="C530" s="25" t="n"/>
      <c r="D530" s="25" t="n"/>
    </row>
    <row r="531" customFormat="1" s="129">
      <c r="A531" s="19" t="n"/>
      <c r="C531" s="25" t="n"/>
      <c r="D531" s="25" t="n"/>
    </row>
    <row r="532" customFormat="1" s="129">
      <c r="A532" s="19" t="n"/>
      <c r="C532" s="25" t="n"/>
      <c r="D532" s="25" t="n"/>
    </row>
    <row r="533" customFormat="1" s="129">
      <c r="A533" s="19" t="n"/>
      <c r="C533" s="25" t="n"/>
      <c r="D533" s="25" t="n"/>
    </row>
    <row r="534" customFormat="1" s="129">
      <c r="A534" s="19" t="n"/>
      <c r="C534" s="25" t="n"/>
      <c r="D534" s="25" t="n"/>
    </row>
    <row r="535" customFormat="1" s="129">
      <c r="A535" s="19" t="n"/>
      <c r="C535" s="25" t="n"/>
      <c r="D535" s="25" t="n"/>
    </row>
    <row r="536" customFormat="1" s="129">
      <c r="A536" s="19" t="n"/>
      <c r="C536" s="25" t="n"/>
      <c r="D536" s="25" t="n"/>
    </row>
    <row r="537" customFormat="1" s="129">
      <c r="A537" s="19" t="n"/>
      <c r="C537" s="25" t="n"/>
      <c r="D537" s="25" t="n"/>
    </row>
    <row r="538" customFormat="1" s="129">
      <c r="A538" s="19" t="n"/>
      <c r="C538" s="25" t="n"/>
      <c r="D538" s="25" t="n"/>
    </row>
    <row r="539" customFormat="1" s="129">
      <c r="A539" s="19" t="n"/>
      <c r="C539" s="25" t="n"/>
      <c r="D539" s="25" t="n"/>
    </row>
    <row r="540" customFormat="1" s="129">
      <c r="A540" s="19" t="n"/>
      <c r="C540" s="25" t="n"/>
      <c r="D540" s="25" t="n"/>
    </row>
    <row r="541" customFormat="1" s="129">
      <c r="A541" s="19" t="n"/>
      <c r="C541" s="25" t="n"/>
      <c r="D541" s="25" t="n"/>
    </row>
    <row r="542" customFormat="1" s="129">
      <c r="A542" s="19" t="n"/>
      <c r="C542" s="25" t="n"/>
      <c r="D542" s="25" t="n"/>
    </row>
    <row r="543" customFormat="1" s="129">
      <c r="A543" s="19" t="n"/>
      <c r="C543" s="25" t="n"/>
      <c r="D543" s="25" t="n"/>
    </row>
    <row r="544" customFormat="1" s="129">
      <c r="A544" s="19" t="n"/>
      <c r="C544" s="25" t="n"/>
      <c r="D544" s="25" t="n"/>
    </row>
    <row r="545" customFormat="1" s="129">
      <c r="A545" s="19" t="n"/>
      <c r="C545" s="25" t="n"/>
      <c r="D545" s="25" t="n"/>
    </row>
    <row r="546" customFormat="1" s="129">
      <c r="A546" s="19" t="n"/>
      <c r="C546" s="25" t="n"/>
      <c r="D546" s="25" t="n"/>
    </row>
    <row r="547" customFormat="1" s="129">
      <c r="A547" s="19" t="n"/>
      <c r="C547" s="25" t="n"/>
      <c r="D547" s="25" t="n"/>
    </row>
    <row r="548" customFormat="1" s="129">
      <c r="A548" s="19" t="n"/>
      <c r="C548" s="25" t="n"/>
      <c r="D548" s="25" t="n"/>
    </row>
    <row r="549" customFormat="1" s="129">
      <c r="A549" s="19" t="n"/>
      <c r="C549" s="25" t="n"/>
      <c r="D549" s="25" t="n"/>
    </row>
    <row r="550" customFormat="1" s="129">
      <c r="A550" s="19" t="n"/>
      <c r="C550" s="25" t="n"/>
      <c r="D550" s="25" t="n"/>
    </row>
    <row r="551" customFormat="1" s="129">
      <c r="A551" s="19" t="n"/>
      <c r="C551" s="25" t="n"/>
      <c r="D551" s="25" t="n"/>
    </row>
    <row r="552" customFormat="1" s="129">
      <c r="A552" s="19" t="n"/>
      <c r="C552" s="25" t="n"/>
      <c r="D552" s="25" t="n"/>
    </row>
    <row r="553" customFormat="1" s="129">
      <c r="A553" s="19" t="n"/>
      <c r="C553" s="25" t="n"/>
      <c r="D553" s="25" t="n"/>
    </row>
    <row r="554" customFormat="1" s="129">
      <c r="A554" s="19" t="n"/>
      <c r="C554" s="25" t="n"/>
      <c r="D554" s="25" t="n"/>
    </row>
    <row r="555" customFormat="1" s="129">
      <c r="A555" s="19" t="n"/>
      <c r="C555" s="25" t="n"/>
      <c r="D555" s="25" t="n"/>
    </row>
    <row r="556" customFormat="1" s="129">
      <c r="A556" s="19" t="n"/>
      <c r="C556" s="25" t="n"/>
      <c r="D556" s="25" t="n"/>
    </row>
    <row r="557" customFormat="1" s="129">
      <c r="A557" s="19" t="n"/>
      <c r="C557" s="25" t="n"/>
      <c r="D557" s="25" t="n"/>
    </row>
    <row r="558" customFormat="1" s="129">
      <c r="A558" s="19" t="n"/>
      <c r="C558" s="25" t="n"/>
      <c r="D558" s="25" t="n"/>
    </row>
    <row r="559" customFormat="1" s="129">
      <c r="A559" s="19" t="n"/>
      <c r="C559" s="25" t="n"/>
      <c r="D559" s="25" t="n"/>
    </row>
    <row r="560" customFormat="1" s="129">
      <c r="A560" s="19" t="n"/>
      <c r="C560" s="25" t="n"/>
      <c r="D560" s="25" t="n"/>
    </row>
    <row r="561" customFormat="1" s="129">
      <c r="A561" s="19" t="n"/>
      <c r="C561" s="25" t="n"/>
      <c r="D561" s="25" t="n"/>
    </row>
    <row r="562" customFormat="1" s="129">
      <c r="A562" s="19" t="n"/>
      <c r="C562" s="25" t="n"/>
      <c r="D562" s="25" t="n"/>
    </row>
    <row r="563" customFormat="1" s="129">
      <c r="A563" s="19" t="n"/>
      <c r="C563" s="25" t="n"/>
      <c r="D563" s="25" t="n"/>
    </row>
    <row r="564" customFormat="1" s="129">
      <c r="A564" s="19" t="n"/>
      <c r="C564" s="25" t="n"/>
      <c r="D564" s="25" t="n"/>
    </row>
    <row r="565" customFormat="1" s="129">
      <c r="A565" s="19" t="n"/>
      <c r="C565" s="25" t="n"/>
      <c r="D565" s="25" t="n"/>
    </row>
    <row r="566" customFormat="1" s="129">
      <c r="A566" s="19" t="n"/>
      <c r="C566" s="25" t="n"/>
      <c r="D566" s="25" t="n"/>
    </row>
    <row r="567" customFormat="1" s="129">
      <c r="A567" s="19" t="n"/>
      <c r="C567" s="25" t="n"/>
      <c r="D567" s="25" t="n"/>
    </row>
    <row r="568" customFormat="1" s="129">
      <c r="A568" s="19" t="n"/>
      <c r="C568" s="25" t="n"/>
      <c r="D568" s="25" t="n"/>
    </row>
    <row r="569" customFormat="1" s="129">
      <c r="A569" s="19" t="n"/>
      <c r="C569" s="25" t="n"/>
      <c r="D569" s="25" t="n"/>
    </row>
    <row r="570" customFormat="1" s="129">
      <c r="A570" s="19" t="n"/>
      <c r="C570" s="25" t="n"/>
      <c r="D570" s="25" t="n"/>
    </row>
    <row r="571" customFormat="1" s="129">
      <c r="A571" s="19" t="n"/>
      <c r="C571" s="25" t="n"/>
      <c r="D571" s="25" t="n"/>
    </row>
    <row r="572" customFormat="1" s="129">
      <c r="A572" s="19" t="n"/>
      <c r="C572" s="25" t="n"/>
      <c r="D572" s="25" t="n"/>
    </row>
    <row r="573" customFormat="1" s="129">
      <c r="A573" s="19" t="n"/>
      <c r="C573" s="25" t="n"/>
      <c r="D573" s="25" t="n"/>
    </row>
    <row r="574" customFormat="1" s="129">
      <c r="A574" s="19" t="n"/>
      <c r="C574" s="25" t="n"/>
      <c r="D574" s="25" t="n"/>
    </row>
    <row r="575" customFormat="1" s="129">
      <c r="A575" s="19" t="n"/>
      <c r="C575" s="25" t="n"/>
      <c r="D575" s="25" t="n"/>
    </row>
    <row r="576" customFormat="1" s="129">
      <c r="A576" s="19" t="n"/>
      <c r="C576" s="25" t="n"/>
      <c r="D576" s="25" t="n"/>
    </row>
    <row r="577" customFormat="1" s="129">
      <c r="A577" s="19" t="n"/>
      <c r="C577" s="25" t="n"/>
      <c r="D577" s="25" t="n"/>
    </row>
    <row r="578" customFormat="1" s="129">
      <c r="A578" s="19" t="n"/>
      <c r="C578" s="25" t="n"/>
      <c r="D578" s="25" t="n"/>
    </row>
    <row r="579" customFormat="1" s="129">
      <c r="A579" s="19" t="n"/>
      <c r="C579" s="25" t="n"/>
      <c r="D579" s="25" t="n"/>
    </row>
    <row r="580" customFormat="1" s="129">
      <c r="A580" s="19" t="n"/>
      <c r="C580" s="25" t="n"/>
      <c r="D580" s="25" t="n"/>
    </row>
    <row r="581" customFormat="1" s="129">
      <c r="A581" s="19" t="n"/>
      <c r="C581" s="25" t="n"/>
      <c r="D581" s="25" t="n"/>
    </row>
    <row r="582" customFormat="1" s="129">
      <c r="A582" s="19" t="n"/>
      <c r="C582" s="25" t="n"/>
      <c r="D582" s="25" t="n"/>
    </row>
    <row r="583" customFormat="1" s="129">
      <c r="A583" s="19" t="n"/>
      <c r="C583" s="25" t="n"/>
      <c r="D583" s="25" t="n"/>
    </row>
    <row r="584" customFormat="1" s="129">
      <c r="A584" s="19" t="n"/>
      <c r="C584" s="25" t="n"/>
      <c r="D584" s="25" t="n"/>
    </row>
    <row r="585" customFormat="1" s="129">
      <c r="A585" s="19" t="n"/>
      <c r="C585" s="25" t="n"/>
      <c r="D585" s="25" t="n"/>
    </row>
    <row r="586" customFormat="1" s="129">
      <c r="A586" s="19" t="n"/>
      <c r="C586" s="25" t="n"/>
      <c r="D586" s="25" t="n"/>
    </row>
    <row r="587" customFormat="1" s="129">
      <c r="A587" s="19" t="n"/>
      <c r="C587" s="25" t="n"/>
      <c r="D587" s="25" t="n"/>
    </row>
    <row r="588" customFormat="1" s="129">
      <c r="A588" s="19" t="n"/>
      <c r="C588" s="25" t="n"/>
      <c r="D588" s="25" t="n"/>
    </row>
    <row r="589" customFormat="1" s="129">
      <c r="A589" s="19" t="n"/>
      <c r="C589" s="25" t="n"/>
      <c r="D589" s="25" t="n"/>
    </row>
    <row r="590" customFormat="1" s="129">
      <c r="A590" s="19" t="n"/>
      <c r="C590" s="25" t="n"/>
      <c r="D590" s="25" t="n"/>
    </row>
    <row r="591" customFormat="1" s="129">
      <c r="A591" s="19" t="n"/>
      <c r="C591" s="25" t="n"/>
      <c r="D591" s="25" t="n"/>
    </row>
    <row r="592" customFormat="1" s="129">
      <c r="A592" s="19" t="n"/>
      <c r="C592" s="25" t="n"/>
      <c r="D592" s="25" t="n"/>
    </row>
    <row r="593" customFormat="1" s="129">
      <c r="A593" s="19" t="n"/>
      <c r="C593" s="25" t="n"/>
      <c r="D593" s="25" t="n"/>
    </row>
    <row r="594" customFormat="1" s="129">
      <c r="A594" s="19" t="n"/>
      <c r="C594" s="25" t="n"/>
      <c r="D594" s="25" t="n"/>
    </row>
    <row r="595" customFormat="1" s="129">
      <c r="A595" s="19" t="n"/>
      <c r="C595" s="25" t="n"/>
      <c r="D595" s="25" t="n"/>
    </row>
    <row r="596" customFormat="1" s="129">
      <c r="A596" s="19" t="n"/>
      <c r="C596" s="25" t="n"/>
      <c r="D596" s="25" t="n"/>
    </row>
    <row r="597" customFormat="1" s="129">
      <c r="A597" s="19" t="n"/>
      <c r="C597" s="25" t="n"/>
      <c r="D597" s="25" t="n"/>
    </row>
    <row r="598" customFormat="1" s="129">
      <c r="A598" s="19" t="n"/>
      <c r="C598" s="25" t="n"/>
      <c r="D598" s="25" t="n"/>
    </row>
    <row r="599" customFormat="1" s="129">
      <c r="A599" s="19" t="n"/>
      <c r="C599" s="25" t="n"/>
      <c r="D599" s="25" t="n"/>
    </row>
    <row r="600" customFormat="1" s="129">
      <c r="A600" s="19" t="n"/>
      <c r="C600" s="25" t="n"/>
      <c r="D600" s="25" t="n"/>
    </row>
    <row r="601" customFormat="1" s="129">
      <c r="A601" s="19" t="n"/>
      <c r="C601" s="25" t="n"/>
      <c r="D601" s="25" t="n"/>
    </row>
    <row r="602" customFormat="1" s="129">
      <c r="A602" s="19" t="n"/>
      <c r="C602" s="25" t="n"/>
      <c r="D602" s="25" t="n"/>
    </row>
    <row r="603" customFormat="1" s="129">
      <c r="A603" s="19" t="n"/>
      <c r="C603" s="25" t="n"/>
      <c r="D603" s="25" t="n"/>
    </row>
    <row r="604" customFormat="1" s="129">
      <c r="A604" s="19" t="n"/>
      <c r="C604" s="25" t="n"/>
      <c r="D604" s="25" t="n"/>
    </row>
    <row r="605" customFormat="1" s="129">
      <c r="A605" s="19" t="n"/>
      <c r="C605" s="25" t="n"/>
      <c r="D605" s="25" t="n"/>
    </row>
    <row r="606" customFormat="1" s="129">
      <c r="A606" s="19" t="n"/>
      <c r="C606" s="25" t="n"/>
      <c r="D606" s="25" t="n"/>
    </row>
    <row r="607" customFormat="1" s="129">
      <c r="A607" s="19" t="n"/>
      <c r="C607" s="25" t="n"/>
      <c r="D607" s="25" t="n"/>
    </row>
    <row r="608" customFormat="1" s="129">
      <c r="A608" s="19" t="n"/>
      <c r="C608" s="25" t="n"/>
      <c r="D608" s="25" t="n"/>
    </row>
    <row r="609" customFormat="1" s="129">
      <c r="A609" s="19" t="n"/>
      <c r="C609" s="25" t="n"/>
      <c r="D609" s="25" t="n"/>
    </row>
    <row r="610" customFormat="1" s="129">
      <c r="A610" s="19" t="n"/>
      <c r="C610" s="25" t="n"/>
      <c r="D610" s="25" t="n"/>
    </row>
    <row r="611" customFormat="1" s="129">
      <c r="A611" s="19" t="n"/>
      <c r="C611" s="25" t="n"/>
      <c r="D611" s="25" t="n"/>
    </row>
    <row r="612" customFormat="1" s="129">
      <c r="A612" s="19" t="n"/>
      <c r="C612" s="25" t="n"/>
      <c r="D612" s="25" t="n"/>
    </row>
    <row r="613" customFormat="1" s="129">
      <c r="A613" s="19" t="n"/>
      <c r="C613" s="25" t="n"/>
      <c r="D613" s="25" t="n"/>
    </row>
    <row r="614" customFormat="1" s="129">
      <c r="A614" s="19" t="n"/>
      <c r="C614" s="25" t="n"/>
      <c r="D614" s="25" t="n"/>
    </row>
    <row r="615" customFormat="1" s="129">
      <c r="A615" s="19" t="n"/>
      <c r="C615" s="25" t="n"/>
      <c r="D615" s="25" t="n"/>
    </row>
    <row r="616" customFormat="1" s="129">
      <c r="A616" s="19" t="n"/>
      <c r="C616" s="25" t="n"/>
      <c r="D616" s="25" t="n"/>
    </row>
    <row r="617" customFormat="1" s="129">
      <c r="A617" s="19" t="n"/>
      <c r="C617" s="25" t="n"/>
      <c r="D617" s="25" t="n"/>
    </row>
    <row r="618" customFormat="1" s="129">
      <c r="A618" s="19" t="n"/>
      <c r="C618" s="25" t="n"/>
      <c r="D618" s="25" t="n"/>
    </row>
    <row r="619" customFormat="1" s="129">
      <c r="A619" s="19" t="n"/>
      <c r="C619" s="25" t="n"/>
      <c r="D619" s="25" t="n"/>
    </row>
    <row r="620" customFormat="1" s="129">
      <c r="A620" s="19" t="n"/>
      <c r="C620" s="25" t="n"/>
      <c r="D620" s="25" t="n"/>
    </row>
    <row r="621" customFormat="1" s="129">
      <c r="A621" s="19" t="n"/>
      <c r="C621" s="25" t="n"/>
      <c r="D621" s="25" t="n"/>
    </row>
    <row r="622" customFormat="1" s="129">
      <c r="A622" s="19" t="n"/>
      <c r="C622" s="25" t="n"/>
      <c r="D622" s="25" t="n"/>
    </row>
    <row r="623" customFormat="1" s="129">
      <c r="A623" s="19" t="n"/>
      <c r="C623" s="25" t="n"/>
      <c r="D623" s="25" t="n"/>
    </row>
    <row r="624" customFormat="1" s="129">
      <c r="A624" s="19" t="n"/>
      <c r="C624" s="25" t="n"/>
      <c r="D624" s="25" t="n"/>
    </row>
    <row r="625" customFormat="1" s="129">
      <c r="A625" s="19" t="n"/>
      <c r="C625" s="25" t="n"/>
      <c r="D625" s="25" t="n"/>
    </row>
    <row r="626" customFormat="1" s="129">
      <c r="A626" s="19" t="n"/>
      <c r="C626" s="25" t="n"/>
      <c r="D626" s="25" t="n"/>
    </row>
    <row r="627" customFormat="1" s="129">
      <c r="A627" s="19" t="n"/>
      <c r="C627" s="25" t="n"/>
      <c r="D627" s="25" t="n"/>
    </row>
    <row r="628" customFormat="1" s="129">
      <c r="A628" s="19" t="n"/>
      <c r="C628" s="25" t="n"/>
      <c r="D628" s="25" t="n"/>
    </row>
    <row r="629" customFormat="1" s="129">
      <c r="A629" s="19" t="n"/>
      <c r="C629" s="25" t="n"/>
      <c r="D629" s="25" t="n"/>
    </row>
    <row r="630" customFormat="1" s="129">
      <c r="A630" s="19" t="n"/>
      <c r="C630" s="25" t="n"/>
      <c r="D630" s="25" t="n"/>
    </row>
    <row r="631" customFormat="1" s="129">
      <c r="A631" s="19" t="n"/>
      <c r="C631" s="25" t="n"/>
      <c r="D631" s="25" t="n"/>
    </row>
    <row r="632" customFormat="1" s="129">
      <c r="A632" s="19" t="n"/>
      <c r="C632" s="25" t="n"/>
      <c r="D632" s="25" t="n"/>
    </row>
    <row r="633" customFormat="1" s="129">
      <c r="A633" s="19" t="n"/>
      <c r="C633" s="25" t="n"/>
      <c r="D633" s="25" t="n"/>
    </row>
    <row r="634" customFormat="1" s="129">
      <c r="A634" s="19" t="n"/>
      <c r="C634" s="25" t="n"/>
      <c r="D634" s="25" t="n"/>
    </row>
    <row r="635" customFormat="1" s="129">
      <c r="A635" s="19" t="n"/>
      <c r="C635" s="25" t="n"/>
      <c r="D635" s="25" t="n"/>
    </row>
    <row r="636" customFormat="1" s="129">
      <c r="A636" s="19" t="n"/>
      <c r="C636" s="25" t="n"/>
      <c r="D636" s="25" t="n"/>
    </row>
    <row r="637" customFormat="1" s="129">
      <c r="A637" s="19" t="n"/>
      <c r="C637" s="25" t="n"/>
      <c r="D637" s="25" t="n"/>
    </row>
    <row r="638" customFormat="1" s="129">
      <c r="A638" s="19" t="n"/>
      <c r="C638" s="25" t="n"/>
      <c r="D638" s="25" t="n"/>
    </row>
    <row r="639" customFormat="1" s="129">
      <c r="A639" s="19" t="n"/>
      <c r="C639" s="25" t="n"/>
      <c r="D639" s="25" t="n"/>
    </row>
    <row r="640" customFormat="1" s="129">
      <c r="A640" s="19" t="n"/>
      <c r="C640" s="25" t="n"/>
      <c r="D640" s="25" t="n"/>
    </row>
    <row r="641" customFormat="1" s="129">
      <c r="A641" s="19" t="n"/>
      <c r="C641" s="25" t="n"/>
      <c r="D641" s="25" t="n"/>
    </row>
    <row r="642" customFormat="1" s="129">
      <c r="A642" s="19" t="n"/>
      <c r="C642" s="25" t="n"/>
      <c r="D642" s="25" t="n"/>
    </row>
    <row r="643" customFormat="1" s="129">
      <c r="A643" s="19" t="n"/>
      <c r="C643" s="25" t="n"/>
      <c r="D643" s="25" t="n"/>
    </row>
    <row r="644" customFormat="1" s="129">
      <c r="A644" s="19" t="n"/>
      <c r="C644" s="25" t="n"/>
      <c r="D644" s="25" t="n"/>
    </row>
    <row r="645" customFormat="1" s="129">
      <c r="A645" s="19" t="n"/>
      <c r="C645" s="25" t="n"/>
      <c r="D645" s="25" t="n"/>
    </row>
    <row r="646" customFormat="1" s="129">
      <c r="A646" s="19" t="n"/>
      <c r="C646" s="25" t="n"/>
      <c r="D646" s="25" t="n"/>
    </row>
    <row r="647" customFormat="1" s="129">
      <c r="A647" s="19" t="n"/>
      <c r="C647" s="25" t="n"/>
      <c r="D647" s="25" t="n"/>
    </row>
    <row r="648" customFormat="1" s="129">
      <c r="A648" s="19" t="n"/>
      <c r="C648" s="25" t="n"/>
      <c r="D648" s="25" t="n"/>
    </row>
    <row r="649" customFormat="1" s="129">
      <c r="A649" s="19" t="n"/>
      <c r="C649" s="25" t="n"/>
      <c r="D649" s="25" t="n"/>
    </row>
    <row r="650" customFormat="1" s="129">
      <c r="A650" s="19" t="n"/>
      <c r="C650" s="25" t="n"/>
      <c r="D650" s="25" t="n"/>
    </row>
    <row r="651" customFormat="1" s="129">
      <c r="A651" s="19" t="n"/>
      <c r="C651" s="25" t="n"/>
      <c r="D651" s="25" t="n"/>
    </row>
    <row r="652" customFormat="1" s="129">
      <c r="A652" s="19" t="n"/>
      <c r="C652" s="25" t="n"/>
      <c r="D652" s="25" t="n"/>
    </row>
    <row r="653" customFormat="1" s="129">
      <c r="A653" s="19" t="n"/>
      <c r="C653" s="25" t="n"/>
      <c r="D653" s="25" t="n"/>
    </row>
    <row r="654" customFormat="1" s="129">
      <c r="A654" s="19" t="n"/>
      <c r="C654" s="25" t="n"/>
      <c r="D654" s="25" t="n"/>
    </row>
    <row r="655" customFormat="1" s="129">
      <c r="A655" s="19" t="n"/>
      <c r="C655" s="25" t="n"/>
      <c r="D655" s="25" t="n"/>
    </row>
    <row r="656" customFormat="1" s="129">
      <c r="A656" s="19" t="n"/>
      <c r="C656" s="25" t="n"/>
      <c r="D656" s="25" t="n"/>
    </row>
    <row r="657" customFormat="1" s="129">
      <c r="A657" s="19" t="n"/>
      <c r="C657" s="25" t="n"/>
      <c r="D657" s="25" t="n"/>
    </row>
    <row r="658" customFormat="1" s="129">
      <c r="A658" s="19" t="n"/>
      <c r="C658" s="25" t="n"/>
      <c r="D658" s="25" t="n"/>
    </row>
    <row r="659" customFormat="1" s="129">
      <c r="A659" s="19" t="n"/>
      <c r="C659" s="25" t="n"/>
      <c r="D659" s="25" t="n"/>
    </row>
    <row r="660" customFormat="1" s="129">
      <c r="A660" s="19" t="n"/>
      <c r="C660" s="25" t="n"/>
      <c r="D660" s="25" t="n"/>
    </row>
    <row r="661" customFormat="1" s="129">
      <c r="A661" s="19" t="n"/>
      <c r="C661" s="25" t="n"/>
      <c r="D661" s="25" t="n"/>
    </row>
    <row r="662" customFormat="1" s="129">
      <c r="A662" s="19" t="n"/>
      <c r="C662" s="25" t="n"/>
      <c r="D662" s="25" t="n"/>
    </row>
    <row r="663" customFormat="1" s="129">
      <c r="A663" s="19" t="n"/>
      <c r="C663" s="25" t="n"/>
      <c r="D663" s="25" t="n"/>
    </row>
    <row r="664" customFormat="1" s="129">
      <c r="A664" s="19" t="n"/>
      <c r="C664" s="25" t="n"/>
      <c r="D664" s="25" t="n"/>
    </row>
    <row r="665" customFormat="1" s="129">
      <c r="A665" s="19" t="n"/>
      <c r="C665" s="25" t="n"/>
      <c r="D665" s="25" t="n"/>
    </row>
    <row r="666" customFormat="1" s="129">
      <c r="A666" s="19" t="n"/>
      <c r="C666" s="25" t="n"/>
      <c r="D666" s="25" t="n"/>
    </row>
    <row r="667" customFormat="1" s="129">
      <c r="A667" s="19" t="n"/>
      <c r="C667" s="25" t="n"/>
      <c r="D667" s="25" t="n"/>
    </row>
    <row r="668" customFormat="1" s="129">
      <c r="A668" s="19" t="n"/>
      <c r="C668" s="25" t="n"/>
      <c r="D668" s="25" t="n"/>
    </row>
    <row r="669" customFormat="1" s="129">
      <c r="A669" s="19" t="n"/>
      <c r="C669" s="25" t="n"/>
      <c r="D669" s="25" t="n"/>
    </row>
    <row r="670" customFormat="1" s="129">
      <c r="A670" s="19" t="n"/>
      <c r="C670" s="25" t="n"/>
      <c r="D670" s="25" t="n"/>
    </row>
    <row r="671" customFormat="1" s="129">
      <c r="A671" s="19" t="n"/>
      <c r="C671" s="25" t="n"/>
      <c r="D671" s="25" t="n"/>
    </row>
    <row r="672" customFormat="1" s="129">
      <c r="A672" s="19" t="n"/>
      <c r="C672" s="25" t="n"/>
      <c r="D672" s="25" t="n"/>
    </row>
    <row r="673" customFormat="1" s="129">
      <c r="A673" s="19" t="n"/>
      <c r="C673" s="25" t="n"/>
      <c r="D673" s="25" t="n"/>
    </row>
    <row r="674" customFormat="1" s="129">
      <c r="A674" s="19" t="n"/>
      <c r="C674" s="25" t="n"/>
      <c r="D674" s="25" t="n"/>
    </row>
    <row r="675" customFormat="1" s="129">
      <c r="A675" s="19" t="n"/>
      <c r="C675" s="25" t="n"/>
      <c r="D675" s="25" t="n"/>
    </row>
    <row r="676" customFormat="1" s="129">
      <c r="A676" s="19" t="n"/>
      <c r="C676" s="25" t="n"/>
      <c r="D676" s="25" t="n"/>
    </row>
    <row r="677" customFormat="1" s="129">
      <c r="A677" s="19" t="n"/>
      <c r="C677" s="25" t="n"/>
      <c r="D677" s="25" t="n"/>
    </row>
    <row r="678" customFormat="1" s="129">
      <c r="A678" s="19" t="n"/>
      <c r="C678" s="25" t="n"/>
      <c r="D678" s="25" t="n"/>
    </row>
    <row r="679" customFormat="1" s="129">
      <c r="A679" s="19" t="n"/>
      <c r="C679" s="25" t="n"/>
      <c r="D679" s="25" t="n"/>
    </row>
    <row r="680" customFormat="1" s="129">
      <c r="A680" s="19" t="n"/>
      <c r="C680" s="25" t="n"/>
      <c r="D680" s="25" t="n"/>
    </row>
    <row r="681" customFormat="1" s="129">
      <c r="A681" s="19" t="n"/>
      <c r="C681" s="25" t="n"/>
      <c r="D681" s="25" t="n"/>
    </row>
    <row r="682" customFormat="1" s="129">
      <c r="A682" s="19" t="n"/>
      <c r="C682" s="25" t="n"/>
      <c r="D682" s="25" t="n"/>
    </row>
    <row r="683" customFormat="1" s="129">
      <c r="A683" s="19" t="n"/>
      <c r="C683" s="25" t="n"/>
      <c r="D683" s="25" t="n"/>
    </row>
    <row r="684" customFormat="1" s="129">
      <c r="A684" s="19" t="n"/>
      <c r="C684" s="25" t="n"/>
      <c r="D684" s="25" t="n"/>
    </row>
    <row r="685" customFormat="1" s="129">
      <c r="A685" s="19" t="n"/>
      <c r="C685" s="25" t="n"/>
      <c r="D685" s="25" t="n"/>
    </row>
    <row r="686" customFormat="1" s="129">
      <c r="A686" s="19" t="n"/>
      <c r="C686" s="25" t="n"/>
      <c r="D686" s="25" t="n"/>
    </row>
    <row r="687" customFormat="1" s="129">
      <c r="A687" s="19" t="n"/>
      <c r="C687" s="25" t="n"/>
      <c r="D687" s="25" t="n"/>
    </row>
    <row r="688" customFormat="1" s="129">
      <c r="A688" s="19" t="n"/>
      <c r="C688" s="25" t="n"/>
      <c r="D688" s="25" t="n"/>
    </row>
    <row r="689" customFormat="1" s="129">
      <c r="A689" s="19" t="n"/>
      <c r="C689" s="25" t="n"/>
      <c r="D689" s="25" t="n"/>
    </row>
    <row r="690" customFormat="1" s="129">
      <c r="A690" s="19" t="n"/>
      <c r="C690" s="25" t="n"/>
      <c r="D690" s="25" t="n"/>
    </row>
    <row r="691" customFormat="1" s="129">
      <c r="A691" s="19" t="n"/>
      <c r="C691" s="25" t="n"/>
      <c r="D691" s="25" t="n"/>
    </row>
    <row r="692" customFormat="1" s="129">
      <c r="A692" s="19" t="n"/>
      <c r="C692" s="25" t="n"/>
      <c r="D692" s="25" t="n"/>
    </row>
    <row r="693" customFormat="1" s="129">
      <c r="A693" s="19" t="n"/>
      <c r="C693" s="25" t="n"/>
      <c r="D693" s="25" t="n"/>
    </row>
    <row r="694" customFormat="1" s="129">
      <c r="A694" s="19" t="n"/>
      <c r="C694" s="25" t="n"/>
      <c r="D694" s="25" t="n"/>
    </row>
    <row r="695" customFormat="1" s="129">
      <c r="A695" s="19" t="n"/>
      <c r="C695" s="25" t="n"/>
      <c r="D695" s="25" t="n"/>
    </row>
    <row r="696" customFormat="1" s="129">
      <c r="A696" s="19" t="n"/>
      <c r="C696" s="25" t="n"/>
      <c r="D696" s="25" t="n"/>
    </row>
    <row r="697" customFormat="1" s="129">
      <c r="A697" s="19" t="n"/>
      <c r="C697" s="25" t="n"/>
      <c r="D697" s="25" t="n"/>
    </row>
    <row r="698" customFormat="1" s="129">
      <c r="A698" s="19" t="n"/>
      <c r="C698" s="25" t="n"/>
      <c r="D698" s="25" t="n"/>
    </row>
    <row r="699" customFormat="1" s="129">
      <c r="A699" s="19" t="n"/>
      <c r="C699" s="25" t="n"/>
      <c r="D699" s="25" t="n"/>
    </row>
    <row r="700" customFormat="1" s="129">
      <c r="A700" s="19" t="n"/>
      <c r="C700" s="25" t="n"/>
      <c r="D700" s="25" t="n"/>
    </row>
    <row r="701" customFormat="1" s="129">
      <c r="A701" s="19" t="n"/>
      <c r="C701" s="25" t="n"/>
      <c r="D701" s="25" t="n"/>
    </row>
    <row r="702" customFormat="1" s="129">
      <c r="A702" s="19" t="n"/>
      <c r="C702" s="25" t="n"/>
      <c r="D702" s="25" t="n"/>
    </row>
    <row r="703" customFormat="1" s="129">
      <c r="A703" s="19" t="n"/>
      <c r="C703" s="25" t="n"/>
      <c r="D703" s="25" t="n"/>
    </row>
    <row r="704" customFormat="1" s="129">
      <c r="A704" s="19" t="n"/>
      <c r="C704" s="25" t="n"/>
      <c r="D704" s="25" t="n"/>
    </row>
    <row r="705" customFormat="1" s="129">
      <c r="A705" s="19" t="n"/>
      <c r="C705" s="25" t="n"/>
      <c r="D705" s="25" t="n"/>
    </row>
    <row r="706" customFormat="1" s="129">
      <c r="A706" s="19" t="n"/>
      <c r="C706" s="25" t="n"/>
      <c r="D706" s="25" t="n"/>
    </row>
    <row r="707" customFormat="1" s="129">
      <c r="A707" s="19" t="n"/>
      <c r="C707" s="25" t="n"/>
      <c r="D707" s="25" t="n"/>
    </row>
    <row r="708" customFormat="1" s="129">
      <c r="A708" s="19" t="n"/>
      <c r="C708" s="25" t="n"/>
      <c r="D708" s="25" t="n"/>
    </row>
    <row r="709" customFormat="1" s="129">
      <c r="A709" s="19" t="n"/>
      <c r="C709" s="25" t="n"/>
      <c r="D709" s="25" t="n"/>
    </row>
    <row r="710" customFormat="1" s="129">
      <c r="A710" s="19" t="n"/>
      <c r="C710" s="25" t="n"/>
      <c r="D710" s="25" t="n"/>
    </row>
    <row r="711" customFormat="1" s="129">
      <c r="A711" s="19" t="n"/>
      <c r="C711" s="25" t="n"/>
      <c r="D711" s="25" t="n"/>
    </row>
    <row r="712" customFormat="1" s="129">
      <c r="A712" s="19" t="n"/>
      <c r="C712" s="25" t="n"/>
      <c r="D712" s="25" t="n"/>
    </row>
    <row r="713" customFormat="1" s="129">
      <c r="A713" s="19" t="n"/>
      <c r="C713" s="25" t="n"/>
      <c r="D713" s="25" t="n"/>
    </row>
    <row r="714" customFormat="1" s="129">
      <c r="A714" s="19" t="n"/>
      <c r="C714" s="25" t="n"/>
      <c r="D714" s="25" t="n"/>
    </row>
    <row r="715" customFormat="1" s="129">
      <c r="A715" s="19" t="n"/>
      <c r="C715" s="25" t="n"/>
      <c r="D715" s="25" t="n"/>
    </row>
    <row r="716" customFormat="1" s="129">
      <c r="A716" s="19" t="n"/>
      <c r="C716" s="25" t="n"/>
      <c r="D716" s="25" t="n"/>
    </row>
    <row r="717" customFormat="1" s="129">
      <c r="A717" s="19" t="n"/>
      <c r="C717" s="25" t="n"/>
      <c r="D717" s="25" t="n"/>
    </row>
    <row r="718" customFormat="1" s="129">
      <c r="A718" s="19" t="n"/>
      <c r="C718" s="25" t="n"/>
      <c r="D718" s="25" t="n"/>
    </row>
    <row r="719" customFormat="1" s="129">
      <c r="A719" s="19" t="n"/>
      <c r="C719" s="25" t="n"/>
      <c r="D719" s="25" t="n"/>
    </row>
    <row r="720" customFormat="1" s="129">
      <c r="A720" s="19" t="n"/>
      <c r="C720" s="25" t="n"/>
      <c r="D720" s="25" t="n"/>
    </row>
    <row r="721" customFormat="1" s="129">
      <c r="A721" s="19" t="n"/>
      <c r="C721" s="25" t="n"/>
      <c r="D721" s="25" t="n"/>
    </row>
    <row r="722" customFormat="1" s="129">
      <c r="A722" s="19" t="n"/>
      <c r="C722" s="25" t="n"/>
      <c r="D722" s="25" t="n"/>
    </row>
    <row r="723" customFormat="1" s="129">
      <c r="A723" s="19" t="n"/>
      <c r="C723" s="25" t="n"/>
      <c r="D723" s="25" t="n"/>
    </row>
    <row r="724" customFormat="1" s="129">
      <c r="A724" s="19" t="n"/>
      <c r="C724" s="25" t="n"/>
      <c r="D724" s="25" t="n"/>
    </row>
    <row r="725" customFormat="1" s="129">
      <c r="A725" s="19" t="n"/>
      <c r="C725" s="25" t="n"/>
      <c r="D725" s="25" t="n"/>
    </row>
    <row r="726" customFormat="1" s="129">
      <c r="A726" s="19" t="n"/>
      <c r="C726" s="25" t="n"/>
      <c r="D726" s="25" t="n"/>
    </row>
    <row r="727" customFormat="1" s="129">
      <c r="A727" s="19" t="n"/>
      <c r="C727" s="25" t="n"/>
      <c r="D727" s="25" t="n"/>
    </row>
    <row r="728" customFormat="1" s="129">
      <c r="A728" s="19" t="n"/>
      <c r="C728" s="25" t="n"/>
      <c r="D728" s="25" t="n"/>
    </row>
    <row r="729" customFormat="1" s="129">
      <c r="A729" s="19" t="n"/>
      <c r="C729" s="25" t="n"/>
      <c r="D729" s="25" t="n"/>
    </row>
    <row r="730" customFormat="1" s="129">
      <c r="A730" s="19" t="n"/>
      <c r="C730" s="25" t="n"/>
      <c r="D730" s="25" t="n"/>
    </row>
    <row r="731" customFormat="1" s="129">
      <c r="A731" s="19" t="n"/>
      <c r="C731" s="25" t="n"/>
      <c r="D731" s="25" t="n"/>
    </row>
    <row r="732" customFormat="1" s="129">
      <c r="A732" s="19" t="n"/>
      <c r="C732" s="25" t="n"/>
      <c r="D732" s="25" t="n"/>
    </row>
    <row r="733" customFormat="1" s="129">
      <c r="A733" s="19" t="n"/>
      <c r="C733" s="25" t="n"/>
      <c r="D733" s="25" t="n"/>
    </row>
    <row r="734" customFormat="1" s="129">
      <c r="A734" s="19" t="n"/>
      <c r="C734" s="25" t="n"/>
      <c r="D734" s="25" t="n"/>
    </row>
    <row r="735" customFormat="1" s="129">
      <c r="A735" s="19" t="n"/>
      <c r="C735" s="25" t="n"/>
      <c r="D735" s="25" t="n"/>
    </row>
    <row r="736" customFormat="1" s="129">
      <c r="A736" s="19" t="n"/>
      <c r="C736" s="25" t="n"/>
      <c r="D736" s="25" t="n"/>
    </row>
    <row r="737" customFormat="1" s="129">
      <c r="A737" s="19" t="n"/>
      <c r="C737" s="25" t="n"/>
      <c r="D737" s="25" t="n"/>
    </row>
    <row r="738" customFormat="1" s="129">
      <c r="A738" s="19" t="n"/>
      <c r="C738" s="25" t="n"/>
      <c r="D738" s="25" t="n"/>
    </row>
    <row r="739" customFormat="1" s="129">
      <c r="A739" s="19" t="n"/>
      <c r="C739" s="25" t="n"/>
      <c r="D739" s="25" t="n"/>
    </row>
    <row r="740" customFormat="1" s="129">
      <c r="A740" s="19" t="n"/>
      <c r="C740" s="25" t="n"/>
      <c r="D740" s="25" t="n"/>
    </row>
    <row r="741" customFormat="1" s="129">
      <c r="A741" s="19" t="n"/>
      <c r="C741" s="25" t="n"/>
      <c r="D741" s="25" t="n"/>
    </row>
    <row r="742" customFormat="1" s="129">
      <c r="A742" s="19" t="n"/>
      <c r="C742" s="25" t="n"/>
      <c r="D742" s="25" t="n"/>
    </row>
    <row r="743" customFormat="1" s="129">
      <c r="A743" s="19" t="n"/>
      <c r="C743" s="25" t="n"/>
      <c r="D743" s="25" t="n"/>
    </row>
    <row r="744" customFormat="1" s="129">
      <c r="A744" s="19" t="n"/>
      <c r="C744" s="25" t="n"/>
      <c r="D744" s="25" t="n"/>
    </row>
    <row r="745" customFormat="1" s="129">
      <c r="A745" s="19" t="n"/>
      <c r="C745" s="25" t="n"/>
      <c r="D745" s="25" t="n"/>
    </row>
    <row r="746" customFormat="1" s="129">
      <c r="A746" s="19" t="n"/>
      <c r="C746" s="25" t="n"/>
      <c r="D746" s="25" t="n"/>
    </row>
    <row r="747" customFormat="1" s="129">
      <c r="A747" s="19" t="n"/>
      <c r="C747" s="25" t="n"/>
      <c r="D747" s="25" t="n"/>
    </row>
    <row r="748" customFormat="1" s="129">
      <c r="A748" s="19" t="n"/>
      <c r="C748" s="25" t="n"/>
      <c r="D748" s="25" t="n"/>
    </row>
    <row r="749" customFormat="1" s="129">
      <c r="A749" s="19" t="n"/>
      <c r="C749" s="25" t="n"/>
      <c r="D749" s="25" t="n"/>
    </row>
    <row r="750" customFormat="1" s="129">
      <c r="A750" s="19" t="n"/>
      <c r="C750" s="25" t="n"/>
      <c r="D750" s="25" t="n"/>
    </row>
    <row r="751" customFormat="1" s="129">
      <c r="A751" s="19" t="n"/>
      <c r="C751" s="25" t="n"/>
      <c r="D751" s="25" t="n"/>
    </row>
    <row r="752" customFormat="1" s="129">
      <c r="A752" s="19" t="n"/>
      <c r="C752" s="25" t="n"/>
      <c r="D752" s="25" t="n"/>
    </row>
    <row r="753" customFormat="1" s="129">
      <c r="A753" s="19" t="n"/>
      <c r="C753" s="25" t="n"/>
      <c r="D753" s="25" t="n"/>
    </row>
    <row r="754" customFormat="1" s="129">
      <c r="A754" s="19" t="n"/>
      <c r="C754" s="25" t="n"/>
      <c r="D754" s="25" t="n"/>
    </row>
    <row r="755" customFormat="1" s="129">
      <c r="A755" s="19" t="n"/>
      <c r="C755" s="25" t="n"/>
      <c r="D755" s="25" t="n"/>
    </row>
    <row r="756" customFormat="1" s="129">
      <c r="A756" s="19" t="n"/>
      <c r="C756" s="25" t="n"/>
      <c r="D756" s="25" t="n"/>
    </row>
    <row r="757" customFormat="1" s="129">
      <c r="A757" s="19" t="n"/>
      <c r="C757" s="25" t="n"/>
      <c r="D757" s="25" t="n"/>
    </row>
    <row r="758" customFormat="1" s="129">
      <c r="A758" s="19" t="n"/>
      <c r="C758" s="25" t="n"/>
      <c r="D758" s="25" t="n"/>
    </row>
    <row r="759" customFormat="1" s="129">
      <c r="A759" s="19" t="n"/>
      <c r="C759" s="25" t="n"/>
      <c r="D759" s="25" t="n"/>
    </row>
    <row r="760" customFormat="1" s="129">
      <c r="A760" s="19" t="n"/>
      <c r="C760" s="25" t="n"/>
      <c r="D760" s="25" t="n"/>
    </row>
    <row r="761" customFormat="1" s="129">
      <c r="A761" s="19" t="n"/>
      <c r="C761" s="25" t="n"/>
      <c r="D761" s="25" t="n"/>
    </row>
    <row r="762" customFormat="1" s="129">
      <c r="A762" s="19" t="n"/>
      <c r="C762" s="25" t="n"/>
      <c r="D762" s="25" t="n"/>
    </row>
    <row r="763" customFormat="1" s="129">
      <c r="A763" s="19" t="n"/>
      <c r="C763" s="25" t="n"/>
      <c r="D763" s="25" t="n"/>
    </row>
    <row r="764" customFormat="1" s="129">
      <c r="A764" s="19" t="n"/>
      <c r="C764" s="25" t="n"/>
      <c r="D764" s="25" t="n"/>
    </row>
    <row r="765" customFormat="1" s="129">
      <c r="A765" s="19" t="n"/>
      <c r="C765" s="25" t="n"/>
      <c r="D765" s="25" t="n"/>
    </row>
    <row r="766" customFormat="1" s="129">
      <c r="A766" s="19" t="n"/>
      <c r="C766" s="25" t="n"/>
      <c r="D766" s="25" t="n"/>
    </row>
    <row r="767" customFormat="1" s="129">
      <c r="A767" s="19" t="n"/>
      <c r="C767" s="25" t="n"/>
      <c r="D767" s="25" t="n"/>
    </row>
    <row r="768" customFormat="1" s="129">
      <c r="A768" s="19" t="n"/>
      <c r="C768" s="25" t="n"/>
      <c r="D768" s="25" t="n"/>
    </row>
    <row r="769" customFormat="1" s="129">
      <c r="A769" s="19" t="n"/>
      <c r="C769" s="25" t="n"/>
      <c r="D769" s="25" t="n"/>
    </row>
    <row r="770" customFormat="1" s="129">
      <c r="A770" s="19" t="n"/>
      <c r="C770" s="25" t="n"/>
      <c r="D770" s="25" t="n"/>
    </row>
    <row r="771" customFormat="1" s="129">
      <c r="A771" s="19" t="n"/>
      <c r="C771" s="25" t="n"/>
      <c r="D771" s="25" t="n"/>
    </row>
    <row r="772" customFormat="1" s="129">
      <c r="A772" s="19" t="n"/>
      <c r="C772" s="25" t="n"/>
      <c r="D772" s="25" t="n"/>
    </row>
    <row r="773" customFormat="1" s="129">
      <c r="A773" s="19" t="n"/>
      <c r="C773" s="25" t="n"/>
      <c r="D773" s="25" t="n"/>
    </row>
    <row r="774" customFormat="1" s="129">
      <c r="A774" s="19" t="n"/>
      <c r="C774" s="25" t="n"/>
      <c r="D774" s="25" t="n"/>
    </row>
    <row r="775" customFormat="1" s="129">
      <c r="A775" s="19" t="n"/>
      <c r="C775" s="25" t="n"/>
      <c r="D775" s="25" t="n"/>
    </row>
    <row r="776" customFormat="1" s="129">
      <c r="A776" s="19" t="n"/>
      <c r="C776" s="25" t="n"/>
      <c r="D776" s="25" t="n"/>
    </row>
    <row r="777" customFormat="1" s="129">
      <c r="A777" s="19" t="n"/>
      <c r="C777" s="25" t="n"/>
      <c r="D777" s="25" t="n"/>
    </row>
    <row r="778" customFormat="1" s="129">
      <c r="A778" s="19" t="n"/>
      <c r="C778" s="25" t="n"/>
      <c r="D778" s="25" t="n"/>
    </row>
    <row r="779" customFormat="1" s="129">
      <c r="A779" s="19" t="n"/>
      <c r="C779" s="25" t="n"/>
      <c r="D779" s="25" t="n"/>
    </row>
    <row r="780" customFormat="1" s="129">
      <c r="A780" s="19" t="n"/>
      <c r="C780" s="25" t="n"/>
      <c r="D780" s="25" t="n"/>
    </row>
    <row r="781" customFormat="1" s="129">
      <c r="A781" s="19" t="n"/>
      <c r="C781" s="25" t="n"/>
      <c r="D781" s="25" t="n"/>
    </row>
    <row r="782" customFormat="1" s="129">
      <c r="A782" s="19" t="n"/>
      <c r="C782" s="25" t="n"/>
      <c r="D782" s="25" t="n"/>
    </row>
    <row r="783" customFormat="1" s="129">
      <c r="A783" s="19" t="n"/>
      <c r="C783" s="25" t="n"/>
      <c r="D783" s="25" t="n"/>
    </row>
    <row r="784" customFormat="1" s="129">
      <c r="A784" s="19" t="n"/>
      <c r="C784" s="25" t="n"/>
      <c r="D784" s="25" t="n"/>
    </row>
    <row r="785" customFormat="1" s="129">
      <c r="A785" s="19" t="n"/>
      <c r="C785" s="25" t="n"/>
      <c r="D785" s="25" t="n"/>
    </row>
    <row r="786" customFormat="1" s="129">
      <c r="A786" s="19" t="n"/>
      <c r="C786" s="25" t="n"/>
      <c r="D786" s="25" t="n"/>
    </row>
    <row r="787" customFormat="1" s="129">
      <c r="A787" s="19" t="n"/>
      <c r="C787" s="25" t="n"/>
      <c r="D787" s="25" t="n"/>
    </row>
    <row r="788" customFormat="1" s="129">
      <c r="A788" s="19" t="n"/>
      <c r="C788" s="25" t="n"/>
      <c r="D788" s="25" t="n"/>
    </row>
    <row r="789" customFormat="1" s="129">
      <c r="A789" s="19" t="n"/>
      <c r="C789" s="25" t="n"/>
      <c r="D789" s="25" t="n"/>
    </row>
    <row r="790" customFormat="1" s="129">
      <c r="A790" s="19" t="n"/>
      <c r="C790" s="25" t="n"/>
      <c r="D790" s="25" t="n"/>
    </row>
    <row r="791" customFormat="1" s="129">
      <c r="A791" s="19" t="n"/>
      <c r="C791" s="25" t="n"/>
      <c r="D791" s="25" t="n"/>
    </row>
    <row r="792" customFormat="1" s="129">
      <c r="A792" s="19" t="n"/>
      <c r="C792" s="25" t="n"/>
      <c r="D792" s="25" t="n"/>
    </row>
    <row r="793" customFormat="1" s="129">
      <c r="A793" s="19" t="n"/>
      <c r="C793" s="25" t="n"/>
      <c r="D793" s="25" t="n"/>
    </row>
    <row r="794" customFormat="1" s="129">
      <c r="A794" s="19" t="n"/>
      <c r="C794" s="25" t="n"/>
      <c r="D794" s="25" t="n"/>
    </row>
    <row r="795" customFormat="1" s="129">
      <c r="A795" s="19" t="n"/>
      <c r="C795" s="25" t="n"/>
      <c r="D795" s="25" t="n"/>
    </row>
    <row r="796" customFormat="1" s="129">
      <c r="A796" s="19" t="n"/>
      <c r="C796" s="25" t="n"/>
      <c r="D796" s="25" t="n"/>
    </row>
    <row r="797" customFormat="1" s="129">
      <c r="A797" s="19" t="n"/>
      <c r="C797" s="25" t="n"/>
      <c r="D797" s="25" t="n"/>
    </row>
    <row r="798" customFormat="1" s="129">
      <c r="A798" s="19" t="n"/>
      <c r="C798" s="25" t="n"/>
      <c r="D798" s="25" t="n"/>
    </row>
    <row r="799" customFormat="1" s="129">
      <c r="A799" s="19" t="n"/>
      <c r="C799" s="25" t="n"/>
      <c r="D799" s="25" t="n"/>
    </row>
    <row r="800" customFormat="1" s="129">
      <c r="A800" s="19" t="n"/>
      <c r="C800" s="25" t="n"/>
      <c r="D800" s="25" t="n"/>
    </row>
    <row r="801" customFormat="1" s="129">
      <c r="A801" s="19" t="n"/>
      <c r="C801" s="25" t="n"/>
      <c r="D801" s="25" t="n"/>
    </row>
    <row r="802" customFormat="1" s="129">
      <c r="A802" s="19" t="n"/>
      <c r="C802" s="25" t="n"/>
      <c r="D802" s="25" t="n"/>
    </row>
    <row r="803" customFormat="1" s="129">
      <c r="A803" s="19" t="n"/>
      <c r="C803" s="25" t="n"/>
      <c r="D803" s="25" t="n"/>
    </row>
    <row r="804" customFormat="1" s="129">
      <c r="A804" s="19" t="n"/>
      <c r="C804" s="25" t="n"/>
      <c r="D804" s="25" t="n"/>
    </row>
    <row r="805" customFormat="1" s="129">
      <c r="A805" s="19" t="n"/>
      <c r="C805" s="25" t="n"/>
      <c r="D805" s="25" t="n"/>
    </row>
    <row r="806" customFormat="1" s="129">
      <c r="A806" s="19" t="n"/>
      <c r="C806" s="25" t="n"/>
      <c r="D806" s="25" t="n"/>
    </row>
    <row r="807" customFormat="1" s="129">
      <c r="A807" s="19" t="n"/>
      <c r="C807" s="25" t="n"/>
      <c r="D807" s="25" t="n"/>
    </row>
    <row r="808" customFormat="1" s="129">
      <c r="A808" s="19" t="n"/>
      <c r="C808" s="25" t="n"/>
      <c r="D808" s="25" t="n"/>
    </row>
    <row r="809" customFormat="1" s="129">
      <c r="A809" s="19" t="n"/>
      <c r="C809" s="25" t="n"/>
      <c r="D809" s="25" t="n"/>
    </row>
    <row r="810" customFormat="1" s="129">
      <c r="A810" s="19" t="n"/>
      <c r="C810" s="25" t="n"/>
      <c r="D810" s="25" t="n"/>
    </row>
    <row r="811" customFormat="1" s="129">
      <c r="A811" s="19" t="n"/>
      <c r="C811" s="25" t="n"/>
      <c r="D811" s="25" t="n"/>
    </row>
    <row r="812" customFormat="1" s="129">
      <c r="A812" s="19" t="n"/>
      <c r="C812" s="25" t="n"/>
      <c r="D812" s="25" t="n"/>
    </row>
    <row r="813" customFormat="1" s="129">
      <c r="A813" s="19" t="n"/>
      <c r="C813" s="25" t="n"/>
      <c r="D813" s="25" t="n"/>
    </row>
    <row r="814" customFormat="1" s="129">
      <c r="A814" s="19" t="n"/>
      <c r="C814" s="25" t="n"/>
      <c r="D814" s="25" t="n"/>
    </row>
    <row r="815" customFormat="1" s="129">
      <c r="A815" s="19" t="n"/>
      <c r="C815" s="25" t="n"/>
      <c r="D815" s="25" t="n"/>
    </row>
    <row r="816" customFormat="1" s="129">
      <c r="A816" s="19" t="n"/>
      <c r="C816" s="25" t="n"/>
      <c r="D816" s="25" t="n"/>
    </row>
    <row r="817" customFormat="1" s="129">
      <c r="A817" s="19" t="n"/>
      <c r="C817" s="25" t="n"/>
      <c r="D817" s="25" t="n"/>
    </row>
    <row r="818" customFormat="1" s="129">
      <c r="A818" s="19" t="n"/>
      <c r="C818" s="25" t="n"/>
      <c r="D818" s="25" t="n"/>
    </row>
    <row r="819" customFormat="1" s="129">
      <c r="A819" s="19" t="n"/>
      <c r="C819" s="25" t="n"/>
      <c r="D819" s="25" t="n"/>
    </row>
    <row r="820" customFormat="1" s="129">
      <c r="A820" s="19" t="n"/>
      <c r="C820" s="25" t="n"/>
      <c r="D820" s="25" t="n"/>
    </row>
    <row r="821" customFormat="1" s="129">
      <c r="A821" s="19" t="n"/>
      <c r="C821" s="25" t="n"/>
      <c r="D821" s="25" t="n"/>
    </row>
    <row r="822" customFormat="1" s="129">
      <c r="A822" s="19" t="n"/>
      <c r="C822" s="25" t="n"/>
      <c r="D822" s="25" t="n"/>
    </row>
    <row r="823" customFormat="1" s="129">
      <c r="A823" s="19" t="n"/>
      <c r="C823" s="25" t="n"/>
      <c r="D823" s="25" t="n"/>
    </row>
    <row r="824" customFormat="1" s="129">
      <c r="A824" s="19" t="n"/>
      <c r="C824" s="25" t="n"/>
      <c r="D824" s="25" t="n"/>
    </row>
    <row r="825" customFormat="1" s="129">
      <c r="A825" s="19" t="n"/>
      <c r="C825" s="25" t="n"/>
      <c r="D825" s="25" t="n"/>
    </row>
    <row r="826" customFormat="1" s="129">
      <c r="A826" s="19" t="n"/>
      <c r="C826" s="25" t="n"/>
      <c r="D826" s="25" t="n"/>
    </row>
    <row r="827" customFormat="1" s="129">
      <c r="A827" s="19" t="n"/>
      <c r="C827" s="25" t="n"/>
      <c r="D827" s="25" t="n"/>
    </row>
    <row r="828" customFormat="1" s="129">
      <c r="A828" s="19" t="n"/>
      <c r="C828" s="25" t="n"/>
      <c r="D828" s="25" t="n"/>
    </row>
    <row r="829" customFormat="1" s="129">
      <c r="A829" s="19" t="n"/>
      <c r="C829" s="25" t="n"/>
      <c r="D829" s="25" t="n"/>
    </row>
    <row r="830" customFormat="1" s="129">
      <c r="A830" s="19" t="n"/>
      <c r="C830" s="25" t="n"/>
      <c r="D830" s="25" t="n"/>
    </row>
    <row r="831" customFormat="1" s="129">
      <c r="A831" s="19" t="n"/>
      <c r="C831" s="25" t="n"/>
      <c r="D831" s="25" t="n"/>
    </row>
    <row r="832" customFormat="1" s="129">
      <c r="A832" s="19" t="n"/>
      <c r="C832" s="25" t="n"/>
      <c r="D832" s="25" t="n"/>
    </row>
    <row r="833" customFormat="1" s="129">
      <c r="A833" s="19" t="n"/>
      <c r="C833" s="25" t="n"/>
      <c r="D833" s="25" t="n"/>
    </row>
    <row r="834" customFormat="1" s="129">
      <c r="A834" s="19" t="n"/>
      <c r="C834" s="25" t="n"/>
      <c r="D834" s="25" t="n"/>
    </row>
    <row r="835" customFormat="1" s="129">
      <c r="A835" s="19" t="n"/>
      <c r="C835" s="25" t="n"/>
      <c r="D835" s="25" t="n"/>
    </row>
    <row r="836" customFormat="1" s="129">
      <c r="A836" s="19" t="n"/>
      <c r="C836" s="25" t="n"/>
      <c r="D836" s="25" t="n"/>
    </row>
    <row r="837" customFormat="1" s="129">
      <c r="A837" s="19" t="n"/>
      <c r="C837" s="25" t="n"/>
      <c r="D837" s="25" t="n"/>
    </row>
    <row r="838" customFormat="1" s="129">
      <c r="A838" s="19" t="n"/>
      <c r="C838" s="25" t="n"/>
      <c r="D838" s="25" t="n"/>
    </row>
    <row r="839" customFormat="1" s="129">
      <c r="A839" s="19" t="n"/>
      <c r="C839" s="25" t="n"/>
      <c r="D839" s="25" t="n"/>
    </row>
    <row r="840" customFormat="1" s="129">
      <c r="A840" s="19" t="n"/>
      <c r="C840" s="25" t="n"/>
      <c r="D840" s="25" t="n"/>
    </row>
    <row r="841" customFormat="1" s="129">
      <c r="A841" s="19" t="n"/>
      <c r="C841" s="25" t="n"/>
      <c r="D841" s="25" t="n"/>
    </row>
    <row r="842" customFormat="1" s="129">
      <c r="A842" s="19" t="n"/>
      <c r="C842" s="25" t="n"/>
      <c r="D842" s="25" t="n"/>
    </row>
    <row r="843" customFormat="1" s="129">
      <c r="A843" s="19" t="n"/>
      <c r="C843" s="25" t="n"/>
      <c r="D843" s="25" t="n"/>
    </row>
    <row r="844" customFormat="1" s="129">
      <c r="A844" s="19" t="n"/>
      <c r="C844" s="25" t="n"/>
      <c r="D844" s="25" t="n"/>
    </row>
    <row r="845" customFormat="1" s="129">
      <c r="A845" s="19" t="n"/>
      <c r="C845" s="25" t="n"/>
      <c r="D845" s="25" t="n"/>
    </row>
    <row r="846" customFormat="1" s="129">
      <c r="A846" s="19" t="n"/>
      <c r="C846" s="25" t="n"/>
      <c r="D846" s="25" t="n"/>
    </row>
    <row r="847" customFormat="1" s="129">
      <c r="A847" s="19" t="n"/>
      <c r="C847" s="25" t="n"/>
      <c r="D847" s="25" t="n"/>
    </row>
    <row r="848" customFormat="1" s="129">
      <c r="A848" s="19" t="n"/>
      <c r="C848" s="25" t="n"/>
      <c r="D848" s="25" t="n"/>
    </row>
    <row r="849" customFormat="1" s="129">
      <c r="A849" s="19" t="n"/>
      <c r="C849" s="25" t="n"/>
      <c r="D849" s="25" t="n"/>
    </row>
    <row r="850" customFormat="1" s="129">
      <c r="A850" s="19" t="n"/>
      <c r="C850" s="25" t="n"/>
      <c r="D850" s="25" t="n"/>
    </row>
    <row r="851" customFormat="1" s="129">
      <c r="A851" s="19" t="n"/>
      <c r="C851" s="25" t="n"/>
      <c r="D851" s="25" t="n"/>
    </row>
    <row r="852" customFormat="1" s="129">
      <c r="A852" s="19" t="n"/>
      <c r="C852" s="25" t="n"/>
      <c r="D852" s="25" t="n"/>
    </row>
    <row r="853" customFormat="1" s="129">
      <c r="A853" s="19" t="n"/>
      <c r="C853" s="25" t="n"/>
      <c r="D853" s="25" t="n"/>
    </row>
    <row r="854" customFormat="1" s="129">
      <c r="A854" s="19" t="n"/>
      <c r="C854" s="25" t="n"/>
      <c r="D854" s="25" t="n"/>
    </row>
    <row r="855" customFormat="1" s="129">
      <c r="A855" s="19" t="n"/>
      <c r="C855" s="25" t="n"/>
      <c r="D855" s="25" t="n"/>
    </row>
    <row r="856" customFormat="1" s="129">
      <c r="A856" s="19" t="n"/>
      <c r="C856" s="25" t="n"/>
      <c r="D856" s="25" t="n"/>
    </row>
    <row r="857" customFormat="1" s="129">
      <c r="A857" s="19" t="n"/>
      <c r="C857" s="25" t="n"/>
      <c r="D857" s="25" t="n"/>
    </row>
    <row r="858" customFormat="1" s="129">
      <c r="A858" s="19" t="n"/>
      <c r="C858" s="25" t="n"/>
      <c r="D858" s="25" t="n"/>
    </row>
    <row r="859" customFormat="1" s="129">
      <c r="A859" s="19" t="n"/>
      <c r="C859" s="25" t="n"/>
      <c r="D859" s="25" t="n"/>
    </row>
    <row r="860" customFormat="1" s="129">
      <c r="A860" s="19" t="n"/>
      <c r="C860" s="25" t="n"/>
      <c r="D860" s="25" t="n"/>
    </row>
    <row r="861" customFormat="1" s="129">
      <c r="A861" s="19" t="n"/>
      <c r="C861" s="25" t="n"/>
      <c r="D861" s="25" t="n"/>
    </row>
    <row r="862" customFormat="1" s="129">
      <c r="A862" s="19" t="n"/>
      <c r="C862" s="25" t="n"/>
      <c r="D862" s="25" t="n"/>
    </row>
    <row r="863" customFormat="1" s="129">
      <c r="A863" s="19" t="n"/>
      <c r="C863" s="25" t="n"/>
      <c r="D863" s="25" t="n"/>
    </row>
    <row r="864" customFormat="1" s="129">
      <c r="A864" s="19" t="n"/>
      <c r="C864" s="25" t="n"/>
      <c r="D864" s="25" t="n"/>
    </row>
    <row r="865" customFormat="1" s="129">
      <c r="A865" s="19" t="n"/>
      <c r="C865" s="25" t="n"/>
      <c r="D865" s="25" t="n"/>
    </row>
    <row r="866" customFormat="1" s="129">
      <c r="A866" s="19" t="n"/>
      <c r="C866" s="25" t="n"/>
      <c r="D866" s="25" t="n"/>
    </row>
    <row r="867" customFormat="1" s="129">
      <c r="A867" s="19" t="n"/>
      <c r="C867" s="25" t="n"/>
      <c r="D867" s="25" t="n"/>
    </row>
    <row r="868" customFormat="1" s="129">
      <c r="A868" s="19" t="n"/>
      <c r="C868" s="25" t="n"/>
      <c r="D868" s="25" t="n"/>
    </row>
    <row r="869" customFormat="1" s="129">
      <c r="A869" s="19" t="n"/>
      <c r="C869" s="25" t="n"/>
      <c r="D869" s="25" t="n"/>
    </row>
    <row r="870" customFormat="1" s="129">
      <c r="A870" s="19" t="n"/>
      <c r="C870" s="25" t="n"/>
      <c r="D870" s="25" t="n"/>
    </row>
    <row r="871" customFormat="1" s="129">
      <c r="A871" s="19" t="n"/>
      <c r="C871" s="25" t="n"/>
      <c r="D871" s="25" t="n"/>
    </row>
    <row r="872" customFormat="1" s="129">
      <c r="A872" s="19" t="n"/>
      <c r="C872" s="25" t="n"/>
      <c r="D872" s="25" t="n"/>
    </row>
    <row r="873" customFormat="1" s="129">
      <c r="A873" s="19" t="n"/>
      <c r="C873" s="25" t="n"/>
      <c r="D873" s="25" t="n"/>
    </row>
    <row r="874" customFormat="1" s="129">
      <c r="A874" s="19" t="n"/>
      <c r="C874" s="25" t="n"/>
      <c r="D874" s="25" t="n"/>
    </row>
    <row r="875" customFormat="1" s="129">
      <c r="A875" s="19" t="n"/>
      <c r="C875" s="25" t="n"/>
      <c r="D875" s="25" t="n"/>
    </row>
    <row r="876" customFormat="1" s="129">
      <c r="A876" s="19" t="n"/>
      <c r="C876" s="25" t="n"/>
      <c r="D876" s="25" t="n"/>
    </row>
    <row r="877" customFormat="1" s="129">
      <c r="A877" s="19" t="n"/>
      <c r="C877" s="25" t="n"/>
      <c r="D877" s="25" t="n"/>
    </row>
    <row r="878" customFormat="1" s="129">
      <c r="A878" s="19" t="n"/>
      <c r="C878" s="25" t="n"/>
      <c r="D878" s="25" t="n"/>
    </row>
    <row r="879" customFormat="1" s="129">
      <c r="A879" s="19" t="n"/>
      <c r="C879" s="25" t="n"/>
      <c r="D879" s="25" t="n"/>
    </row>
    <row r="880" customFormat="1" s="129">
      <c r="A880" s="19" t="n"/>
      <c r="C880" s="25" t="n"/>
      <c r="D880" s="25" t="n"/>
    </row>
    <row r="881" customFormat="1" s="129">
      <c r="A881" s="19" t="n"/>
      <c r="C881" s="25" t="n"/>
      <c r="D881" s="25" t="n"/>
    </row>
    <row r="882" customFormat="1" s="129">
      <c r="A882" s="19" t="n"/>
      <c r="C882" s="25" t="n"/>
      <c r="D882" s="25" t="n"/>
    </row>
    <row r="883" customFormat="1" s="129">
      <c r="A883" s="19" t="n"/>
      <c r="C883" s="25" t="n"/>
      <c r="D883" s="25" t="n"/>
    </row>
    <row r="884" customFormat="1" s="129">
      <c r="A884" s="19" t="n"/>
      <c r="C884" s="25" t="n"/>
      <c r="D884" s="25" t="n"/>
    </row>
    <row r="885" customFormat="1" s="129">
      <c r="A885" s="19" t="n"/>
      <c r="C885" s="25" t="n"/>
      <c r="D885" s="25" t="n"/>
    </row>
    <row r="886" customFormat="1" s="129">
      <c r="A886" s="19" t="n"/>
      <c r="C886" s="25" t="n"/>
      <c r="D886" s="25" t="n"/>
    </row>
    <row r="887" customFormat="1" s="129">
      <c r="A887" s="19" t="n"/>
      <c r="C887" s="25" t="n"/>
      <c r="D887" s="25" t="n"/>
    </row>
    <row r="888" customFormat="1" s="129">
      <c r="A888" s="19" t="n"/>
      <c r="C888" s="25" t="n"/>
      <c r="D888" s="25" t="n"/>
    </row>
    <row r="889" customFormat="1" s="129">
      <c r="A889" s="19" t="n"/>
      <c r="C889" s="25" t="n"/>
      <c r="D889" s="25" t="n"/>
    </row>
    <row r="890" customFormat="1" s="129">
      <c r="A890" s="19" t="n"/>
      <c r="C890" s="25" t="n"/>
      <c r="D890" s="25" t="n"/>
    </row>
    <row r="891" customFormat="1" s="129">
      <c r="A891" s="19" t="n"/>
      <c r="C891" s="25" t="n"/>
      <c r="D891" s="25" t="n"/>
    </row>
    <row r="892" customFormat="1" s="129">
      <c r="A892" s="19" t="n"/>
      <c r="C892" s="25" t="n"/>
      <c r="D892" s="25" t="n"/>
    </row>
    <row r="893" customFormat="1" s="129">
      <c r="A893" s="19" t="n"/>
      <c r="C893" s="25" t="n"/>
      <c r="D893" s="25" t="n"/>
    </row>
    <row r="894" customFormat="1" s="129">
      <c r="A894" s="19" t="n"/>
      <c r="C894" s="25" t="n"/>
      <c r="D894" s="25" t="n"/>
    </row>
    <row r="895" customFormat="1" s="129">
      <c r="A895" s="19" t="n"/>
      <c r="C895" s="25" t="n"/>
      <c r="D895" s="25" t="n"/>
    </row>
    <row r="896" customFormat="1" s="129">
      <c r="A896" s="19" t="n"/>
      <c r="C896" s="25" t="n"/>
      <c r="D896" s="25" t="n"/>
    </row>
    <row r="897" customFormat="1" s="129">
      <c r="A897" s="19" t="n"/>
      <c r="C897" s="25" t="n"/>
      <c r="D897" s="25" t="n"/>
    </row>
    <row r="898" customFormat="1" s="129">
      <c r="A898" s="19" t="n"/>
      <c r="C898" s="25" t="n"/>
      <c r="D898" s="25" t="n"/>
    </row>
    <row r="899" customFormat="1" s="129">
      <c r="A899" s="19" t="n"/>
      <c r="C899" s="25" t="n"/>
      <c r="D899" s="25" t="n"/>
    </row>
    <row r="900" customFormat="1" s="129">
      <c r="A900" s="19" t="n"/>
      <c r="C900" s="25" t="n"/>
      <c r="D900" s="25" t="n"/>
    </row>
    <row r="901" customFormat="1" s="129">
      <c r="A901" s="19" t="n"/>
      <c r="C901" s="25" t="n"/>
      <c r="D901" s="25" t="n"/>
    </row>
    <row r="902" customFormat="1" s="129">
      <c r="A902" s="19" t="n"/>
      <c r="C902" s="25" t="n"/>
      <c r="D902" s="25" t="n"/>
    </row>
    <row r="903" customFormat="1" s="129">
      <c r="A903" s="19" t="n"/>
      <c r="C903" s="25" t="n"/>
      <c r="D903" s="25" t="n"/>
    </row>
    <row r="904" customFormat="1" s="129">
      <c r="A904" s="19" t="n"/>
      <c r="C904" s="25" t="n"/>
      <c r="D904" s="25" t="n"/>
    </row>
    <row r="905" customFormat="1" s="129">
      <c r="A905" s="19" t="n"/>
      <c r="C905" s="25" t="n"/>
      <c r="D905" s="25" t="n"/>
    </row>
    <row r="906" customFormat="1" s="129">
      <c r="A906" s="19" t="n"/>
      <c r="C906" s="25" t="n"/>
      <c r="D906" s="25" t="n"/>
    </row>
    <row r="907" customFormat="1" s="129">
      <c r="A907" s="19" t="n"/>
      <c r="C907" s="25" t="n"/>
      <c r="D907" s="25" t="n"/>
    </row>
    <row r="908" customFormat="1" s="129">
      <c r="A908" s="19" t="n"/>
      <c r="C908" s="25" t="n"/>
      <c r="D908" s="25" t="n"/>
    </row>
    <row r="909" customFormat="1" s="129">
      <c r="A909" s="19" t="n"/>
      <c r="C909" s="25" t="n"/>
      <c r="D909" s="25" t="n"/>
    </row>
    <row r="910" customFormat="1" s="129">
      <c r="A910" s="19" t="n"/>
      <c r="C910" s="25" t="n"/>
      <c r="D910" s="25" t="n"/>
    </row>
    <row r="911" customFormat="1" s="129">
      <c r="A911" s="19" t="n"/>
      <c r="C911" s="25" t="n"/>
      <c r="D911" s="25" t="n"/>
    </row>
    <row r="912" customFormat="1" s="129">
      <c r="A912" s="19" t="n"/>
      <c r="C912" s="25" t="n"/>
      <c r="D912" s="25" t="n"/>
    </row>
    <row r="913" customFormat="1" s="129">
      <c r="A913" s="19" t="n"/>
      <c r="C913" s="25" t="n"/>
      <c r="D913" s="25" t="n"/>
    </row>
    <row r="914" customFormat="1" s="129">
      <c r="A914" s="19" t="n"/>
      <c r="C914" s="25" t="n"/>
      <c r="D914" s="25" t="n"/>
    </row>
    <row r="915" customFormat="1" s="129">
      <c r="A915" s="19" t="n"/>
      <c r="C915" s="25" t="n"/>
      <c r="D915" s="25" t="n"/>
    </row>
    <row r="916" customFormat="1" s="129">
      <c r="A916" s="19" t="n"/>
      <c r="C916" s="25" t="n"/>
      <c r="D916" s="25" t="n"/>
    </row>
    <row r="917" customFormat="1" s="129">
      <c r="A917" s="19" t="n"/>
      <c r="C917" s="25" t="n"/>
      <c r="D917" s="25" t="n"/>
    </row>
    <row r="918" customFormat="1" s="129">
      <c r="A918" s="19" t="n"/>
      <c r="C918" s="25" t="n"/>
      <c r="D918" s="25" t="n"/>
    </row>
    <row r="919" customFormat="1" s="129">
      <c r="A919" s="19" t="n"/>
      <c r="C919" s="25" t="n"/>
      <c r="D919" s="25" t="n"/>
    </row>
    <row r="920" customFormat="1" s="129">
      <c r="A920" s="19" t="n"/>
      <c r="C920" s="25" t="n"/>
      <c r="D920" s="25" t="n"/>
    </row>
    <row r="921" customFormat="1" s="129">
      <c r="A921" s="19" t="n"/>
      <c r="C921" s="25" t="n"/>
      <c r="D921" s="25" t="n"/>
    </row>
    <row r="922" customFormat="1" s="129">
      <c r="A922" s="19" t="n"/>
      <c r="C922" s="25" t="n"/>
      <c r="D922" s="25" t="n"/>
    </row>
    <row r="923" customFormat="1" s="129">
      <c r="A923" s="19" t="n"/>
      <c r="C923" s="25" t="n"/>
      <c r="D923" s="25" t="n"/>
    </row>
    <row r="924" customFormat="1" s="129">
      <c r="A924" s="19" t="n"/>
      <c r="C924" s="25" t="n"/>
      <c r="D924" s="25" t="n"/>
    </row>
    <row r="925" customFormat="1" s="129">
      <c r="A925" s="19" t="n"/>
      <c r="C925" s="25" t="n"/>
      <c r="D925" s="25" t="n"/>
    </row>
    <row r="926" customFormat="1" s="129">
      <c r="A926" s="19" t="n"/>
      <c r="C926" s="25" t="n"/>
      <c r="D926" s="25" t="n"/>
    </row>
    <row r="927" customFormat="1" s="129">
      <c r="A927" s="19" t="n"/>
      <c r="C927" s="25" t="n"/>
      <c r="D927" s="25" t="n"/>
    </row>
    <row r="928" customFormat="1" s="129">
      <c r="A928" s="19" t="n"/>
      <c r="C928" s="25" t="n"/>
      <c r="D928" s="25" t="n"/>
    </row>
    <row r="929" customFormat="1" s="129">
      <c r="A929" s="19" t="n"/>
      <c r="C929" s="25" t="n"/>
      <c r="D929" s="25" t="n"/>
    </row>
    <row r="930" customFormat="1" s="129">
      <c r="A930" s="19" t="n"/>
      <c r="C930" s="25" t="n"/>
      <c r="D930" s="25" t="n"/>
    </row>
    <row r="931" customFormat="1" s="129">
      <c r="A931" s="19" t="n"/>
      <c r="C931" s="25" t="n"/>
      <c r="D931" s="25" t="n"/>
    </row>
    <row r="932" customFormat="1" s="129">
      <c r="A932" s="19" t="n"/>
      <c r="C932" s="25" t="n"/>
      <c r="D932" s="25" t="n"/>
    </row>
    <row r="933" customFormat="1" s="129">
      <c r="A933" s="19" t="n"/>
      <c r="C933" s="25" t="n"/>
      <c r="D933" s="25" t="n"/>
    </row>
    <row r="934" customFormat="1" s="129">
      <c r="A934" s="19" t="n"/>
      <c r="C934" s="25" t="n"/>
      <c r="D934" s="25" t="n"/>
    </row>
    <row r="935" customFormat="1" s="129">
      <c r="A935" s="19" t="n"/>
      <c r="C935" s="25" t="n"/>
      <c r="D935" s="25" t="n"/>
    </row>
    <row r="936" customFormat="1" s="129">
      <c r="A936" s="19" t="n"/>
      <c r="C936" s="25" t="n"/>
      <c r="D936" s="25" t="n"/>
    </row>
    <row r="937" customFormat="1" s="129">
      <c r="A937" s="19" t="n"/>
      <c r="C937" s="25" t="n"/>
      <c r="D937" s="25" t="n"/>
    </row>
    <row r="938" customFormat="1" s="129">
      <c r="A938" s="19" t="n"/>
      <c r="C938" s="25" t="n"/>
      <c r="D938" s="25" t="n"/>
    </row>
    <row r="939" customFormat="1" s="129">
      <c r="A939" s="19" t="n"/>
      <c r="C939" s="25" t="n"/>
      <c r="D939" s="25" t="n"/>
    </row>
    <row r="940" customFormat="1" s="129">
      <c r="A940" s="19" t="n"/>
      <c r="C940" s="25" t="n"/>
      <c r="D940" s="25" t="n"/>
    </row>
    <row r="941" customFormat="1" s="129">
      <c r="A941" s="19" t="n"/>
      <c r="C941" s="25" t="n"/>
      <c r="D941" s="25" t="n"/>
    </row>
    <row r="942" customFormat="1" s="129">
      <c r="A942" s="19" t="n"/>
      <c r="C942" s="25" t="n"/>
      <c r="D942" s="25" t="n"/>
    </row>
    <row r="943" customFormat="1" s="129">
      <c r="A943" s="19" t="n"/>
      <c r="C943" s="25" t="n"/>
      <c r="D943" s="25" t="n"/>
    </row>
    <row r="944" customFormat="1" s="129">
      <c r="A944" s="19" t="n"/>
      <c r="C944" s="25" t="n"/>
      <c r="D944" s="25" t="n"/>
    </row>
    <row r="945" customFormat="1" s="129">
      <c r="A945" s="19" t="n"/>
      <c r="C945" s="25" t="n"/>
      <c r="D945" s="25" t="n"/>
    </row>
    <row r="946" customFormat="1" s="129">
      <c r="A946" s="19" t="n"/>
      <c r="C946" s="25" t="n"/>
      <c r="D946" s="25" t="n"/>
    </row>
    <row r="947" customFormat="1" s="129">
      <c r="A947" s="19" t="n"/>
      <c r="C947" s="25" t="n"/>
      <c r="D947" s="25" t="n"/>
    </row>
    <row r="948" customFormat="1" s="129">
      <c r="A948" s="19" t="n"/>
      <c r="C948" s="25" t="n"/>
      <c r="D948" s="25" t="n"/>
    </row>
    <row r="949" customFormat="1" s="129">
      <c r="A949" s="19" t="n"/>
      <c r="C949" s="25" t="n"/>
      <c r="D949" s="25" t="n"/>
    </row>
    <row r="950" customFormat="1" s="129">
      <c r="A950" s="19" t="n"/>
      <c r="C950" s="25" t="n"/>
      <c r="D950" s="25" t="n"/>
    </row>
    <row r="951" customFormat="1" s="129">
      <c r="A951" s="19" t="n"/>
      <c r="C951" s="25" t="n"/>
      <c r="D951" s="25" t="n"/>
    </row>
    <row r="952" customFormat="1" s="129">
      <c r="A952" s="19" t="n"/>
      <c r="C952" s="25" t="n"/>
      <c r="D952" s="25" t="n"/>
    </row>
    <row r="953" customFormat="1" s="129">
      <c r="A953" s="19" t="n"/>
      <c r="C953" s="25" t="n"/>
      <c r="D953" s="25" t="n"/>
    </row>
    <row r="954" customFormat="1" s="129">
      <c r="A954" s="19" t="n"/>
      <c r="C954" s="25" t="n"/>
      <c r="D954" s="25" t="n"/>
    </row>
    <row r="955" customFormat="1" s="129">
      <c r="A955" s="19" t="n"/>
      <c r="C955" s="25" t="n"/>
      <c r="D955" s="25" t="n"/>
    </row>
    <row r="956" customFormat="1" s="129">
      <c r="A956" s="19" t="n"/>
      <c r="C956" s="25" t="n"/>
      <c r="D956" s="25" t="n"/>
    </row>
    <row r="957" customFormat="1" s="129">
      <c r="A957" s="19" t="n"/>
      <c r="C957" s="25" t="n"/>
      <c r="D957" s="25" t="n"/>
    </row>
    <row r="958" customFormat="1" s="129">
      <c r="A958" s="19" t="n"/>
      <c r="C958" s="25" t="n"/>
      <c r="D958" s="25" t="n"/>
    </row>
    <row r="959" customFormat="1" s="129">
      <c r="A959" s="19" t="n"/>
      <c r="C959" s="25" t="n"/>
      <c r="D959" s="25" t="n"/>
    </row>
    <row r="960" customFormat="1" s="129">
      <c r="A960" s="19" t="n"/>
      <c r="C960" s="25" t="n"/>
      <c r="D960" s="25" t="n"/>
    </row>
    <row r="961" customFormat="1" s="129">
      <c r="A961" s="19" t="n"/>
      <c r="C961" s="25" t="n"/>
      <c r="D961" s="25" t="n"/>
    </row>
    <row r="962" customFormat="1" s="129">
      <c r="A962" s="19" t="n"/>
      <c r="C962" s="25" t="n"/>
      <c r="D962" s="25" t="n"/>
    </row>
    <row r="963" customFormat="1" s="129">
      <c r="A963" s="19" t="n"/>
      <c r="C963" s="25" t="n"/>
      <c r="D963" s="25" t="n"/>
    </row>
    <row r="964" customFormat="1" s="129">
      <c r="A964" s="19" t="n"/>
      <c r="C964" s="25" t="n"/>
      <c r="D964" s="25" t="n"/>
    </row>
    <row r="965" customFormat="1" s="129">
      <c r="A965" s="19" t="n"/>
      <c r="C965" s="25" t="n"/>
      <c r="D965" s="25" t="n"/>
    </row>
    <row r="966" customFormat="1" s="129">
      <c r="A966" s="19" t="n"/>
      <c r="C966" s="25" t="n"/>
      <c r="D966" s="25" t="n"/>
    </row>
    <row r="967" customFormat="1" s="129">
      <c r="A967" s="19" t="n"/>
      <c r="C967" s="25" t="n"/>
      <c r="D967" s="25" t="n"/>
    </row>
    <row r="968" customFormat="1" s="129">
      <c r="A968" s="19" t="n"/>
      <c r="C968" s="25" t="n"/>
      <c r="D968" s="25" t="n"/>
    </row>
    <row r="969" customFormat="1" s="129">
      <c r="A969" s="19" t="n"/>
      <c r="C969" s="25" t="n"/>
      <c r="D969" s="25" t="n"/>
    </row>
    <row r="970" customFormat="1" s="129">
      <c r="A970" s="19" t="n"/>
      <c r="C970" s="25" t="n"/>
      <c r="D970" s="25" t="n"/>
    </row>
    <row r="971" customFormat="1" s="129">
      <c r="A971" s="19" t="n"/>
      <c r="C971" s="25" t="n"/>
      <c r="D971" s="25" t="n"/>
    </row>
    <row r="972" customFormat="1" s="129">
      <c r="A972" s="19" t="n"/>
      <c r="C972" s="25" t="n"/>
      <c r="D972" s="25" t="n"/>
    </row>
    <row r="973" customFormat="1" s="129">
      <c r="A973" s="19" t="n"/>
      <c r="C973" s="25" t="n"/>
      <c r="D973" s="25" t="n"/>
    </row>
    <row r="974" customFormat="1" s="129">
      <c r="A974" s="19" t="n"/>
      <c r="C974" s="25" t="n"/>
      <c r="D974" s="25" t="n"/>
    </row>
    <row r="975" customFormat="1" s="129">
      <c r="A975" s="19" t="n"/>
      <c r="C975" s="25" t="n"/>
      <c r="D975" s="25" t="n"/>
    </row>
    <row r="976" customFormat="1" s="129">
      <c r="A976" s="19" t="n"/>
      <c r="C976" s="25" t="n"/>
      <c r="D976" s="25" t="n"/>
    </row>
    <row r="977" customFormat="1" s="129">
      <c r="A977" s="19" t="n"/>
      <c r="C977" s="25" t="n"/>
      <c r="D977" s="25" t="n"/>
    </row>
    <row r="978" customFormat="1" s="129">
      <c r="A978" s="19" t="n"/>
      <c r="C978" s="25" t="n"/>
      <c r="D978" s="25" t="n"/>
    </row>
    <row r="979" customFormat="1" s="129">
      <c r="A979" s="19" t="n"/>
      <c r="C979" s="25" t="n"/>
      <c r="D979" s="25" t="n"/>
    </row>
    <row r="980" customFormat="1" s="129">
      <c r="A980" s="19" t="n"/>
      <c r="C980" s="25" t="n"/>
      <c r="D980" s="25" t="n"/>
    </row>
    <row r="981" customFormat="1" s="129">
      <c r="A981" s="19" t="n"/>
      <c r="C981" s="25" t="n"/>
      <c r="D981" s="25" t="n"/>
    </row>
    <row r="982" customFormat="1" s="129">
      <c r="A982" s="19" t="n"/>
      <c r="C982" s="25" t="n"/>
      <c r="D982" s="25" t="n"/>
    </row>
    <row r="983" customFormat="1" s="129">
      <c r="A983" s="19" t="n"/>
      <c r="C983" s="25" t="n"/>
      <c r="D983" s="25" t="n"/>
    </row>
    <row r="984" customFormat="1" s="129">
      <c r="A984" s="19" t="n"/>
      <c r="C984" s="25" t="n"/>
      <c r="D984" s="25" t="n"/>
    </row>
    <row r="985" customFormat="1" s="129">
      <c r="A985" s="19" t="n"/>
      <c r="C985" s="25" t="n"/>
      <c r="D985" s="25" t="n"/>
    </row>
    <row r="986" customFormat="1" s="129">
      <c r="A986" s="19" t="n"/>
      <c r="C986" s="25" t="n"/>
      <c r="D986" s="25" t="n"/>
    </row>
    <row r="987" customFormat="1" s="129">
      <c r="A987" s="19" t="n"/>
      <c r="C987" s="25" t="n"/>
      <c r="D987" s="25" t="n"/>
    </row>
    <row r="988" customFormat="1" s="129">
      <c r="A988" s="19" t="n"/>
      <c r="C988" s="25" t="n"/>
      <c r="D988" s="25" t="n"/>
    </row>
    <row r="989" customFormat="1" s="129">
      <c r="A989" s="19" t="n"/>
      <c r="C989" s="25" t="n"/>
      <c r="D989" s="25" t="n"/>
    </row>
    <row r="990" customFormat="1" s="129">
      <c r="A990" s="19" t="n"/>
      <c r="C990" s="25" t="n"/>
      <c r="D990" s="25" t="n"/>
    </row>
    <row r="991" customFormat="1" s="129">
      <c r="A991" s="19" t="n"/>
      <c r="C991" s="25" t="n"/>
      <c r="D991" s="25" t="n"/>
    </row>
    <row r="992" customFormat="1" s="129">
      <c r="A992" s="19" t="n"/>
      <c r="C992" s="25" t="n"/>
      <c r="D992" s="25" t="n"/>
    </row>
    <row r="993" customFormat="1" s="129">
      <c r="A993" s="19" t="n"/>
      <c r="C993" s="25" t="n"/>
      <c r="D993" s="25" t="n"/>
    </row>
    <row r="994" customFormat="1" s="129">
      <c r="A994" s="19" t="n"/>
      <c r="C994" s="25" t="n"/>
      <c r="D994" s="25" t="n"/>
    </row>
    <row r="995" customFormat="1" s="129">
      <c r="A995" s="19" t="n"/>
      <c r="C995" s="25" t="n"/>
      <c r="D995" s="25" t="n"/>
    </row>
    <row r="996" customFormat="1" s="129">
      <c r="A996" s="19" t="n"/>
      <c r="C996" s="25" t="n"/>
      <c r="D996" s="25" t="n"/>
    </row>
    <row r="997" customFormat="1" s="129">
      <c r="A997" s="19" t="n"/>
      <c r="C997" s="25" t="n"/>
      <c r="D997" s="25" t="n"/>
    </row>
    <row r="998" customFormat="1" s="129">
      <c r="A998" s="19" t="n"/>
      <c r="C998" s="25" t="n"/>
      <c r="D998" s="25" t="n"/>
    </row>
    <row r="999" customFormat="1" s="129">
      <c r="A999" s="19" t="n"/>
      <c r="C999" s="25" t="n"/>
      <c r="D999" s="25" t="n"/>
    </row>
    <row r="1000" customFormat="1" s="129">
      <c r="A1000" s="19" t="n"/>
      <c r="C1000" s="25" t="n"/>
      <c r="D1000" s="25" t="n"/>
    </row>
    <row r="1001" customFormat="1" s="129">
      <c r="A1001" s="19" t="n"/>
      <c r="C1001" s="25" t="n"/>
      <c r="D1001" s="25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FM363"/>
  <sheetViews>
    <sheetView zoomScale="150" zoomScaleNormal="150" workbookViewId="0">
      <pane ySplit="7" topLeftCell="A410" activePane="bottomLeft" state="frozen"/>
      <selection pane="bottomLeft" activeCell="A1" sqref="A1"/>
    </sheetView>
  </sheetViews>
  <sheetFormatPr baseColWidth="10" defaultColWidth="9.1640625" defaultRowHeight="15"/>
  <cols>
    <col width="11.33203125" customWidth="1" style="51" min="1" max="1"/>
    <col width="23.1640625" customWidth="1" style="27" min="2" max="2"/>
    <col width="15.6640625" customWidth="1" style="79" min="3" max="3"/>
    <col width="10.6640625" bestFit="1" customWidth="1" style="129" min="4" max="4"/>
    <col width="9.1640625" customWidth="1" style="129" min="5" max="16384"/>
  </cols>
  <sheetData>
    <row r="1">
      <c r="A1" s="109" t="inlineStr">
        <is>
          <t>https://www.investing.com/economic-calendar/chinese-industrial-production-462</t>
        </is>
      </c>
    </row>
    <row r="6" ht="16" customHeight="1" s="135" thickBot="1"/>
    <row r="7" ht="44.25" customHeight="1" s="135" thickBot="1">
      <c r="A7" s="56" t="inlineStr">
        <is>
          <t>Date</t>
        </is>
      </c>
      <c r="B7" s="55" t="inlineStr">
        <is>
          <t>China Industrial Production YoY</t>
        </is>
      </c>
      <c r="C7" s="57" t="inlineStr">
        <is>
          <t>HSBC China PMI</t>
        </is>
      </c>
      <c r="D7" s="129" t="n"/>
      <c r="E7" s="129" t="n"/>
      <c r="F7" s="129" t="n"/>
      <c r="G7" s="129" t="n"/>
      <c r="H7" s="129" t="n"/>
      <c r="I7" s="129" t="n"/>
      <c r="J7" s="129" t="n"/>
      <c r="K7" s="129" t="n"/>
      <c r="L7" s="129" t="n"/>
      <c r="M7" s="129" t="n"/>
      <c r="N7" s="129" t="n"/>
      <c r="O7" s="129" t="n"/>
      <c r="P7" s="129" t="n"/>
      <c r="Q7" s="129" t="n"/>
      <c r="R7" s="129" t="n"/>
      <c r="S7" s="129" t="n"/>
      <c r="T7" s="129" t="n"/>
      <c r="U7" s="129" t="n"/>
      <c r="V7" s="129" t="n"/>
      <c r="W7" s="129" t="n"/>
      <c r="X7" s="129" t="n"/>
      <c r="Y7" s="129" t="n"/>
      <c r="Z7" s="129" t="n"/>
      <c r="AA7" s="129" t="n"/>
      <c r="AB7" s="129" t="n"/>
      <c r="AC7" s="129" t="n"/>
      <c r="AD7" s="129" t="n"/>
      <c r="AE7" s="129" t="n"/>
      <c r="AF7" s="129" t="n"/>
      <c r="AG7" s="129" t="n"/>
      <c r="AH7" s="129" t="n"/>
      <c r="AI7" s="129" t="n"/>
      <c r="AJ7" s="129" t="n"/>
      <c r="AK7" s="129" t="n"/>
      <c r="AL7" s="129" t="n"/>
      <c r="AM7" s="129" t="n"/>
      <c r="AN7" s="129" t="n"/>
      <c r="AO7" s="129" t="n"/>
      <c r="AP7" s="129" t="n"/>
      <c r="AQ7" s="129" t="n"/>
      <c r="AR7" s="129" t="n"/>
      <c r="AS7" s="129" t="n"/>
      <c r="AT7" s="129" t="n"/>
      <c r="AU7" s="129" t="n"/>
      <c r="AV7" s="129" t="n"/>
      <c r="AW7" s="129" t="n"/>
      <c r="AX7" s="129" t="n"/>
      <c r="AY7" s="129" t="n"/>
      <c r="AZ7" s="129" t="n"/>
      <c r="BA7" s="129" t="n"/>
      <c r="BB7" s="129" t="n"/>
      <c r="BC7" s="129" t="n"/>
      <c r="BD7" s="129" t="n"/>
      <c r="BE7" s="129" t="n"/>
      <c r="BF7" s="129" t="n"/>
      <c r="BG7" s="129" t="n"/>
      <c r="BH7" s="129" t="n"/>
      <c r="BI7" s="129" t="n"/>
      <c r="BJ7" s="129" t="n"/>
      <c r="BK7" s="129" t="n"/>
      <c r="BL7" s="129" t="n"/>
      <c r="BM7" s="129" t="n"/>
      <c r="BN7" s="129" t="n"/>
      <c r="BO7" s="129" t="n"/>
      <c r="BP7" s="129" t="n"/>
      <c r="BQ7" s="129" t="n"/>
      <c r="BR7" s="129" t="n"/>
      <c r="BS7" s="129" t="n"/>
      <c r="BT7" s="129" t="n"/>
      <c r="BU7" s="129" t="n"/>
      <c r="BV7" s="129" t="n"/>
      <c r="BW7" s="129" t="n"/>
      <c r="BX7" s="129" t="n"/>
      <c r="BY7" s="129" t="n"/>
      <c r="BZ7" s="129" t="n"/>
      <c r="CA7" s="129" t="n"/>
      <c r="CB7" s="129" t="n"/>
      <c r="CC7" s="129" t="n"/>
      <c r="CD7" s="129" t="n"/>
      <c r="CE7" s="129" t="n"/>
      <c r="CF7" s="129" t="n"/>
      <c r="CG7" s="129" t="n"/>
      <c r="CH7" s="129" t="n"/>
      <c r="CI7" s="129" t="n"/>
      <c r="CJ7" s="129" t="n"/>
      <c r="CK7" s="129" t="n"/>
      <c r="CL7" s="129" t="n"/>
      <c r="CM7" s="129" t="n"/>
      <c r="CN7" s="129" t="n"/>
      <c r="CO7" s="129" t="n"/>
      <c r="CP7" s="129" t="n"/>
      <c r="CQ7" s="129" t="n"/>
      <c r="CR7" s="129" t="n"/>
      <c r="CS7" s="129" t="n"/>
      <c r="CT7" s="129" t="n"/>
      <c r="CU7" s="129" t="n"/>
      <c r="CV7" s="129" t="n"/>
      <c r="CW7" s="129" t="n"/>
      <c r="CX7" s="129" t="n"/>
      <c r="CY7" s="129" t="n"/>
      <c r="CZ7" s="129" t="n"/>
      <c r="DA7" s="129" t="n"/>
      <c r="DB7" s="129" t="n"/>
      <c r="DC7" s="129" t="n"/>
      <c r="DD7" s="129" t="n"/>
      <c r="DE7" s="129" t="n"/>
      <c r="DF7" s="129" t="n"/>
      <c r="DG7" s="129" t="n"/>
      <c r="DH7" s="129" t="n"/>
      <c r="DI7" s="129" t="n"/>
      <c r="DJ7" s="129" t="n"/>
      <c r="DK7" s="129" t="n"/>
      <c r="DL7" s="129" t="n"/>
      <c r="DM7" s="129" t="n"/>
      <c r="DN7" s="129" t="n"/>
      <c r="DO7" s="129" t="n"/>
      <c r="DP7" s="129" t="n"/>
      <c r="DQ7" s="129" t="n"/>
      <c r="DR7" s="129" t="n"/>
      <c r="DS7" s="129" t="n"/>
      <c r="DT7" s="129" t="n"/>
      <c r="DU7" s="129" t="n"/>
      <c r="DV7" s="129" t="n"/>
      <c r="DW7" s="129" t="n"/>
      <c r="DX7" s="129" t="n"/>
      <c r="DY7" s="129" t="n"/>
      <c r="DZ7" s="129" t="n"/>
      <c r="EA7" s="129" t="n"/>
      <c r="EB7" s="129" t="n"/>
      <c r="EC7" s="129" t="n"/>
      <c r="ED7" s="129" t="n"/>
      <c r="EE7" s="129" t="n"/>
      <c r="EF7" s="129" t="n"/>
      <c r="EG7" s="129" t="n"/>
      <c r="EH7" s="129" t="n"/>
      <c r="EI7" s="129" t="n"/>
      <c r="EJ7" s="129" t="n"/>
      <c r="EK7" s="129" t="n"/>
      <c r="EL7" s="129" t="n"/>
      <c r="EM7" s="129" t="n"/>
      <c r="EN7" s="129" t="n"/>
      <c r="EO7" s="129" t="n"/>
      <c r="EP7" s="129" t="n"/>
      <c r="EQ7" s="129" t="n"/>
      <c r="ER7" s="129" t="n"/>
      <c r="ES7" s="129" t="n"/>
      <c r="ET7" s="129" t="n"/>
      <c r="EU7" s="129" t="n"/>
      <c r="EV7" s="129" t="n"/>
      <c r="EW7" s="129" t="n"/>
      <c r="EX7" s="129" t="n"/>
      <c r="EY7" s="129" t="n"/>
      <c r="EZ7" s="129" t="n"/>
      <c r="FA7" s="129" t="n"/>
      <c r="FB7" s="129" t="n"/>
      <c r="FC7" s="129" t="n"/>
      <c r="FD7" s="129" t="n"/>
      <c r="FE7" s="129" t="n"/>
      <c r="FF7" s="129" t="n"/>
      <c r="FG7" s="129" t="n"/>
      <c r="FH7" s="129" t="n"/>
      <c r="FI7" s="129" t="n"/>
      <c r="FJ7" s="129" t="n"/>
      <c r="FK7" s="129" t="n"/>
      <c r="FL7" s="129" t="n"/>
      <c r="FM7" s="129" t="n"/>
    </row>
    <row r="8" s="135">
      <c r="A8" s="88" t="n">
        <v>32932</v>
      </c>
      <c r="B8" s="89" t="n">
        <v>0.05</v>
      </c>
      <c r="C8" s="79" t="n"/>
      <c r="D8" s="51">
        <f>EOMONTH(Table3[[#This Row],[Date]],-1)-1</f>
        <v/>
      </c>
      <c r="E8" s="129" t="n"/>
      <c r="F8" s="129" t="n"/>
      <c r="G8" s="129" t="n"/>
      <c r="H8" s="129" t="n"/>
      <c r="I8" s="129" t="n"/>
      <c r="J8" s="129" t="n"/>
      <c r="K8" s="129" t="n"/>
      <c r="L8" s="129" t="n"/>
      <c r="M8" s="129" t="n"/>
      <c r="N8" s="129" t="n"/>
      <c r="O8" s="129" t="n"/>
      <c r="P8" s="129" t="n"/>
      <c r="Q8" s="129" t="n"/>
      <c r="R8" s="129" t="n"/>
      <c r="S8" s="129" t="n"/>
      <c r="T8" s="129" t="n"/>
      <c r="U8" s="129" t="n"/>
      <c r="V8" s="129" t="n"/>
      <c r="W8" s="129" t="n"/>
      <c r="X8" s="129" t="n"/>
      <c r="Y8" s="129" t="n"/>
      <c r="Z8" s="129" t="n"/>
      <c r="AA8" s="129" t="n"/>
      <c r="AB8" s="129" t="n"/>
      <c r="AC8" s="129" t="n"/>
      <c r="AD8" s="129" t="n"/>
      <c r="AE8" s="129" t="n"/>
      <c r="AF8" s="129" t="n"/>
      <c r="AG8" s="129" t="n"/>
      <c r="AH8" s="129" t="n"/>
      <c r="AI8" s="129" t="n"/>
      <c r="AJ8" s="129" t="n"/>
      <c r="AK8" s="129" t="n"/>
      <c r="AL8" s="129" t="n"/>
      <c r="AM8" s="129" t="n"/>
      <c r="AN8" s="129" t="n"/>
      <c r="AO8" s="129" t="n"/>
      <c r="AP8" s="129" t="n"/>
      <c r="AQ8" s="129" t="n"/>
      <c r="AR8" s="129" t="n"/>
      <c r="AS8" s="129" t="n"/>
      <c r="AT8" s="129" t="n"/>
      <c r="AU8" s="129" t="n"/>
      <c r="AV8" s="129" t="n"/>
      <c r="AW8" s="129" t="n"/>
      <c r="AX8" s="129" t="n"/>
      <c r="AY8" s="129" t="n"/>
      <c r="AZ8" s="129" t="n"/>
      <c r="BA8" s="129" t="n"/>
      <c r="BB8" s="129" t="n"/>
      <c r="BC8" s="129" t="n"/>
      <c r="BD8" s="129" t="n"/>
      <c r="BE8" s="129" t="n"/>
      <c r="BF8" s="129" t="n"/>
      <c r="BG8" s="129" t="n"/>
      <c r="BH8" s="129" t="n"/>
      <c r="BI8" s="129" t="n"/>
      <c r="BJ8" s="129" t="n"/>
      <c r="BK8" s="129" t="n"/>
      <c r="BL8" s="129" t="n"/>
      <c r="BM8" s="129" t="n"/>
      <c r="BN8" s="129" t="n"/>
      <c r="BO8" s="129" t="n"/>
      <c r="BP8" s="129" t="n"/>
      <c r="BQ8" s="129" t="n"/>
      <c r="BR8" s="129" t="n"/>
      <c r="BS8" s="129" t="n"/>
      <c r="BT8" s="129" t="n"/>
      <c r="BU8" s="129" t="n"/>
      <c r="BV8" s="129" t="n"/>
      <c r="BW8" s="129" t="n"/>
      <c r="BX8" s="129" t="n"/>
      <c r="BY8" s="129" t="n"/>
      <c r="BZ8" s="129" t="n"/>
      <c r="CA8" s="129" t="n"/>
      <c r="CB8" s="129" t="n"/>
      <c r="CC8" s="129" t="n"/>
      <c r="CD8" s="129" t="n"/>
      <c r="CE8" s="129" t="n"/>
      <c r="CF8" s="129" t="n"/>
      <c r="CG8" s="129" t="n"/>
      <c r="CH8" s="129" t="n"/>
      <c r="CI8" s="129" t="n"/>
      <c r="CJ8" s="129" t="n"/>
      <c r="CK8" s="129" t="n"/>
      <c r="CL8" s="129" t="n"/>
      <c r="CM8" s="129" t="n"/>
      <c r="CN8" s="129" t="n"/>
      <c r="CO8" s="129" t="n"/>
      <c r="CP8" s="129" t="n"/>
      <c r="CQ8" s="129" t="n"/>
      <c r="CR8" s="129" t="n"/>
      <c r="CS8" s="129" t="n"/>
      <c r="CT8" s="129" t="n"/>
      <c r="CU8" s="129" t="n"/>
      <c r="CV8" s="129" t="n"/>
      <c r="CW8" s="129" t="n"/>
      <c r="CX8" s="129" t="n"/>
      <c r="CY8" s="129" t="n"/>
      <c r="CZ8" s="129" t="n"/>
      <c r="DA8" s="129" t="n"/>
      <c r="DB8" s="129" t="n"/>
      <c r="DC8" s="129" t="n"/>
      <c r="DD8" s="129" t="n"/>
      <c r="DE8" s="129" t="n"/>
      <c r="DF8" s="129" t="n"/>
      <c r="DG8" s="129" t="n"/>
      <c r="DH8" s="129" t="n"/>
      <c r="DI8" s="129" t="n"/>
      <c r="DJ8" s="129" t="n"/>
      <c r="DK8" s="129" t="n"/>
      <c r="DL8" s="129" t="n"/>
      <c r="DM8" s="129" t="n"/>
      <c r="DN8" s="129" t="n"/>
      <c r="DO8" s="129" t="n"/>
      <c r="DP8" s="129" t="n"/>
      <c r="DQ8" s="129" t="n"/>
      <c r="DR8" s="129" t="n"/>
      <c r="DS8" s="129" t="n"/>
      <c r="DT8" s="129" t="n"/>
      <c r="DU8" s="129" t="n"/>
      <c r="DV8" s="129" t="n"/>
      <c r="DW8" s="129" t="n"/>
      <c r="DX8" s="129" t="n"/>
      <c r="DY8" s="129" t="n"/>
      <c r="DZ8" s="129" t="n"/>
      <c r="EA8" s="129" t="n"/>
      <c r="EB8" s="129" t="n"/>
      <c r="EC8" s="129" t="n"/>
      <c r="ED8" s="129" t="n"/>
      <c r="EE8" s="129" t="n"/>
      <c r="EF8" s="129" t="n"/>
      <c r="EG8" s="129" t="n"/>
      <c r="EH8" s="129" t="n"/>
      <c r="EI8" s="129" t="n"/>
      <c r="EJ8" s="129" t="n"/>
      <c r="EK8" s="129" t="n"/>
      <c r="EL8" s="129" t="n"/>
      <c r="EM8" s="129" t="n"/>
      <c r="EN8" s="129" t="n"/>
      <c r="EO8" s="129" t="n"/>
      <c r="EP8" s="129" t="n"/>
      <c r="EQ8" s="129" t="n"/>
      <c r="ER8" s="129" t="n"/>
      <c r="ES8" s="129" t="n"/>
      <c r="ET8" s="129" t="n"/>
      <c r="EU8" s="129" t="n"/>
      <c r="EV8" s="129" t="n"/>
      <c r="EW8" s="129" t="n"/>
      <c r="EX8" s="129" t="n"/>
      <c r="EY8" s="129" t="n"/>
      <c r="EZ8" s="129" t="n"/>
      <c r="FA8" s="129" t="n"/>
      <c r="FB8" s="129" t="n"/>
      <c r="FC8" s="129" t="n"/>
      <c r="FD8" s="129" t="n"/>
      <c r="FE8" s="129" t="n"/>
      <c r="FF8" s="129" t="n"/>
      <c r="FG8" s="129" t="n"/>
      <c r="FH8" s="129" t="n"/>
      <c r="FI8" s="129" t="n"/>
      <c r="FJ8" s="129" t="n"/>
      <c r="FK8" s="129" t="n"/>
      <c r="FL8" s="129" t="n"/>
      <c r="FM8" s="129" t="n"/>
    </row>
    <row r="9" s="135">
      <c r="A9" s="90" t="n">
        <v>32963</v>
      </c>
      <c r="B9" s="91" t="n">
        <v>0.008</v>
      </c>
      <c r="C9" s="79" t="n"/>
      <c r="D9" s="129" t="n"/>
      <c r="E9" s="129" t="n"/>
      <c r="F9" s="129" t="n"/>
      <c r="G9" s="129" t="n"/>
      <c r="H9" s="129" t="n"/>
      <c r="I9" s="129" t="n"/>
      <c r="J9" s="129" t="n"/>
      <c r="K9" s="129" t="n"/>
      <c r="L9" s="129" t="n"/>
      <c r="M9" s="129" t="n"/>
      <c r="N9" s="129" t="n"/>
      <c r="O9" s="129" t="n"/>
      <c r="P9" s="129" t="n"/>
      <c r="Q9" s="129" t="n"/>
      <c r="R9" s="129" t="n"/>
      <c r="S9" s="129" t="n"/>
      <c r="T9" s="129" t="n"/>
      <c r="U9" s="129" t="n"/>
      <c r="V9" s="129" t="n"/>
      <c r="W9" s="129" t="n"/>
      <c r="X9" s="129" t="n"/>
      <c r="Y9" s="129" t="n"/>
      <c r="Z9" s="129" t="n"/>
      <c r="AA9" s="129" t="n"/>
      <c r="AB9" s="129" t="n"/>
      <c r="AC9" s="129" t="n"/>
      <c r="AD9" s="129" t="n"/>
      <c r="AE9" s="129" t="n"/>
      <c r="AF9" s="129" t="n"/>
      <c r="AG9" s="129" t="n"/>
      <c r="AH9" s="129" t="n"/>
      <c r="AI9" s="129" t="n"/>
      <c r="AJ9" s="129" t="n"/>
      <c r="AK9" s="129" t="n"/>
      <c r="AL9" s="129" t="n"/>
      <c r="AM9" s="129" t="n"/>
      <c r="AN9" s="129" t="n"/>
      <c r="AO9" s="129" t="n"/>
      <c r="AP9" s="129" t="n"/>
      <c r="AQ9" s="129" t="n"/>
      <c r="AR9" s="129" t="n"/>
      <c r="AS9" s="129" t="n"/>
      <c r="AT9" s="129" t="n"/>
      <c r="AU9" s="129" t="n"/>
      <c r="AV9" s="129" t="n"/>
      <c r="AW9" s="129" t="n"/>
      <c r="AX9" s="129" t="n"/>
      <c r="AY9" s="129" t="n"/>
      <c r="AZ9" s="129" t="n"/>
      <c r="BA9" s="129" t="n"/>
      <c r="BB9" s="129" t="n"/>
      <c r="BC9" s="129" t="n"/>
      <c r="BD9" s="129" t="n"/>
      <c r="BE9" s="129" t="n"/>
      <c r="BF9" s="129" t="n"/>
      <c r="BG9" s="129" t="n"/>
      <c r="BH9" s="129" t="n"/>
      <c r="BI9" s="129" t="n"/>
      <c r="BJ9" s="129" t="n"/>
      <c r="BK9" s="129" t="n"/>
      <c r="BL9" s="129" t="n"/>
      <c r="BM9" s="129" t="n"/>
      <c r="BN9" s="129" t="n"/>
      <c r="BO9" s="129" t="n"/>
      <c r="BP9" s="129" t="n"/>
      <c r="BQ9" s="129" t="n"/>
      <c r="BR9" s="129" t="n"/>
      <c r="BS9" s="129" t="n"/>
      <c r="BT9" s="129" t="n"/>
      <c r="BU9" s="129" t="n"/>
      <c r="BV9" s="129" t="n"/>
      <c r="BW9" s="129" t="n"/>
      <c r="BX9" s="129" t="n"/>
      <c r="BY9" s="129" t="n"/>
      <c r="BZ9" s="129" t="n"/>
      <c r="CA9" s="129" t="n"/>
      <c r="CB9" s="129" t="n"/>
      <c r="CC9" s="129" t="n"/>
      <c r="CD9" s="129" t="n"/>
      <c r="CE9" s="129" t="n"/>
      <c r="CF9" s="129" t="n"/>
      <c r="CG9" s="129" t="n"/>
      <c r="CH9" s="129" t="n"/>
      <c r="CI9" s="129" t="n"/>
      <c r="CJ9" s="129" t="n"/>
      <c r="CK9" s="129" t="n"/>
      <c r="CL9" s="129" t="n"/>
      <c r="CM9" s="129" t="n"/>
      <c r="CN9" s="129" t="n"/>
      <c r="CO9" s="129" t="n"/>
      <c r="CP9" s="129" t="n"/>
      <c r="CQ9" s="129" t="n"/>
      <c r="CR9" s="129" t="n"/>
      <c r="CS9" s="129" t="n"/>
      <c r="CT9" s="129" t="n"/>
      <c r="CU9" s="129" t="n"/>
      <c r="CV9" s="129" t="n"/>
      <c r="CW9" s="129" t="n"/>
      <c r="CX9" s="129" t="n"/>
      <c r="CY9" s="129" t="n"/>
      <c r="CZ9" s="129" t="n"/>
      <c r="DA9" s="129" t="n"/>
      <c r="DB9" s="129" t="n"/>
      <c r="DC9" s="129" t="n"/>
      <c r="DD9" s="129" t="n"/>
      <c r="DE9" s="129" t="n"/>
      <c r="DF9" s="129" t="n"/>
      <c r="DG9" s="129" t="n"/>
      <c r="DH9" s="129" t="n"/>
      <c r="DI9" s="129" t="n"/>
      <c r="DJ9" s="129" t="n"/>
      <c r="DK9" s="129" t="n"/>
      <c r="DL9" s="129" t="n"/>
      <c r="DM9" s="129" t="n"/>
      <c r="DN9" s="129" t="n"/>
      <c r="DO9" s="129" t="n"/>
      <c r="DP9" s="129" t="n"/>
      <c r="DQ9" s="129" t="n"/>
      <c r="DR9" s="129" t="n"/>
      <c r="DS9" s="129" t="n"/>
      <c r="DT9" s="129" t="n"/>
      <c r="DU9" s="129" t="n"/>
      <c r="DV9" s="129" t="n"/>
      <c r="DW9" s="129" t="n"/>
      <c r="DX9" s="129" t="n"/>
      <c r="DY9" s="129" t="n"/>
      <c r="DZ9" s="129" t="n"/>
      <c r="EA9" s="129" t="n"/>
      <c r="EB9" s="129" t="n"/>
      <c r="EC9" s="129" t="n"/>
      <c r="ED9" s="129" t="n"/>
      <c r="EE9" s="129" t="n"/>
      <c r="EF9" s="129" t="n"/>
      <c r="EG9" s="129" t="n"/>
      <c r="EH9" s="129" t="n"/>
      <c r="EI9" s="129" t="n"/>
      <c r="EJ9" s="129" t="n"/>
      <c r="EK9" s="129" t="n"/>
      <c r="EL9" s="129" t="n"/>
      <c r="EM9" s="129" t="n"/>
      <c r="EN9" s="129" t="n"/>
      <c r="EO9" s="129" t="n"/>
      <c r="EP9" s="129" t="n"/>
      <c r="EQ9" s="129" t="n"/>
      <c r="ER9" s="129" t="n"/>
      <c r="ES9" s="129" t="n"/>
      <c r="ET9" s="129" t="n"/>
      <c r="EU9" s="129" t="n"/>
      <c r="EV9" s="129" t="n"/>
      <c r="EW9" s="129" t="n"/>
      <c r="EX9" s="129" t="n"/>
      <c r="EY9" s="129" t="n"/>
      <c r="EZ9" s="129" t="n"/>
      <c r="FA9" s="129" t="n"/>
      <c r="FB9" s="129" t="n"/>
      <c r="FC9" s="129" t="n"/>
      <c r="FD9" s="129" t="n"/>
      <c r="FE9" s="129" t="n"/>
      <c r="FF9" s="129" t="n"/>
      <c r="FG9" s="129" t="n"/>
      <c r="FH9" s="129" t="n"/>
      <c r="FI9" s="129" t="n"/>
      <c r="FJ9" s="129" t="n"/>
      <c r="FK9" s="129" t="n"/>
      <c r="FL9" s="129" t="n"/>
      <c r="FM9" s="129" t="n"/>
    </row>
    <row r="10" s="135">
      <c r="A10" s="92" t="n">
        <v>32993</v>
      </c>
      <c r="B10" s="93" t="n">
        <v>0.017</v>
      </c>
      <c r="C10" s="79" t="n"/>
      <c r="D10" s="129" t="n"/>
      <c r="E10" s="129" t="n"/>
      <c r="F10" s="129" t="n"/>
      <c r="G10" s="129" t="n"/>
      <c r="H10" s="129" t="n"/>
      <c r="I10" s="129" t="n"/>
      <c r="J10" s="129" t="n"/>
      <c r="K10" s="129" t="n"/>
      <c r="L10" s="129" t="n"/>
      <c r="M10" s="129" t="n"/>
      <c r="N10" s="129" t="n"/>
      <c r="O10" s="129" t="n"/>
      <c r="P10" s="129" t="n"/>
      <c r="Q10" s="129" t="n"/>
      <c r="R10" s="129" t="n"/>
      <c r="S10" s="129" t="n"/>
      <c r="T10" s="129" t="n"/>
      <c r="U10" s="129" t="n"/>
      <c r="V10" s="129" t="n"/>
      <c r="W10" s="129" t="n"/>
      <c r="X10" s="129" t="n"/>
      <c r="Y10" s="129" t="n"/>
      <c r="Z10" s="129" t="n"/>
      <c r="AA10" s="129" t="n"/>
      <c r="AB10" s="129" t="n"/>
      <c r="AC10" s="129" t="n"/>
      <c r="AD10" s="129" t="n"/>
      <c r="AE10" s="129" t="n"/>
      <c r="AF10" s="129" t="n"/>
      <c r="AG10" s="129" t="n"/>
      <c r="AH10" s="129" t="n"/>
      <c r="AI10" s="129" t="n"/>
      <c r="AJ10" s="129" t="n"/>
      <c r="AK10" s="129" t="n"/>
      <c r="AL10" s="129" t="n"/>
      <c r="AM10" s="129" t="n"/>
      <c r="AN10" s="129" t="n"/>
      <c r="AO10" s="129" t="n"/>
      <c r="AP10" s="129" t="n"/>
      <c r="AQ10" s="129" t="n"/>
      <c r="AR10" s="129" t="n"/>
      <c r="AS10" s="129" t="n"/>
      <c r="AT10" s="129" t="n"/>
      <c r="AU10" s="129" t="n"/>
      <c r="AV10" s="129" t="n"/>
      <c r="AW10" s="129" t="n"/>
      <c r="AX10" s="129" t="n"/>
      <c r="AY10" s="129" t="n"/>
      <c r="AZ10" s="129" t="n"/>
      <c r="BA10" s="129" t="n"/>
      <c r="BB10" s="129" t="n"/>
      <c r="BC10" s="129" t="n"/>
      <c r="BD10" s="129" t="n"/>
      <c r="BE10" s="129" t="n"/>
      <c r="BF10" s="129" t="n"/>
      <c r="BG10" s="129" t="n"/>
      <c r="BH10" s="129" t="n"/>
      <c r="BI10" s="129" t="n"/>
      <c r="BJ10" s="129" t="n"/>
      <c r="BK10" s="129" t="n"/>
      <c r="BL10" s="129" t="n"/>
      <c r="BM10" s="129" t="n"/>
      <c r="BN10" s="129" t="n"/>
      <c r="BO10" s="129" t="n"/>
      <c r="BP10" s="129" t="n"/>
      <c r="BQ10" s="129" t="n"/>
      <c r="BR10" s="129" t="n"/>
      <c r="BS10" s="129" t="n"/>
      <c r="BT10" s="129" t="n"/>
      <c r="BU10" s="129" t="n"/>
      <c r="BV10" s="129" t="n"/>
      <c r="BW10" s="129" t="n"/>
      <c r="BX10" s="129" t="n"/>
      <c r="BY10" s="129" t="n"/>
      <c r="BZ10" s="129" t="n"/>
      <c r="CA10" s="129" t="n"/>
      <c r="CB10" s="129" t="n"/>
      <c r="CC10" s="129" t="n"/>
      <c r="CD10" s="129" t="n"/>
      <c r="CE10" s="129" t="n"/>
      <c r="CF10" s="129" t="n"/>
      <c r="CG10" s="129" t="n"/>
      <c r="CH10" s="129" t="n"/>
      <c r="CI10" s="129" t="n"/>
      <c r="CJ10" s="129" t="n"/>
      <c r="CK10" s="129" t="n"/>
      <c r="CL10" s="129" t="n"/>
      <c r="CM10" s="129" t="n"/>
      <c r="CN10" s="129" t="n"/>
      <c r="CO10" s="129" t="n"/>
      <c r="CP10" s="129" t="n"/>
      <c r="CQ10" s="129" t="n"/>
      <c r="CR10" s="129" t="n"/>
      <c r="CS10" s="129" t="n"/>
      <c r="CT10" s="129" t="n"/>
      <c r="CU10" s="129" t="n"/>
      <c r="CV10" s="129" t="n"/>
      <c r="CW10" s="129" t="n"/>
      <c r="CX10" s="129" t="n"/>
      <c r="CY10" s="129" t="n"/>
      <c r="CZ10" s="129" t="n"/>
      <c r="DA10" s="129" t="n"/>
      <c r="DB10" s="129" t="n"/>
      <c r="DC10" s="129" t="n"/>
      <c r="DD10" s="129" t="n"/>
      <c r="DE10" s="129" t="n"/>
      <c r="DF10" s="129" t="n"/>
      <c r="DG10" s="129" t="n"/>
      <c r="DH10" s="129" t="n"/>
      <c r="DI10" s="129" t="n"/>
      <c r="DJ10" s="129" t="n"/>
      <c r="DK10" s="129" t="n"/>
      <c r="DL10" s="129" t="n"/>
      <c r="DM10" s="129" t="n"/>
      <c r="DN10" s="129" t="n"/>
      <c r="DO10" s="129" t="n"/>
      <c r="DP10" s="129" t="n"/>
      <c r="DQ10" s="129" t="n"/>
      <c r="DR10" s="129" t="n"/>
      <c r="DS10" s="129" t="n"/>
      <c r="DT10" s="129" t="n"/>
      <c r="DU10" s="129" t="n"/>
      <c r="DV10" s="129" t="n"/>
      <c r="DW10" s="129" t="n"/>
      <c r="DX10" s="129" t="n"/>
      <c r="DY10" s="129" t="n"/>
      <c r="DZ10" s="129" t="n"/>
      <c r="EA10" s="129" t="n"/>
      <c r="EB10" s="129" t="n"/>
      <c r="EC10" s="129" t="n"/>
      <c r="ED10" s="129" t="n"/>
      <c r="EE10" s="129" t="n"/>
      <c r="EF10" s="129" t="n"/>
      <c r="EG10" s="129" t="n"/>
      <c r="EH10" s="129" t="n"/>
      <c r="EI10" s="129" t="n"/>
      <c r="EJ10" s="129" t="n"/>
      <c r="EK10" s="129" t="n"/>
      <c r="EL10" s="129" t="n"/>
      <c r="EM10" s="129" t="n"/>
      <c r="EN10" s="129" t="n"/>
      <c r="EO10" s="129" t="n"/>
      <c r="EP10" s="129" t="n"/>
      <c r="EQ10" s="129" t="n"/>
      <c r="ER10" s="129" t="n"/>
      <c r="ES10" s="129" t="n"/>
      <c r="ET10" s="129" t="n"/>
      <c r="EU10" s="129" t="n"/>
      <c r="EV10" s="129" t="n"/>
      <c r="EW10" s="129" t="n"/>
      <c r="EX10" s="129" t="n"/>
      <c r="EY10" s="129" t="n"/>
      <c r="EZ10" s="129" t="n"/>
      <c r="FA10" s="129" t="n"/>
      <c r="FB10" s="129" t="n"/>
      <c r="FC10" s="129" t="n"/>
      <c r="FD10" s="129" t="n"/>
      <c r="FE10" s="129" t="n"/>
      <c r="FF10" s="129" t="n"/>
      <c r="FG10" s="129" t="n"/>
      <c r="FH10" s="129" t="n"/>
      <c r="FI10" s="129" t="n"/>
      <c r="FJ10" s="129" t="n"/>
      <c r="FK10" s="129" t="n"/>
      <c r="FL10" s="129" t="n"/>
      <c r="FM10" s="129" t="n"/>
    </row>
    <row r="11" s="135">
      <c r="A11" s="90" t="n">
        <v>33024</v>
      </c>
      <c r="B11" s="91" t="n">
        <v>0.033</v>
      </c>
      <c r="C11" s="79" t="n"/>
      <c r="D11" s="129" t="n"/>
      <c r="E11" s="129" t="n"/>
      <c r="F11" s="129" t="n"/>
      <c r="G11" s="129" t="n"/>
      <c r="H11" s="129" t="n"/>
      <c r="I11" s="129" t="n"/>
      <c r="J11" s="129" t="n"/>
      <c r="K11" s="129" t="n"/>
      <c r="L11" s="129" t="n"/>
      <c r="M11" s="129" t="n"/>
      <c r="N11" s="129" t="n"/>
      <c r="O11" s="129" t="n"/>
      <c r="P11" s="129" t="n"/>
      <c r="Q11" s="129" t="n"/>
      <c r="R11" s="129" t="n"/>
      <c r="S11" s="129" t="n"/>
      <c r="T11" s="129" t="n"/>
      <c r="U11" s="129" t="n"/>
      <c r="V11" s="129" t="n"/>
      <c r="W11" s="129" t="n"/>
      <c r="X11" s="129" t="n"/>
      <c r="Y11" s="129" t="n"/>
      <c r="Z11" s="129" t="n"/>
      <c r="AA11" s="129" t="n"/>
      <c r="AB11" s="129" t="n"/>
      <c r="AC11" s="129" t="n"/>
      <c r="AD11" s="129" t="n"/>
      <c r="AE11" s="129" t="n"/>
      <c r="AF11" s="129" t="n"/>
      <c r="AG11" s="129" t="n"/>
      <c r="AH11" s="129" t="n"/>
      <c r="AI11" s="129" t="n"/>
      <c r="AJ11" s="129" t="n"/>
      <c r="AK11" s="129" t="n"/>
      <c r="AL11" s="129" t="n"/>
      <c r="AM11" s="129" t="n"/>
      <c r="AN11" s="129" t="n"/>
      <c r="AO11" s="129" t="n"/>
      <c r="AP11" s="129" t="n"/>
      <c r="AQ11" s="129" t="n"/>
      <c r="AR11" s="129" t="n"/>
      <c r="AS11" s="129" t="n"/>
      <c r="AT11" s="129" t="n"/>
      <c r="AU11" s="129" t="n"/>
      <c r="AV11" s="129" t="n"/>
      <c r="AW11" s="129" t="n"/>
      <c r="AX11" s="129" t="n"/>
      <c r="AY11" s="129" t="n"/>
      <c r="AZ11" s="129" t="n"/>
      <c r="BA11" s="129" t="n"/>
      <c r="BB11" s="129" t="n"/>
      <c r="BC11" s="129" t="n"/>
      <c r="BD11" s="129" t="n"/>
      <c r="BE11" s="129" t="n"/>
      <c r="BF11" s="129" t="n"/>
      <c r="BG11" s="129" t="n"/>
      <c r="BH11" s="129" t="n"/>
      <c r="BI11" s="129" t="n"/>
      <c r="BJ11" s="129" t="n"/>
      <c r="BK11" s="129" t="n"/>
      <c r="BL11" s="129" t="n"/>
      <c r="BM11" s="129" t="n"/>
      <c r="BN11" s="129" t="n"/>
      <c r="BO11" s="129" t="n"/>
      <c r="BP11" s="129" t="n"/>
      <c r="BQ11" s="129" t="n"/>
      <c r="BR11" s="129" t="n"/>
      <c r="BS11" s="129" t="n"/>
      <c r="BT11" s="129" t="n"/>
      <c r="BU11" s="129" t="n"/>
      <c r="BV11" s="129" t="n"/>
      <c r="BW11" s="129" t="n"/>
      <c r="BX11" s="129" t="n"/>
      <c r="BY11" s="129" t="n"/>
      <c r="BZ11" s="129" t="n"/>
      <c r="CA11" s="129" t="n"/>
      <c r="CB11" s="129" t="n"/>
      <c r="CC11" s="129" t="n"/>
      <c r="CD11" s="129" t="n"/>
      <c r="CE11" s="129" t="n"/>
      <c r="CF11" s="129" t="n"/>
      <c r="CG11" s="129" t="n"/>
      <c r="CH11" s="129" t="n"/>
      <c r="CI11" s="129" t="n"/>
      <c r="CJ11" s="129" t="n"/>
      <c r="CK11" s="129" t="n"/>
      <c r="CL11" s="129" t="n"/>
      <c r="CM11" s="129" t="n"/>
      <c r="CN11" s="129" t="n"/>
      <c r="CO11" s="129" t="n"/>
      <c r="CP11" s="129" t="n"/>
      <c r="CQ11" s="129" t="n"/>
      <c r="CR11" s="129" t="n"/>
      <c r="CS11" s="129" t="n"/>
      <c r="CT11" s="129" t="n"/>
      <c r="CU11" s="129" t="n"/>
      <c r="CV11" s="129" t="n"/>
      <c r="CW11" s="129" t="n"/>
      <c r="CX11" s="129" t="n"/>
      <c r="CY11" s="129" t="n"/>
      <c r="CZ11" s="129" t="n"/>
      <c r="DA11" s="129" t="n"/>
      <c r="DB11" s="129" t="n"/>
      <c r="DC11" s="129" t="n"/>
      <c r="DD11" s="129" t="n"/>
      <c r="DE11" s="129" t="n"/>
      <c r="DF11" s="129" t="n"/>
      <c r="DG11" s="129" t="n"/>
      <c r="DH11" s="129" t="n"/>
      <c r="DI11" s="129" t="n"/>
      <c r="DJ11" s="129" t="n"/>
      <c r="DK11" s="129" t="n"/>
      <c r="DL11" s="129" t="n"/>
      <c r="DM11" s="129" t="n"/>
      <c r="DN11" s="129" t="n"/>
      <c r="DO11" s="129" t="n"/>
      <c r="DP11" s="129" t="n"/>
      <c r="DQ11" s="129" t="n"/>
      <c r="DR11" s="129" t="n"/>
      <c r="DS11" s="129" t="n"/>
      <c r="DT11" s="129" t="n"/>
      <c r="DU11" s="129" t="n"/>
      <c r="DV11" s="129" t="n"/>
      <c r="DW11" s="129" t="n"/>
      <c r="DX11" s="129" t="n"/>
      <c r="DY11" s="129" t="n"/>
      <c r="DZ11" s="129" t="n"/>
      <c r="EA11" s="129" t="n"/>
      <c r="EB11" s="129" t="n"/>
      <c r="EC11" s="129" t="n"/>
      <c r="ED11" s="129" t="n"/>
      <c r="EE11" s="129" t="n"/>
      <c r="EF11" s="129" t="n"/>
      <c r="EG11" s="129" t="n"/>
      <c r="EH11" s="129" t="n"/>
      <c r="EI11" s="129" t="n"/>
      <c r="EJ11" s="129" t="n"/>
      <c r="EK11" s="129" t="n"/>
      <c r="EL11" s="129" t="n"/>
      <c r="EM11" s="129" t="n"/>
      <c r="EN11" s="129" t="n"/>
      <c r="EO11" s="129" t="n"/>
      <c r="EP11" s="129" t="n"/>
      <c r="EQ11" s="129" t="n"/>
      <c r="ER11" s="129" t="n"/>
      <c r="ES11" s="129" t="n"/>
      <c r="ET11" s="129" t="n"/>
      <c r="EU11" s="129" t="n"/>
      <c r="EV11" s="129" t="n"/>
      <c r="EW11" s="129" t="n"/>
      <c r="EX11" s="129" t="n"/>
      <c r="EY11" s="129" t="n"/>
      <c r="EZ11" s="129" t="n"/>
      <c r="FA11" s="129" t="n"/>
      <c r="FB11" s="129" t="n"/>
      <c r="FC11" s="129" t="n"/>
      <c r="FD11" s="129" t="n"/>
      <c r="FE11" s="129" t="n"/>
      <c r="FF11" s="129" t="n"/>
      <c r="FG11" s="129" t="n"/>
      <c r="FH11" s="129" t="n"/>
      <c r="FI11" s="129" t="n"/>
      <c r="FJ11" s="129" t="n"/>
      <c r="FK11" s="129" t="n"/>
      <c r="FL11" s="129" t="n"/>
      <c r="FM11" s="129" t="n"/>
    </row>
    <row r="12" s="135">
      <c r="A12" s="92" t="n">
        <v>33054</v>
      </c>
      <c r="B12" s="93" t="n">
        <v>0.05</v>
      </c>
      <c r="C12" s="79" t="n"/>
      <c r="D12" s="129" t="n"/>
      <c r="E12" s="129" t="n"/>
      <c r="F12" s="129" t="n"/>
      <c r="G12" s="129" t="n"/>
      <c r="H12" s="129" t="n"/>
      <c r="I12" s="129" t="n"/>
      <c r="J12" s="129" t="n"/>
      <c r="K12" s="129" t="n"/>
      <c r="L12" s="129" t="n"/>
      <c r="M12" s="129" t="n"/>
      <c r="N12" s="129" t="n"/>
      <c r="O12" s="129" t="n"/>
      <c r="P12" s="129" t="n"/>
      <c r="Q12" s="129" t="n"/>
      <c r="R12" s="129" t="n"/>
      <c r="S12" s="129" t="n"/>
      <c r="T12" s="129" t="n"/>
      <c r="U12" s="129" t="n"/>
      <c r="V12" s="129" t="n"/>
      <c r="W12" s="129" t="n"/>
      <c r="X12" s="129" t="n"/>
      <c r="Y12" s="129" t="n"/>
      <c r="Z12" s="129" t="n"/>
      <c r="AA12" s="129" t="n"/>
      <c r="AB12" s="129" t="n"/>
      <c r="AC12" s="129" t="n"/>
      <c r="AD12" s="129" t="n"/>
      <c r="AE12" s="129" t="n"/>
      <c r="AF12" s="129" t="n"/>
      <c r="AG12" s="129" t="n"/>
      <c r="AH12" s="129" t="n"/>
      <c r="AI12" s="129" t="n"/>
      <c r="AJ12" s="129" t="n"/>
      <c r="AK12" s="129" t="n"/>
      <c r="AL12" s="129" t="n"/>
      <c r="AM12" s="129" t="n"/>
      <c r="AN12" s="129" t="n"/>
      <c r="AO12" s="129" t="n"/>
      <c r="AP12" s="129" t="n"/>
      <c r="AQ12" s="129" t="n"/>
      <c r="AR12" s="129" t="n"/>
      <c r="AS12" s="129" t="n"/>
      <c r="AT12" s="129" t="n"/>
      <c r="AU12" s="129" t="n"/>
      <c r="AV12" s="129" t="n"/>
      <c r="AW12" s="129" t="n"/>
      <c r="AX12" s="129" t="n"/>
      <c r="AY12" s="129" t="n"/>
      <c r="AZ12" s="129" t="n"/>
      <c r="BA12" s="129" t="n"/>
      <c r="BB12" s="129" t="n"/>
      <c r="BC12" s="129" t="n"/>
      <c r="BD12" s="129" t="n"/>
      <c r="BE12" s="129" t="n"/>
      <c r="BF12" s="129" t="n"/>
      <c r="BG12" s="129" t="n"/>
      <c r="BH12" s="129" t="n"/>
      <c r="BI12" s="129" t="n"/>
      <c r="BJ12" s="129" t="n"/>
      <c r="BK12" s="129" t="n"/>
      <c r="BL12" s="129" t="n"/>
      <c r="BM12" s="129" t="n"/>
      <c r="BN12" s="129" t="n"/>
      <c r="BO12" s="129" t="n"/>
      <c r="BP12" s="129" t="n"/>
      <c r="BQ12" s="129" t="n"/>
      <c r="BR12" s="129" t="n"/>
      <c r="BS12" s="129" t="n"/>
      <c r="BT12" s="129" t="n"/>
      <c r="BU12" s="129" t="n"/>
      <c r="BV12" s="129" t="n"/>
      <c r="BW12" s="129" t="n"/>
      <c r="BX12" s="129" t="n"/>
      <c r="BY12" s="129" t="n"/>
      <c r="BZ12" s="129" t="n"/>
      <c r="CA12" s="129" t="n"/>
      <c r="CB12" s="129" t="n"/>
      <c r="CC12" s="129" t="n"/>
      <c r="CD12" s="129" t="n"/>
      <c r="CE12" s="129" t="n"/>
      <c r="CF12" s="129" t="n"/>
      <c r="CG12" s="129" t="n"/>
      <c r="CH12" s="129" t="n"/>
      <c r="CI12" s="129" t="n"/>
      <c r="CJ12" s="129" t="n"/>
      <c r="CK12" s="129" t="n"/>
      <c r="CL12" s="129" t="n"/>
      <c r="CM12" s="129" t="n"/>
      <c r="CN12" s="129" t="n"/>
      <c r="CO12" s="129" t="n"/>
      <c r="CP12" s="129" t="n"/>
      <c r="CQ12" s="129" t="n"/>
      <c r="CR12" s="129" t="n"/>
      <c r="CS12" s="129" t="n"/>
      <c r="CT12" s="129" t="n"/>
      <c r="CU12" s="129" t="n"/>
      <c r="CV12" s="129" t="n"/>
      <c r="CW12" s="129" t="n"/>
      <c r="CX12" s="129" t="n"/>
      <c r="CY12" s="129" t="n"/>
      <c r="CZ12" s="129" t="n"/>
      <c r="DA12" s="129" t="n"/>
      <c r="DB12" s="129" t="n"/>
      <c r="DC12" s="129" t="n"/>
      <c r="DD12" s="129" t="n"/>
      <c r="DE12" s="129" t="n"/>
      <c r="DF12" s="129" t="n"/>
      <c r="DG12" s="129" t="n"/>
      <c r="DH12" s="129" t="n"/>
      <c r="DI12" s="129" t="n"/>
      <c r="DJ12" s="129" t="n"/>
      <c r="DK12" s="129" t="n"/>
      <c r="DL12" s="129" t="n"/>
      <c r="DM12" s="129" t="n"/>
      <c r="DN12" s="129" t="n"/>
      <c r="DO12" s="129" t="n"/>
      <c r="DP12" s="129" t="n"/>
      <c r="DQ12" s="129" t="n"/>
      <c r="DR12" s="129" t="n"/>
      <c r="DS12" s="129" t="n"/>
      <c r="DT12" s="129" t="n"/>
      <c r="DU12" s="129" t="n"/>
      <c r="DV12" s="129" t="n"/>
      <c r="DW12" s="129" t="n"/>
      <c r="DX12" s="129" t="n"/>
      <c r="DY12" s="129" t="n"/>
      <c r="DZ12" s="129" t="n"/>
      <c r="EA12" s="129" t="n"/>
      <c r="EB12" s="129" t="n"/>
      <c r="EC12" s="129" t="n"/>
      <c r="ED12" s="129" t="n"/>
      <c r="EE12" s="129" t="n"/>
      <c r="EF12" s="129" t="n"/>
      <c r="EG12" s="129" t="n"/>
      <c r="EH12" s="129" t="n"/>
      <c r="EI12" s="129" t="n"/>
      <c r="EJ12" s="129" t="n"/>
      <c r="EK12" s="129" t="n"/>
      <c r="EL12" s="129" t="n"/>
      <c r="EM12" s="129" t="n"/>
      <c r="EN12" s="129" t="n"/>
      <c r="EO12" s="129" t="n"/>
      <c r="EP12" s="129" t="n"/>
      <c r="EQ12" s="129" t="n"/>
      <c r="ER12" s="129" t="n"/>
      <c r="ES12" s="129" t="n"/>
      <c r="ET12" s="129" t="n"/>
      <c r="EU12" s="129" t="n"/>
      <c r="EV12" s="129" t="n"/>
      <c r="EW12" s="129" t="n"/>
      <c r="EX12" s="129" t="n"/>
      <c r="EY12" s="129" t="n"/>
      <c r="EZ12" s="129" t="n"/>
      <c r="FA12" s="129" t="n"/>
      <c r="FB12" s="129" t="n"/>
      <c r="FC12" s="129" t="n"/>
      <c r="FD12" s="129" t="n"/>
      <c r="FE12" s="129" t="n"/>
      <c r="FF12" s="129" t="n"/>
      <c r="FG12" s="129" t="n"/>
      <c r="FH12" s="129" t="n"/>
      <c r="FI12" s="129" t="n"/>
      <c r="FJ12" s="129" t="n"/>
      <c r="FK12" s="129" t="n"/>
      <c r="FL12" s="129" t="n"/>
      <c r="FM12" s="129" t="n"/>
    </row>
    <row r="13" s="135">
      <c r="A13" s="90" t="n">
        <v>33085</v>
      </c>
      <c r="B13" s="91" t="n">
        <v>0.025</v>
      </c>
      <c r="C13" s="79" t="n"/>
      <c r="D13" s="129" t="n"/>
      <c r="E13" s="129" t="n"/>
      <c r="F13" s="129" t="n"/>
      <c r="G13" s="129" t="n"/>
      <c r="H13" s="129" t="n"/>
      <c r="I13" s="129" t="n"/>
      <c r="J13" s="129" t="n"/>
      <c r="K13" s="129" t="n"/>
      <c r="L13" s="129" t="n"/>
      <c r="M13" s="129" t="n"/>
      <c r="N13" s="129" t="n"/>
      <c r="O13" s="129" t="n"/>
      <c r="P13" s="129" t="n"/>
      <c r="Q13" s="129" t="n"/>
      <c r="R13" s="129" t="n"/>
      <c r="S13" s="129" t="n"/>
      <c r="T13" s="129" t="n"/>
      <c r="U13" s="129" t="n"/>
      <c r="V13" s="129" t="n"/>
      <c r="W13" s="129" t="n"/>
      <c r="X13" s="129" t="n"/>
      <c r="Y13" s="129" t="n"/>
      <c r="Z13" s="129" t="n"/>
      <c r="AA13" s="129" t="n"/>
      <c r="AB13" s="129" t="n"/>
      <c r="AC13" s="129" t="n"/>
      <c r="AD13" s="129" t="n"/>
      <c r="AE13" s="129" t="n"/>
      <c r="AF13" s="129" t="n"/>
      <c r="AG13" s="129" t="n"/>
      <c r="AH13" s="129" t="n"/>
      <c r="AI13" s="129" t="n"/>
      <c r="AJ13" s="129" t="n"/>
      <c r="AK13" s="129" t="n"/>
      <c r="AL13" s="129" t="n"/>
      <c r="AM13" s="129" t="n"/>
      <c r="AN13" s="129" t="n"/>
      <c r="AO13" s="129" t="n"/>
      <c r="AP13" s="129" t="n"/>
      <c r="AQ13" s="129" t="n"/>
      <c r="AR13" s="129" t="n"/>
      <c r="AS13" s="129" t="n"/>
      <c r="AT13" s="129" t="n"/>
      <c r="AU13" s="129" t="n"/>
      <c r="AV13" s="129" t="n"/>
      <c r="AW13" s="129" t="n"/>
      <c r="AX13" s="129" t="n"/>
      <c r="AY13" s="129" t="n"/>
      <c r="AZ13" s="129" t="n"/>
      <c r="BA13" s="129" t="n"/>
      <c r="BB13" s="129" t="n"/>
      <c r="BC13" s="129" t="n"/>
      <c r="BD13" s="129" t="n"/>
      <c r="BE13" s="129" t="n"/>
      <c r="BF13" s="129" t="n"/>
      <c r="BG13" s="129" t="n"/>
      <c r="BH13" s="129" t="n"/>
      <c r="BI13" s="129" t="n"/>
      <c r="BJ13" s="129" t="n"/>
      <c r="BK13" s="129" t="n"/>
      <c r="BL13" s="129" t="n"/>
      <c r="BM13" s="129" t="n"/>
      <c r="BN13" s="129" t="n"/>
      <c r="BO13" s="129" t="n"/>
      <c r="BP13" s="129" t="n"/>
      <c r="BQ13" s="129" t="n"/>
      <c r="BR13" s="129" t="n"/>
      <c r="BS13" s="129" t="n"/>
      <c r="BT13" s="129" t="n"/>
      <c r="BU13" s="129" t="n"/>
      <c r="BV13" s="129" t="n"/>
      <c r="BW13" s="129" t="n"/>
      <c r="BX13" s="129" t="n"/>
      <c r="BY13" s="129" t="n"/>
      <c r="BZ13" s="129" t="n"/>
      <c r="CA13" s="129" t="n"/>
      <c r="CB13" s="129" t="n"/>
      <c r="CC13" s="129" t="n"/>
      <c r="CD13" s="129" t="n"/>
      <c r="CE13" s="129" t="n"/>
      <c r="CF13" s="129" t="n"/>
      <c r="CG13" s="129" t="n"/>
      <c r="CH13" s="129" t="n"/>
      <c r="CI13" s="129" t="n"/>
      <c r="CJ13" s="129" t="n"/>
      <c r="CK13" s="129" t="n"/>
      <c r="CL13" s="129" t="n"/>
      <c r="CM13" s="129" t="n"/>
      <c r="CN13" s="129" t="n"/>
      <c r="CO13" s="129" t="n"/>
      <c r="CP13" s="129" t="n"/>
      <c r="CQ13" s="129" t="n"/>
      <c r="CR13" s="129" t="n"/>
      <c r="CS13" s="129" t="n"/>
      <c r="CT13" s="129" t="n"/>
      <c r="CU13" s="129" t="n"/>
      <c r="CV13" s="129" t="n"/>
      <c r="CW13" s="129" t="n"/>
      <c r="CX13" s="129" t="n"/>
      <c r="CY13" s="129" t="n"/>
      <c r="CZ13" s="129" t="n"/>
      <c r="DA13" s="129" t="n"/>
      <c r="DB13" s="129" t="n"/>
      <c r="DC13" s="129" t="n"/>
      <c r="DD13" s="129" t="n"/>
      <c r="DE13" s="129" t="n"/>
      <c r="DF13" s="129" t="n"/>
      <c r="DG13" s="129" t="n"/>
      <c r="DH13" s="129" t="n"/>
      <c r="DI13" s="129" t="n"/>
      <c r="DJ13" s="129" t="n"/>
      <c r="DK13" s="129" t="n"/>
      <c r="DL13" s="129" t="n"/>
      <c r="DM13" s="129" t="n"/>
      <c r="DN13" s="129" t="n"/>
      <c r="DO13" s="129" t="n"/>
      <c r="DP13" s="129" t="n"/>
      <c r="DQ13" s="129" t="n"/>
      <c r="DR13" s="129" t="n"/>
      <c r="DS13" s="129" t="n"/>
      <c r="DT13" s="129" t="n"/>
      <c r="DU13" s="129" t="n"/>
      <c r="DV13" s="129" t="n"/>
      <c r="DW13" s="129" t="n"/>
      <c r="DX13" s="129" t="n"/>
      <c r="DY13" s="129" t="n"/>
      <c r="DZ13" s="129" t="n"/>
      <c r="EA13" s="129" t="n"/>
      <c r="EB13" s="129" t="n"/>
      <c r="EC13" s="129" t="n"/>
      <c r="ED13" s="129" t="n"/>
      <c r="EE13" s="129" t="n"/>
      <c r="EF13" s="129" t="n"/>
      <c r="EG13" s="129" t="n"/>
      <c r="EH13" s="129" t="n"/>
      <c r="EI13" s="129" t="n"/>
      <c r="EJ13" s="129" t="n"/>
      <c r="EK13" s="129" t="n"/>
      <c r="EL13" s="129" t="n"/>
      <c r="EM13" s="129" t="n"/>
      <c r="EN13" s="129" t="n"/>
      <c r="EO13" s="129" t="n"/>
      <c r="EP13" s="129" t="n"/>
      <c r="EQ13" s="129" t="n"/>
      <c r="ER13" s="129" t="n"/>
      <c r="ES13" s="129" t="n"/>
      <c r="ET13" s="129" t="n"/>
      <c r="EU13" s="129" t="n"/>
      <c r="EV13" s="129" t="n"/>
      <c r="EW13" s="129" t="n"/>
      <c r="EX13" s="129" t="n"/>
      <c r="EY13" s="129" t="n"/>
      <c r="EZ13" s="129" t="n"/>
      <c r="FA13" s="129" t="n"/>
      <c r="FB13" s="129" t="n"/>
      <c r="FC13" s="129" t="n"/>
      <c r="FD13" s="129" t="n"/>
      <c r="FE13" s="129" t="n"/>
      <c r="FF13" s="129" t="n"/>
      <c r="FG13" s="129" t="n"/>
      <c r="FH13" s="129" t="n"/>
      <c r="FI13" s="129" t="n"/>
      <c r="FJ13" s="129" t="n"/>
      <c r="FK13" s="129" t="n"/>
      <c r="FL13" s="129" t="n"/>
      <c r="FM13" s="129" t="n"/>
    </row>
    <row r="14" s="135">
      <c r="A14" s="92" t="n">
        <v>33116</v>
      </c>
      <c r="B14" s="93" t="n">
        <v>0.042</v>
      </c>
      <c r="C14" s="79" t="n"/>
      <c r="D14" s="129" t="n"/>
      <c r="E14" s="129" t="n"/>
      <c r="F14" s="129" t="n"/>
      <c r="G14" s="129" t="n"/>
      <c r="H14" s="129" t="n"/>
      <c r="I14" s="129" t="n"/>
      <c r="J14" s="129" t="n"/>
      <c r="K14" s="129" t="n"/>
      <c r="L14" s="129" t="n"/>
      <c r="M14" s="129" t="n"/>
      <c r="N14" s="129" t="n"/>
      <c r="O14" s="129" t="n"/>
      <c r="P14" s="129" t="n"/>
      <c r="Q14" s="129" t="n"/>
      <c r="R14" s="129" t="n"/>
      <c r="S14" s="129" t="n"/>
      <c r="T14" s="129" t="n"/>
      <c r="U14" s="129" t="n"/>
      <c r="V14" s="129" t="n"/>
      <c r="W14" s="129" t="n"/>
      <c r="X14" s="129" t="n"/>
      <c r="Y14" s="129" t="n"/>
      <c r="Z14" s="129" t="n"/>
      <c r="AA14" s="129" t="n"/>
      <c r="AB14" s="129" t="n"/>
      <c r="AC14" s="129" t="n"/>
      <c r="AD14" s="129" t="n"/>
      <c r="AE14" s="129" t="n"/>
      <c r="AF14" s="129" t="n"/>
      <c r="AG14" s="129" t="n"/>
      <c r="AH14" s="129" t="n"/>
      <c r="AI14" s="129" t="n"/>
      <c r="AJ14" s="129" t="n"/>
      <c r="AK14" s="129" t="n"/>
      <c r="AL14" s="129" t="n"/>
      <c r="AM14" s="129" t="n"/>
      <c r="AN14" s="129" t="n"/>
      <c r="AO14" s="129" t="n"/>
      <c r="AP14" s="129" t="n"/>
      <c r="AQ14" s="129" t="n"/>
      <c r="AR14" s="129" t="n"/>
      <c r="AS14" s="129" t="n"/>
      <c r="AT14" s="129" t="n"/>
      <c r="AU14" s="129" t="n"/>
      <c r="AV14" s="129" t="n"/>
      <c r="AW14" s="129" t="n"/>
      <c r="AX14" s="129" t="n"/>
      <c r="AY14" s="129" t="n"/>
      <c r="AZ14" s="129" t="n"/>
      <c r="BA14" s="129" t="n"/>
      <c r="BB14" s="129" t="n"/>
      <c r="BC14" s="129" t="n"/>
      <c r="BD14" s="129" t="n"/>
      <c r="BE14" s="129" t="n"/>
      <c r="BF14" s="129" t="n"/>
      <c r="BG14" s="129" t="n"/>
      <c r="BH14" s="129" t="n"/>
      <c r="BI14" s="129" t="n"/>
      <c r="BJ14" s="129" t="n"/>
      <c r="BK14" s="129" t="n"/>
      <c r="BL14" s="129" t="n"/>
      <c r="BM14" s="129" t="n"/>
      <c r="BN14" s="129" t="n"/>
      <c r="BO14" s="129" t="n"/>
      <c r="BP14" s="129" t="n"/>
      <c r="BQ14" s="129" t="n"/>
      <c r="BR14" s="129" t="n"/>
      <c r="BS14" s="129" t="n"/>
      <c r="BT14" s="129" t="n"/>
      <c r="BU14" s="129" t="n"/>
      <c r="BV14" s="129" t="n"/>
      <c r="BW14" s="129" t="n"/>
      <c r="BX14" s="129" t="n"/>
      <c r="BY14" s="129" t="n"/>
      <c r="BZ14" s="129" t="n"/>
      <c r="CA14" s="129" t="n"/>
      <c r="CB14" s="129" t="n"/>
      <c r="CC14" s="129" t="n"/>
      <c r="CD14" s="129" t="n"/>
      <c r="CE14" s="129" t="n"/>
      <c r="CF14" s="129" t="n"/>
      <c r="CG14" s="129" t="n"/>
      <c r="CH14" s="129" t="n"/>
      <c r="CI14" s="129" t="n"/>
      <c r="CJ14" s="129" t="n"/>
      <c r="CK14" s="129" t="n"/>
      <c r="CL14" s="129" t="n"/>
      <c r="CM14" s="129" t="n"/>
      <c r="CN14" s="129" t="n"/>
      <c r="CO14" s="129" t="n"/>
      <c r="CP14" s="129" t="n"/>
      <c r="CQ14" s="129" t="n"/>
      <c r="CR14" s="129" t="n"/>
      <c r="CS14" s="129" t="n"/>
      <c r="CT14" s="129" t="n"/>
      <c r="CU14" s="129" t="n"/>
      <c r="CV14" s="129" t="n"/>
      <c r="CW14" s="129" t="n"/>
      <c r="CX14" s="129" t="n"/>
      <c r="CY14" s="129" t="n"/>
      <c r="CZ14" s="129" t="n"/>
      <c r="DA14" s="129" t="n"/>
      <c r="DB14" s="129" t="n"/>
      <c r="DC14" s="129" t="n"/>
      <c r="DD14" s="129" t="n"/>
      <c r="DE14" s="129" t="n"/>
      <c r="DF14" s="129" t="n"/>
      <c r="DG14" s="129" t="n"/>
      <c r="DH14" s="129" t="n"/>
      <c r="DI14" s="129" t="n"/>
      <c r="DJ14" s="129" t="n"/>
      <c r="DK14" s="129" t="n"/>
      <c r="DL14" s="129" t="n"/>
      <c r="DM14" s="129" t="n"/>
      <c r="DN14" s="129" t="n"/>
      <c r="DO14" s="129" t="n"/>
      <c r="DP14" s="129" t="n"/>
      <c r="DQ14" s="129" t="n"/>
      <c r="DR14" s="129" t="n"/>
      <c r="DS14" s="129" t="n"/>
      <c r="DT14" s="129" t="n"/>
      <c r="DU14" s="129" t="n"/>
      <c r="DV14" s="129" t="n"/>
      <c r="DW14" s="129" t="n"/>
      <c r="DX14" s="129" t="n"/>
      <c r="DY14" s="129" t="n"/>
      <c r="DZ14" s="129" t="n"/>
      <c r="EA14" s="129" t="n"/>
      <c r="EB14" s="129" t="n"/>
      <c r="EC14" s="129" t="n"/>
      <c r="ED14" s="129" t="n"/>
      <c r="EE14" s="129" t="n"/>
      <c r="EF14" s="129" t="n"/>
      <c r="EG14" s="129" t="n"/>
      <c r="EH14" s="129" t="n"/>
      <c r="EI14" s="129" t="n"/>
      <c r="EJ14" s="129" t="n"/>
      <c r="EK14" s="129" t="n"/>
      <c r="EL14" s="129" t="n"/>
      <c r="EM14" s="129" t="n"/>
      <c r="EN14" s="129" t="n"/>
      <c r="EO14" s="129" t="n"/>
      <c r="EP14" s="129" t="n"/>
      <c r="EQ14" s="129" t="n"/>
      <c r="ER14" s="129" t="n"/>
      <c r="ES14" s="129" t="n"/>
      <c r="ET14" s="129" t="n"/>
      <c r="EU14" s="129" t="n"/>
      <c r="EV14" s="129" t="n"/>
      <c r="EW14" s="129" t="n"/>
      <c r="EX14" s="129" t="n"/>
      <c r="EY14" s="129" t="n"/>
      <c r="EZ14" s="129" t="n"/>
      <c r="FA14" s="129" t="n"/>
      <c r="FB14" s="129" t="n"/>
      <c r="FC14" s="129" t="n"/>
      <c r="FD14" s="129" t="n"/>
      <c r="FE14" s="129" t="n"/>
      <c r="FF14" s="129" t="n"/>
      <c r="FG14" s="129" t="n"/>
      <c r="FH14" s="129" t="n"/>
      <c r="FI14" s="129" t="n"/>
      <c r="FJ14" s="129" t="n"/>
      <c r="FK14" s="129" t="n"/>
      <c r="FL14" s="129" t="n"/>
      <c r="FM14" s="129" t="n"/>
    </row>
    <row r="15" s="135">
      <c r="A15" s="90" t="n">
        <v>33146</v>
      </c>
      <c r="B15" s="91" t="n">
        <v>0.067</v>
      </c>
      <c r="C15" s="79" t="n"/>
      <c r="D15" s="129" t="n"/>
      <c r="E15" s="129" t="n"/>
      <c r="F15" s="129" t="n"/>
      <c r="G15" s="129" t="n"/>
      <c r="H15" s="129" t="n"/>
      <c r="I15" s="129" t="n"/>
      <c r="J15" s="129" t="n"/>
      <c r="K15" s="129" t="n"/>
      <c r="L15" s="129" t="n"/>
      <c r="M15" s="129" t="n"/>
      <c r="N15" s="129" t="n"/>
      <c r="O15" s="129" t="n"/>
      <c r="P15" s="129" t="n"/>
      <c r="Q15" s="129" t="n"/>
      <c r="R15" s="129" t="n"/>
      <c r="S15" s="129" t="n"/>
      <c r="T15" s="129" t="n"/>
      <c r="U15" s="129" t="n"/>
      <c r="V15" s="129" t="n"/>
      <c r="W15" s="129" t="n"/>
      <c r="X15" s="129" t="n"/>
      <c r="Y15" s="129" t="n"/>
      <c r="Z15" s="129" t="n"/>
      <c r="AA15" s="129" t="n"/>
      <c r="AB15" s="129" t="n"/>
      <c r="AC15" s="129" t="n"/>
      <c r="AD15" s="129" t="n"/>
      <c r="AE15" s="129" t="n"/>
      <c r="AF15" s="129" t="n"/>
      <c r="AG15" s="129" t="n"/>
      <c r="AH15" s="129" t="n"/>
      <c r="AI15" s="129" t="n"/>
      <c r="AJ15" s="129" t="n"/>
      <c r="AK15" s="129" t="n"/>
      <c r="AL15" s="129" t="n"/>
      <c r="AM15" s="129" t="n"/>
      <c r="AN15" s="129" t="n"/>
      <c r="AO15" s="129" t="n"/>
      <c r="AP15" s="129" t="n"/>
      <c r="AQ15" s="129" t="n"/>
      <c r="AR15" s="129" t="n"/>
      <c r="AS15" s="129" t="n"/>
      <c r="AT15" s="129" t="n"/>
      <c r="AU15" s="129" t="n"/>
      <c r="AV15" s="129" t="n"/>
      <c r="AW15" s="129" t="n"/>
      <c r="AX15" s="129" t="n"/>
      <c r="AY15" s="129" t="n"/>
      <c r="AZ15" s="129" t="n"/>
      <c r="BA15" s="129" t="n"/>
      <c r="BB15" s="129" t="n"/>
      <c r="BC15" s="129" t="n"/>
      <c r="BD15" s="129" t="n"/>
      <c r="BE15" s="129" t="n"/>
      <c r="BF15" s="129" t="n"/>
      <c r="BG15" s="129" t="n"/>
      <c r="BH15" s="129" t="n"/>
      <c r="BI15" s="129" t="n"/>
      <c r="BJ15" s="129" t="n"/>
      <c r="BK15" s="129" t="n"/>
      <c r="BL15" s="129" t="n"/>
      <c r="BM15" s="129" t="n"/>
      <c r="BN15" s="129" t="n"/>
      <c r="BO15" s="129" t="n"/>
      <c r="BP15" s="129" t="n"/>
      <c r="BQ15" s="129" t="n"/>
      <c r="BR15" s="129" t="n"/>
      <c r="BS15" s="129" t="n"/>
      <c r="BT15" s="129" t="n"/>
      <c r="BU15" s="129" t="n"/>
      <c r="BV15" s="129" t="n"/>
      <c r="BW15" s="129" t="n"/>
      <c r="BX15" s="129" t="n"/>
      <c r="BY15" s="129" t="n"/>
      <c r="BZ15" s="129" t="n"/>
      <c r="CA15" s="129" t="n"/>
      <c r="CB15" s="129" t="n"/>
      <c r="CC15" s="129" t="n"/>
      <c r="CD15" s="129" t="n"/>
      <c r="CE15" s="129" t="n"/>
      <c r="CF15" s="129" t="n"/>
      <c r="CG15" s="129" t="n"/>
      <c r="CH15" s="129" t="n"/>
      <c r="CI15" s="129" t="n"/>
      <c r="CJ15" s="129" t="n"/>
      <c r="CK15" s="129" t="n"/>
      <c r="CL15" s="129" t="n"/>
      <c r="CM15" s="129" t="n"/>
      <c r="CN15" s="129" t="n"/>
      <c r="CO15" s="129" t="n"/>
      <c r="CP15" s="129" t="n"/>
      <c r="CQ15" s="129" t="n"/>
      <c r="CR15" s="129" t="n"/>
      <c r="CS15" s="129" t="n"/>
      <c r="CT15" s="129" t="n"/>
      <c r="CU15" s="129" t="n"/>
      <c r="CV15" s="129" t="n"/>
      <c r="CW15" s="129" t="n"/>
      <c r="CX15" s="129" t="n"/>
      <c r="CY15" s="129" t="n"/>
      <c r="CZ15" s="129" t="n"/>
      <c r="DA15" s="129" t="n"/>
      <c r="DB15" s="129" t="n"/>
      <c r="DC15" s="129" t="n"/>
      <c r="DD15" s="129" t="n"/>
      <c r="DE15" s="129" t="n"/>
      <c r="DF15" s="129" t="n"/>
      <c r="DG15" s="129" t="n"/>
      <c r="DH15" s="129" t="n"/>
      <c r="DI15" s="129" t="n"/>
      <c r="DJ15" s="129" t="n"/>
      <c r="DK15" s="129" t="n"/>
      <c r="DL15" s="129" t="n"/>
      <c r="DM15" s="129" t="n"/>
      <c r="DN15" s="129" t="n"/>
      <c r="DO15" s="129" t="n"/>
      <c r="DP15" s="129" t="n"/>
      <c r="DQ15" s="129" t="n"/>
      <c r="DR15" s="129" t="n"/>
      <c r="DS15" s="129" t="n"/>
      <c r="DT15" s="129" t="n"/>
      <c r="DU15" s="129" t="n"/>
      <c r="DV15" s="129" t="n"/>
      <c r="DW15" s="129" t="n"/>
      <c r="DX15" s="129" t="n"/>
      <c r="DY15" s="129" t="n"/>
      <c r="DZ15" s="129" t="n"/>
      <c r="EA15" s="129" t="n"/>
      <c r="EB15" s="129" t="n"/>
      <c r="EC15" s="129" t="n"/>
      <c r="ED15" s="129" t="n"/>
      <c r="EE15" s="129" t="n"/>
      <c r="EF15" s="129" t="n"/>
      <c r="EG15" s="129" t="n"/>
      <c r="EH15" s="129" t="n"/>
      <c r="EI15" s="129" t="n"/>
      <c r="EJ15" s="129" t="n"/>
      <c r="EK15" s="129" t="n"/>
      <c r="EL15" s="129" t="n"/>
      <c r="EM15" s="129" t="n"/>
      <c r="EN15" s="129" t="n"/>
      <c r="EO15" s="129" t="n"/>
      <c r="EP15" s="129" t="n"/>
      <c r="EQ15" s="129" t="n"/>
      <c r="ER15" s="129" t="n"/>
      <c r="ES15" s="129" t="n"/>
      <c r="ET15" s="129" t="n"/>
      <c r="EU15" s="129" t="n"/>
      <c r="EV15" s="129" t="n"/>
      <c r="EW15" s="129" t="n"/>
      <c r="EX15" s="129" t="n"/>
      <c r="EY15" s="129" t="n"/>
      <c r="EZ15" s="129" t="n"/>
      <c r="FA15" s="129" t="n"/>
      <c r="FB15" s="129" t="n"/>
      <c r="FC15" s="129" t="n"/>
      <c r="FD15" s="129" t="n"/>
      <c r="FE15" s="129" t="n"/>
      <c r="FF15" s="129" t="n"/>
      <c r="FG15" s="129" t="n"/>
      <c r="FH15" s="129" t="n"/>
      <c r="FI15" s="129" t="n"/>
      <c r="FJ15" s="129" t="n"/>
      <c r="FK15" s="129" t="n"/>
      <c r="FL15" s="129" t="n"/>
      <c r="FM15" s="129" t="n"/>
    </row>
    <row r="16" s="135">
      <c r="A16" s="92" t="n">
        <v>33177</v>
      </c>
      <c r="B16" s="93" t="n">
        <v>0.109</v>
      </c>
      <c r="C16" s="79" t="n"/>
      <c r="D16" s="129" t="n"/>
      <c r="E16" s="129" t="n"/>
      <c r="F16" s="129" t="n"/>
      <c r="G16" s="129" t="n"/>
      <c r="H16" s="129" t="n"/>
      <c r="I16" s="129" t="n"/>
      <c r="J16" s="129" t="n"/>
      <c r="K16" s="129" t="n"/>
      <c r="L16" s="129" t="n"/>
      <c r="M16" s="129" t="n"/>
      <c r="N16" s="129" t="n"/>
      <c r="O16" s="129" t="n"/>
      <c r="P16" s="129" t="n"/>
      <c r="Q16" s="129" t="n"/>
      <c r="R16" s="129" t="n"/>
      <c r="S16" s="129" t="n"/>
      <c r="T16" s="129" t="n"/>
      <c r="U16" s="129" t="n"/>
      <c r="V16" s="129" t="n"/>
      <c r="W16" s="129" t="n"/>
      <c r="X16" s="129" t="n"/>
      <c r="Y16" s="129" t="n"/>
      <c r="Z16" s="129" t="n"/>
      <c r="AA16" s="129" t="n"/>
      <c r="AB16" s="129" t="n"/>
      <c r="AC16" s="129" t="n"/>
      <c r="AD16" s="129" t="n"/>
      <c r="AE16" s="129" t="n"/>
      <c r="AF16" s="129" t="n"/>
      <c r="AG16" s="129" t="n"/>
      <c r="AH16" s="129" t="n"/>
      <c r="AI16" s="129" t="n"/>
      <c r="AJ16" s="129" t="n"/>
      <c r="AK16" s="129" t="n"/>
      <c r="AL16" s="129" t="n"/>
      <c r="AM16" s="129" t="n"/>
      <c r="AN16" s="129" t="n"/>
      <c r="AO16" s="129" t="n"/>
      <c r="AP16" s="129" t="n"/>
      <c r="AQ16" s="129" t="n"/>
      <c r="AR16" s="129" t="n"/>
      <c r="AS16" s="129" t="n"/>
      <c r="AT16" s="129" t="n"/>
      <c r="AU16" s="129" t="n"/>
      <c r="AV16" s="129" t="n"/>
      <c r="AW16" s="129" t="n"/>
      <c r="AX16" s="129" t="n"/>
      <c r="AY16" s="129" t="n"/>
      <c r="AZ16" s="129" t="n"/>
      <c r="BA16" s="129" t="n"/>
      <c r="BB16" s="129" t="n"/>
      <c r="BC16" s="129" t="n"/>
      <c r="BD16" s="129" t="n"/>
      <c r="BE16" s="129" t="n"/>
      <c r="BF16" s="129" t="n"/>
      <c r="BG16" s="129" t="n"/>
      <c r="BH16" s="129" t="n"/>
      <c r="BI16" s="129" t="n"/>
      <c r="BJ16" s="129" t="n"/>
      <c r="BK16" s="129" t="n"/>
      <c r="BL16" s="129" t="n"/>
      <c r="BM16" s="129" t="n"/>
      <c r="BN16" s="129" t="n"/>
      <c r="BO16" s="129" t="n"/>
      <c r="BP16" s="129" t="n"/>
      <c r="BQ16" s="129" t="n"/>
      <c r="BR16" s="129" t="n"/>
      <c r="BS16" s="129" t="n"/>
      <c r="BT16" s="129" t="n"/>
      <c r="BU16" s="129" t="n"/>
      <c r="BV16" s="129" t="n"/>
      <c r="BW16" s="129" t="n"/>
      <c r="BX16" s="129" t="n"/>
      <c r="BY16" s="129" t="n"/>
      <c r="BZ16" s="129" t="n"/>
      <c r="CA16" s="129" t="n"/>
      <c r="CB16" s="129" t="n"/>
      <c r="CC16" s="129" t="n"/>
      <c r="CD16" s="129" t="n"/>
      <c r="CE16" s="129" t="n"/>
      <c r="CF16" s="129" t="n"/>
      <c r="CG16" s="129" t="n"/>
      <c r="CH16" s="129" t="n"/>
      <c r="CI16" s="129" t="n"/>
      <c r="CJ16" s="129" t="n"/>
      <c r="CK16" s="129" t="n"/>
      <c r="CL16" s="129" t="n"/>
      <c r="CM16" s="129" t="n"/>
      <c r="CN16" s="129" t="n"/>
      <c r="CO16" s="129" t="n"/>
      <c r="CP16" s="129" t="n"/>
      <c r="CQ16" s="129" t="n"/>
      <c r="CR16" s="129" t="n"/>
      <c r="CS16" s="129" t="n"/>
      <c r="CT16" s="129" t="n"/>
      <c r="CU16" s="129" t="n"/>
      <c r="CV16" s="129" t="n"/>
      <c r="CW16" s="129" t="n"/>
      <c r="CX16" s="129" t="n"/>
      <c r="CY16" s="129" t="n"/>
      <c r="CZ16" s="129" t="n"/>
      <c r="DA16" s="129" t="n"/>
      <c r="DB16" s="129" t="n"/>
      <c r="DC16" s="129" t="n"/>
      <c r="DD16" s="129" t="n"/>
      <c r="DE16" s="129" t="n"/>
      <c r="DF16" s="129" t="n"/>
      <c r="DG16" s="129" t="n"/>
      <c r="DH16" s="129" t="n"/>
      <c r="DI16" s="129" t="n"/>
      <c r="DJ16" s="129" t="n"/>
      <c r="DK16" s="129" t="n"/>
      <c r="DL16" s="129" t="n"/>
      <c r="DM16" s="129" t="n"/>
      <c r="DN16" s="129" t="n"/>
      <c r="DO16" s="129" t="n"/>
      <c r="DP16" s="129" t="n"/>
      <c r="DQ16" s="129" t="n"/>
      <c r="DR16" s="129" t="n"/>
      <c r="DS16" s="129" t="n"/>
      <c r="DT16" s="129" t="n"/>
      <c r="DU16" s="129" t="n"/>
      <c r="DV16" s="129" t="n"/>
      <c r="DW16" s="129" t="n"/>
      <c r="DX16" s="129" t="n"/>
      <c r="DY16" s="129" t="n"/>
      <c r="DZ16" s="129" t="n"/>
      <c r="EA16" s="129" t="n"/>
      <c r="EB16" s="129" t="n"/>
      <c r="EC16" s="129" t="n"/>
      <c r="ED16" s="129" t="n"/>
      <c r="EE16" s="129" t="n"/>
      <c r="EF16" s="129" t="n"/>
      <c r="EG16" s="129" t="n"/>
      <c r="EH16" s="129" t="n"/>
      <c r="EI16" s="129" t="n"/>
      <c r="EJ16" s="129" t="n"/>
      <c r="EK16" s="129" t="n"/>
      <c r="EL16" s="129" t="n"/>
      <c r="EM16" s="129" t="n"/>
      <c r="EN16" s="129" t="n"/>
      <c r="EO16" s="129" t="n"/>
      <c r="EP16" s="129" t="n"/>
      <c r="EQ16" s="129" t="n"/>
      <c r="ER16" s="129" t="n"/>
      <c r="ES16" s="129" t="n"/>
      <c r="ET16" s="129" t="n"/>
      <c r="EU16" s="129" t="n"/>
      <c r="EV16" s="129" t="n"/>
      <c r="EW16" s="129" t="n"/>
      <c r="EX16" s="129" t="n"/>
      <c r="EY16" s="129" t="n"/>
      <c r="EZ16" s="129" t="n"/>
      <c r="FA16" s="129" t="n"/>
      <c r="FB16" s="129" t="n"/>
      <c r="FC16" s="129" t="n"/>
      <c r="FD16" s="129" t="n"/>
      <c r="FE16" s="129" t="n"/>
      <c r="FF16" s="129" t="n"/>
      <c r="FG16" s="129" t="n"/>
      <c r="FH16" s="129" t="n"/>
      <c r="FI16" s="129" t="n"/>
      <c r="FJ16" s="129" t="n"/>
      <c r="FK16" s="129" t="n"/>
      <c r="FL16" s="129" t="n"/>
      <c r="FM16" s="129" t="n"/>
    </row>
    <row r="17" s="135">
      <c r="A17" s="90" t="n">
        <v>33207</v>
      </c>
      <c r="B17" s="91" t="n">
        <v>0.126</v>
      </c>
      <c r="C17" s="79" t="n"/>
      <c r="D17" s="129" t="n"/>
      <c r="E17" s="129" t="n"/>
      <c r="F17" s="129" t="n"/>
      <c r="G17" s="129" t="n"/>
      <c r="H17" s="129" t="n"/>
      <c r="I17" s="129" t="n"/>
      <c r="J17" s="129" t="n"/>
      <c r="K17" s="129" t="n"/>
      <c r="L17" s="129" t="n"/>
      <c r="M17" s="129" t="n"/>
      <c r="N17" s="129" t="n"/>
      <c r="O17" s="129" t="n"/>
      <c r="P17" s="129" t="n"/>
      <c r="Q17" s="129" t="n"/>
      <c r="R17" s="129" t="n"/>
      <c r="S17" s="129" t="n"/>
      <c r="T17" s="129" t="n"/>
      <c r="U17" s="129" t="n"/>
      <c r="V17" s="129" t="n"/>
      <c r="W17" s="129" t="n"/>
      <c r="X17" s="129" t="n"/>
      <c r="Y17" s="129" t="n"/>
      <c r="Z17" s="129" t="n"/>
      <c r="AA17" s="129" t="n"/>
      <c r="AB17" s="129" t="n"/>
      <c r="AC17" s="129" t="n"/>
      <c r="AD17" s="129" t="n"/>
      <c r="AE17" s="129" t="n"/>
      <c r="AF17" s="129" t="n"/>
      <c r="AG17" s="129" t="n"/>
      <c r="AH17" s="129" t="n"/>
      <c r="AI17" s="129" t="n"/>
      <c r="AJ17" s="129" t="n"/>
      <c r="AK17" s="129" t="n"/>
      <c r="AL17" s="129" t="n"/>
      <c r="AM17" s="129" t="n"/>
      <c r="AN17" s="129" t="n"/>
      <c r="AO17" s="129" t="n"/>
      <c r="AP17" s="129" t="n"/>
      <c r="AQ17" s="129" t="n"/>
      <c r="AR17" s="129" t="n"/>
      <c r="AS17" s="129" t="n"/>
      <c r="AT17" s="129" t="n"/>
      <c r="AU17" s="129" t="n"/>
      <c r="AV17" s="129" t="n"/>
      <c r="AW17" s="129" t="n"/>
      <c r="AX17" s="129" t="n"/>
      <c r="AY17" s="129" t="n"/>
      <c r="AZ17" s="129" t="n"/>
      <c r="BA17" s="129" t="n"/>
      <c r="BB17" s="129" t="n"/>
      <c r="BC17" s="129" t="n"/>
      <c r="BD17" s="129" t="n"/>
      <c r="BE17" s="129" t="n"/>
      <c r="BF17" s="129" t="n"/>
      <c r="BG17" s="129" t="n"/>
      <c r="BH17" s="129" t="n"/>
      <c r="BI17" s="129" t="n"/>
      <c r="BJ17" s="129" t="n"/>
      <c r="BK17" s="129" t="n"/>
      <c r="BL17" s="129" t="n"/>
      <c r="BM17" s="129" t="n"/>
      <c r="BN17" s="129" t="n"/>
      <c r="BO17" s="129" t="n"/>
      <c r="BP17" s="129" t="n"/>
      <c r="BQ17" s="129" t="n"/>
      <c r="BR17" s="129" t="n"/>
      <c r="BS17" s="129" t="n"/>
      <c r="BT17" s="129" t="n"/>
      <c r="BU17" s="129" t="n"/>
      <c r="BV17" s="129" t="n"/>
      <c r="BW17" s="129" t="n"/>
      <c r="BX17" s="129" t="n"/>
      <c r="BY17" s="129" t="n"/>
      <c r="BZ17" s="129" t="n"/>
      <c r="CA17" s="129" t="n"/>
      <c r="CB17" s="129" t="n"/>
      <c r="CC17" s="129" t="n"/>
      <c r="CD17" s="129" t="n"/>
      <c r="CE17" s="129" t="n"/>
      <c r="CF17" s="129" t="n"/>
      <c r="CG17" s="129" t="n"/>
      <c r="CH17" s="129" t="n"/>
      <c r="CI17" s="129" t="n"/>
      <c r="CJ17" s="129" t="n"/>
      <c r="CK17" s="129" t="n"/>
      <c r="CL17" s="129" t="n"/>
      <c r="CM17" s="129" t="n"/>
      <c r="CN17" s="129" t="n"/>
      <c r="CO17" s="129" t="n"/>
      <c r="CP17" s="129" t="n"/>
      <c r="CQ17" s="129" t="n"/>
      <c r="CR17" s="129" t="n"/>
      <c r="CS17" s="129" t="n"/>
      <c r="CT17" s="129" t="n"/>
      <c r="CU17" s="129" t="n"/>
      <c r="CV17" s="129" t="n"/>
      <c r="CW17" s="129" t="n"/>
      <c r="CX17" s="129" t="n"/>
      <c r="CY17" s="129" t="n"/>
      <c r="CZ17" s="129" t="n"/>
      <c r="DA17" s="129" t="n"/>
      <c r="DB17" s="129" t="n"/>
      <c r="DC17" s="129" t="n"/>
      <c r="DD17" s="129" t="n"/>
      <c r="DE17" s="129" t="n"/>
      <c r="DF17" s="129" t="n"/>
      <c r="DG17" s="129" t="n"/>
      <c r="DH17" s="129" t="n"/>
      <c r="DI17" s="129" t="n"/>
      <c r="DJ17" s="129" t="n"/>
      <c r="DK17" s="129" t="n"/>
      <c r="DL17" s="129" t="n"/>
      <c r="DM17" s="129" t="n"/>
      <c r="DN17" s="129" t="n"/>
      <c r="DO17" s="129" t="n"/>
      <c r="DP17" s="129" t="n"/>
      <c r="DQ17" s="129" t="n"/>
      <c r="DR17" s="129" t="n"/>
      <c r="DS17" s="129" t="n"/>
      <c r="DT17" s="129" t="n"/>
      <c r="DU17" s="129" t="n"/>
      <c r="DV17" s="129" t="n"/>
      <c r="DW17" s="129" t="n"/>
      <c r="DX17" s="129" t="n"/>
      <c r="DY17" s="129" t="n"/>
      <c r="DZ17" s="129" t="n"/>
      <c r="EA17" s="129" t="n"/>
      <c r="EB17" s="129" t="n"/>
      <c r="EC17" s="129" t="n"/>
      <c r="ED17" s="129" t="n"/>
      <c r="EE17" s="129" t="n"/>
      <c r="EF17" s="129" t="n"/>
      <c r="EG17" s="129" t="n"/>
      <c r="EH17" s="129" t="n"/>
      <c r="EI17" s="129" t="n"/>
      <c r="EJ17" s="129" t="n"/>
      <c r="EK17" s="129" t="n"/>
      <c r="EL17" s="129" t="n"/>
      <c r="EM17" s="129" t="n"/>
      <c r="EN17" s="129" t="n"/>
      <c r="EO17" s="129" t="n"/>
      <c r="EP17" s="129" t="n"/>
      <c r="EQ17" s="129" t="n"/>
      <c r="ER17" s="129" t="n"/>
      <c r="ES17" s="129" t="n"/>
      <c r="ET17" s="129" t="n"/>
      <c r="EU17" s="129" t="n"/>
      <c r="EV17" s="129" t="n"/>
      <c r="EW17" s="129" t="n"/>
      <c r="EX17" s="129" t="n"/>
      <c r="EY17" s="129" t="n"/>
      <c r="EZ17" s="129" t="n"/>
      <c r="FA17" s="129" t="n"/>
      <c r="FB17" s="129" t="n"/>
      <c r="FC17" s="129" t="n"/>
      <c r="FD17" s="129" t="n"/>
      <c r="FE17" s="129" t="n"/>
      <c r="FF17" s="129" t="n"/>
      <c r="FG17" s="129" t="n"/>
      <c r="FH17" s="129" t="n"/>
      <c r="FI17" s="129" t="n"/>
      <c r="FJ17" s="129" t="n"/>
      <c r="FK17" s="129" t="n"/>
      <c r="FL17" s="129" t="n"/>
      <c r="FM17" s="129" t="n"/>
    </row>
    <row r="18" s="135">
      <c r="A18" s="92" t="n">
        <v>33238</v>
      </c>
      <c r="B18" s="93" t="n">
        <v>0.126</v>
      </c>
      <c r="C18" s="79" t="n"/>
      <c r="D18" s="129" t="n"/>
      <c r="E18" s="129" t="n"/>
      <c r="F18" s="129" t="n"/>
      <c r="G18" s="129" t="n"/>
      <c r="H18" s="129" t="n"/>
      <c r="I18" s="129" t="n"/>
      <c r="J18" s="129" t="n"/>
      <c r="K18" s="129" t="n"/>
      <c r="L18" s="129" t="n"/>
      <c r="M18" s="129" t="n"/>
      <c r="N18" s="129" t="n"/>
      <c r="O18" s="129" t="n"/>
      <c r="P18" s="129" t="n"/>
      <c r="Q18" s="129" t="n"/>
      <c r="R18" s="129" t="n"/>
      <c r="S18" s="129" t="n"/>
      <c r="T18" s="129" t="n"/>
      <c r="U18" s="129" t="n"/>
      <c r="V18" s="129" t="n"/>
      <c r="W18" s="129" t="n"/>
      <c r="X18" s="129" t="n"/>
      <c r="Y18" s="129" t="n"/>
      <c r="Z18" s="129" t="n"/>
      <c r="AA18" s="129" t="n"/>
      <c r="AB18" s="129" t="n"/>
      <c r="AC18" s="129" t="n"/>
      <c r="AD18" s="129" t="n"/>
      <c r="AE18" s="129" t="n"/>
      <c r="AF18" s="129" t="n"/>
      <c r="AG18" s="129" t="n"/>
      <c r="AH18" s="129" t="n"/>
      <c r="AI18" s="129" t="n"/>
      <c r="AJ18" s="129" t="n"/>
      <c r="AK18" s="129" t="n"/>
      <c r="AL18" s="129" t="n"/>
      <c r="AM18" s="129" t="n"/>
      <c r="AN18" s="129" t="n"/>
      <c r="AO18" s="129" t="n"/>
      <c r="AP18" s="129" t="n"/>
      <c r="AQ18" s="129" t="n"/>
      <c r="AR18" s="129" t="n"/>
      <c r="AS18" s="129" t="n"/>
      <c r="AT18" s="129" t="n"/>
      <c r="AU18" s="129" t="n"/>
      <c r="AV18" s="129" t="n"/>
      <c r="AW18" s="129" t="n"/>
      <c r="AX18" s="129" t="n"/>
      <c r="AY18" s="129" t="n"/>
      <c r="AZ18" s="129" t="n"/>
      <c r="BA18" s="129" t="n"/>
      <c r="BB18" s="129" t="n"/>
      <c r="BC18" s="129" t="n"/>
      <c r="BD18" s="129" t="n"/>
      <c r="BE18" s="129" t="n"/>
      <c r="BF18" s="129" t="n"/>
      <c r="BG18" s="129" t="n"/>
      <c r="BH18" s="129" t="n"/>
      <c r="BI18" s="129" t="n"/>
      <c r="BJ18" s="129" t="n"/>
      <c r="BK18" s="129" t="n"/>
      <c r="BL18" s="129" t="n"/>
      <c r="BM18" s="129" t="n"/>
      <c r="BN18" s="129" t="n"/>
      <c r="BO18" s="129" t="n"/>
      <c r="BP18" s="129" t="n"/>
      <c r="BQ18" s="129" t="n"/>
      <c r="BR18" s="129" t="n"/>
      <c r="BS18" s="129" t="n"/>
      <c r="BT18" s="129" t="n"/>
      <c r="BU18" s="129" t="n"/>
      <c r="BV18" s="129" t="n"/>
      <c r="BW18" s="129" t="n"/>
      <c r="BX18" s="129" t="n"/>
      <c r="BY18" s="129" t="n"/>
      <c r="BZ18" s="129" t="n"/>
      <c r="CA18" s="129" t="n"/>
      <c r="CB18" s="129" t="n"/>
      <c r="CC18" s="129" t="n"/>
      <c r="CD18" s="129" t="n"/>
      <c r="CE18" s="129" t="n"/>
      <c r="CF18" s="129" t="n"/>
      <c r="CG18" s="129" t="n"/>
      <c r="CH18" s="129" t="n"/>
      <c r="CI18" s="129" t="n"/>
      <c r="CJ18" s="129" t="n"/>
      <c r="CK18" s="129" t="n"/>
      <c r="CL18" s="129" t="n"/>
      <c r="CM18" s="129" t="n"/>
      <c r="CN18" s="129" t="n"/>
      <c r="CO18" s="129" t="n"/>
      <c r="CP18" s="129" t="n"/>
      <c r="CQ18" s="129" t="n"/>
      <c r="CR18" s="129" t="n"/>
      <c r="CS18" s="129" t="n"/>
      <c r="CT18" s="129" t="n"/>
      <c r="CU18" s="129" t="n"/>
      <c r="CV18" s="129" t="n"/>
      <c r="CW18" s="129" t="n"/>
      <c r="CX18" s="129" t="n"/>
      <c r="CY18" s="129" t="n"/>
      <c r="CZ18" s="129" t="n"/>
      <c r="DA18" s="129" t="n"/>
      <c r="DB18" s="129" t="n"/>
      <c r="DC18" s="129" t="n"/>
      <c r="DD18" s="129" t="n"/>
      <c r="DE18" s="129" t="n"/>
      <c r="DF18" s="129" t="n"/>
      <c r="DG18" s="129" t="n"/>
      <c r="DH18" s="129" t="n"/>
      <c r="DI18" s="129" t="n"/>
      <c r="DJ18" s="129" t="n"/>
      <c r="DK18" s="129" t="n"/>
      <c r="DL18" s="129" t="n"/>
      <c r="DM18" s="129" t="n"/>
      <c r="DN18" s="129" t="n"/>
      <c r="DO18" s="129" t="n"/>
      <c r="DP18" s="129" t="n"/>
      <c r="DQ18" s="129" t="n"/>
      <c r="DR18" s="129" t="n"/>
      <c r="DS18" s="129" t="n"/>
      <c r="DT18" s="129" t="n"/>
      <c r="DU18" s="129" t="n"/>
      <c r="DV18" s="129" t="n"/>
      <c r="DW18" s="129" t="n"/>
      <c r="DX18" s="129" t="n"/>
      <c r="DY18" s="129" t="n"/>
      <c r="DZ18" s="129" t="n"/>
      <c r="EA18" s="129" t="n"/>
      <c r="EB18" s="129" t="n"/>
      <c r="EC18" s="129" t="n"/>
      <c r="ED18" s="129" t="n"/>
      <c r="EE18" s="129" t="n"/>
      <c r="EF18" s="129" t="n"/>
      <c r="EG18" s="129" t="n"/>
      <c r="EH18" s="129" t="n"/>
      <c r="EI18" s="129" t="n"/>
      <c r="EJ18" s="129" t="n"/>
      <c r="EK18" s="129" t="n"/>
      <c r="EL18" s="129" t="n"/>
      <c r="EM18" s="129" t="n"/>
      <c r="EN18" s="129" t="n"/>
      <c r="EO18" s="129" t="n"/>
      <c r="EP18" s="129" t="n"/>
      <c r="EQ18" s="129" t="n"/>
      <c r="ER18" s="129" t="n"/>
      <c r="ES18" s="129" t="n"/>
      <c r="ET18" s="129" t="n"/>
      <c r="EU18" s="129" t="n"/>
      <c r="EV18" s="129" t="n"/>
      <c r="EW18" s="129" t="n"/>
      <c r="EX18" s="129" t="n"/>
      <c r="EY18" s="129" t="n"/>
      <c r="EZ18" s="129" t="n"/>
      <c r="FA18" s="129" t="n"/>
      <c r="FB18" s="129" t="n"/>
      <c r="FC18" s="129" t="n"/>
      <c r="FD18" s="129" t="n"/>
      <c r="FE18" s="129" t="n"/>
      <c r="FF18" s="129" t="n"/>
      <c r="FG18" s="129" t="n"/>
      <c r="FH18" s="129" t="n"/>
      <c r="FI18" s="129" t="n"/>
      <c r="FJ18" s="129" t="n"/>
      <c r="FK18" s="129" t="n"/>
      <c r="FL18" s="129" t="n"/>
      <c r="FM18" s="129" t="n"/>
    </row>
    <row r="19" s="135">
      <c r="A19" s="90" t="n">
        <v>33269</v>
      </c>
      <c r="B19" s="91" t="n">
        <v>0.235</v>
      </c>
      <c r="C19" s="79" t="n"/>
      <c r="D19" s="129" t="n"/>
      <c r="E19" s="129" t="n"/>
      <c r="F19" s="129" t="n"/>
      <c r="G19" s="129" t="n"/>
      <c r="H19" s="129" t="n"/>
      <c r="I19" s="129" t="n"/>
      <c r="J19" s="129" t="n"/>
      <c r="K19" s="129" t="n"/>
      <c r="L19" s="129" t="n"/>
      <c r="M19" s="129" t="n"/>
      <c r="N19" s="129" t="n"/>
      <c r="O19" s="129" t="n"/>
      <c r="P19" s="129" t="n"/>
      <c r="Q19" s="129" t="n"/>
      <c r="R19" s="129" t="n"/>
      <c r="S19" s="129" t="n"/>
      <c r="T19" s="129" t="n"/>
      <c r="U19" s="129" t="n"/>
      <c r="V19" s="129" t="n"/>
      <c r="W19" s="129" t="n"/>
      <c r="X19" s="129" t="n"/>
      <c r="Y19" s="129" t="n"/>
      <c r="Z19" s="129" t="n"/>
      <c r="AA19" s="129" t="n"/>
      <c r="AB19" s="129" t="n"/>
      <c r="AC19" s="129" t="n"/>
      <c r="AD19" s="129" t="n"/>
      <c r="AE19" s="129" t="n"/>
      <c r="AF19" s="129" t="n"/>
      <c r="AG19" s="129" t="n"/>
      <c r="AH19" s="129" t="n"/>
      <c r="AI19" s="129" t="n"/>
      <c r="AJ19" s="129" t="n"/>
      <c r="AK19" s="129" t="n"/>
      <c r="AL19" s="129" t="n"/>
      <c r="AM19" s="129" t="n"/>
      <c r="AN19" s="129" t="n"/>
      <c r="AO19" s="129" t="n"/>
      <c r="AP19" s="129" t="n"/>
      <c r="AQ19" s="129" t="n"/>
      <c r="AR19" s="129" t="n"/>
      <c r="AS19" s="129" t="n"/>
      <c r="AT19" s="129" t="n"/>
      <c r="AU19" s="129" t="n"/>
      <c r="AV19" s="129" t="n"/>
      <c r="AW19" s="129" t="n"/>
      <c r="AX19" s="129" t="n"/>
      <c r="AY19" s="129" t="n"/>
      <c r="AZ19" s="129" t="n"/>
      <c r="BA19" s="129" t="n"/>
      <c r="BB19" s="129" t="n"/>
      <c r="BC19" s="129" t="n"/>
      <c r="BD19" s="129" t="n"/>
      <c r="BE19" s="129" t="n"/>
      <c r="BF19" s="129" t="n"/>
      <c r="BG19" s="129" t="n"/>
      <c r="BH19" s="129" t="n"/>
      <c r="BI19" s="129" t="n"/>
      <c r="BJ19" s="129" t="n"/>
      <c r="BK19" s="129" t="n"/>
      <c r="BL19" s="129" t="n"/>
      <c r="BM19" s="129" t="n"/>
      <c r="BN19" s="129" t="n"/>
      <c r="BO19" s="129" t="n"/>
      <c r="BP19" s="129" t="n"/>
      <c r="BQ19" s="129" t="n"/>
      <c r="BR19" s="129" t="n"/>
      <c r="BS19" s="129" t="n"/>
      <c r="BT19" s="129" t="n"/>
      <c r="BU19" s="129" t="n"/>
      <c r="BV19" s="129" t="n"/>
      <c r="BW19" s="129" t="n"/>
      <c r="BX19" s="129" t="n"/>
      <c r="BY19" s="129" t="n"/>
      <c r="BZ19" s="129" t="n"/>
      <c r="CA19" s="129" t="n"/>
      <c r="CB19" s="129" t="n"/>
      <c r="CC19" s="129" t="n"/>
      <c r="CD19" s="129" t="n"/>
      <c r="CE19" s="129" t="n"/>
      <c r="CF19" s="129" t="n"/>
      <c r="CG19" s="129" t="n"/>
      <c r="CH19" s="129" t="n"/>
      <c r="CI19" s="129" t="n"/>
      <c r="CJ19" s="129" t="n"/>
      <c r="CK19" s="129" t="n"/>
      <c r="CL19" s="129" t="n"/>
      <c r="CM19" s="129" t="n"/>
      <c r="CN19" s="129" t="n"/>
      <c r="CO19" s="129" t="n"/>
      <c r="CP19" s="129" t="n"/>
      <c r="CQ19" s="129" t="n"/>
      <c r="CR19" s="129" t="n"/>
      <c r="CS19" s="129" t="n"/>
      <c r="CT19" s="129" t="n"/>
      <c r="CU19" s="129" t="n"/>
      <c r="CV19" s="129" t="n"/>
      <c r="CW19" s="129" t="n"/>
      <c r="CX19" s="129" t="n"/>
      <c r="CY19" s="129" t="n"/>
      <c r="CZ19" s="129" t="n"/>
      <c r="DA19" s="129" t="n"/>
      <c r="DB19" s="129" t="n"/>
      <c r="DC19" s="129" t="n"/>
      <c r="DD19" s="129" t="n"/>
      <c r="DE19" s="129" t="n"/>
      <c r="DF19" s="129" t="n"/>
      <c r="DG19" s="129" t="n"/>
      <c r="DH19" s="129" t="n"/>
      <c r="DI19" s="129" t="n"/>
      <c r="DJ19" s="129" t="n"/>
      <c r="DK19" s="129" t="n"/>
      <c r="DL19" s="129" t="n"/>
      <c r="DM19" s="129" t="n"/>
      <c r="DN19" s="129" t="n"/>
      <c r="DO19" s="129" t="n"/>
      <c r="DP19" s="129" t="n"/>
      <c r="DQ19" s="129" t="n"/>
      <c r="DR19" s="129" t="n"/>
      <c r="DS19" s="129" t="n"/>
      <c r="DT19" s="129" t="n"/>
      <c r="DU19" s="129" t="n"/>
      <c r="DV19" s="129" t="n"/>
      <c r="DW19" s="129" t="n"/>
      <c r="DX19" s="129" t="n"/>
      <c r="DY19" s="129" t="n"/>
      <c r="DZ19" s="129" t="n"/>
      <c r="EA19" s="129" t="n"/>
      <c r="EB19" s="129" t="n"/>
      <c r="EC19" s="129" t="n"/>
      <c r="ED19" s="129" t="n"/>
      <c r="EE19" s="129" t="n"/>
      <c r="EF19" s="129" t="n"/>
      <c r="EG19" s="129" t="n"/>
      <c r="EH19" s="129" t="n"/>
      <c r="EI19" s="129" t="n"/>
      <c r="EJ19" s="129" t="n"/>
      <c r="EK19" s="129" t="n"/>
      <c r="EL19" s="129" t="n"/>
      <c r="EM19" s="129" t="n"/>
      <c r="EN19" s="129" t="n"/>
      <c r="EO19" s="129" t="n"/>
      <c r="EP19" s="129" t="n"/>
      <c r="EQ19" s="129" t="n"/>
      <c r="ER19" s="129" t="n"/>
      <c r="ES19" s="129" t="n"/>
      <c r="ET19" s="129" t="n"/>
      <c r="EU19" s="129" t="n"/>
      <c r="EV19" s="129" t="n"/>
      <c r="EW19" s="129" t="n"/>
      <c r="EX19" s="129" t="n"/>
      <c r="EY19" s="129" t="n"/>
      <c r="EZ19" s="129" t="n"/>
      <c r="FA19" s="129" t="n"/>
      <c r="FB19" s="129" t="n"/>
      <c r="FC19" s="129" t="n"/>
      <c r="FD19" s="129" t="n"/>
      <c r="FE19" s="129" t="n"/>
      <c r="FF19" s="129" t="n"/>
      <c r="FG19" s="129" t="n"/>
      <c r="FH19" s="129" t="n"/>
      <c r="FI19" s="129" t="n"/>
      <c r="FJ19" s="129" t="n"/>
      <c r="FK19" s="129" t="n"/>
      <c r="FL19" s="129" t="n"/>
      <c r="FM19" s="129" t="n"/>
    </row>
    <row r="20" s="135">
      <c r="A20" s="92" t="n">
        <v>33297</v>
      </c>
      <c r="B20" s="93" t="n">
        <v>0.092</v>
      </c>
      <c r="C20" s="79" t="n"/>
      <c r="D20" s="129" t="n"/>
      <c r="E20" s="129" t="n"/>
      <c r="F20" s="129" t="n"/>
      <c r="G20" s="129" t="n"/>
      <c r="H20" s="129" t="n"/>
      <c r="I20" s="129" t="n"/>
      <c r="J20" s="129" t="n"/>
      <c r="K20" s="129" t="n"/>
      <c r="L20" s="129" t="n"/>
      <c r="M20" s="129" t="n"/>
      <c r="N20" s="129" t="n"/>
      <c r="O20" s="129" t="n"/>
      <c r="P20" s="129" t="n"/>
      <c r="Q20" s="129" t="n"/>
      <c r="R20" s="129" t="n"/>
      <c r="S20" s="129" t="n"/>
      <c r="T20" s="129" t="n"/>
      <c r="U20" s="129" t="n"/>
      <c r="V20" s="129" t="n"/>
      <c r="W20" s="129" t="n"/>
      <c r="X20" s="129" t="n"/>
      <c r="Y20" s="129" t="n"/>
      <c r="Z20" s="129" t="n"/>
      <c r="AA20" s="129" t="n"/>
      <c r="AB20" s="129" t="n"/>
      <c r="AC20" s="129" t="n"/>
      <c r="AD20" s="129" t="n"/>
      <c r="AE20" s="129" t="n"/>
      <c r="AF20" s="129" t="n"/>
      <c r="AG20" s="129" t="n"/>
      <c r="AH20" s="129" t="n"/>
      <c r="AI20" s="129" t="n"/>
      <c r="AJ20" s="129" t="n"/>
      <c r="AK20" s="129" t="n"/>
      <c r="AL20" s="129" t="n"/>
      <c r="AM20" s="129" t="n"/>
      <c r="AN20" s="129" t="n"/>
      <c r="AO20" s="129" t="n"/>
      <c r="AP20" s="129" t="n"/>
      <c r="AQ20" s="129" t="n"/>
      <c r="AR20" s="129" t="n"/>
      <c r="AS20" s="129" t="n"/>
      <c r="AT20" s="129" t="n"/>
      <c r="AU20" s="129" t="n"/>
      <c r="AV20" s="129" t="n"/>
      <c r="AW20" s="129" t="n"/>
      <c r="AX20" s="129" t="n"/>
      <c r="AY20" s="129" t="n"/>
      <c r="AZ20" s="129" t="n"/>
      <c r="BA20" s="129" t="n"/>
      <c r="BB20" s="129" t="n"/>
      <c r="BC20" s="129" t="n"/>
      <c r="BD20" s="129" t="n"/>
      <c r="BE20" s="129" t="n"/>
      <c r="BF20" s="129" t="n"/>
      <c r="BG20" s="129" t="n"/>
      <c r="BH20" s="129" t="n"/>
      <c r="BI20" s="129" t="n"/>
      <c r="BJ20" s="129" t="n"/>
      <c r="BK20" s="129" t="n"/>
      <c r="BL20" s="129" t="n"/>
      <c r="BM20" s="129" t="n"/>
      <c r="BN20" s="129" t="n"/>
      <c r="BO20" s="129" t="n"/>
      <c r="BP20" s="129" t="n"/>
      <c r="BQ20" s="129" t="n"/>
      <c r="BR20" s="129" t="n"/>
      <c r="BS20" s="129" t="n"/>
      <c r="BT20" s="129" t="n"/>
      <c r="BU20" s="129" t="n"/>
      <c r="BV20" s="129" t="n"/>
      <c r="BW20" s="129" t="n"/>
      <c r="BX20" s="129" t="n"/>
      <c r="BY20" s="129" t="n"/>
      <c r="BZ20" s="129" t="n"/>
      <c r="CA20" s="129" t="n"/>
      <c r="CB20" s="129" t="n"/>
      <c r="CC20" s="129" t="n"/>
      <c r="CD20" s="129" t="n"/>
      <c r="CE20" s="129" t="n"/>
      <c r="CF20" s="129" t="n"/>
      <c r="CG20" s="129" t="n"/>
      <c r="CH20" s="129" t="n"/>
      <c r="CI20" s="129" t="n"/>
      <c r="CJ20" s="129" t="n"/>
      <c r="CK20" s="129" t="n"/>
      <c r="CL20" s="129" t="n"/>
      <c r="CM20" s="129" t="n"/>
      <c r="CN20" s="129" t="n"/>
      <c r="CO20" s="129" t="n"/>
      <c r="CP20" s="129" t="n"/>
      <c r="CQ20" s="129" t="n"/>
      <c r="CR20" s="129" t="n"/>
      <c r="CS20" s="129" t="n"/>
      <c r="CT20" s="129" t="n"/>
      <c r="CU20" s="129" t="n"/>
      <c r="CV20" s="129" t="n"/>
      <c r="CW20" s="129" t="n"/>
      <c r="CX20" s="129" t="n"/>
      <c r="CY20" s="129" t="n"/>
      <c r="CZ20" s="129" t="n"/>
      <c r="DA20" s="129" t="n"/>
      <c r="DB20" s="129" t="n"/>
      <c r="DC20" s="129" t="n"/>
      <c r="DD20" s="129" t="n"/>
      <c r="DE20" s="129" t="n"/>
      <c r="DF20" s="129" t="n"/>
      <c r="DG20" s="129" t="n"/>
      <c r="DH20" s="129" t="n"/>
      <c r="DI20" s="129" t="n"/>
      <c r="DJ20" s="129" t="n"/>
      <c r="DK20" s="129" t="n"/>
      <c r="DL20" s="129" t="n"/>
      <c r="DM20" s="129" t="n"/>
      <c r="DN20" s="129" t="n"/>
      <c r="DO20" s="129" t="n"/>
      <c r="DP20" s="129" t="n"/>
      <c r="DQ20" s="129" t="n"/>
      <c r="DR20" s="129" t="n"/>
      <c r="DS20" s="129" t="n"/>
      <c r="DT20" s="129" t="n"/>
      <c r="DU20" s="129" t="n"/>
      <c r="DV20" s="129" t="n"/>
      <c r="DW20" s="129" t="n"/>
      <c r="DX20" s="129" t="n"/>
      <c r="DY20" s="129" t="n"/>
      <c r="DZ20" s="129" t="n"/>
      <c r="EA20" s="129" t="n"/>
      <c r="EB20" s="129" t="n"/>
      <c r="EC20" s="129" t="n"/>
      <c r="ED20" s="129" t="n"/>
      <c r="EE20" s="129" t="n"/>
      <c r="EF20" s="129" t="n"/>
      <c r="EG20" s="129" t="n"/>
      <c r="EH20" s="129" t="n"/>
      <c r="EI20" s="129" t="n"/>
      <c r="EJ20" s="129" t="n"/>
      <c r="EK20" s="129" t="n"/>
      <c r="EL20" s="129" t="n"/>
      <c r="EM20" s="129" t="n"/>
      <c r="EN20" s="129" t="n"/>
      <c r="EO20" s="129" t="n"/>
      <c r="EP20" s="129" t="n"/>
      <c r="EQ20" s="129" t="n"/>
      <c r="ER20" s="129" t="n"/>
      <c r="ES20" s="129" t="n"/>
      <c r="ET20" s="129" t="n"/>
      <c r="EU20" s="129" t="n"/>
      <c r="EV20" s="129" t="n"/>
      <c r="EW20" s="129" t="n"/>
      <c r="EX20" s="129" t="n"/>
      <c r="EY20" s="129" t="n"/>
      <c r="EZ20" s="129" t="n"/>
      <c r="FA20" s="129" t="n"/>
      <c r="FB20" s="129" t="n"/>
      <c r="FC20" s="129" t="n"/>
      <c r="FD20" s="129" t="n"/>
      <c r="FE20" s="129" t="n"/>
      <c r="FF20" s="129" t="n"/>
      <c r="FG20" s="129" t="n"/>
      <c r="FH20" s="129" t="n"/>
      <c r="FI20" s="129" t="n"/>
      <c r="FJ20" s="129" t="n"/>
      <c r="FK20" s="129" t="n"/>
      <c r="FL20" s="129" t="n"/>
      <c r="FM20" s="129" t="n"/>
    </row>
    <row r="21" s="135">
      <c r="A21" s="90" t="n">
        <v>33328</v>
      </c>
      <c r="B21" s="91" t="n">
        <v>0.109</v>
      </c>
      <c r="C21" s="79" t="n"/>
      <c r="D21" s="129" t="n"/>
      <c r="E21" s="129" t="n"/>
      <c r="F21" s="129" t="n"/>
      <c r="G21" s="129" t="n"/>
      <c r="H21" s="129" t="n"/>
      <c r="I21" s="129" t="n"/>
      <c r="J21" s="129" t="n"/>
      <c r="K21" s="129" t="n"/>
      <c r="L21" s="129" t="n"/>
      <c r="M21" s="129" t="n"/>
      <c r="N21" s="129" t="n"/>
      <c r="O21" s="129" t="n"/>
      <c r="P21" s="129" t="n"/>
      <c r="Q21" s="129" t="n"/>
      <c r="R21" s="129" t="n"/>
      <c r="S21" s="129" t="n"/>
      <c r="T21" s="129" t="n"/>
      <c r="U21" s="129" t="n"/>
      <c r="V21" s="129" t="n"/>
      <c r="W21" s="129" t="n"/>
      <c r="X21" s="129" t="n"/>
      <c r="Y21" s="129" t="n"/>
      <c r="Z21" s="129" t="n"/>
      <c r="AA21" s="129" t="n"/>
      <c r="AB21" s="129" t="n"/>
      <c r="AC21" s="129" t="n"/>
      <c r="AD21" s="129" t="n"/>
      <c r="AE21" s="129" t="n"/>
      <c r="AF21" s="129" t="n"/>
      <c r="AG21" s="129" t="n"/>
      <c r="AH21" s="129" t="n"/>
      <c r="AI21" s="129" t="n"/>
      <c r="AJ21" s="129" t="n"/>
      <c r="AK21" s="129" t="n"/>
      <c r="AL21" s="129" t="n"/>
      <c r="AM21" s="129" t="n"/>
      <c r="AN21" s="129" t="n"/>
      <c r="AO21" s="129" t="n"/>
      <c r="AP21" s="129" t="n"/>
      <c r="AQ21" s="129" t="n"/>
      <c r="AR21" s="129" t="n"/>
      <c r="AS21" s="129" t="n"/>
      <c r="AT21" s="129" t="n"/>
      <c r="AU21" s="129" t="n"/>
      <c r="AV21" s="129" t="n"/>
      <c r="AW21" s="129" t="n"/>
      <c r="AX21" s="129" t="n"/>
      <c r="AY21" s="129" t="n"/>
      <c r="AZ21" s="129" t="n"/>
      <c r="BA21" s="129" t="n"/>
      <c r="BB21" s="129" t="n"/>
      <c r="BC21" s="129" t="n"/>
      <c r="BD21" s="129" t="n"/>
      <c r="BE21" s="129" t="n"/>
      <c r="BF21" s="129" t="n"/>
      <c r="BG21" s="129" t="n"/>
      <c r="BH21" s="129" t="n"/>
      <c r="BI21" s="129" t="n"/>
      <c r="BJ21" s="129" t="n"/>
      <c r="BK21" s="129" t="n"/>
      <c r="BL21" s="129" t="n"/>
      <c r="BM21" s="129" t="n"/>
      <c r="BN21" s="129" t="n"/>
      <c r="BO21" s="129" t="n"/>
      <c r="BP21" s="129" t="n"/>
      <c r="BQ21" s="129" t="n"/>
      <c r="BR21" s="129" t="n"/>
      <c r="BS21" s="129" t="n"/>
      <c r="BT21" s="129" t="n"/>
      <c r="BU21" s="129" t="n"/>
      <c r="BV21" s="129" t="n"/>
      <c r="BW21" s="129" t="n"/>
      <c r="BX21" s="129" t="n"/>
      <c r="BY21" s="129" t="n"/>
      <c r="BZ21" s="129" t="n"/>
      <c r="CA21" s="129" t="n"/>
      <c r="CB21" s="129" t="n"/>
      <c r="CC21" s="129" t="n"/>
      <c r="CD21" s="129" t="n"/>
      <c r="CE21" s="129" t="n"/>
      <c r="CF21" s="129" t="n"/>
      <c r="CG21" s="129" t="n"/>
      <c r="CH21" s="129" t="n"/>
      <c r="CI21" s="129" t="n"/>
      <c r="CJ21" s="129" t="n"/>
      <c r="CK21" s="129" t="n"/>
      <c r="CL21" s="129" t="n"/>
      <c r="CM21" s="129" t="n"/>
      <c r="CN21" s="129" t="n"/>
      <c r="CO21" s="129" t="n"/>
      <c r="CP21" s="129" t="n"/>
      <c r="CQ21" s="129" t="n"/>
      <c r="CR21" s="129" t="n"/>
      <c r="CS21" s="129" t="n"/>
      <c r="CT21" s="129" t="n"/>
      <c r="CU21" s="129" t="n"/>
      <c r="CV21" s="129" t="n"/>
      <c r="CW21" s="129" t="n"/>
      <c r="CX21" s="129" t="n"/>
      <c r="CY21" s="129" t="n"/>
      <c r="CZ21" s="129" t="n"/>
      <c r="DA21" s="129" t="n"/>
      <c r="DB21" s="129" t="n"/>
      <c r="DC21" s="129" t="n"/>
      <c r="DD21" s="129" t="n"/>
      <c r="DE21" s="129" t="n"/>
      <c r="DF21" s="129" t="n"/>
      <c r="DG21" s="129" t="n"/>
      <c r="DH21" s="129" t="n"/>
      <c r="DI21" s="129" t="n"/>
      <c r="DJ21" s="129" t="n"/>
      <c r="DK21" s="129" t="n"/>
      <c r="DL21" s="129" t="n"/>
      <c r="DM21" s="129" t="n"/>
      <c r="DN21" s="129" t="n"/>
      <c r="DO21" s="129" t="n"/>
      <c r="DP21" s="129" t="n"/>
      <c r="DQ21" s="129" t="n"/>
      <c r="DR21" s="129" t="n"/>
      <c r="DS21" s="129" t="n"/>
      <c r="DT21" s="129" t="n"/>
      <c r="DU21" s="129" t="n"/>
      <c r="DV21" s="129" t="n"/>
      <c r="DW21" s="129" t="n"/>
      <c r="DX21" s="129" t="n"/>
      <c r="DY21" s="129" t="n"/>
      <c r="DZ21" s="129" t="n"/>
      <c r="EA21" s="129" t="n"/>
      <c r="EB21" s="129" t="n"/>
      <c r="EC21" s="129" t="n"/>
      <c r="ED21" s="129" t="n"/>
      <c r="EE21" s="129" t="n"/>
      <c r="EF21" s="129" t="n"/>
      <c r="EG21" s="129" t="n"/>
      <c r="EH21" s="129" t="n"/>
      <c r="EI21" s="129" t="n"/>
      <c r="EJ21" s="129" t="n"/>
      <c r="EK21" s="129" t="n"/>
      <c r="EL21" s="129" t="n"/>
      <c r="EM21" s="129" t="n"/>
      <c r="EN21" s="129" t="n"/>
      <c r="EO21" s="129" t="n"/>
      <c r="EP21" s="129" t="n"/>
      <c r="EQ21" s="129" t="n"/>
      <c r="ER21" s="129" t="n"/>
      <c r="ES21" s="129" t="n"/>
      <c r="ET21" s="129" t="n"/>
      <c r="EU21" s="129" t="n"/>
      <c r="EV21" s="129" t="n"/>
      <c r="EW21" s="129" t="n"/>
      <c r="EX21" s="129" t="n"/>
      <c r="EY21" s="129" t="n"/>
      <c r="EZ21" s="129" t="n"/>
      <c r="FA21" s="129" t="n"/>
      <c r="FB21" s="129" t="n"/>
      <c r="FC21" s="129" t="n"/>
      <c r="FD21" s="129" t="n"/>
      <c r="FE21" s="129" t="n"/>
      <c r="FF21" s="129" t="n"/>
      <c r="FG21" s="129" t="n"/>
      <c r="FH21" s="129" t="n"/>
      <c r="FI21" s="129" t="n"/>
      <c r="FJ21" s="129" t="n"/>
      <c r="FK21" s="129" t="n"/>
      <c r="FL21" s="129" t="n"/>
      <c r="FM21" s="129" t="n"/>
    </row>
    <row r="22" s="135">
      <c r="A22" s="92" t="n">
        <v>33358</v>
      </c>
      <c r="B22" s="93" t="n">
        <v>0.109</v>
      </c>
      <c r="C22" s="79" t="n"/>
      <c r="D22" s="129" t="n"/>
      <c r="E22" s="129" t="n"/>
      <c r="F22" s="129" t="n"/>
      <c r="G22" s="129" t="n"/>
      <c r="H22" s="129" t="n"/>
      <c r="I22" s="129" t="n"/>
      <c r="J22" s="129" t="n"/>
      <c r="K22" s="129" t="n"/>
      <c r="L22" s="129" t="n"/>
      <c r="M22" s="129" t="n"/>
      <c r="N22" s="129" t="n"/>
      <c r="O22" s="129" t="n"/>
      <c r="P22" s="129" t="n"/>
      <c r="Q22" s="129" t="n"/>
      <c r="R22" s="129" t="n"/>
      <c r="S22" s="129" t="n"/>
      <c r="T22" s="129" t="n"/>
      <c r="U22" s="129" t="n"/>
      <c r="V22" s="129" t="n"/>
      <c r="W22" s="129" t="n"/>
      <c r="X22" s="129" t="n"/>
      <c r="Y22" s="129" t="n"/>
      <c r="Z22" s="129" t="n"/>
      <c r="AA22" s="129" t="n"/>
      <c r="AB22" s="129" t="n"/>
      <c r="AC22" s="129" t="n"/>
      <c r="AD22" s="129" t="n"/>
      <c r="AE22" s="129" t="n"/>
      <c r="AF22" s="129" t="n"/>
      <c r="AG22" s="129" t="n"/>
      <c r="AH22" s="129" t="n"/>
      <c r="AI22" s="129" t="n"/>
      <c r="AJ22" s="129" t="n"/>
      <c r="AK22" s="129" t="n"/>
      <c r="AL22" s="129" t="n"/>
      <c r="AM22" s="129" t="n"/>
      <c r="AN22" s="129" t="n"/>
      <c r="AO22" s="129" t="n"/>
      <c r="AP22" s="129" t="n"/>
      <c r="AQ22" s="129" t="n"/>
      <c r="AR22" s="129" t="n"/>
      <c r="AS22" s="129" t="n"/>
      <c r="AT22" s="129" t="n"/>
      <c r="AU22" s="129" t="n"/>
      <c r="AV22" s="129" t="n"/>
      <c r="AW22" s="129" t="n"/>
      <c r="AX22" s="129" t="n"/>
      <c r="AY22" s="129" t="n"/>
      <c r="AZ22" s="129" t="n"/>
      <c r="BA22" s="129" t="n"/>
      <c r="BB22" s="129" t="n"/>
      <c r="BC22" s="129" t="n"/>
      <c r="BD22" s="129" t="n"/>
      <c r="BE22" s="129" t="n"/>
      <c r="BF22" s="129" t="n"/>
      <c r="BG22" s="129" t="n"/>
      <c r="BH22" s="129" t="n"/>
      <c r="BI22" s="129" t="n"/>
      <c r="BJ22" s="129" t="n"/>
      <c r="BK22" s="129" t="n"/>
      <c r="BL22" s="129" t="n"/>
      <c r="BM22" s="129" t="n"/>
      <c r="BN22" s="129" t="n"/>
      <c r="BO22" s="129" t="n"/>
      <c r="BP22" s="129" t="n"/>
      <c r="BQ22" s="129" t="n"/>
      <c r="BR22" s="129" t="n"/>
      <c r="BS22" s="129" t="n"/>
      <c r="BT22" s="129" t="n"/>
      <c r="BU22" s="129" t="n"/>
      <c r="BV22" s="129" t="n"/>
      <c r="BW22" s="129" t="n"/>
      <c r="BX22" s="129" t="n"/>
      <c r="BY22" s="129" t="n"/>
      <c r="BZ22" s="129" t="n"/>
      <c r="CA22" s="129" t="n"/>
      <c r="CB22" s="129" t="n"/>
      <c r="CC22" s="129" t="n"/>
      <c r="CD22" s="129" t="n"/>
      <c r="CE22" s="129" t="n"/>
      <c r="CF22" s="129" t="n"/>
      <c r="CG22" s="129" t="n"/>
      <c r="CH22" s="129" t="n"/>
      <c r="CI22" s="129" t="n"/>
      <c r="CJ22" s="129" t="n"/>
      <c r="CK22" s="129" t="n"/>
      <c r="CL22" s="129" t="n"/>
      <c r="CM22" s="129" t="n"/>
      <c r="CN22" s="129" t="n"/>
      <c r="CO22" s="129" t="n"/>
      <c r="CP22" s="129" t="n"/>
      <c r="CQ22" s="129" t="n"/>
      <c r="CR22" s="129" t="n"/>
      <c r="CS22" s="129" t="n"/>
      <c r="CT22" s="129" t="n"/>
      <c r="CU22" s="129" t="n"/>
      <c r="CV22" s="129" t="n"/>
      <c r="CW22" s="129" t="n"/>
      <c r="CX22" s="129" t="n"/>
      <c r="CY22" s="129" t="n"/>
      <c r="CZ22" s="129" t="n"/>
      <c r="DA22" s="129" t="n"/>
      <c r="DB22" s="129" t="n"/>
      <c r="DC22" s="129" t="n"/>
      <c r="DD22" s="129" t="n"/>
      <c r="DE22" s="129" t="n"/>
      <c r="DF22" s="129" t="n"/>
      <c r="DG22" s="129" t="n"/>
      <c r="DH22" s="129" t="n"/>
      <c r="DI22" s="129" t="n"/>
      <c r="DJ22" s="129" t="n"/>
      <c r="DK22" s="129" t="n"/>
      <c r="DL22" s="129" t="n"/>
      <c r="DM22" s="129" t="n"/>
      <c r="DN22" s="129" t="n"/>
      <c r="DO22" s="129" t="n"/>
      <c r="DP22" s="129" t="n"/>
      <c r="DQ22" s="129" t="n"/>
      <c r="DR22" s="129" t="n"/>
      <c r="DS22" s="129" t="n"/>
      <c r="DT22" s="129" t="n"/>
      <c r="DU22" s="129" t="n"/>
      <c r="DV22" s="129" t="n"/>
      <c r="DW22" s="129" t="n"/>
      <c r="DX22" s="129" t="n"/>
      <c r="DY22" s="129" t="n"/>
      <c r="DZ22" s="129" t="n"/>
      <c r="EA22" s="129" t="n"/>
      <c r="EB22" s="129" t="n"/>
      <c r="EC22" s="129" t="n"/>
      <c r="ED22" s="129" t="n"/>
      <c r="EE22" s="129" t="n"/>
      <c r="EF22" s="129" t="n"/>
      <c r="EG22" s="129" t="n"/>
      <c r="EH22" s="129" t="n"/>
      <c r="EI22" s="129" t="n"/>
      <c r="EJ22" s="129" t="n"/>
      <c r="EK22" s="129" t="n"/>
      <c r="EL22" s="129" t="n"/>
      <c r="EM22" s="129" t="n"/>
      <c r="EN22" s="129" t="n"/>
      <c r="EO22" s="129" t="n"/>
      <c r="EP22" s="129" t="n"/>
      <c r="EQ22" s="129" t="n"/>
      <c r="ER22" s="129" t="n"/>
      <c r="ES22" s="129" t="n"/>
      <c r="ET22" s="129" t="n"/>
      <c r="EU22" s="129" t="n"/>
      <c r="EV22" s="129" t="n"/>
      <c r="EW22" s="129" t="n"/>
      <c r="EX22" s="129" t="n"/>
      <c r="EY22" s="129" t="n"/>
      <c r="EZ22" s="129" t="n"/>
      <c r="FA22" s="129" t="n"/>
      <c r="FB22" s="129" t="n"/>
      <c r="FC22" s="129" t="n"/>
      <c r="FD22" s="129" t="n"/>
      <c r="FE22" s="129" t="n"/>
      <c r="FF22" s="129" t="n"/>
      <c r="FG22" s="129" t="n"/>
      <c r="FH22" s="129" t="n"/>
      <c r="FI22" s="129" t="n"/>
      <c r="FJ22" s="129" t="n"/>
      <c r="FK22" s="129" t="n"/>
      <c r="FL22" s="129" t="n"/>
      <c r="FM22" s="129" t="n"/>
    </row>
    <row r="23" s="135">
      <c r="A23" s="90" t="n">
        <v>33389</v>
      </c>
      <c r="B23" s="91" t="n">
        <v>0.109</v>
      </c>
      <c r="C23" s="79" t="n"/>
      <c r="D23" s="129" t="n"/>
      <c r="E23" s="129" t="n"/>
      <c r="F23" s="129" t="n"/>
      <c r="G23" s="129" t="n"/>
      <c r="H23" s="129" t="n"/>
      <c r="I23" s="129" t="n"/>
      <c r="J23" s="129" t="n"/>
      <c r="K23" s="129" t="n"/>
      <c r="L23" s="129" t="n"/>
      <c r="M23" s="129" t="n"/>
      <c r="N23" s="129" t="n"/>
      <c r="O23" s="129" t="n"/>
      <c r="P23" s="129" t="n"/>
      <c r="Q23" s="129" t="n"/>
      <c r="R23" s="129" t="n"/>
      <c r="S23" s="129" t="n"/>
      <c r="T23" s="129" t="n"/>
      <c r="U23" s="129" t="n"/>
      <c r="V23" s="129" t="n"/>
      <c r="W23" s="129" t="n"/>
      <c r="X23" s="129" t="n"/>
      <c r="Y23" s="129" t="n"/>
      <c r="Z23" s="129" t="n"/>
      <c r="AA23" s="129" t="n"/>
      <c r="AB23" s="129" t="n"/>
      <c r="AC23" s="129" t="n"/>
      <c r="AD23" s="129" t="n"/>
      <c r="AE23" s="129" t="n"/>
      <c r="AF23" s="129" t="n"/>
      <c r="AG23" s="129" t="n"/>
      <c r="AH23" s="129" t="n"/>
      <c r="AI23" s="129" t="n"/>
      <c r="AJ23" s="129" t="n"/>
      <c r="AK23" s="129" t="n"/>
      <c r="AL23" s="129" t="n"/>
      <c r="AM23" s="129" t="n"/>
      <c r="AN23" s="129" t="n"/>
      <c r="AO23" s="129" t="n"/>
      <c r="AP23" s="129" t="n"/>
      <c r="AQ23" s="129" t="n"/>
      <c r="AR23" s="129" t="n"/>
      <c r="AS23" s="129" t="n"/>
      <c r="AT23" s="129" t="n"/>
      <c r="AU23" s="129" t="n"/>
      <c r="AV23" s="129" t="n"/>
      <c r="AW23" s="129" t="n"/>
      <c r="AX23" s="129" t="n"/>
      <c r="AY23" s="129" t="n"/>
      <c r="AZ23" s="129" t="n"/>
      <c r="BA23" s="129" t="n"/>
      <c r="BB23" s="129" t="n"/>
      <c r="BC23" s="129" t="n"/>
      <c r="BD23" s="129" t="n"/>
      <c r="BE23" s="129" t="n"/>
      <c r="BF23" s="129" t="n"/>
      <c r="BG23" s="129" t="n"/>
      <c r="BH23" s="129" t="n"/>
      <c r="BI23" s="129" t="n"/>
      <c r="BJ23" s="129" t="n"/>
      <c r="BK23" s="129" t="n"/>
      <c r="BL23" s="129" t="n"/>
      <c r="BM23" s="129" t="n"/>
      <c r="BN23" s="129" t="n"/>
      <c r="BO23" s="129" t="n"/>
      <c r="BP23" s="129" t="n"/>
      <c r="BQ23" s="129" t="n"/>
      <c r="BR23" s="129" t="n"/>
      <c r="BS23" s="129" t="n"/>
      <c r="BT23" s="129" t="n"/>
      <c r="BU23" s="129" t="n"/>
      <c r="BV23" s="129" t="n"/>
      <c r="BW23" s="129" t="n"/>
      <c r="BX23" s="129" t="n"/>
      <c r="BY23" s="129" t="n"/>
      <c r="BZ23" s="129" t="n"/>
      <c r="CA23" s="129" t="n"/>
      <c r="CB23" s="129" t="n"/>
      <c r="CC23" s="129" t="n"/>
      <c r="CD23" s="129" t="n"/>
      <c r="CE23" s="129" t="n"/>
      <c r="CF23" s="129" t="n"/>
      <c r="CG23" s="129" t="n"/>
      <c r="CH23" s="129" t="n"/>
      <c r="CI23" s="129" t="n"/>
      <c r="CJ23" s="129" t="n"/>
      <c r="CK23" s="129" t="n"/>
      <c r="CL23" s="129" t="n"/>
      <c r="CM23" s="129" t="n"/>
      <c r="CN23" s="129" t="n"/>
      <c r="CO23" s="129" t="n"/>
      <c r="CP23" s="129" t="n"/>
      <c r="CQ23" s="129" t="n"/>
      <c r="CR23" s="129" t="n"/>
      <c r="CS23" s="129" t="n"/>
      <c r="CT23" s="129" t="n"/>
      <c r="CU23" s="129" t="n"/>
      <c r="CV23" s="129" t="n"/>
      <c r="CW23" s="129" t="n"/>
      <c r="CX23" s="129" t="n"/>
      <c r="CY23" s="129" t="n"/>
      <c r="CZ23" s="129" t="n"/>
      <c r="DA23" s="129" t="n"/>
      <c r="DB23" s="129" t="n"/>
      <c r="DC23" s="129" t="n"/>
      <c r="DD23" s="129" t="n"/>
      <c r="DE23" s="129" t="n"/>
      <c r="DF23" s="129" t="n"/>
      <c r="DG23" s="129" t="n"/>
      <c r="DH23" s="129" t="n"/>
      <c r="DI23" s="129" t="n"/>
      <c r="DJ23" s="129" t="n"/>
      <c r="DK23" s="129" t="n"/>
      <c r="DL23" s="129" t="n"/>
      <c r="DM23" s="129" t="n"/>
      <c r="DN23" s="129" t="n"/>
      <c r="DO23" s="129" t="n"/>
      <c r="DP23" s="129" t="n"/>
      <c r="DQ23" s="129" t="n"/>
      <c r="DR23" s="129" t="n"/>
      <c r="DS23" s="129" t="n"/>
      <c r="DT23" s="129" t="n"/>
      <c r="DU23" s="129" t="n"/>
      <c r="DV23" s="129" t="n"/>
      <c r="DW23" s="129" t="n"/>
      <c r="DX23" s="129" t="n"/>
      <c r="DY23" s="129" t="n"/>
      <c r="DZ23" s="129" t="n"/>
      <c r="EA23" s="129" t="n"/>
      <c r="EB23" s="129" t="n"/>
      <c r="EC23" s="129" t="n"/>
      <c r="ED23" s="129" t="n"/>
      <c r="EE23" s="129" t="n"/>
      <c r="EF23" s="129" t="n"/>
      <c r="EG23" s="129" t="n"/>
      <c r="EH23" s="129" t="n"/>
      <c r="EI23" s="129" t="n"/>
      <c r="EJ23" s="129" t="n"/>
      <c r="EK23" s="129" t="n"/>
      <c r="EL23" s="129" t="n"/>
      <c r="EM23" s="129" t="n"/>
      <c r="EN23" s="129" t="n"/>
      <c r="EO23" s="129" t="n"/>
      <c r="EP23" s="129" t="n"/>
      <c r="EQ23" s="129" t="n"/>
      <c r="ER23" s="129" t="n"/>
      <c r="ES23" s="129" t="n"/>
      <c r="ET23" s="129" t="n"/>
      <c r="EU23" s="129" t="n"/>
      <c r="EV23" s="129" t="n"/>
      <c r="EW23" s="129" t="n"/>
      <c r="EX23" s="129" t="n"/>
      <c r="EY23" s="129" t="n"/>
      <c r="EZ23" s="129" t="n"/>
      <c r="FA23" s="129" t="n"/>
      <c r="FB23" s="129" t="n"/>
      <c r="FC23" s="129" t="n"/>
      <c r="FD23" s="129" t="n"/>
      <c r="FE23" s="129" t="n"/>
      <c r="FF23" s="129" t="n"/>
      <c r="FG23" s="129" t="n"/>
      <c r="FH23" s="129" t="n"/>
      <c r="FI23" s="129" t="n"/>
      <c r="FJ23" s="129" t="n"/>
      <c r="FK23" s="129" t="n"/>
      <c r="FL23" s="129" t="n"/>
      <c r="FM23" s="129" t="n"/>
    </row>
    <row r="24" s="135">
      <c r="A24" s="92" t="n">
        <v>33419</v>
      </c>
      <c r="B24" s="93" t="n">
        <v>0.092</v>
      </c>
      <c r="C24" s="79" t="n"/>
      <c r="D24" s="129" t="n"/>
      <c r="E24" s="129" t="n"/>
      <c r="F24" s="129" t="n"/>
      <c r="G24" s="129" t="n"/>
      <c r="H24" s="129" t="n"/>
      <c r="I24" s="129" t="n"/>
      <c r="J24" s="129" t="n"/>
      <c r="K24" s="129" t="n"/>
      <c r="L24" s="129" t="n"/>
      <c r="M24" s="129" t="n"/>
      <c r="N24" s="129" t="n"/>
      <c r="O24" s="129" t="n"/>
      <c r="P24" s="129" t="n"/>
      <c r="Q24" s="129" t="n"/>
      <c r="R24" s="129" t="n"/>
      <c r="S24" s="129" t="n"/>
      <c r="T24" s="129" t="n"/>
      <c r="U24" s="129" t="n"/>
      <c r="V24" s="129" t="n"/>
      <c r="W24" s="129" t="n"/>
      <c r="X24" s="129" t="n"/>
      <c r="Y24" s="129" t="n"/>
      <c r="Z24" s="129" t="n"/>
      <c r="AA24" s="129" t="n"/>
      <c r="AB24" s="129" t="n"/>
      <c r="AC24" s="129" t="n"/>
      <c r="AD24" s="129" t="n"/>
      <c r="AE24" s="129" t="n"/>
      <c r="AF24" s="129" t="n"/>
      <c r="AG24" s="129" t="n"/>
      <c r="AH24" s="129" t="n"/>
      <c r="AI24" s="129" t="n"/>
      <c r="AJ24" s="129" t="n"/>
      <c r="AK24" s="129" t="n"/>
      <c r="AL24" s="129" t="n"/>
      <c r="AM24" s="129" t="n"/>
      <c r="AN24" s="129" t="n"/>
      <c r="AO24" s="129" t="n"/>
      <c r="AP24" s="129" t="n"/>
      <c r="AQ24" s="129" t="n"/>
      <c r="AR24" s="129" t="n"/>
      <c r="AS24" s="129" t="n"/>
      <c r="AT24" s="129" t="n"/>
      <c r="AU24" s="129" t="n"/>
      <c r="AV24" s="129" t="n"/>
      <c r="AW24" s="129" t="n"/>
      <c r="AX24" s="129" t="n"/>
      <c r="AY24" s="129" t="n"/>
      <c r="AZ24" s="129" t="n"/>
      <c r="BA24" s="129" t="n"/>
      <c r="BB24" s="129" t="n"/>
      <c r="BC24" s="129" t="n"/>
      <c r="BD24" s="129" t="n"/>
      <c r="BE24" s="129" t="n"/>
      <c r="BF24" s="129" t="n"/>
      <c r="BG24" s="129" t="n"/>
      <c r="BH24" s="129" t="n"/>
      <c r="BI24" s="129" t="n"/>
      <c r="BJ24" s="129" t="n"/>
      <c r="BK24" s="129" t="n"/>
      <c r="BL24" s="129" t="n"/>
      <c r="BM24" s="129" t="n"/>
      <c r="BN24" s="129" t="n"/>
      <c r="BO24" s="129" t="n"/>
      <c r="BP24" s="129" t="n"/>
      <c r="BQ24" s="129" t="n"/>
      <c r="BR24" s="129" t="n"/>
      <c r="BS24" s="129" t="n"/>
      <c r="BT24" s="129" t="n"/>
      <c r="BU24" s="129" t="n"/>
      <c r="BV24" s="129" t="n"/>
      <c r="BW24" s="129" t="n"/>
      <c r="BX24" s="129" t="n"/>
      <c r="BY24" s="129" t="n"/>
      <c r="BZ24" s="129" t="n"/>
      <c r="CA24" s="129" t="n"/>
      <c r="CB24" s="129" t="n"/>
      <c r="CC24" s="129" t="n"/>
      <c r="CD24" s="129" t="n"/>
      <c r="CE24" s="129" t="n"/>
      <c r="CF24" s="129" t="n"/>
      <c r="CG24" s="129" t="n"/>
      <c r="CH24" s="129" t="n"/>
      <c r="CI24" s="129" t="n"/>
      <c r="CJ24" s="129" t="n"/>
      <c r="CK24" s="129" t="n"/>
      <c r="CL24" s="129" t="n"/>
      <c r="CM24" s="129" t="n"/>
      <c r="CN24" s="129" t="n"/>
      <c r="CO24" s="129" t="n"/>
      <c r="CP24" s="129" t="n"/>
      <c r="CQ24" s="129" t="n"/>
      <c r="CR24" s="129" t="n"/>
      <c r="CS24" s="129" t="n"/>
      <c r="CT24" s="129" t="n"/>
      <c r="CU24" s="129" t="n"/>
      <c r="CV24" s="129" t="n"/>
      <c r="CW24" s="129" t="n"/>
      <c r="CX24" s="129" t="n"/>
      <c r="CY24" s="129" t="n"/>
      <c r="CZ24" s="129" t="n"/>
      <c r="DA24" s="129" t="n"/>
      <c r="DB24" s="129" t="n"/>
      <c r="DC24" s="129" t="n"/>
      <c r="DD24" s="129" t="n"/>
      <c r="DE24" s="129" t="n"/>
      <c r="DF24" s="129" t="n"/>
      <c r="DG24" s="129" t="n"/>
      <c r="DH24" s="129" t="n"/>
      <c r="DI24" s="129" t="n"/>
      <c r="DJ24" s="129" t="n"/>
      <c r="DK24" s="129" t="n"/>
      <c r="DL24" s="129" t="n"/>
      <c r="DM24" s="129" t="n"/>
      <c r="DN24" s="129" t="n"/>
      <c r="DO24" s="129" t="n"/>
      <c r="DP24" s="129" t="n"/>
      <c r="DQ24" s="129" t="n"/>
      <c r="DR24" s="129" t="n"/>
      <c r="DS24" s="129" t="n"/>
      <c r="DT24" s="129" t="n"/>
      <c r="DU24" s="129" t="n"/>
      <c r="DV24" s="129" t="n"/>
      <c r="DW24" s="129" t="n"/>
      <c r="DX24" s="129" t="n"/>
      <c r="DY24" s="129" t="n"/>
      <c r="DZ24" s="129" t="n"/>
      <c r="EA24" s="129" t="n"/>
      <c r="EB24" s="129" t="n"/>
      <c r="EC24" s="129" t="n"/>
      <c r="ED24" s="129" t="n"/>
      <c r="EE24" s="129" t="n"/>
      <c r="EF24" s="129" t="n"/>
      <c r="EG24" s="129" t="n"/>
      <c r="EH24" s="129" t="n"/>
      <c r="EI24" s="129" t="n"/>
      <c r="EJ24" s="129" t="n"/>
      <c r="EK24" s="129" t="n"/>
      <c r="EL24" s="129" t="n"/>
      <c r="EM24" s="129" t="n"/>
      <c r="EN24" s="129" t="n"/>
      <c r="EO24" s="129" t="n"/>
      <c r="EP24" s="129" t="n"/>
      <c r="EQ24" s="129" t="n"/>
      <c r="ER24" s="129" t="n"/>
      <c r="ES24" s="129" t="n"/>
      <c r="ET24" s="129" t="n"/>
      <c r="EU24" s="129" t="n"/>
      <c r="EV24" s="129" t="n"/>
      <c r="EW24" s="129" t="n"/>
      <c r="EX24" s="129" t="n"/>
      <c r="EY24" s="129" t="n"/>
      <c r="EZ24" s="129" t="n"/>
      <c r="FA24" s="129" t="n"/>
      <c r="FB24" s="129" t="n"/>
      <c r="FC24" s="129" t="n"/>
      <c r="FD24" s="129" t="n"/>
      <c r="FE24" s="129" t="n"/>
      <c r="FF24" s="129" t="n"/>
      <c r="FG24" s="129" t="n"/>
      <c r="FH24" s="129" t="n"/>
      <c r="FI24" s="129" t="n"/>
      <c r="FJ24" s="129" t="n"/>
      <c r="FK24" s="129" t="n"/>
      <c r="FL24" s="129" t="n"/>
      <c r="FM24" s="129" t="n"/>
    </row>
    <row r="25" s="135">
      <c r="A25" s="90" t="n">
        <v>33450</v>
      </c>
      <c r="B25" s="91" t="n">
        <v>0.109</v>
      </c>
      <c r="C25" s="79" t="n"/>
      <c r="D25" s="129" t="n"/>
      <c r="E25" s="129" t="n"/>
      <c r="F25" s="129" t="n"/>
      <c r="G25" s="129" t="n"/>
      <c r="H25" s="129" t="n"/>
      <c r="I25" s="129" t="n"/>
      <c r="J25" s="129" t="n"/>
      <c r="K25" s="129" t="n"/>
      <c r="L25" s="129" t="n"/>
      <c r="M25" s="129" t="n"/>
      <c r="N25" s="129" t="n"/>
      <c r="O25" s="129" t="n"/>
      <c r="P25" s="129" t="n"/>
      <c r="Q25" s="129" t="n"/>
      <c r="R25" s="129" t="n"/>
      <c r="S25" s="129" t="n"/>
      <c r="T25" s="129" t="n"/>
      <c r="U25" s="129" t="n"/>
      <c r="V25" s="129" t="n"/>
      <c r="W25" s="129" t="n"/>
      <c r="X25" s="129" t="n"/>
      <c r="Y25" s="129" t="n"/>
      <c r="Z25" s="129" t="n"/>
      <c r="AA25" s="129" t="n"/>
      <c r="AB25" s="129" t="n"/>
      <c r="AC25" s="129" t="n"/>
      <c r="AD25" s="129" t="n"/>
      <c r="AE25" s="129" t="n"/>
      <c r="AF25" s="129" t="n"/>
      <c r="AG25" s="129" t="n"/>
      <c r="AH25" s="129" t="n"/>
      <c r="AI25" s="129" t="n"/>
      <c r="AJ25" s="129" t="n"/>
      <c r="AK25" s="129" t="n"/>
      <c r="AL25" s="129" t="n"/>
      <c r="AM25" s="129" t="n"/>
      <c r="AN25" s="129" t="n"/>
      <c r="AO25" s="129" t="n"/>
      <c r="AP25" s="129" t="n"/>
      <c r="AQ25" s="129" t="n"/>
      <c r="AR25" s="129" t="n"/>
      <c r="AS25" s="129" t="n"/>
      <c r="AT25" s="129" t="n"/>
      <c r="AU25" s="129" t="n"/>
      <c r="AV25" s="129" t="n"/>
      <c r="AW25" s="129" t="n"/>
      <c r="AX25" s="129" t="n"/>
      <c r="AY25" s="129" t="n"/>
      <c r="AZ25" s="129" t="n"/>
      <c r="BA25" s="129" t="n"/>
      <c r="BB25" s="129" t="n"/>
      <c r="BC25" s="129" t="n"/>
      <c r="BD25" s="129" t="n"/>
      <c r="BE25" s="129" t="n"/>
      <c r="BF25" s="129" t="n"/>
      <c r="BG25" s="129" t="n"/>
      <c r="BH25" s="129" t="n"/>
      <c r="BI25" s="129" t="n"/>
      <c r="BJ25" s="129" t="n"/>
      <c r="BK25" s="129" t="n"/>
      <c r="BL25" s="129" t="n"/>
      <c r="BM25" s="129" t="n"/>
      <c r="BN25" s="129" t="n"/>
      <c r="BO25" s="129" t="n"/>
      <c r="BP25" s="129" t="n"/>
      <c r="BQ25" s="129" t="n"/>
      <c r="BR25" s="129" t="n"/>
      <c r="BS25" s="129" t="n"/>
      <c r="BT25" s="129" t="n"/>
      <c r="BU25" s="129" t="n"/>
      <c r="BV25" s="129" t="n"/>
      <c r="BW25" s="129" t="n"/>
      <c r="BX25" s="129" t="n"/>
      <c r="BY25" s="129" t="n"/>
      <c r="BZ25" s="129" t="n"/>
      <c r="CA25" s="129" t="n"/>
      <c r="CB25" s="129" t="n"/>
      <c r="CC25" s="129" t="n"/>
      <c r="CD25" s="129" t="n"/>
      <c r="CE25" s="129" t="n"/>
      <c r="CF25" s="129" t="n"/>
      <c r="CG25" s="129" t="n"/>
      <c r="CH25" s="129" t="n"/>
      <c r="CI25" s="129" t="n"/>
      <c r="CJ25" s="129" t="n"/>
      <c r="CK25" s="129" t="n"/>
      <c r="CL25" s="129" t="n"/>
      <c r="CM25" s="129" t="n"/>
      <c r="CN25" s="129" t="n"/>
      <c r="CO25" s="129" t="n"/>
      <c r="CP25" s="129" t="n"/>
      <c r="CQ25" s="129" t="n"/>
      <c r="CR25" s="129" t="n"/>
      <c r="CS25" s="129" t="n"/>
      <c r="CT25" s="129" t="n"/>
      <c r="CU25" s="129" t="n"/>
      <c r="CV25" s="129" t="n"/>
      <c r="CW25" s="129" t="n"/>
      <c r="CX25" s="129" t="n"/>
      <c r="CY25" s="129" t="n"/>
      <c r="CZ25" s="129" t="n"/>
      <c r="DA25" s="129" t="n"/>
      <c r="DB25" s="129" t="n"/>
      <c r="DC25" s="129" t="n"/>
      <c r="DD25" s="129" t="n"/>
      <c r="DE25" s="129" t="n"/>
      <c r="DF25" s="129" t="n"/>
      <c r="DG25" s="129" t="n"/>
      <c r="DH25" s="129" t="n"/>
      <c r="DI25" s="129" t="n"/>
      <c r="DJ25" s="129" t="n"/>
      <c r="DK25" s="129" t="n"/>
      <c r="DL25" s="129" t="n"/>
      <c r="DM25" s="129" t="n"/>
      <c r="DN25" s="129" t="n"/>
      <c r="DO25" s="129" t="n"/>
      <c r="DP25" s="129" t="n"/>
      <c r="DQ25" s="129" t="n"/>
      <c r="DR25" s="129" t="n"/>
      <c r="DS25" s="129" t="n"/>
      <c r="DT25" s="129" t="n"/>
      <c r="DU25" s="129" t="n"/>
      <c r="DV25" s="129" t="n"/>
      <c r="DW25" s="129" t="n"/>
      <c r="DX25" s="129" t="n"/>
      <c r="DY25" s="129" t="n"/>
      <c r="DZ25" s="129" t="n"/>
      <c r="EA25" s="129" t="n"/>
      <c r="EB25" s="129" t="n"/>
      <c r="EC25" s="129" t="n"/>
      <c r="ED25" s="129" t="n"/>
      <c r="EE25" s="129" t="n"/>
      <c r="EF25" s="129" t="n"/>
      <c r="EG25" s="129" t="n"/>
      <c r="EH25" s="129" t="n"/>
      <c r="EI25" s="129" t="n"/>
      <c r="EJ25" s="129" t="n"/>
      <c r="EK25" s="129" t="n"/>
      <c r="EL25" s="129" t="n"/>
      <c r="EM25" s="129" t="n"/>
      <c r="EN25" s="129" t="n"/>
      <c r="EO25" s="129" t="n"/>
      <c r="EP25" s="129" t="n"/>
      <c r="EQ25" s="129" t="n"/>
      <c r="ER25" s="129" t="n"/>
      <c r="ES25" s="129" t="n"/>
      <c r="ET25" s="129" t="n"/>
      <c r="EU25" s="129" t="n"/>
      <c r="EV25" s="129" t="n"/>
      <c r="EW25" s="129" t="n"/>
      <c r="EX25" s="129" t="n"/>
      <c r="EY25" s="129" t="n"/>
      <c r="EZ25" s="129" t="n"/>
      <c r="FA25" s="129" t="n"/>
      <c r="FB25" s="129" t="n"/>
      <c r="FC25" s="129" t="n"/>
      <c r="FD25" s="129" t="n"/>
      <c r="FE25" s="129" t="n"/>
      <c r="FF25" s="129" t="n"/>
      <c r="FG25" s="129" t="n"/>
      <c r="FH25" s="129" t="n"/>
      <c r="FI25" s="129" t="n"/>
      <c r="FJ25" s="129" t="n"/>
      <c r="FK25" s="129" t="n"/>
      <c r="FL25" s="129" t="n"/>
      <c r="FM25" s="129" t="n"/>
    </row>
    <row r="26" s="135">
      <c r="A26" s="92" t="n">
        <v>33481</v>
      </c>
      <c r="B26" s="93" t="n">
        <v>0.118</v>
      </c>
      <c r="C26" s="79" t="n"/>
      <c r="D26" s="129" t="n"/>
      <c r="E26" s="129" t="n"/>
      <c r="F26" s="129" t="n"/>
      <c r="G26" s="129" t="n"/>
      <c r="H26" s="129" t="n"/>
      <c r="I26" s="129" t="n"/>
      <c r="J26" s="129" t="n"/>
      <c r="K26" s="129" t="n"/>
      <c r="L26" s="129" t="n"/>
      <c r="M26" s="129" t="n"/>
      <c r="N26" s="129" t="n"/>
      <c r="O26" s="129" t="n"/>
      <c r="P26" s="129" t="n"/>
      <c r="Q26" s="129" t="n"/>
      <c r="R26" s="129" t="n"/>
      <c r="S26" s="129" t="n"/>
      <c r="T26" s="129" t="n"/>
      <c r="U26" s="129" t="n"/>
      <c r="V26" s="129" t="n"/>
      <c r="W26" s="129" t="n"/>
      <c r="X26" s="129" t="n"/>
      <c r="Y26" s="129" t="n"/>
      <c r="Z26" s="129" t="n"/>
      <c r="AA26" s="129" t="n"/>
      <c r="AB26" s="129" t="n"/>
      <c r="AC26" s="129" t="n"/>
      <c r="AD26" s="129" t="n"/>
      <c r="AE26" s="129" t="n"/>
      <c r="AF26" s="129" t="n"/>
      <c r="AG26" s="129" t="n"/>
      <c r="AH26" s="129" t="n"/>
      <c r="AI26" s="129" t="n"/>
      <c r="AJ26" s="129" t="n"/>
      <c r="AK26" s="129" t="n"/>
      <c r="AL26" s="129" t="n"/>
      <c r="AM26" s="129" t="n"/>
      <c r="AN26" s="129" t="n"/>
      <c r="AO26" s="129" t="n"/>
      <c r="AP26" s="129" t="n"/>
      <c r="AQ26" s="129" t="n"/>
      <c r="AR26" s="129" t="n"/>
      <c r="AS26" s="129" t="n"/>
      <c r="AT26" s="129" t="n"/>
      <c r="AU26" s="129" t="n"/>
      <c r="AV26" s="129" t="n"/>
      <c r="AW26" s="129" t="n"/>
      <c r="AX26" s="129" t="n"/>
      <c r="AY26" s="129" t="n"/>
      <c r="AZ26" s="129" t="n"/>
      <c r="BA26" s="129" t="n"/>
      <c r="BB26" s="129" t="n"/>
      <c r="BC26" s="129" t="n"/>
      <c r="BD26" s="129" t="n"/>
      <c r="BE26" s="129" t="n"/>
      <c r="BF26" s="129" t="n"/>
      <c r="BG26" s="129" t="n"/>
      <c r="BH26" s="129" t="n"/>
      <c r="BI26" s="129" t="n"/>
      <c r="BJ26" s="129" t="n"/>
      <c r="BK26" s="129" t="n"/>
      <c r="BL26" s="129" t="n"/>
      <c r="BM26" s="129" t="n"/>
      <c r="BN26" s="129" t="n"/>
      <c r="BO26" s="129" t="n"/>
      <c r="BP26" s="129" t="n"/>
      <c r="BQ26" s="129" t="n"/>
      <c r="BR26" s="129" t="n"/>
      <c r="BS26" s="129" t="n"/>
      <c r="BT26" s="129" t="n"/>
      <c r="BU26" s="129" t="n"/>
      <c r="BV26" s="129" t="n"/>
      <c r="BW26" s="129" t="n"/>
      <c r="BX26" s="129" t="n"/>
      <c r="BY26" s="129" t="n"/>
      <c r="BZ26" s="129" t="n"/>
      <c r="CA26" s="129" t="n"/>
      <c r="CB26" s="129" t="n"/>
      <c r="CC26" s="129" t="n"/>
      <c r="CD26" s="129" t="n"/>
      <c r="CE26" s="129" t="n"/>
      <c r="CF26" s="129" t="n"/>
      <c r="CG26" s="129" t="n"/>
      <c r="CH26" s="129" t="n"/>
      <c r="CI26" s="129" t="n"/>
      <c r="CJ26" s="129" t="n"/>
      <c r="CK26" s="129" t="n"/>
      <c r="CL26" s="129" t="n"/>
      <c r="CM26" s="129" t="n"/>
      <c r="CN26" s="129" t="n"/>
      <c r="CO26" s="129" t="n"/>
      <c r="CP26" s="129" t="n"/>
      <c r="CQ26" s="129" t="n"/>
      <c r="CR26" s="129" t="n"/>
      <c r="CS26" s="129" t="n"/>
      <c r="CT26" s="129" t="n"/>
      <c r="CU26" s="129" t="n"/>
      <c r="CV26" s="129" t="n"/>
      <c r="CW26" s="129" t="n"/>
      <c r="CX26" s="129" t="n"/>
      <c r="CY26" s="129" t="n"/>
      <c r="CZ26" s="129" t="n"/>
      <c r="DA26" s="129" t="n"/>
      <c r="DB26" s="129" t="n"/>
      <c r="DC26" s="129" t="n"/>
      <c r="DD26" s="129" t="n"/>
      <c r="DE26" s="129" t="n"/>
      <c r="DF26" s="129" t="n"/>
      <c r="DG26" s="129" t="n"/>
      <c r="DH26" s="129" t="n"/>
      <c r="DI26" s="129" t="n"/>
      <c r="DJ26" s="129" t="n"/>
      <c r="DK26" s="129" t="n"/>
      <c r="DL26" s="129" t="n"/>
      <c r="DM26" s="129" t="n"/>
      <c r="DN26" s="129" t="n"/>
      <c r="DO26" s="129" t="n"/>
      <c r="DP26" s="129" t="n"/>
      <c r="DQ26" s="129" t="n"/>
      <c r="DR26" s="129" t="n"/>
      <c r="DS26" s="129" t="n"/>
      <c r="DT26" s="129" t="n"/>
      <c r="DU26" s="129" t="n"/>
      <c r="DV26" s="129" t="n"/>
      <c r="DW26" s="129" t="n"/>
      <c r="DX26" s="129" t="n"/>
      <c r="DY26" s="129" t="n"/>
      <c r="DZ26" s="129" t="n"/>
      <c r="EA26" s="129" t="n"/>
      <c r="EB26" s="129" t="n"/>
      <c r="EC26" s="129" t="n"/>
      <c r="ED26" s="129" t="n"/>
      <c r="EE26" s="129" t="n"/>
      <c r="EF26" s="129" t="n"/>
      <c r="EG26" s="129" t="n"/>
      <c r="EH26" s="129" t="n"/>
      <c r="EI26" s="129" t="n"/>
      <c r="EJ26" s="129" t="n"/>
      <c r="EK26" s="129" t="n"/>
      <c r="EL26" s="129" t="n"/>
      <c r="EM26" s="129" t="n"/>
      <c r="EN26" s="129" t="n"/>
      <c r="EO26" s="129" t="n"/>
      <c r="EP26" s="129" t="n"/>
      <c r="EQ26" s="129" t="n"/>
      <c r="ER26" s="129" t="n"/>
      <c r="ES26" s="129" t="n"/>
      <c r="ET26" s="129" t="n"/>
      <c r="EU26" s="129" t="n"/>
      <c r="EV26" s="129" t="n"/>
      <c r="EW26" s="129" t="n"/>
      <c r="EX26" s="129" t="n"/>
      <c r="EY26" s="129" t="n"/>
      <c r="EZ26" s="129" t="n"/>
      <c r="FA26" s="129" t="n"/>
      <c r="FB26" s="129" t="n"/>
      <c r="FC26" s="129" t="n"/>
      <c r="FD26" s="129" t="n"/>
      <c r="FE26" s="129" t="n"/>
      <c r="FF26" s="129" t="n"/>
      <c r="FG26" s="129" t="n"/>
      <c r="FH26" s="129" t="n"/>
      <c r="FI26" s="129" t="n"/>
      <c r="FJ26" s="129" t="n"/>
      <c r="FK26" s="129" t="n"/>
      <c r="FL26" s="129" t="n"/>
      <c r="FM26" s="129" t="n"/>
    </row>
    <row r="27" s="135">
      <c r="A27" s="90" t="n">
        <v>33511</v>
      </c>
      <c r="B27" s="91" t="n">
        <v>0.126</v>
      </c>
      <c r="C27" s="79" t="n"/>
      <c r="D27" s="129" t="n"/>
      <c r="E27" s="129" t="n"/>
      <c r="F27" s="129" t="n"/>
      <c r="G27" s="129" t="n"/>
      <c r="H27" s="129" t="n"/>
      <c r="I27" s="129" t="n"/>
      <c r="J27" s="129" t="n"/>
      <c r="K27" s="129" t="n"/>
      <c r="L27" s="129" t="n"/>
      <c r="M27" s="129" t="n"/>
      <c r="N27" s="129" t="n"/>
      <c r="O27" s="129" t="n"/>
      <c r="P27" s="129" t="n"/>
      <c r="Q27" s="129" t="n"/>
      <c r="R27" s="129" t="n"/>
      <c r="S27" s="129" t="n"/>
      <c r="T27" s="129" t="n"/>
      <c r="U27" s="129" t="n"/>
      <c r="V27" s="129" t="n"/>
      <c r="W27" s="129" t="n"/>
      <c r="X27" s="129" t="n"/>
      <c r="Y27" s="129" t="n"/>
      <c r="Z27" s="129" t="n"/>
      <c r="AA27" s="129" t="n"/>
      <c r="AB27" s="129" t="n"/>
      <c r="AC27" s="129" t="n"/>
      <c r="AD27" s="129" t="n"/>
      <c r="AE27" s="129" t="n"/>
      <c r="AF27" s="129" t="n"/>
      <c r="AG27" s="129" t="n"/>
      <c r="AH27" s="129" t="n"/>
      <c r="AI27" s="129" t="n"/>
      <c r="AJ27" s="129" t="n"/>
      <c r="AK27" s="129" t="n"/>
      <c r="AL27" s="129" t="n"/>
      <c r="AM27" s="129" t="n"/>
      <c r="AN27" s="129" t="n"/>
      <c r="AO27" s="129" t="n"/>
      <c r="AP27" s="129" t="n"/>
      <c r="AQ27" s="129" t="n"/>
      <c r="AR27" s="129" t="n"/>
      <c r="AS27" s="129" t="n"/>
      <c r="AT27" s="129" t="n"/>
      <c r="AU27" s="129" t="n"/>
      <c r="AV27" s="129" t="n"/>
      <c r="AW27" s="129" t="n"/>
      <c r="AX27" s="129" t="n"/>
      <c r="AY27" s="129" t="n"/>
      <c r="AZ27" s="129" t="n"/>
      <c r="BA27" s="129" t="n"/>
      <c r="BB27" s="129" t="n"/>
      <c r="BC27" s="129" t="n"/>
      <c r="BD27" s="129" t="n"/>
      <c r="BE27" s="129" t="n"/>
      <c r="BF27" s="129" t="n"/>
      <c r="BG27" s="129" t="n"/>
      <c r="BH27" s="129" t="n"/>
      <c r="BI27" s="129" t="n"/>
      <c r="BJ27" s="129" t="n"/>
      <c r="BK27" s="129" t="n"/>
      <c r="BL27" s="129" t="n"/>
      <c r="BM27" s="129" t="n"/>
      <c r="BN27" s="129" t="n"/>
      <c r="BO27" s="129" t="n"/>
      <c r="BP27" s="129" t="n"/>
      <c r="BQ27" s="129" t="n"/>
      <c r="BR27" s="129" t="n"/>
      <c r="BS27" s="129" t="n"/>
      <c r="BT27" s="129" t="n"/>
      <c r="BU27" s="129" t="n"/>
      <c r="BV27" s="129" t="n"/>
      <c r="BW27" s="129" t="n"/>
      <c r="BX27" s="129" t="n"/>
      <c r="BY27" s="129" t="n"/>
      <c r="BZ27" s="129" t="n"/>
      <c r="CA27" s="129" t="n"/>
      <c r="CB27" s="129" t="n"/>
      <c r="CC27" s="129" t="n"/>
      <c r="CD27" s="129" t="n"/>
      <c r="CE27" s="129" t="n"/>
      <c r="CF27" s="129" t="n"/>
      <c r="CG27" s="129" t="n"/>
      <c r="CH27" s="129" t="n"/>
      <c r="CI27" s="129" t="n"/>
      <c r="CJ27" s="129" t="n"/>
      <c r="CK27" s="129" t="n"/>
      <c r="CL27" s="129" t="n"/>
      <c r="CM27" s="129" t="n"/>
      <c r="CN27" s="129" t="n"/>
      <c r="CO27" s="129" t="n"/>
      <c r="CP27" s="129" t="n"/>
      <c r="CQ27" s="129" t="n"/>
      <c r="CR27" s="129" t="n"/>
      <c r="CS27" s="129" t="n"/>
      <c r="CT27" s="129" t="n"/>
      <c r="CU27" s="129" t="n"/>
      <c r="CV27" s="129" t="n"/>
      <c r="CW27" s="129" t="n"/>
      <c r="CX27" s="129" t="n"/>
      <c r="CY27" s="129" t="n"/>
      <c r="CZ27" s="129" t="n"/>
      <c r="DA27" s="129" t="n"/>
      <c r="DB27" s="129" t="n"/>
      <c r="DC27" s="129" t="n"/>
      <c r="DD27" s="129" t="n"/>
      <c r="DE27" s="129" t="n"/>
      <c r="DF27" s="129" t="n"/>
      <c r="DG27" s="129" t="n"/>
      <c r="DH27" s="129" t="n"/>
      <c r="DI27" s="129" t="n"/>
      <c r="DJ27" s="129" t="n"/>
      <c r="DK27" s="129" t="n"/>
      <c r="DL27" s="129" t="n"/>
      <c r="DM27" s="129" t="n"/>
      <c r="DN27" s="129" t="n"/>
      <c r="DO27" s="129" t="n"/>
      <c r="DP27" s="129" t="n"/>
      <c r="DQ27" s="129" t="n"/>
      <c r="DR27" s="129" t="n"/>
      <c r="DS27" s="129" t="n"/>
      <c r="DT27" s="129" t="n"/>
      <c r="DU27" s="129" t="n"/>
      <c r="DV27" s="129" t="n"/>
      <c r="DW27" s="129" t="n"/>
      <c r="DX27" s="129" t="n"/>
      <c r="DY27" s="129" t="n"/>
      <c r="DZ27" s="129" t="n"/>
      <c r="EA27" s="129" t="n"/>
      <c r="EB27" s="129" t="n"/>
      <c r="EC27" s="129" t="n"/>
      <c r="ED27" s="129" t="n"/>
      <c r="EE27" s="129" t="n"/>
      <c r="EF27" s="129" t="n"/>
      <c r="EG27" s="129" t="n"/>
      <c r="EH27" s="129" t="n"/>
      <c r="EI27" s="129" t="n"/>
      <c r="EJ27" s="129" t="n"/>
      <c r="EK27" s="129" t="n"/>
      <c r="EL27" s="129" t="n"/>
      <c r="EM27" s="129" t="n"/>
      <c r="EN27" s="129" t="n"/>
      <c r="EO27" s="129" t="n"/>
      <c r="EP27" s="129" t="n"/>
      <c r="EQ27" s="129" t="n"/>
      <c r="ER27" s="129" t="n"/>
      <c r="ES27" s="129" t="n"/>
      <c r="ET27" s="129" t="n"/>
      <c r="EU27" s="129" t="n"/>
      <c r="EV27" s="129" t="n"/>
      <c r="EW27" s="129" t="n"/>
      <c r="EX27" s="129" t="n"/>
      <c r="EY27" s="129" t="n"/>
      <c r="EZ27" s="129" t="n"/>
      <c r="FA27" s="129" t="n"/>
      <c r="FB27" s="129" t="n"/>
      <c r="FC27" s="129" t="n"/>
      <c r="FD27" s="129" t="n"/>
      <c r="FE27" s="129" t="n"/>
      <c r="FF27" s="129" t="n"/>
      <c r="FG27" s="129" t="n"/>
      <c r="FH27" s="129" t="n"/>
      <c r="FI27" s="129" t="n"/>
      <c r="FJ27" s="129" t="n"/>
      <c r="FK27" s="129" t="n"/>
      <c r="FL27" s="129" t="n"/>
      <c r="FM27" s="129" t="n"/>
    </row>
    <row r="28" s="135">
      <c r="A28" s="92" t="n">
        <v>33542</v>
      </c>
      <c r="B28" s="93" t="n">
        <v>0.118</v>
      </c>
      <c r="C28" s="79" t="n"/>
      <c r="D28" s="129" t="n"/>
      <c r="E28" s="129" t="n"/>
      <c r="F28" s="129" t="n"/>
      <c r="G28" s="129" t="n"/>
      <c r="H28" s="129" t="n"/>
      <c r="I28" s="129" t="n"/>
      <c r="J28" s="129" t="n"/>
      <c r="K28" s="129" t="n"/>
      <c r="L28" s="129" t="n"/>
      <c r="M28" s="129" t="n"/>
      <c r="N28" s="129" t="n"/>
      <c r="O28" s="129" t="n"/>
      <c r="P28" s="129" t="n"/>
      <c r="Q28" s="129" t="n"/>
      <c r="R28" s="129" t="n"/>
      <c r="S28" s="129" t="n"/>
      <c r="T28" s="129" t="n"/>
      <c r="U28" s="129" t="n"/>
      <c r="V28" s="129" t="n"/>
      <c r="W28" s="129" t="n"/>
      <c r="X28" s="129" t="n"/>
      <c r="Y28" s="129" t="n"/>
      <c r="Z28" s="129" t="n"/>
      <c r="AA28" s="129" t="n"/>
      <c r="AB28" s="129" t="n"/>
      <c r="AC28" s="129" t="n"/>
      <c r="AD28" s="129" t="n"/>
      <c r="AE28" s="129" t="n"/>
      <c r="AF28" s="129" t="n"/>
      <c r="AG28" s="129" t="n"/>
      <c r="AH28" s="129" t="n"/>
      <c r="AI28" s="129" t="n"/>
      <c r="AJ28" s="129" t="n"/>
      <c r="AK28" s="129" t="n"/>
      <c r="AL28" s="129" t="n"/>
      <c r="AM28" s="129" t="n"/>
      <c r="AN28" s="129" t="n"/>
      <c r="AO28" s="129" t="n"/>
      <c r="AP28" s="129" t="n"/>
      <c r="AQ28" s="129" t="n"/>
      <c r="AR28" s="129" t="n"/>
      <c r="AS28" s="129" t="n"/>
      <c r="AT28" s="129" t="n"/>
      <c r="AU28" s="129" t="n"/>
      <c r="AV28" s="129" t="n"/>
      <c r="AW28" s="129" t="n"/>
      <c r="AX28" s="129" t="n"/>
      <c r="AY28" s="129" t="n"/>
      <c r="AZ28" s="129" t="n"/>
      <c r="BA28" s="129" t="n"/>
      <c r="BB28" s="129" t="n"/>
      <c r="BC28" s="129" t="n"/>
      <c r="BD28" s="129" t="n"/>
      <c r="BE28" s="129" t="n"/>
      <c r="BF28" s="129" t="n"/>
      <c r="BG28" s="129" t="n"/>
      <c r="BH28" s="129" t="n"/>
      <c r="BI28" s="129" t="n"/>
      <c r="BJ28" s="129" t="n"/>
      <c r="BK28" s="129" t="n"/>
      <c r="BL28" s="129" t="n"/>
      <c r="BM28" s="129" t="n"/>
      <c r="BN28" s="129" t="n"/>
      <c r="BO28" s="129" t="n"/>
      <c r="BP28" s="129" t="n"/>
      <c r="BQ28" s="129" t="n"/>
      <c r="BR28" s="129" t="n"/>
      <c r="BS28" s="129" t="n"/>
      <c r="BT28" s="129" t="n"/>
      <c r="BU28" s="129" t="n"/>
      <c r="BV28" s="129" t="n"/>
      <c r="BW28" s="129" t="n"/>
      <c r="BX28" s="129" t="n"/>
      <c r="BY28" s="129" t="n"/>
      <c r="BZ28" s="129" t="n"/>
      <c r="CA28" s="129" t="n"/>
      <c r="CB28" s="129" t="n"/>
      <c r="CC28" s="129" t="n"/>
      <c r="CD28" s="129" t="n"/>
      <c r="CE28" s="129" t="n"/>
      <c r="CF28" s="129" t="n"/>
      <c r="CG28" s="129" t="n"/>
      <c r="CH28" s="129" t="n"/>
      <c r="CI28" s="129" t="n"/>
      <c r="CJ28" s="129" t="n"/>
      <c r="CK28" s="129" t="n"/>
      <c r="CL28" s="129" t="n"/>
      <c r="CM28" s="129" t="n"/>
      <c r="CN28" s="129" t="n"/>
      <c r="CO28" s="129" t="n"/>
      <c r="CP28" s="129" t="n"/>
      <c r="CQ28" s="129" t="n"/>
      <c r="CR28" s="129" t="n"/>
      <c r="CS28" s="129" t="n"/>
      <c r="CT28" s="129" t="n"/>
      <c r="CU28" s="129" t="n"/>
      <c r="CV28" s="129" t="n"/>
      <c r="CW28" s="129" t="n"/>
      <c r="CX28" s="129" t="n"/>
      <c r="CY28" s="129" t="n"/>
      <c r="CZ28" s="129" t="n"/>
      <c r="DA28" s="129" t="n"/>
      <c r="DB28" s="129" t="n"/>
      <c r="DC28" s="129" t="n"/>
      <c r="DD28" s="129" t="n"/>
      <c r="DE28" s="129" t="n"/>
      <c r="DF28" s="129" t="n"/>
      <c r="DG28" s="129" t="n"/>
      <c r="DH28" s="129" t="n"/>
      <c r="DI28" s="129" t="n"/>
      <c r="DJ28" s="129" t="n"/>
      <c r="DK28" s="129" t="n"/>
      <c r="DL28" s="129" t="n"/>
      <c r="DM28" s="129" t="n"/>
      <c r="DN28" s="129" t="n"/>
      <c r="DO28" s="129" t="n"/>
      <c r="DP28" s="129" t="n"/>
      <c r="DQ28" s="129" t="n"/>
      <c r="DR28" s="129" t="n"/>
      <c r="DS28" s="129" t="n"/>
      <c r="DT28" s="129" t="n"/>
      <c r="DU28" s="129" t="n"/>
      <c r="DV28" s="129" t="n"/>
      <c r="DW28" s="129" t="n"/>
      <c r="DX28" s="129" t="n"/>
      <c r="DY28" s="129" t="n"/>
      <c r="DZ28" s="129" t="n"/>
      <c r="EA28" s="129" t="n"/>
      <c r="EB28" s="129" t="n"/>
      <c r="EC28" s="129" t="n"/>
      <c r="ED28" s="129" t="n"/>
      <c r="EE28" s="129" t="n"/>
      <c r="EF28" s="129" t="n"/>
      <c r="EG28" s="129" t="n"/>
      <c r="EH28" s="129" t="n"/>
      <c r="EI28" s="129" t="n"/>
      <c r="EJ28" s="129" t="n"/>
      <c r="EK28" s="129" t="n"/>
      <c r="EL28" s="129" t="n"/>
      <c r="EM28" s="129" t="n"/>
      <c r="EN28" s="129" t="n"/>
      <c r="EO28" s="129" t="n"/>
      <c r="EP28" s="129" t="n"/>
      <c r="EQ28" s="129" t="n"/>
      <c r="ER28" s="129" t="n"/>
      <c r="ES28" s="129" t="n"/>
      <c r="ET28" s="129" t="n"/>
      <c r="EU28" s="129" t="n"/>
      <c r="EV28" s="129" t="n"/>
      <c r="EW28" s="129" t="n"/>
      <c r="EX28" s="129" t="n"/>
      <c r="EY28" s="129" t="n"/>
      <c r="EZ28" s="129" t="n"/>
      <c r="FA28" s="129" t="n"/>
      <c r="FB28" s="129" t="n"/>
      <c r="FC28" s="129" t="n"/>
      <c r="FD28" s="129" t="n"/>
      <c r="FE28" s="129" t="n"/>
      <c r="FF28" s="129" t="n"/>
      <c r="FG28" s="129" t="n"/>
      <c r="FH28" s="129" t="n"/>
      <c r="FI28" s="129" t="n"/>
      <c r="FJ28" s="129" t="n"/>
      <c r="FK28" s="129" t="n"/>
      <c r="FL28" s="129" t="n"/>
      <c r="FM28" s="129" t="n"/>
    </row>
    <row r="29" s="135">
      <c r="A29" s="90" t="n">
        <v>33572</v>
      </c>
      <c r="B29" s="91" t="n">
        <v>0.076</v>
      </c>
      <c r="C29" s="79" t="n"/>
      <c r="D29" s="129" t="n"/>
      <c r="E29" s="129" t="n"/>
      <c r="F29" s="129" t="n"/>
      <c r="G29" s="129" t="n"/>
      <c r="H29" s="129" t="n"/>
      <c r="I29" s="129" t="n"/>
      <c r="J29" s="129" t="n"/>
      <c r="K29" s="129" t="n"/>
      <c r="L29" s="129" t="n"/>
      <c r="M29" s="129" t="n"/>
      <c r="N29" s="129" t="n"/>
      <c r="O29" s="129" t="n"/>
      <c r="P29" s="129" t="n"/>
      <c r="Q29" s="129" t="n"/>
      <c r="R29" s="129" t="n"/>
      <c r="S29" s="129" t="n"/>
      <c r="T29" s="129" t="n"/>
      <c r="U29" s="129" t="n"/>
      <c r="V29" s="129" t="n"/>
      <c r="W29" s="129" t="n"/>
      <c r="X29" s="129" t="n"/>
      <c r="Y29" s="129" t="n"/>
      <c r="Z29" s="129" t="n"/>
      <c r="AA29" s="129" t="n"/>
      <c r="AB29" s="129" t="n"/>
      <c r="AC29" s="129" t="n"/>
      <c r="AD29" s="129" t="n"/>
      <c r="AE29" s="129" t="n"/>
      <c r="AF29" s="129" t="n"/>
      <c r="AG29" s="129" t="n"/>
      <c r="AH29" s="129" t="n"/>
      <c r="AI29" s="129" t="n"/>
      <c r="AJ29" s="129" t="n"/>
      <c r="AK29" s="129" t="n"/>
      <c r="AL29" s="129" t="n"/>
      <c r="AM29" s="129" t="n"/>
      <c r="AN29" s="129" t="n"/>
      <c r="AO29" s="129" t="n"/>
      <c r="AP29" s="129" t="n"/>
      <c r="AQ29" s="129" t="n"/>
      <c r="AR29" s="129" t="n"/>
      <c r="AS29" s="129" t="n"/>
      <c r="AT29" s="129" t="n"/>
      <c r="AU29" s="129" t="n"/>
      <c r="AV29" s="129" t="n"/>
      <c r="AW29" s="129" t="n"/>
      <c r="AX29" s="129" t="n"/>
      <c r="AY29" s="129" t="n"/>
      <c r="AZ29" s="129" t="n"/>
      <c r="BA29" s="129" t="n"/>
      <c r="BB29" s="129" t="n"/>
      <c r="BC29" s="129" t="n"/>
      <c r="BD29" s="129" t="n"/>
      <c r="BE29" s="129" t="n"/>
      <c r="BF29" s="129" t="n"/>
      <c r="BG29" s="129" t="n"/>
      <c r="BH29" s="129" t="n"/>
      <c r="BI29" s="129" t="n"/>
      <c r="BJ29" s="129" t="n"/>
      <c r="BK29" s="129" t="n"/>
      <c r="BL29" s="129" t="n"/>
      <c r="BM29" s="129" t="n"/>
      <c r="BN29" s="129" t="n"/>
      <c r="BO29" s="129" t="n"/>
      <c r="BP29" s="129" t="n"/>
      <c r="BQ29" s="129" t="n"/>
      <c r="BR29" s="129" t="n"/>
      <c r="BS29" s="129" t="n"/>
      <c r="BT29" s="129" t="n"/>
      <c r="BU29" s="129" t="n"/>
      <c r="BV29" s="129" t="n"/>
      <c r="BW29" s="129" t="n"/>
      <c r="BX29" s="129" t="n"/>
      <c r="BY29" s="129" t="n"/>
      <c r="BZ29" s="129" t="n"/>
      <c r="CA29" s="129" t="n"/>
      <c r="CB29" s="129" t="n"/>
      <c r="CC29" s="129" t="n"/>
      <c r="CD29" s="129" t="n"/>
      <c r="CE29" s="129" t="n"/>
      <c r="CF29" s="129" t="n"/>
      <c r="CG29" s="129" t="n"/>
      <c r="CH29" s="129" t="n"/>
      <c r="CI29" s="129" t="n"/>
      <c r="CJ29" s="129" t="n"/>
      <c r="CK29" s="129" t="n"/>
      <c r="CL29" s="129" t="n"/>
      <c r="CM29" s="129" t="n"/>
      <c r="CN29" s="129" t="n"/>
      <c r="CO29" s="129" t="n"/>
      <c r="CP29" s="129" t="n"/>
      <c r="CQ29" s="129" t="n"/>
      <c r="CR29" s="129" t="n"/>
      <c r="CS29" s="129" t="n"/>
      <c r="CT29" s="129" t="n"/>
      <c r="CU29" s="129" t="n"/>
      <c r="CV29" s="129" t="n"/>
      <c r="CW29" s="129" t="n"/>
      <c r="CX29" s="129" t="n"/>
      <c r="CY29" s="129" t="n"/>
      <c r="CZ29" s="129" t="n"/>
      <c r="DA29" s="129" t="n"/>
      <c r="DB29" s="129" t="n"/>
      <c r="DC29" s="129" t="n"/>
      <c r="DD29" s="129" t="n"/>
      <c r="DE29" s="129" t="n"/>
      <c r="DF29" s="129" t="n"/>
      <c r="DG29" s="129" t="n"/>
      <c r="DH29" s="129" t="n"/>
      <c r="DI29" s="129" t="n"/>
      <c r="DJ29" s="129" t="n"/>
      <c r="DK29" s="129" t="n"/>
      <c r="DL29" s="129" t="n"/>
      <c r="DM29" s="129" t="n"/>
      <c r="DN29" s="129" t="n"/>
      <c r="DO29" s="129" t="n"/>
      <c r="DP29" s="129" t="n"/>
      <c r="DQ29" s="129" t="n"/>
      <c r="DR29" s="129" t="n"/>
      <c r="DS29" s="129" t="n"/>
      <c r="DT29" s="129" t="n"/>
      <c r="DU29" s="129" t="n"/>
      <c r="DV29" s="129" t="n"/>
      <c r="DW29" s="129" t="n"/>
      <c r="DX29" s="129" t="n"/>
      <c r="DY29" s="129" t="n"/>
      <c r="DZ29" s="129" t="n"/>
      <c r="EA29" s="129" t="n"/>
      <c r="EB29" s="129" t="n"/>
      <c r="EC29" s="129" t="n"/>
      <c r="ED29" s="129" t="n"/>
      <c r="EE29" s="129" t="n"/>
      <c r="EF29" s="129" t="n"/>
      <c r="EG29" s="129" t="n"/>
      <c r="EH29" s="129" t="n"/>
      <c r="EI29" s="129" t="n"/>
      <c r="EJ29" s="129" t="n"/>
      <c r="EK29" s="129" t="n"/>
      <c r="EL29" s="129" t="n"/>
      <c r="EM29" s="129" t="n"/>
      <c r="EN29" s="129" t="n"/>
      <c r="EO29" s="129" t="n"/>
      <c r="EP29" s="129" t="n"/>
      <c r="EQ29" s="129" t="n"/>
      <c r="ER29" s="129" t="n"/>
      <c r="ES29" s="129" t="n"/>
      <c r="ET29" s="129" t="n"/>
      <c r="EU29" s="129" t="n"/>
      <c r="EV29" s="129" t="n"/>
      <c r="EW29" s="129" t="n"/>
      <c r="EX29" s="129" t="n"/>
      <c r="EY29" s="129" t="n"/>
      <c r="EZ29" s="129" t="n"/>
      <c r="FA29" s="129" t="n"/>
      <c r="FB29" s="129" t="n"/>
      <c r="FC29" s="129" t="n"/>
      <c r="FD29" s="129" t="n"/>
      <c r="FE29" s="129" t="n"/>
      <c r="FF29" s="129" t="n"/>
      <c r="FG29" s="129" t="n"/>
      <c r="FH29" s="129" t="n"/>
      <c r="FI29" s="129" t="n"/>
      <c r="FJ29" s="129" t="n"/>
      <c r="FK29" s="129" t="n"/>
      <c r="FL29" s="129" t="n"/>
      <c r="FM29" s="129" t="n"/>
    </row>
    <row r="30" s="135">
      <c r="A30" s="92" t="n">
        <v>33603</v>
      </c>
      <c r="B30" s="93" t="n">
        <v>0.05</v>
      </c>
      <c r="C30" s="79" t="n"/>
      <c r="D30" s="129" t="n"/>
      <c r="E30" s="129" t="n"/>
      <c r="F30" s="129" t="n"/>
      <c r="G30" s="129" t="n"/>
      <c r="H30" s="129" t="n"/>
      <c r="I30" s="129" t="n"/>
      <c r="J30" s="129" t="n"/>
      <c r="K30" s="129" t="n"/>
      <c r="L30" s="129" t="n"/>
      <c r="M30" s="129" t="n"/>
      <c r="N30" s="129" t="n"/>
      <c r="O30" s="129" t="n"/>
      <c r="P30" s="129" t="n"/>
      <c r="Q30" s="129" t="n"/>
      <c r="R30" s="129" t="n"/>
      <c r="S30" s="129" t="n"/>
      <c r="T30" s="129" t="n"/>
      <c r="U30" s="129" t="n"/>
      <c r="V30" s="129" t="n"/>
      <c r="W30" s="129" t="n"/>
      <c r="X30" s="129" t="n"/>
      <c r="Y30" s="129" t="n"/>
      <c r="Z30" s="129" t="n"/>
      <c r="AA30" s="129" t="n"/>
      <c r="AB30" s="129" t="n"/>
      <c r="AC30" s="129" t="n"/>
      <c r="AD30" s="129" t="n"/>
      <c r="AE30" s="129" t="n"/>
      <c r="AF30" s="129" t="n"/>
      <c r="AG30" s="129" t="n"/>
      <c r="AH30" s="129" t="n"/>
      <c r="AI30" s="129" t="n"/>
      <c r="AJ30" s="129" t="n"/>
      <c r="AK30" s="129" t="n"/>
      <c r="AL30" s="129" t="n"/>
      <c r="AM30" s="129" t="n"/>
      <c r="AN30" s="129" t="n"/>
      <c r="AO30" s="129" t="n"/>
      <c r="AP30" s="129" t="n"/>
      <c r="AQ30" s="129" t="n"/>
      <c r="AR30" s="129" t="n"/>
      <c r="AS30" s="129" t="n"/>
      <c r="AT30" s="129" t="n"/>
      <c r="AU30" s="129" t="n"/>
      <c r="AV30" s="129" t="n"/>
      <c r="AW30" s="129" t="n"/>
      <c r="AX30" s="129" t="n"/>
      <c r="AY30" s="129" t="n"/>
      <c r="AZ30" s="129" t="n"/>
      <c r="BA30" s="129" t="n"/>
      <c r="BB30" s="129" t="n"/>
      <c r="BC30" s="129" t="n"/>
      <c r="BD30" s="129" t="n"/>
      <c r="BE30" s="129" t="n"/>
      <c r="BF30" s="129" t="n"/>
      <c r="BG30" s="129" t="n"/>
      <c r="BH30" s="129" t="n"/>
      <c r="BI30" s="129" t="n"/>
      <c r="BJ30" s="129" t="n"/>
      <c r="BK30" s="129" t="n"/>
      <c r="BL30" s="129" t="n"/>
      <c r="BM30" s="129" t="n"/>
      <c r="BN30" s="129" t="n"/>
      <c r="BO30" s="129" t="n"/>
      <c r="BP30" s="129" t="n"/>
      <c r="BQ30" s="129" t="n"/>
      <c r="BR30" s="129" t="n"/>
      <c r="BS30" s="129" t="n"/>
      <c r="BT30" s="129" t="n"/>
      <c r="BU30" s="129" t="n"/>
      <c r="BV30" s="129" t="n"/>
      <c r="BW30" s="129" t="n"/>
      <c r="BX30" s="129" t="n"/>
      <c r="BY30" s="129" t="n"/>
      <c r="BZ30" s="129" t="n"/>
      <c r="CA30" s="129" t="n"/>
      <c r="CB30" s="129" t="n"/>
      <c r="CC30" s="129" t="n"/>
      <c r="CD30" s="129" t="n"/>
      <c r="CE30" s="129" t="n"/>
      <c r="CF30" s="129" t="n"/>
      <c r="CG30" s="129" t="n"/>
      <c r="CH30" s="129" t="n"/>
      <c r="CI30" s="129" t="n"/>
      <c r="CJ30" s="129" t="n"/>
      <c r="CK30" s="129" t="n"/>
      <c r="CL30" s="129" t="n"/>
      <c r="CM30" s="129" t="n"/>
      <c r="CN30" s="129" t="n"/>
      <c r="CO30" s="129" t="n"/>
      <c r="CP30" s="129" t="n"/>
      <c r="CQ30" s="129" t="n"/>
      <c r="CR30" s="129" t="n"/>
      <c r="CS30" s="129" t="n"/>
      <c r="CT30" s="129" t="n"/>
      <c r="CU30" s="129" t="n"/>
      <c r="CV30" s="129" t="n"/>
      <c r="CW30" s="129" t="n"/>
      <c r="CX30" s="129" t="n"/>
      <c r="CY30" s="129" t="n"/>
      <c r="CZ30" s="129" t="n"/>
      <c r="DA30" s="129" t="n"/>
      <c r="DB30" s="129" t="n"/>
      <c r="DC30" s="129" t="n"/>
      <c r="DD30" s="129" t="n"/>
      <c r="DE30" s="129" t="n"/>
      <c r="DF30" s="129" t="n"/>
      <c r="DG30" s="129" t="n"/>
      <c r="DH30" s="129" t="n"/>
      <c r="DI30" s="129" t="n"/>
      <c r="DJ30" s="129" t="n"/>
      <c r="DK30" s="129" t="n"/>
      <c r="DL30" s="129" t="n"/>
      <c r="DM30" s="129" t="n"/>
      <c r="DN30" s="129" t="n"/>
      <c r="DO30" s="129" t="n"/>
      <c r="DP30" s="129" t="n"/>
      <c r="DQ30" s="129" t="n"/>
      <c r="DR30" s="129" t="n"/>
      <c r="DS30" s="129" t="n"/>
      <c r="DT30" s="129" t="n"/>
      <c r="DU30" s="129" t="n"/>
      <c r="DV30" s="129" t="n"/>
      <c r="DW30" s="129" t="n"/>
      <c r="DX30" s="129" t="n"/>
      <c r="DY30" s="129" t="n"/>
      <c r="DZ30" s="129" t="n"/>
      <c r="EA30" s="129" t="n"/>
      <c r="EB30" s="129" t="n"/>
      <c r="EC30" s="129" t="n"/>
      <c r="ED30" s="129" t="n"/>
      <c r="EE30" s="129" t="n"/>
      <c r="EF30" s="129" t="n"/>
      <c r="EG30" s="129" t="n"/>
      <c r="EH30" s="129" t="n"/>
      <c r="EI30" s="129" t="n"/>
      <c r="EJ30" s="129" t="n"/>
      <c r="EK30" s="129" t="n"/>
      <c r="EL30" s="129" t="n"/>
      <c r="EM30" s="129" t="n"/>
      <c r="EN30" s="129" t="n"/>
      <c r="EO30" s="129" t="n"/>
      <c r="EP30" s="129" t="n"/>
      <c r="EQ30" s="129" t="n"/>
      <c r="ER30" s="129" t="n"/>
      <c r="ES30" s="129" t="n"/>
      <c r="ET30" s="129" t="n"/>
      <c r="EU30" s="129" t="n"/>
      <c r="EV30" s="129" t="n"/>
      <c r="EW30" s="129" t="n"/>
      <c r="EX30" s="129" t="n"/>
      <c r="EY30" s="129" t="n"/>
      <c r="EZ30" s="129" t="n"/>
      <c r="FA30" s="129" t="n"/>
      <c r="FB30" s="129" t="n"/>
      <c r="FC30" s="129" t="n"/>
      <c r="FD30" s="129" t="n"/>
      <c r="FE30" s="129" t="n"/>
      <c r="FF30" s="129" t="n"/>
      <c r="FG30" s="129" t="n"/>
      <c r="FH30" s="129" t="n"/>
      <c r="FI30" s="129" t="n"/>
      <c r="FJ30" s="129" t="n"/>
      <c r="FK30" s="129" t="n"/>
      <c r="FL30" s="129" t="n"/>
      <c r="FM30" s="129" t="n"/>
    </row>
    <row r="31" s="135">
      <c r="A31" s="90" t="n">
        <v>33634</v>
      </c>
      <c r="B31" s="91" t="n">
        <v>0.109</v>
      </c>
      <c r="C31" s="79" t="n"/>
      <c r="D31" s="129" t="n"/>
      <c r="E31" s="129" t="n"/>
      <c r="F31" s="129" t="n"/>
      <c r="G31" s="129" t="n"/>
      <c r="H31" s="129" t="n"/>
      <c r="I31" s="129" t="n"/>
      <c r="J31" s="129" t="n"/>
      <c r="K31" s="129" t="n"/>
      <c r="L31" s="129" t="n"/>
      <c r="M31" s="129" t="n"/>
      <c r="N31" s="129" t="n"/>
      <c r="O31" s="129" t="n"/>
      <c r="P31" s="129" t="n"/>
      <c r="Q31" s="129" t="n"/>
      <c r="R31" s="129" t="n"/>
      <c r="S31" s="129" t="n"/>
      <c r="T31" s="129" t="n"/>
      <c r="U31" s="129" t="n"/>
      <c r="V31" s="129" t="n"/>
      <c r="W31" s="129" t="n"/>
      <c r="X31" s="129" t="n"/>
      <c r="Y31" s="129" t="n"/>
      <c r="Z31" s="129" t="n"/>
      <c r="AA31" s="129" t="n"/>
      <c r="AB31" s="129" t="n"/>
      <c r="AC31" s="129" t="n"/>
      <c r="AD31" s="129" t="n"/>
      <c r="AE31" s="129" t="n"/>
      <c r="AF31" s="129" t="n"/>
      <c r="AG31" s="129" t="n"/>
      <c r="AH31" s="129" t="n"/>
      <c r="AI31" s="129" t="n"/>
      <c r="AJ31" s="129" t="n"/>
      <c r="AK31" s="129" t="n"/>
      <c r="AL31" s="129" t="n"/>
      <c r="AM31" s="129" t="n"/>
      <c r="AN31" s="129" t="n"/>
      <c r="AO31" s="129" t="n"/>
      <c r="AP31" s="129" t="n"/>
      <c r="AQ31" s="129" t="n"/>
      <c r="AR31" s="129" t="n"/>
      <c r="AS31" s="129" t="n"/>
      <c r="AT31" s="129" t="n"/>
      <c r="AU31" s="129" t="n"/>
      <c r="AV31" s="129" t="n"/>
      <c r="AW31" s="129" t="n"/>
      <c r="AX31" s="129" t="n"/>
      <c r="AY31" s="129" t="n"/>
      <c r="AZ31" s="129" t="n"/>
      <c r="BA31" s="129" t="n"/>
      <c r="BB31" s="129" t="n"/>
      <c r="BC31" s="129" t="n"/>
      <c r="BD31" s="129" t="n"/>
      <c r="BE31" s="129" t="n"/>
      <c r="BF31" s="129" t="n"/>
      <c r="BG31" s="129" t="n"/>
      <c r="BH31" s="129" t="n"/>
      <c r="BI31" s="129" t="n"/>
      <c r="BJ31" s="129" t="n"/>
      <c r="BK31" s="129" t="n"/>
      <c r="BL31" s="129" t="n"/>
      <c r="BM31" s="129" t="n"/>
      <c r="BN31" s="129" t="n"/>
      <c r="BO31" s="129" t="n"/>
      <c r="BP31" s="129" t="n"/>
      <c r="BQ31" s="129" t="n"/>
      <c r="BR31" s="129" t="n"/>
      <c r="BS31" s="129" t="n"/>
      <c r="BT31" s="129" t="n"/>
      <c r="BU31" s="129" t="n"/>
      <c r="BV31" s="129" t="n"/>
      <c r="BW31" s="129" t="n"/>
      <c r="BX31" s="129" t="n"/>
      <c r="BY31" s="129" t="n"/>
      <c r="BZ31" s="129" t="n"/>
      <c r="CA31" s="129" t="n"/>
      <c r="CB31" s="129" t="n"/>
      <c r="CC31" s="129" t="n"/>
      <c r="CD31" s="129" t="n"/>
      <c r="CE31" s="129" t="n"/>
      <c r="CF31" s="129" t="n"/>
      <c r="CG31" s="129" t="n"/>
      <c r="CH31" s="129" t="n"/>
      <c r="CI31" s="129" t="n"/>
      <c r="CJ31" s="129" t="n"/>
      <c r="CK31" s="129" t="n"/>
      <c r="CL31" s="129" t="n"/>
      <c r="CM31" s="129" t="n"/>
      <c r="CN31" s="129" t="n"/>
      <c r="CO31" s="129" t="n"/>
      <c r="CP31" s="129" t="n"/>
      <c r="CQ31" s="129" t="n"/>
      <c r="CR31" s="129" t="n"/>
      <c r="CS31" s="129" t="n"/>
      <c r="CT31" s="129" t="n"/>
      <c r="CU31" s="129" t="n"/>
      <c r="CV31" s="129" t="n"/>
      <c r="CW31" s="129" t="n"/>
      <c r="CX31" s="129" t="n"/>
      <c r="CY31" s="129" t="n"/>
      <c r="CZ31" s="129" t="n"/>
      <c r="DA31" s="129" t="n"/>
      <c r="DB31" s="129" t="n"/>
      <c r="DC31" s="129" t="n"/>
      <c r="DD31" s="129" t="n"/>
      <c r="DE31" s="129" t="n"/>
      <c r="DF31" s="129" t="n"/>
      <c r="DG31" s="129" t="n"/>
      <c r="DH31" s="129" t="n"/>
      <c r="DI31" s="129" t="n"/>
      <c r="DJ31" s="129" t="n"/>
      <c r="DK31" s="129" t="n"/>
      <c r="DL31" s="129" t="n"/>
      <c r="DM31" s="129" t="n"/>
      <c r="DN31" s="129" t="n"/>
      <c r="DO31" s="129" t="n"/>
      <c r="DP31" s="129" t="n"/>
      <c r="DQ31" s="129" t="n"/>
      <c r="DR31" s="129" t="n"/>
      <c r="DS31" s="129" t="n"/>
      <c r="DT31" s="129" t="n"/>
      <c r="DU31" s="129" t="n"/>
      <c r="DV31" s="129" t="n"/>
      <c r="DW31" s="129" t="n"/>
      <c r="DX31" s="129" t="n"/>
      <c r="DY31" s="129" t="n"/>
      <c r="DZ31" s="129" t="n"/>
      <c r="EA31" s="129" t="n"/>
      <c r="EB31" s="129" t="n"/>
      <c r="EC31" s="129" t="n"/>
      <c r="ED31" s="129" t="n"/>
      <c r="EE31" s="129" t="n"/>
      <c r="EF31" s="129" t="n"/>
      <c r="EG31" s="129" t="n"/>
      <c r="EH31" s="129" t="n"/>
      <c r="EI31" s="129" t="n"/>
      <c r="EJ31" s="129" t="n"/>
      <c r="EK31" s="129" t="n"/>
      <c r="EL31" s="129" t="n"/>
      <c r="EM31" s="129" t="n"/>
      <c r="EN31" s="129" t="n"/>
      <c r="EO31" s="129" t="n"/>
      <c r="EP31" s="129" t="n"/>
      <c r="EQ31" s="129" t="n"/>
      <c r="ER31" s="129" t="n"/>
      <c r="ES31" s="129" t="n"/>
      <c r="ET31" s="129" t="n"/>
      <c r="EU31" s="129" t="n"/>
      <c r="EV31" s="129" t="n"/>
      <c r="EW31" s="129" t="n"/>
      <c r="EX31" s="129" t="n"/>
      <c r="EY31" s="129" t="n"/>
      <c r="EZ31" s="129" t="n"/>
      <c r="FA31" s="129" t="n"/>
      <c r="FB31" s="129" t="n"/>
      <c r="FC31" s="129" t="n"/>
      <c r="FD31" s="129" t="n"/>
      <c r="FE31" s="129" t="n"/>
      <c r="FF31" s="129" t="n"/>
      <c r="FG31" s="129" t="n"/>
      <c r="FH31" s="129" t="n"/>
      <c r="FI31" s="129" t="n"/>
      <c r="FJ31" s="129" t="n"/>
      <c r="FK31" s="129" t="n"/>
      <c r="FL31" s="129" t="n"/>
      <c r="FM31" s="129" t="n"/>
    </row>
    <row r="32" s="135">
      <c r="A32" s="92" t="n">
        <v>33663</v>
      </c>
      <c r="B32" s="93" t="n">
        <v>0.185</v>
      </c>
      <c r="C32" s="79" t="n"/>
      <c r="D32" s="129" t="n"/>
      <c r="E32" s="129" t="n"/>
      <c r="F32" s="129" t="n"/>
      <c r="G32" s="129" t="n"/>
      <c r="H32" s="129" t="n"/>
      <c r="I32" s="129" t="n"/>
      <c r="J32" s="129" t="n"/>
      <c r="K32" s="129" t="n"/>
      <c r="L32" s="129" t="n"/>
      <c r="M32" s="129" t="n"/>
      <c r="N32" s="129" t="n"/>
      <c r="O32" s="129" t="n"/>
      <c r="P32" s="129" t="n"/>
      <c r="Q32" s="129" t="n"/>
      <c r="R32" s="129" t="n"/>
      <c r="S32" s="129" t="n"/>
      <c r="T32" s="129" t="n"/>
      <c r="U32" s="129" t="n"/>
      <c r="V32" s="129" t="n"/>
      <c r="W32" s="129" t="n"/>
      <c r="X32" s="129" t="n"/>
      <c r="Y32" s="129" t="n"/>
      <c r="Z32" s="129" t="n"/>
      <c r="AA32" s="129" t="n"/>
      <c r="AB32" s="129" t="n"/>
      <c r="AC32" s="129" t="n"/>
      <c r="AD32" s="129" t="n"/>
      <c r="AE32" s="129" t="n"/>
      <c r="AF32" s="129" t="n"/>
      <c r="AG32" s="129" t="n"/>
      <c r="AH32" s="129" t="n"/>
      <c r="AI32" s="129" t="n"/>
      <c r="AJ32" s="129" t="n"/>
      <c r="AK32" s="129" t="n"/>
      <c r="AL32" s="129" t="n"/>
      <c r="AM32" s="129" t="n"/>
      <c r="AN32" s="129" t="n"/>
      <c r="AO32" s="129" t="n"/>
      <c r="AP32" s="129" t="n"/>
      <c r="AQ32" s="129" t="n"/>
      <c r="AR32" s="129" t="n"/>
      <c r="AS32" s="129" t="n"/>
      <c r="AT32" s="129" t="n"/>
      <c r="AU32" s="129" t="n"/>
      <c r="AV32" s="129" t="n"/>
      <c r="AW32" s="129" t="n"/>
      <c r="AX32" s="129" t="n"/>
      <c r="AY32" s="129" t="n"/>
      <c r="AZ32" s="129" t="n"/>
      <c r="BA32" s="129" t="n"/>
      <c r="BB32" s="129" t="n"/>
      <c r="BC32" s="129" t="n"/>
      <c r="BD32" s="129" t="n"/>
      <c r="BE32" s="129" t="n"/>
      <c r="BF32" s="129" t="n"/>
      <c r="BG32" s="129" t="n"/>
      <c r="BH32" s="129" t="n"/>
      <c r="BI32" s="129" t="n"/>
      <c r="BJ32" s="129" t="n"/>
      <c r="BK32" s="129" t="n"/>
      <c r="BL32" s="129" t="n"/>
      <c r="BM32" s="129" t="n"/>
      <c r="BN32" s="129" t="n"/>
      <c r="BO32" s="129" t="n"/>
      <c r="BP32" s="129" t="n"/>
      <c r="BQ32" s="129" t="n"/>
      <c r="BR32" s="129" t="n"/>
      <c r="BS32" s="129" t="n"/>
      <c r="BT32" s="129" t="n"/>
      <c r="BU32" s="129" t="n"/>
      <c r="BV32" s="129" t="n"/>
      <c r="BW32" s="129" t="n"/>
      <c r="BX32" s="129" t="n"/>
      <c r="BY32" s="129" t="n"/>
      <c r="BZ32" s="129" t="n"/>
      <c r="CA32" s="129" t="n"/>
      <c r="CB32" s="129" t="n"/>
      <c r="CC32" s="129" t="n"/>
      <c r="CD32" s="129" t="n"/>
      <c r="CE32" s="129" t="n"/>
      <c r="CF32" s="129" t="n"/>
      <c r="CG32" s="129" t="n"/>
      <c r="CH32" s="129" t="n"/>
      <c r="CI32" s="129" t="n"/>
      <c r="CJ32" s="129" t="n"/>
      <c r="CK32" s="129" t="n"/>
      <c r="CL32" s="129" t="n"/>
      <c r="CM32" s="129" t="n"/>
      <c r="CN32" s="129" t="n"/>
      <c r="CO32" s="129" t="n"/>
      <c r="CP32" s="129" t="n"/>
      <c r="CQ32" s="129" t="n"/>
      <c r="CR32" s="129" t="n"/>
      <c r="CS32" s="129" t="n"/>
      <c r="CT32" s="129" t="n"/>
      <c r="CU32" s="129" t="n"/>
      <c r="CV32" s="129" t="n"/>
      <c r="CW32" s="129" t="n"/>
      <c r="CX32" s="129" t="n"/>
      <c r="CY32" s="129" t="n"/>
      <c r="CZ32" s="129" t="n"/>
      <c r="DA32" s="129" t="n"/>
      <c r="DB32" s="129" t="n"/>
      <c r="DC32" s="129" t="n"/>
      <c r="DD32" s="129" t="n"/>
      <c r="DE32" s="129" t="n"/>
      <c r="DF32" s="129" t="n"/>
      <c r="DG32" s="129" t="n"/>
      <c r="DH32" s="129" t="n"/>
      <c r="DI32" s="129" t="n"/>
      <c r="DJ32" s="129" t="n"/>
      <c r="DK32" s="129" t="n"/>
      <c r="DL32" s="129" t="n"/>
      <c r="DM32" s="129" t="n"/>
      <c r="DN32" s="129" t="n"/>
      <c r="DO32" s="129" t="n"/>
      <c r="DP32" s="129" t="n"/>
      <c r="DQ32" s="129" t="n"/>
      <c r="DR32" s="129" t="n"/>
      <c r="DS32" s="129" t="n"/>
      <c r="DT32" s="129" t="n"/>
      <c r="DU32" s="129" t="n"/>
      <c r="DV32" s="129" t="n"/>
      <c r="DW32" s="129" t="n"/>
      <c r="DX32" s="129" t="n"/>
      <c r="DY32" s="129" t="n"/>
      <c r="DZ32" s="129" t="n"/>
      <c r="EA32" s="129" t="n"/>
      <c r="EB32" s="129" t="n"/>
      <c r="EC32" s="129" t="n"/>
      <c r="ED32" s="129" t="n"/>
      <c r="EE32" s="129" t="n"/>
      <c r="EF32" s="129" t="n"/>
      <c r="EG32" s="129" t="n"/>
      <c r="EH32" s="129" t="n"/>
      <c r="EI32" s="129" t="n"/>
      <c r="EJ32" s="129" t="n"/>
      <c r="EK32" s="129" t="n"/>
      <c r="EL32" s="129" t="n"/>
      <c r="EM32" s="129" t="n"/>
      <c r="EN32" s="129" t="n"/>
      <c r="EO32" s="129" t="n"/>
      <c r="EP32" s="129" t="n"/>
      <c r="EQ32" s="129" t="n"/>
      <c r="ER32" s="129" t="n"/>
      <c r="ES32" s="129" t="n"/>
      <c r="ET32" s="129" t="n"/>
      <c r="EU32" s="129" t="n"/>
      <c r="EV32" s="129" t="n"/>
      <c r="EW32" s="129" t="n"/>
      <c r="EX32" s="129" t="n"/>
      <c r="EY32" s="129" t="n"/>
      <c r="EZ32" s="129" t="n"/>
      <c r="FA32" s="129" t="n"/>
      <c r="FB32" s="129" t="n"/>
      <c r="FC32" s="129" t="n"/>
      <c r="FD32" s="129" t="n"/>
      <c r="FE32" s="129" t="n"/>
      <c r="FF32" s="129" t="n"/>
      <c r="FG32" s="129" t="n"/>
      <c r="FH32" s="129" t="n"/>
      <c r="FI32" s="129" t="n"/>
      <c r="FJ32" s="129" t="n"/>
      <c r="FK32" s="129" t="n"/>
      <c r="FL32" s="129" t="n"/>
      <c r="FM32" s="129" t="n"/>
    </row>
    <row r="33" s="135">
      <c r="A33" s="90" t="n">
        <v>33694</v>
      </c>
      <c r="B33" s="91" t="n">
        <v>0.168</v>
      </c>
      <c r="C33" s="79" t="n"/>
      <c r="D33" s="129" t="n"/>
      <c r="E33" s="129" t="n"/>
      <c r="F33" s="129" t="n"/>
      <c r="G33" s="129" t="n"/>
      <c r="H33" s="129" t="n"/>
      <c r="I33" s="129" t="n"/>
      <c r="J33" s="129" t="n"/>
      <c r="K33" s="129" t="n"/>
      <c r="L33" s="129" t="n"/>
      <c r="M33" s="129" t="n"/>
      <c r="N33" s="129" t="n"/>
      <c r="O33" s="129" t="n"/>
      <c r="P33" s="129" t="n"/>
      <c r="Q33" s="129" t="n"/>
      <c r="R33" s="129" t="n"/>
      <c r="S33" s="129" t="n"/>
      <c r="T33" s="129" t="n"/>
      <c r="U33" s="129" t="n"/>
      <c r="V33" s="129" t="n"/>
      <c r="W33" s="129" t="n"/>
      <c r="X33" s="129" t="n"/>
      <c r="Y33" s="129" t="n"/>
      <c r="Z33" s="129" t="n"/>
      <c r="AA33" s="129" t="n"/>
      <c r="AB33" s="129" t="n"/>
      <c r="AC33" s="129" t="n"/>
      <c r="AD33" s="129" t="n"/>
      <c r="AE33" s="129" t="n"/>
      <c r="AF33" s="129" t="n"/>
      <c r="AG33" s="129" t="n"/>
      <c r="AH33" s="129" t="n"/>
      <c r="AI33" s="129" t="n"/>
      <c r="AJ33" s="129" t="n"/>
      <c r="AK33" s="129" t="n"/>
      <c r="AL33" s="129" t="n"/>
      <c r="AM33" s="129" t="n"/>
      <c r="AN33" s="129" t="n"/>
      <c r="AO33" s="129" t="n"/>
      <c r="AP33" s="129" t="n"/>
      <c r="AQ33" s="129" t="n"/>
      <c r="AR33" s="129" t="n"/>
      <c r="AS33" s="129" t="n"/>
      <c r="AT33" s="129" t="n"/>
      <c r="AU33" s="129" t="n"/>
      <c r="AV33" s="129" t="n"/>
      <c r="AW33" s="129" t="n"/>
      <c r="AX33" s="129" t="n"/>
      <c r="AY33" s="129" t="n"/>
      <c r="AZ33" s="129" t="n"/>
      <c r="BA33" s="129" t="n"/>
      <c r="BB33" s="129" t="n"/>
      <c r="BC33" s="129" t="n"/>
      <c r="BD33" s="129" t="n"/>
      <c r="BE33" s="129" t="n"/>
      <c r="BF33" s="129" t="n"/>
      <c r="BG33" s="129" t="n"/>
      <c r="BH33" s="129" t="n"/>
      <c r="BI33" s="129" t="n"/>
      <c r="BJ33" s="129" t="n"/>
      <c r="BK33" s="129" t="n"/>
      <c r="BL33" s="129" t="n"/>
      <c r="BM33" s="129" t="n"/>
      <c r="BN33" s="129" t="n"/>
      <c r="BO33" s="129" t="n"/>
      <c r="BP33" s="129" t="n"/>
      <c r="BQ33" s="129" t="n"/>
      <c r="BR33" s="129" t="n"/>
      <c r="BS33" s="129" t="n"/>
      <c r="BT33" s="129" t="n"/>
      <c r="BU33" s="129" t="n"/>
      <c r="BV33" s="129" t="n"/>
      <c r="BW33" s="129" t="n"/>
      <c r="BX33" s="129" t="n"/>
      <c r="BY33" s="129" t="n"/>
      <c r="BZ33" s="129" t="n"/>
      <c r="CA33" s="129" t="n"/>
      <c r="CB33" s="129" t="n"/>
      <c r="CC33" s="129" t="n"/>
      <c r="CD33" s="129" t="n"/>
      <c r="CE33" s="129" t="n"/>
      <c r="CF33" s="129" t="n"/>
      <c r="CG33" s="129" t="n"/>
      <c r="CH33" s="129" t="n"/>
      <c r="CI33" s="129" t="n"/>
      <c r="CJ33" s="129" t="n"/>
      <c r="CK33" s="129" t="n"/>
      <c r="CL33" s="129" t="n"/>
      <c r="CM33" s="129" t="n"/>
      <c r="CN33" s="129" t="n"/>
      <c r="CO33" s="129" t="n"/>
      <c r="CP33" s="129" t="n"/>
      <c r="CQ33" s="129" t="n"/>
      <c r="CR33" s="129" t="n"/>
      <c r="CS33" s="129" t="n"/>
      <c r="CT33" s="129" t="n"/>
      <c r="CU33" s="129" t="n"/>
      <c r="CV33" s="129" t="n"/>
      <c r="CW33" s="129" t="n"/>
      <c r="CX33" s="129" t="n"/>
      <c r="CY33" s="129" t="n"/>
      <c r="CZ33" s="129" t="n"/>
      <c r="DA33" s="129" t="n"/>
      <c r="DB33" s="129" t="n"/>
      <c r="DC33" s="129" t="n"/>
      <c r="DD33" s="129" t="n"/>
      <c r="DE33" s="129" t="n"/>
      <c r="DF33" s="129" t="n"/>
      <c r="DG33" s="129" t="n"/>
      <c r="DH33" s="129" t="n"/>
      <c r="DI33" s="129" t="n"/>
      <c r="DJ33" s="129" t="n"/>
      <c r="DK33" s="129" t="n"/>
      <c r="DL33" s="129" t="n"/>
      <c r="DM33" s="129" t="n"/>
      <c r="DN33" s="129" t="n"/>
      <c r="DO33" s="129" t="n"/>
      <c r="DP33" s="129" t="n"/>
      <c r="DQ33" s="129" t="n"/>
      <c r="DR33" s="129" t="n"/>
      <c r="DS33" s="129" t="n"/>
      <c r="DT33" s="129" t="n"/>
      <c r="DU33" s="129" t="n"/>
      <c r="DV33" s="129" t="n"/>
      <c r="DW33" s="129" t="n"/>
      <c r="DX33" s="129" t="n"/>
      <c r="DY33" s="129" t="n"/>
      <c r="DZ33" s="129" t="n"/>
      <c r="EA33" s="129" t="n"/>
      <c r="EB33" s="129" t="n"/>
      <c r="EC33" s="129" t="n"/>
      <c r="ED33" s="129" t="n"/>
      <c r="EE33" s="129" t="n"/>
      <c r="EF33" s="129" t="n"/>
      <c r="EG33" s="129" t="n"/>
      <c r="EH33" s="129" t="n"/>
      <c r="EI33" s="129" t="n"/>
      <c r="EJ33" s="129" t="n"/>
      <c r="EK33" s="129" t="n"/>
      <c r="EL33" s="129" t="n"/>
      <c r="EM33" s="129" t="n"/>
      <c r="EN33" s="129" t="n"/>
      <c r="EO33" s="129" t="n"/>
      <c r="EP33" s="129" t="n"/>
      <c r="EQ33" s="129" t="n"/>
      <c r="ER33" s="129" t="n"/>
      <c r="ES33" s="129" t="n"/>
      <c r="ET33" s="129" t="n"/>
      <c r="EU33" s="129" t="n"/>
      <c r="EV33" s="129" t="n"/>
      <c r="EW33" s="129" t="n"/>
      <c r="EX33" s="129" t="n"/>
      <c r="EY33" s="129" t="n"/>
      <c r="EZ33" s="129" t="n"/>
      <c r="FA33" s="129" t="n"/>
      <c r="FB33" s="129" t="n"/>
      <c r="FC33" s="129" t="n"/>
      <c r="FD33" s="129" t="n"/>
      <c r="FE33" s="129" t="n"/>
      <c r="FF33" s="129" t="n"/>
      <c r="FG33" s="129" t="n"/>
      <c r="FH33" s="129" t="n"/>
      <c r="FI33" s="129" t="n"/>
      <c r="FJ33" s="129" t="n"/>
      <c r="FK33" s="129" t="n"/>
      <c r="FL33" s="129" t="n"/>
      <c r="FM33" s="129" t="n"/>
    </row>
    <row r="34" s="135">
      <c r="A34" s="92" t="n">
        <v>33724</v>
      </c>
      <c r="B34" s="93" t="n">
        <v>0.151</v>
      </c>
      <c r="C34" s="79" t="n"/>
      <c r="D34" s="129" t="n"/>
      <c r="E34" s="129" t="n"/>
      <c r="F34" s="129" t="n"/>
      <c r="G34" s="129" t="n"/>
      <c r="H34" s="129" t="n"/>
      <c r="I34" s="129" t="n"/>
      <c r="J34" s="129" t="n"/>
      <c r="K34" s="129" t="n"/>
      <c r="L34" s="129" t="n"/>
      <c r="M34" s="129" t="n"/>
      <c r="N34" s="129" t="n"/>
      <c r="O34" s="129" t="n"/>
      <c r="P34" s="129" t="n"/>
      <c r="Q34" s="129" t="n"/>
      <c r="R34" s="129" t="n"/>
      <c r="S34" s="129" t="n"/>
      <c r="T34" s="129" t="n"/>
      <c r="U34" s="129" t="n"/>
      <c r="V34" s="129" t="n"/>
      <c r="W34" s="129" t="n"/>
      <c r="X34" s="129" t="n"/>
      <c r="Y34" s="129" t="n"/>
      <c r="Z34" s="129" t="n"/>
      <c r="AA34" s="129" t="n"/>
      <c r="AB34" s="129" t="n"/>
      <c r="AC34" s="129" t="n"/>
      <c r="AD34" s="129" t="n"/>
      <c r="AE34" s="129" t="n"/>
      <c r="AF34" s="129" t="n"/>
      <c r="AG34" s="129" t="n"/>
      <c r="AH34" s="129" t="n"/>
      <c r="AI34" s="129" t="n"/>
      <c r="AJ34" s="129" t="n"/>
      <c r="AK34" s="129" t="n"/>
      <c r="AL34" s="129" t="n"/>
      <c r="AM34" s="129" t="n"/>
      <c r="AN34" s="129" t="n"/>
      <c r="AO34" s="129" t="n"/>
      <c r="AP34" s="129" t="n"/>
      <c r="AQ34" s="129" t="n"/>
      <c r="AR34" s="129" t="n"/>
      <c r="AS34" s="129" t="n"/>
      <c r="AT34" s="129" t="n"/>
      <c r="AU34" s="129" t="n"/>
      <c r="AV34" s="129" t="n"/>
      <c r="AW34" s="129" t="n"/>
      <c r="AX34" s="129" t="n"/>
      <c r="AY34" s="129" t="n"/>
      <c r="AZ34" s="129" t="n"/>
      <c r="BA34" s="129" t="n"/>
      <c r="BB34" s="129" t="n"/>
      <c r="BC34" s="129" t="n"/>
      <c r="BD34" s="129" t="n"/>
      <c r="BE34" s="129" t="n"/>
      <c r="BF34" s="129" t="n"/>
      <c r="BG34" s="129" t="n"/>
      <c r="BH34" s="129" t="n"/>
      <c r="BI34" s="129" t="n"/>
      <c r="BJ34" s="129" t="n"/>
      <c r="BK34" s="129" t="n"/>
      <c r="BL34" s="129" t="n"/>
      <c r="BM34" s="129" t="n"/>
      <c r="BN34" s="129" t="n"/>
      <c r="BO34" s="129" t="n"/>
      <c r="BP34" s="129" t="n"/>
      <c r="BQ34" s="129" t="n"/>
      <c r="BR34" s="129" t="n"/>
      <c r="BS34" s="129" t="n"/>
      <c r="BT34" s="129" t="n"/>
      <c r="BU34" s="129" t="n"/>
      <c r="BV34" s="129" t="n"/>
      <c r="BW34" s="129" t="n"/>
      <c r="BX34" s="129" t="n"/>
      <c r="BY34" s="129" t="n"/>
      <c r="BZ34" s="129" t="n"/>
      <c r="CA34" s="129" t="n"/>
      <c r="CB34" s="129" t="n"/>
      <c r="CC34" s="129" t="n"/>
      <c r="CD34" s="129" t="n"/>
      <c r="CE34" s="129" t="n"/>
      <c r="CF34" s="129" t="n"/>
      <c r="CG34" s="129" t="n"/>
      <c r="CH34" s="129" t="n"/>
      <c r="CI34" s="129" t="n"/>
      <c r="CJ34" s="129" t="n"/>
      <c r="CK34" s="129" t="n"/>
      <c r="CL34" s="129" t="n"/>
      <c r="CM34" s="129" t="n"/>
      <c r="CN34" s="129" t="n"/>
      <c r="CO34" s="129" t="n"/>
      <c r="CP34" s="129" t="n"/>
      <c r="CQ34" s="129" t="n"/>
      <c r="CR34" s="129" t="n"/>
      <c r="CS34" s="129" t="n"/>
      <c r="CT34" s="129" t="n"/>
      <c r="CU34" s="129" t="n"/>
      <c r="CV34" s="129" t="n"/>
      <c r="CW34" s="129" t="n"/>
      <c r="CX34" s="129" t="n"/>
      <c r="CY34" s="129" t="n"/>
      <c r="CZ34" s="129" t="n"/>
      <c r="DA34" s="129" t="n"/>
      <c r="DB34" s="129" t="n"/>
      <c r="DC34" s="129" t="n"/>
      <c r="DD34" s="129" t="n"/>
      <c r="DE34" s="129" t="n"/>
      <c r="DF34" s="129" t="n"/>
      <c r="DG34" s="129" t="n"/>
      <c r="DH34" s="129" t="n"/>
      <c r="DI34" s="129" t="n"/>
      <c r="DJ34" s="129" t="n"/>
      <c r="DK34" s="129" t="n"/>
      <c r="DL34" s="129" t="n"/>
      <c r="DM34" s="129" t="n"/>
      <c r="DN34" s="129" t="n"/>
      <c r="DO34" s="129" t="n"/>
      <c r="DP34" s="129" t="n"/>
      <c r="DQ34" s="129" t="n"/>
      <c r="DR34" s="129" t="n"/>
      <c r="DS34" s="129" t="n"/>
      <c r="DT34" s="129" t="n"/>
      <c r="DU34" s="129" t="n"/>
      <c r="DV34" s="129" t="n"/>
      <c r="DW34" s="129" t="n"/>
      <c r="DX34" s="129" t="n"/>
      <c r="DY34" s="129" t="n"/>
      <c r="DZ34" s="129" t="n"/>
      <c r="EA34" s="129" t="n"/>
      <c r="EB34" s="129" t="n"/>
      <c r="EC34" s="129" t="n"/>
      <c r="ED34" s="129" t="n"/>
      <c r="EE34" s="129" t="n"/>
      <c r="EF34" s="129" t="n"/>
      <c r="EG34" s="129" t="n"/>
      <c r="EH34" s="129" t="n"/>
      <c r="EI34" s="129" t="n"/>
      <c r="EJ34" s="129" t="n"/>
      <c r="EK34" s="129" t="n"/>
      <c r="EL34" s="129" t="n"/>
      <c r="EM34" s="129" t="n"/>
      <c r="EN34" s="129" t="n"/>
      <c r="EO34" s="129" t="n"/>
      <c r="EP34" s="129" t="n"/>
      <c r="EQ34" s="129" t="n"/>
      <c r="ER34" s="129" t="n"/>
      <c r="ES34" s="129" t="n"/>
      <c r="ET34" s="129" t="n"/>
      <c r="EU34" s="129" t="n"/>
      <c r="EV34" s="129" t="n"/>
      <c r="EW34" s="129" t="n"/>
      <c r="EX34" s="129" t="n"/>
      <c r="EY34" s="129" t="n"/>
      <c r="EZ34" s="129" t="n"/>
      <c r="FA34" s="129" t="n"/>
      <c r="FB34" s="129" t="n"/>
      <c r="FC34" s="129" t="n"/>
      <c r="FD34" s="129" t="n"/>
      <c r="FE34" s="129" t="n"/>
      <c r="FF34" s="129" t="n"/>
      <c r="FG34" s="129" t="n"/>
      <c r="FH34" s="129" t="n"/>
      <c r="FI34" s="129" t="n"/>
      <c r="FJ34" s="129" t="n"/>
      <c r="FK34" s="129" t="n"/>
      <c r="FL34" s="129" t="n"/>
      <c r="FM34" s="129" t="n"/>
    </row>
    <row r="35" s="135">
      <c r="A35" s="90" t="n">
        <v>33755</v>
      </c>
      <c r="B35" s="91" t="n">
        <v>0.143</v>
      </c>
      <c r="C35" s="79" t="n"/>
      <c r="D35" s="129" t="n"/>
      <c r="E35" s="129" t="n"/>
      <c r="F35" s="129" t="n"/>
      <c r="G35" s="129" t="n"/>
      <c r="H35" s="129" t="n"/>
      <c r="I35" s="129" t="n"/>
      <c r="J35" s="129" t="n"/>
      <c r="K35" s="129" t="n"/>
      <c r="L35" s="129" t="n"/>
      <c r="M35" s="129" t="n"/>
      <c r="N35" s="129" t="n"/>
      <c r="O35" s="129" t="n"/>
      <c r="P35" s="129" t="n"/>
      <c r="Q35" s="129" t="n"/>
      <c r="R35" s="129" t="n"/>
      <c r="S35" s="129" t="n"/>
      <c r="T35" s="129" t="n"/>
      <c r="U35" s="129" t="n"/>
      <c r="V35" s="129" t="n"/>
      <c r="W35" s="129" t="n"/>
      <c r="X35" s="129" t="n"/>
      <c r="Y35" s="129" t="n"/>
      <c r="Z35" s="129" t="n"/>
      <c r="AA35" s="129" t="n"/>
      <c r="AB35" s="129" t="n"/>
      <c r="AC35" s="129" t="n"/>
      <c r="AD35" s="129" t="n"/>
      <c r="AE35" s="129" t="n"/>
      <c r="AF35" s="129" t="n"/>
      <c r="AG35" s="129" t="n"/>
      <c r="AH35" s="129" t="n"/>
      <c r="AI35" s="129" t="n"/>
      <c r="AJ35" s="129" t="n"/>
      <c r="AK35" s="129" t="n"/>
      <c r="AL35" s="129" t="n"/>
      <c r="AM35" s="129" t="n"/>
      <c r="AN35" s="129" t="n"/>
      <c r="AO35" s="129" t="n"/>
      <c r="AP35" s="129" t="n"/>
      <c r="AQ35" s="129" t="n"/>
      <c r="AR35" s="129" t="n"/>
      <c r="AS35" s="129" t="n"/>
      <c r="AT35" s="129" t="n"/>
      <c r="AU35" s="129" t="n"/>
      <c r="AV35" s="129" t="n"/>
      <c r="AW35" s="129" t="n"/>
      <c r="AX35" s="129" t="n"/>
      <c r="AY35" s="129" t="n"/>
      <c r="AZ35" s="129" t="n"/>
      <c r="BA35" s="129" t="n"/>
      <c r="BB35" s="129" t="n"/>
      <c r="BC35" s="129" t="n"/>
      <c r="BD35" s="129" t="n"/>
      <c r="BE35" s="129" t="n"/>
      <c r="BF35" s="129" t="n"/>
      <c r="BG35" s="129" t="n"/>
      <c r="BH35" s="129" t="n"/>
      <c r="BI35" s="129" t="n"/>
      <c r="BJ35" s="129" t="n"/>
      <c r="BK35" s="129" t="n"/>
      <c r="BL35" s="129" t="n"/>
      <c r="BM35" s="129" t="n"/>
      <c r="BN35" s="129" t="n"/>
      <c r="BO35" s="129" t="n"/>
      <c r="BP35" s="129" t="n"/>
      <c r="BQ35" s="129" t="n"/>
      <c r="BR35" s="129" t="n"/>
      <c r="BS35" s="129" t="n"/>
      <c r="BT35" s="129" t="n"/>
      <c r="BU35" s="129" t="n"/>
      <c r="BV35" s="129" t="n"/>
      <c r="BW35" s="129" t="n"/>
      <c r="BX35" s="129" t="n"/>
      <c r="BY35" s="129" t="n"/>
      <c r="BZ35" s="129" t="n"/>
      <c r="CA35" s="129" t="n"/>
      <c r="CB35" s="129" t="n"/>
      <c r="CC35" s="129" t="n"/>
      <c r="CD35" s="129" t="n"/>
      <c r="CE35" s="129" t="n"/>
      <c r="CF35" s="129" t="n"/>
      <c r="CG35" s="129" t="n"/>
      <c r="CH35" s="129" t="n"/>
      <c r="CI35" s="129" t="n"/>
      <c r="CJ35" s="129" t="n"/>
      <c r="CK35" s="129" t="n"/>
      <c r="CL35" s="129" t="n"/>
      <c r="CM35" s="129" t="n"/>
      <c r="CN35" s="129" t="n"/>
      <c r="CO35" s="129" t="n"/>
      <c r="CP35" s="129" t="n"/>
      <c r="CQ35" s="129" t="n"/>
      <c r="CR35" s="129" t="n"/>
      <c r="CS35" s="129" t="n"/>
      <c r="CT35" s="129" t="n"/>
      <c r="CU35" s="129" t="n"/>
      <c r="CV35" s="129" t="n"/>
      <c r="CW35" s="129" t="n"/>
      <c r="CX35" s="129" t="n"/>
      <c r="CY35" s="129" t="n"/>
      <c r="CZ35" s="129" t="n"/>
      <c r="DA35" s="129" t="n"/>
      <c r="DB35" s="129" t="n"/>
      <c r="DC35" s="129" t="n"/>
      <c r="DD35" s="129" t="n"/>
      <c r="DE35" s="129" t="n"/>
      <c r="DF35" s="129" t="n"/>
      <c r="DG35" s="129" t="n"/>
      <c r="DH35" s="129" t="n"/>
      <c r="DI35" s="129" t="n"/>
      <c r="DJ35" s="129" t="n"/>
      <c r="DK35" s="129" t="n"/>
      <c r="DL35" s="129" t="n"/>
      <c r="DM35" s="129" t="n"/>
      <c r="DN35" s="129" t="n"/>
      <c r="DO35" s="129" t="n"/>
      <c r="DP35" s="129" t="n"/>
      <c r="DQ35" s="129" t="n"/>
      <c r="DR35" s="129" t="n"/>
      <c r="DS35" s="129" t="n"/>
      <c r="DT35" s="129" t="n"/>
      <c r="DU35" s="129" t="n"/>
      <c r="DV35" s="129" t="n"/>
      <c r="DW35" s="129" t="n"/>
      <c r="DX35" s="129" t="n"/>
      <c r="DY35" s="129" t="n"/>
      <c r="DZ35" s="129" t="n"/>
      <c r="EA35" s="129" t="n"/>
      <c r="EB35" s="129" t="n"/>
      <c r="EC35" s="129" t="n"/>
      <c r="ED35" s="129" t="n"/>
      <c r="EE35" s="129" t="n"/>
      <c r="EF35" s="129" t="n"/>
      <c r="EG35" s="129" t="n"/>
      <c r="EH35" s="129" t="n"/>
      <c r="EI35" s="129" t="n"/>
      <c r="EJ35" s="129" t="n"/>
      <c r="EK35" s="129" t="n"/>
      <c r="EL35" s="129" t="n"/>
      <c r="EM35" s="129" t="n"/>
      <c r="EN35" s="129" t="n"/>
      <c r="EO35" s="129" t="n"/>
      <c r="EP35" s="129" t="n"/>
      <c r="EQ35" s="129" t="n"/>
      <c r="ER35" s="129" t="n"/>
      <c r="ES35" s="129" t="n"/>
      <c r="ET35" s="129" t="n"/>
      <c r="EU35" s="129" t="n"/>
      <c r="EV35" s="129" t="n"/>
      <c r="EW35" s="129" t="n"/>
      <c r="EX35" s="129" t="n"/>
      <c r="EY35" s="129" t="n"/>
      <c r="EZ35" s="129" t="n"/>
      <c r="FA35" s="129" t="n"/>
      <c r="FB35" s="129" t="n"/>
      <c r="FC35" s="129" t="n"/>
      <c r="FD35" s="129" t="n"/>
      <c r="FE35" s="129" t="n"/>
      <c r="FF35" s="129" t="n"/>
      <c r="FG35" s="129" t="n"/>
      <c r="FH35" s="129" t="n"/>
      <c r="FI35" s="129" t="n"/>
      <c r="FJ35" s="129" t="n"/>
      <c r="FK35" s="129" t="n"/>
      <c r="FL35" s="129" t="n"/>
      <c r="FM35" s="129" t="n"/>
    </row>
    <row r="36" s="135">
      <c r="A36" s="92" t="n">
        <v>33785</v>
      </c>
      <c r="B36" s="93" t="n">
        <v>0.168</v>
      </c>
      <c r="C36" s="79" t="n"/>
      <c r="D36" s="129" t="n"/>
      <c r="E36" s="129" t="n"/>
      <c r="F36" s="129" t="n"/>
      <c r="G36" s="129" t="n"/>
      <c r="H36" s="129" t="n"/>
      <c r="I36" s="129" t="n"/>
      <c r="J36" s="129" t="n"/>
      <c r="K36" s="129" t="n"/>
      <c r="L36" s="129" t="n"/>
      <c r="M36" s="129" t="n"/>
      <c r="N36" s="129" t="n"/>
      <c r="O36" s="129" t="n"/>
      <c r="P36" s="129" t="n"/>
      <c r="Q36" s="129" t="n"/>
      <c r="R36" s="129" t="n"/>
      <c r="S36" s="129" t="n"/>
      <c r="T36" s="129" t="n"/>
      <c r="U36" s="129" t="n"/>
      <c r="V36" s="129" t="n"/>
      <c r="W36" s="129" t="n"/>
      <c r="X36" s="129" t="n"/>
      <c r="Y36" s="129" t="n"/>
      <c r="Z36" s="129" t="n"/>
      <c r="AA36" s="129" t="n"/>
      <c r="AB36" s="129" t="n"/>
      <c r="AC36" s="129" t="n"/>
      <c r="AD36" s="129" t="n"/>
      <c r="AE36" s="129" t="n"/>
      <c r="AF36" s="129" t="n"/>
      <c r="AG36" s="129" t="n"/>
      <c r="AH36" s="129" t="n"/>
      <c r="AI36" s="129" t="n"/>
      <c r="AJ36" s="129" t="n"/>
      <c r="AK36" s="129" t="n"/>
      <c r="AL36" s="129" t="n"/>
      <c r="AM36" s="129" t="n"/>
      <c r="AN36" s="129" t="n"/>
      <c r="AO36" s="129" t="n"/>
      <c r="AP36" s="129" t="n"/>
      <c r="AQ36" s="129" t="n"/>
      <c r="AR36" s="129" t="n"/>
      <c r="AS36" s="129" t="n"/>
      <c r="AT36" s="129" t="n"/>
      <c r="AU36" s="129" t="n"/>
      <c r="AV36" s="129" t="n"/>
      <c r="AW36" s="129" t="n"/>
      <c r="AX36" s="129" t="n"/>
      <c r="AY36" s="129" t="n"/>
      <c r="AZ36" s="129" t="n"/>
      <c r="BA36" s="129" t="n"/>
      <c r="BB36" s="129" t="n"/>
      <c r="BC36" s="129" t="n"/>
      <c r="BD36" s="129" t="n"/>
      <c r="BE36" s="129" t="n"/>
      <c r="BF36" s="129" t="n"/>
      <c r="BG36" s="129" t="n"/>
      <c r="BH36" s="129" t="n"/>
      <c r="BI36" s="129" t="n"/>
      <c r="BJ36" s="129" t="n"/>
      <c r="BK36" s="129" t="n"/>
      <c r="BL36" s="129" t="n"/>
      <c r="BM36" s="129" t="n"/>
      <c r="BN36" s="129" t="n"/>
      <c r="BO36" s="129" t="n"/>
      <c r="BP36" s="129" t="n"/>
      <c r="BQ36" s="129" t="n"/>
      <c r="BR36" s="129" t="n"/>
      <c r="BS36" s="129" t="n"/>
      <c r="BT36" s="129" t="n"/>
      <c r="BU36" s="129" t="n"/>
      <c r="BV36" s="129" t="n"/>
      <c r="BW36" s="129" t="n"/>
      <c r="BX36" s="129" t="n"/>
      <c r="BY36" s="129" t="n"/>
      <c r="BZ36" s="129" t="n"/>
      <c r="CA36" s="129" t="n"/>
      <c r="CB36" s="129" t="n"/>
      <c r="CC36" s="129" t="n"/>
      <c r="CD36" s="129" t="n"/>
      <c r="CE36" s="129" t="n"/>
      <c r="CF36" s="129" t="n"/>
      <c r="CG36" s="129" t="n"/>
      <c r="CH36" s="129" t="n"/>
      <c r="CI36" s="129" t="n"/>
      <c r="CJ36" s="129" t="n"/>
      <c r="CK36" s="129" t="n"/>
      <c r="CL36" s="129" t="n"/>
      <c r="CM36" s="129" t="n"/>
      <c r="CN36" s="129" t="n"/>
      <c r="CO36" s="129" t="n"/>
      <c r="CP36" s="129" t="n"/>
      <c r="CQ36" s="129" t="n"/>
      <c r="CR36" s="129" t="n"/>
      <c r="CS36" s="129" t="n"/>
      <c r="CT36" s="129" t="n"/>
      <c r="CU36" s="129" t="n"/>
      <c r="CV36" s="129" t="n"/>
      <c r="CW36" s="129" t="n"/>
      <c r="CX36" s="129" t="n"/>
      <c r="CY36" s="129" t="n"/>
      <c r="CZ36" s="129" t="n"/>
      <c r="DA36" s="129" t="n"/>
      <c r="DB36" s="129" t="n"/>
      <c r="DC36" s="129" t="n"/>
      <c r="DD36" s="129" t="n"/>
      <c r="DE36" s="129" t="n"/>
      <c r="DF36" s="129" t="n"/>
      <c r="DG36" s="129" t="n"/>
      <c r="DH36" s="129" t="n"/>
      <c r="DI36" s="129" t="n"/>
      <c r="DJ36" s="129" t="n"/>
      <c r="DK36" s="129" t="n"/>
      <c r="DL36" s="129" t="n"/>
      <c r="DM36" s="129" t="n"/>
      <c r="DN36" s="129" t="n"/>
      <c r="DO36" s="129" t="n"/>
      <c r="DP36" s="129" t="n"/>
      <c r="DQ36" s="129" t="n"/>
      <c r="DR36" s="129" t="n"/>
      <c r="DS36" s="129" t="n"/>
      <c r="DT36" s="129" t="n"/>
      <c r="DU36" s="129" t="n"/>
      <c r="DV36" s="129" t="n"/>
      <c r="DW36" s="129" t="n"/>
      <c r="DX36" s="129" t="n"/>
      <c r="DY36" s="129" t="n"/>
      <c r="DZ36" s="129" t="n"/>
      <c r="EA36" s="129" t="n"/>
      <c r="EB36" s="129" t="n"/>
      <c r="EC36" s="129" t="n"/>
      <c r="ED36" s="129" t="n"/>
      <c r="EE36" s="129" t="n"/>
      <c r="EF36" s="129" t="n"/>
      <c r="EG36" s="129" t="n"/>
      <c r="EH36" s="129" t="n"/>
      <c r="EI36" s="129" t="n"/>
      <c r="EJ36" s="129" t="n"/>
      <c r="EK36" s="129" t="n"/>
      <c r="EL36" s="129" t="n"/>
      <c r="EM36" s="129" t="n"/>
      <c r="EN36" s="129" t="n"/>
      <c r="EO36" s="129" t="n"/>
      <c r="EP36" s="129" t="n"/>
      <c r="EQ36" s="129" t="n"/>
      <c r="ER36" s="129" t="n"/>
      <c r="ES36" s="129" t="n"/>
      <c r="ET36" s="129" t="n"/>
      <c r="EU36" s="129" t="n"/>
      <c r="EV36" s="129" t="n"/>
      <c r="EW36" s="129" t="n"/>
      <c r="EX36" s="129" t="n"/>
      <c r="EY36" s="129" t="n"/>
      <c r="EZ36" s="129" t="n"/>
      <c r="FA36" s="129" t="n"/>
      <c r="FB36" s="129" t="n"/>
      <c r="FC36" s="129" t="n"/>
      <c r="FD36" s="129" t="n"/>
      <c r="FE36" s="129" t="n"/>
      <c r="FF36" s="129" t="n"/>
      <c r="FG36" s="129" t="n"/>
      <c r="FH36" s="129" t="n"/>
      <c r="FI36" s="129" t="n"/>
      <c r="FJ36" s="129" t="n"/>
      <c r="FK36" s="129" t="n"/>
      <c r="FL36" s="129" t="n"/>
      <c r="FM36" s="129" t="n"/>
    </row>
    <row r="37" s="135">
      <c r="A37" s="90" t="n">
        <v>33816</v>
      </c>
      <c r="B37" s="91" t="n">
        <v>0.193</v>
      </c>
      <c r="C37" s="79" t="n"/>
      <c r="D37" s="129" t="n"/>
      <c r="E37" s="129" t="n"/>
      <c r="F37" s="129" t="n"/>
      <c r="G37" s="129" t="n"/>
      <c r="H37" s="129" t="n"/>
      <c r="I37" s="129" t="n"/>
      <c r="J37" s="129" t="n"/>
      <c r="K37" s="129" t="n"/>
      <c r="L37" s="129" t="n"/>
      <c r="M37" s="129" t="n"/>
      <c r="N37" s="129" t="n"/>
      <c r="O37" s="129" t="n"/>
      <c r="P37" s="129" t="n"/>
      <c r="Q37" s="129" t="n"/>
      <c r="R37" s="129" t="n"/>
      <c r="S37" s="129" t="n"/>
      <c r="T37" s="129" t="n"/>
      <c r="U37" s="129" t="n"/>
      <c r="V37" s="129" t="n"/>
      <c r="W37" s="129" t="n"/>
      <c r="X37" s="129" t="n"/>
      <c r="Y37" s="129" t="n"/>
      <c r="Z37" s="129" t="n"/>
      <c r="AA37" s="129" t="n"/>
      <c r="AB37" s="129" t="n"/>
      <c r="AC37" s="129" t="n"/>
      <c r="AD37" s="129" t="n"/>
      <c r="AE37" s="129" t="n"/>
      <c r="AF37" s="129" t="n"/>
      <c r="AG37" s="129" t="n"/>
      <c r="AH37" s="129" t="n"/>
      <c r="AI37" s="129" t="n"/>
      <c r="AJ37" s="129" t="n"/>
      <c r="AK37" s="129" t="n"/>
      <c r="AL37" s="129" t="n"/>
      <c r="AM37" s="129" t="n"/>
      <c r="AN37" s="129" t="n"/>
      <c r="AO37" s="129" t="n"/>
      <c r="AP37" s="129" t="n"/>
      <c r="AQ37" s="129" t="n"/>
      <c r="AR37" s="129" t="n"/>
      <c r="AS37" s="129" t="n"/>
      <c r="AT37" s="129" t="n"/>
      <c r="AU37" s="129" t="n"/>
      <c r="AV37" s="129" t="n"/>
      <c r="AW37" s="129" t="n"/>
      <c r="AX37" s="129" t="n"/>
      <c r="AY37" s="129" t="n"/>
      <c r="AZ37" s="129" t="n"/>
      <c r="BA37" s="129" t="n"/>
      <c r="BB37" s="129" t="n"/>
      <c r="BC37" s="129" t="n"/>
      <c r="BD37" s="129" t="n"/>
      <c r="BE37" s="129" t="n"/>
      <c r="BF37" s="129" t="n"/>
      <c r="BG37" s="129" t="n"/>
      <c r="BH37" s="129" t="n"/>
      <c r="BI37" s="129" t="n"/>
      <c r="BJ37" s="129" t="n"/>
      <c r="BK37" s="129" t="n"/>
      <c r="BL37" s="129" t="n"/>
      <c r="BM37" s="129" t="n"/>
      <c r="BN37" s="129" t="n"/>
      <c r="BO37" s="129" t="n"/>
      <c r="BP37" s="129" t="n"/>
      <c r="BQ37" s="129" t="n"/>
      <c r="BR37" s="129" t="n"/>
      <c r="BS37" s="129" t="n"/>
      <c r="BT37" s="129" t="n"/>
      <c r="BU37" s="129" t="n"/>
      <c r="BV37" s="129" t="n"/>
      <c r="BW37" s="129" t="n"/>
      <c r="BX37" s="129" t="n"/>
      <c r="BY37" s="129" t="n"/>
      <c r="BZ37" s="129" t="n"/>
      <c r="CA37" s="129" t="n"/>
      <c r="CB37" s="129" t="n"/>
      <c r="CC37" s="129" t="n"/>
      <c r="CD37" s="129" t="n"/>
      <c r="CE37" s="129" t="n"/>
      <c r="CF37" s="129" t="n"/>
      <c r="CG37" s="129" t="n"/>
      <c r="CH37" s="129" t="n"/>
      <c r="CI37" s="129" t="n"/>
      <c r="CJ37" s="129" t="n"/>
      <c r="CK37" s="129" t="n"/>
      <c r="CL37" s="129" t="n"/>
      <c r="CM37" s="129" t="n"/>
      <c r="CN37" s="129" t="n"/>
      <c r="CO37" s="129" t="n"/>
      <c r="CP37" s="129" t="n"/>
      <c r="CQ37" s="129" t="n"/>
      <c r="CR37" s="129" t="n"/>
      <c r="CS37" s="129" t="n"/>
      <c r="CT37" s="129" t="n"/>
      <c r="CU37" s="129" t="n"/>
      <c r="CV37" s="129" t="n"/>
      <c r="CW37" s="129" t="n"/>
      <c r="CX37" s="129" t="n"/>
      <c r="CY37" s="129" t="n"/>
      <c r="CZ37" s="129" t="n"/>
      <c r="DA37" s="129" t="n"/>
      <c r="DB37" s="129" t="n"/>
      <c r="DC37" s="129" t="n"/>
      <c r="DD37" s="129" t="n"/>
      <c r="DE37" s="129" t="n"/>
      <c r="DF37" s="129" t="n"/>
      <c r="DG37" s="129" t="n"/>
      <c r="DH37" s="129" t="n"/>
      <c r="DI37" s="129" t="n"/>
      <c r="DJ37" s="129" t="n"/>
      <c r="DK37" s="129" t="n"/>
      <c r="DL37" s="129" t="n"/>
      <c r="DM37" s="129" t="n"/>
      <c r="DN37" s="129" t="n"/>
      <c r="DO37" s="129" t="n"/>
      <c r="DP37" s="129" t="n"/>
      <c r="DQ37" s="129" t="n"/>
      <c r="DR37" s="129" t="n"/>
      <c r="DS37" s="129" t="n"/>
      <c r="DT37" s="129" t="n"/>
      <c r="DU37" s="129" t="n"/>
      <c r="DV37" s="129" t="n"/>
      <c r="DW37" s="129" t="n"/>
      <c r="DX37" s="129" t="n"/>
      <c r="DY37" s="129" t="n"/>
      <c r="DZ37" s="129" t="n"/>
      <c r="EA37" s="129" t="n"/>
      <c r="EB37" s="129" t="n"/>
      <c r="EC37" s="129" t="n"/>
      <c r="ED37" s="129" t="n"/>
      <c r="EE37" s="129" t="n"/>
      <c r="EF37" s="129" t="n"/>
      <c r="EG37" s="129" t="n"/>
      <c r="EH37" s="129" t="n"/>
      <c r="EI37" s="129" t="n"/>
      <c r="EJ37" s="129" t="n"/>
      <c r="EK37" s="129" t="n"/>
      <c r="EL37" s="129" t="n"/>
      <c r="EM37" s="129" t="n"/>
      <c r="EN37" s="129" t="n"/>
      <c r="EO37" s="129" t="n"/>
      <c r="EP37" s="129" t="n"/>
      <c r="EQ37" s="129" t="n"/>
      <c r="ER37" s="129" t="n"/>
      <c r="ES37" s="129" t="n"/>
      <c r="ET37" s="129" t="n"/>
      <c r="EU37" s="129" t="n"/>
      <c r="EV37" s="129" t="n"/>
      <c r="EW37" s="129" t="n"/>
      <c r="EX37" s="129" t="n"/>
      <c r="EY37" s="129" t="n"/>
      <c r="EZ37" s="129" t="n"/>
      <c r="FA37" s="129" t="n"/>
      <c r="FB37" s="129" t="n"/>
      <c r="FC37" s="129" t="n"/>
      <c r="FD37" s="129" t="n"/>
      <c r="FE37" s="129" t="n"/>
      <c r="FF37" s="129" t="n"/>
      <c r="FG37" s="129" t="n"/>
      <c r="FH37" s="129" t="n"/>
      <c r="FI37" s="129" t="n"/>
      <c r="FJ37" s="129" t="n"/>
      <c r="FK37" s="129" t="n"/>
      <c r="FL37" s="129" t="n"/>
      <c r="FM37" s="129" t="n"/>
    </row>
    <row r="38" s="135">
      <c r="A38" s="92" t="n">
        <v>33847</v>
      </c>
      <c r="B38" s="93" t="n">
        <v>0.176</v>
      </c>
      <c r="C38" s="79" t="n"/>
      <c r="D38" s="129" t="n"/>
      <c r="E38" s="129" t="n"/>
      <c r="F38" s="129" t="n"/>
      <c r="G38" s="129" t="n"/>
      <c r="H38" s="129" t="n"/>
      <c r="I38" s="129" t="n"/>
      <c r="J38" s="129" t="n"/>
      <c r="K38" s="129" t="n"/>
      <c r="L38" s="129" t="n"/>
      <c r="M38" s="129" t="n"/>
      <c r="N38" s="129" t="n"/>
      <c r="O38" s="129" t="n"/>
      <c r="P38" s="129" t="n"/>
      <c r="Q38" s="129" t="n"/>
      <c r="R38" s="129" t="n"/>
      <c r="S38" s="129" t="n"/>
      <c r="T38" s="129" t="n"/>
      <c r="U38" s="129" t="n"/>
      <c r="V38" s="129" t="n"/>
      <c r="W38" s="129" t="n"/>
      <c r="X38" s="129" t="n"/>
      <c r="Y38" s="129" t="n"/>
      <c r="Z38" s="129" t="n"/>
      <c r="AA38" s="129" t="n"/>
      <c r="AB38" s="129" t="n"/>
      <c r="AC38" s="129" t="n"/>
      <c r="AD38" s="129" t="n"/>
      <c r="AE38" s="129" t="n"/>
      <c r="AF38" s="129" t="n"/>
      <c r="AG38" s="129" t="n"/>
      <c r="AH38" s="129" t="n"/>
      <c r="AI38" s="129" t="n"/>
      <c r="AJ38" s="129" t="n"/>
      <c r="AK38" s="129" t="n"/>
      <c r="AL38" s="129" t="n"/>
      <c r="AM38" s="129" t="n"/>
      <c r="AN38" s="129" t="n"/>
      <c r="AO38" s="129" t="n"/>
      <c r="AP38" s="129" t="n"/>
      <c r="AQ38" s="129" t="n"/>
      <c r="AR38" s="129" t="n"/>
      <c r="AS38" s="129" t="n"/>
      <c r="AT38" s="129" t="n"/>
      <c r="AU38" s="129" t="n"/>
      <c r="AV38" s="129" t="n"/>
      <c r="AW38" s="129" t="n"/>
      <c r="AX38" s="129" t="n"/>
      <c r="AY38" s="129" t="n"/>
      <c r="AZ38" s="129" t="n"/>
      <c r="BA38" s="129" t="n"/>
      <c r="BB38" s="129" t="n"/>
      <c r="BC38" s="129" t="n"/>
      <c r="BD38" s="129" t="n"/>
      <c r="BE38" s="129" t="n"/>
      <c r="BF38" s="129" t="n"/>
      <c r="BG38" s="129" t="n"/>
      <c r="BH38" s="129" t="n"/>
      <c r="BI38" s="129" t="n"/>
      <c r="BJ38" s="129" t="n"/>
      <c r="BK38" s="129" t="n"/>
      <c r="BL38" s="129" t="n"/>
      <c r="BM38" s="129" t="n"/>
      <c r="BN38" s="129" t="n"/>
      <c r="BO38" s="129" t="n"/>
      <c r="BP38" s="129" t="n"/>
      <c r="BQ38" s="129" t="n"/>
      <c r="BR38" s="129" t="n"/>
      <c r="BS38" s="129" t="n"/>
      <c r="BT38" s="129" t="n"/>
      <c r="BU38" s="129" t="n"/>
      <c r="BV38" s="129" t="n"/>
      <c r="BW38" s="129" t="n"/>
      <c r="BX38" s="129" t="n"/>
      <c r="BY38" s="129" t="n"/>
      <c r="BZ38" s="129" t="n"/>
      <c r="CA38" s="129" t="n"/>
      <c r="CB38" s="129" t="n"/>
      <c r="CC38" s="129" t="n"/>
      <c r="CD38" s="129" t="n"/>
      <c r="CE38" s="129" t="n"/>
      <c r="CF38" s="129" t="n"/>
      <c r="CG38" s="129" t="n"/>
      <c r="CH38" s="129" t="n"/>
      <c r="CI38" s="129" t="n"/>
      <c r="CJ38" s="129" t="n"/>
      <c r="CK38" s="129" t="n"/>
      <c r="CL38" s="129" t="n"/>
      <c r="CM38" s="129" t="n"/>
      <c r="CN38" s="129" t="n"/>
      <c r="CO38" s="129" t="n"/>
      <c r="CP38" s="129" t="n"/>
      <c r="CQ38" s="129" t="n"/>
      <c r="CR38" s="129" t="n"/>
      <c r="CS38" s="129" t="n"/>
      <c r="CT38" s="129" t="n"/>
      <c r="CU38" s="129" t="n"/>
      <c r="CV38" s="129" t="n"/>
      <c r="CW38" s="129" t="n"/>
      <c r="CX38" s="129" t="n"/>
      <c r="CY38" s="129" t="n"/>
      <c r="CZ38" s="129" t="n"/>
      <c r="DA38" s="129" t="n"/>
      <c r="DB38" s="129" t="n"/>
      <c r="DC38" s="129" t="n"/>
      <c r="DD38" s="129" t="n"/>
      <c r="DE38" s="129" t="n"/>
      <c r="DF38" s="129" t="n"/>
      <c r="DG38" s="129" t="n"/>
      <c r="DH38" s="129" t="n"/>
      <c r="DI38" s="129" t="n"/>
      <c r="DJ38" s="129" t="n"/>
      <c r="DK38" s="129" t="n"/>
      <c r="DL38" s="129" t="n"/>
      <c r="DM38" s="129" t="n"/>
      <c r="DN38" s="129" t="n"/>
      <c r="DO38" s="129" t="n"/>
      <c r="DP38" s="129" t="n"/>
      <c r="DQ38" s="129" t="n"/>
      <c r="DR38" s="129" t="n"/>
      <c r="DS38" s="129" t="n"/>
      <c r="DT38" s="129" t="n"/>
      <c r="DU38" s="129" t="n"/>
      <c r="DV38" s="129" t="n"/>
      <c r="DW38" s="129" t="n"/>
      <c r="DX38" s="129" t="n"/>
      <c r="DY38" s="129" t="n"/>
      <c r="DZ38" s="129" t="n"/>
      <c r="EA38" s="129" t="n"/>
      <c r="EB38" s="129" t="n"/>
      <c r="EC38" s="129" t="n"/>
      <c r="ED38" s="129" t="n"/>
      <c r="EE38" s="129" t="n"/>
      <c r="EF38" s="129" t="n"/>
      <c r="EG38" s="129" t="n"/>
      <c r="EH38" s="129" t="n"/>
      <c r="EI38" s="129" t="n"/>
      <c r="EJ38" s="129" t="n"/>
      <c r="EK38" s="129" t="n"/>
      <c r="EL38" s="129" t="n"/>
      <c r="EM38" s="129" t="n"/>
      <c r="EN38" s="129" t="n"/>
      <c r="EO38" s="129" t="n"/>
      <c r="EP38" s="129" t="n"/>
      <c r="EQ38" s="129" t="n"/>
      <c r="ER38" s="129" t="n"/>
      <c r="ES38" s="129" t="n"/>
      <c r="ET38" s="129" t="n"/>
      <c r="EU38" s="129" t="n"/>
      <c r="EV38" s="129" t="n"/>
      <c r="EW38" s="129" t="n"/>
      <c r="EX38" s="129" t="n"/>
      <c r="EY38" s="129" t="n"/>
      <c r="EZ38" s="129" t="n"/>
      <c r="FA38" s="129" t="n"/>
      <c r="FB38" s="129" t="n"/>
      <c r="FC38" s="129" t="n"/>
      <c r="FD38" s="129" t="n"/>
      <c r="FE38" s="129" t="n"/>
      <c r="FF38" s="129" t="n"/>
      <c r="FG38" s="129" t="n"/>
      <c r="FH38" s="129" t="n"/>
      <c r="FI38" s="129" t="n"/>
      <c r="FJ38" s="129" t="n"/>
      <c r="FK38" s="129" t="n"/>
      <c r="FL38" s="129" t="n"/>
      <c r="FM38" s="129" t="n"/>
    </row>
    <row r="39" s="135">
      <c r="A39" s="90" t="n">
        <v>33877</v>
      </c>
      <c r="B39" s="91" t="n">
        <v>0.176</v>
      </c>
      <c r="C39" s="79" t="n"/>
      <c r="D39" s="129" t="n"/>
      <c r="E39" s="129" t="n"/>
      <c r="F39" s="129" t="n"/>
      <c r="G39" s="129" t="n"/>
      <c r="H39" s="129" t="n"/>
      <c r="I39" s="129" t="n"/>
      <c r="J39" s="129" t="n"/>
      <c r="K39" s="129" t="n"/>
      <c r="L39" s="129" t="n"/>
      <c r="M39" s="129" t="n"/>
      <c r="N39" s="129" t="n"/>
      <c r="O39" s="129" t="n"/>
      <c r="P39" s="129" t="n"/>
      <c r="Q39" s="129" t="n"/>
      <c r="R39" s="129" t="n"/>
      <c r="S39" s="129" t="n"/>
      <c r="T39" s="129" t="n"/>
      <c r="U39" s="129" t="n"/>
      <c r="V39" s="129" t="n"/>
      <c r="W39" s="129" t="n"/>
      <c r="X39" s="129" t="n"/>
      <c r="Y39" s="129" t="n"/>
      <c r="Z39" s="129" t="n"/>
      <c r="AA39" s="129" t="n"/>
      <c r="AB39" s="129" t="n"/>
      <c r="AC39" s="129" t="n"/>
      <c r="AD39" s="129" t="n"/>
      <c r="AE39" s="129" t="n"/>
      <c r="AF39" s="129" t="n"/>
      <c r="AG39" s="129" t="n"/>
      <c r="AH39" s="129" t="n"/>
      <c r="AI39" s="129" t="n"/>
      <c r="AJ39" s="129" t="n"/>
      <c r="AK39" s="129" t="n"/>
      <c r="AL39" s="129" t="n"/>
      <c r="AM39" s="129" t="n"/>
      <c r="AN39" s="129" t="n"/>
      <c r="AO39" s="129" t="n"/>
      <c r="AP39" s="129" t="n"/>
      <c r="AQ39" s="129" t="n"/>
      <c r="AR39" s="129" t="n"/>
      <c r="AS39" s="129" t="n"/>
      <c r="AT39" s="129" t="n"/>
      <c r="AU39" s="129" t="n"/>
      <c r="AV39" s="129" t="n"/>
      <c r="AW39" s="129" t="n"/>
      <c r="AX39" s="129" t="n"/>
      <c r="AY39" s="129" t="n"/>
      <c r="AZ39" s="129" t="n"/>
      <c r="BA39" s="129" t="n"/>
      <c r="BB39" s="129" t="n"/>
      <c r="BC39" s="129" t="n"/>
      <c r="BD39" s="129" t="n"/>
      <c r="BE39" s="129" t="n"/>
      <c r="BF39" s="129" t="n"/>
      <c r="BG39" s="129" t="n"/>
      <c r="BH39" s="129" t="n"/>
      <c r="BI39" s="129" t="n"/>
      <c r="BJ39" s="129" t="n"/>
      <c r="BK39" s="129" t="n"/>
      <c r="BL39" s="129" t="n"/>
      <c r="BM39" s="129" t="n"/>
      <c r="BN39" s="129" t="n"/>
      <c r="BO39" s="129" t="n"/>
      <c r="BP39" s="129" t="n"/>
      <c r="BQ39" s="129" t="n"/>
      <c r="BR39" s="129" t="n"/>
      <c r="BS39" s="129" t="n"/>
      <c r="BT39" s="129" t="n"/>
      <c r="BU39" s="129" t="n"/>
      <c r="BV39" s="129" t="n"/>
      <c r="BW39" s="129" t="n"/>
      <c r="BX39" s="129" t="n"/>
      <c r="BY39" s="129" t="n"/>
      <c r="BZ39" s="129" t="n"/>
      <c r="CA39" s="129" t="n"/>
      <c r="CB39" s="129" t="n"/>
      <c r="CC39" s="129" t="n"/>
      <c r="CD39" s="129" t="n"/>
      <c r="CE39" s="129" t="n"/>
      <c r="CF39" s="129" t="n"/>
      <c r="CG39" s="129" t="n"/>
      <c r="CH39" s="129" t="n"/>
      <c r="CI39" s="129" t="n"/>
      <c r="CJ39" s="129" t="n"/>
      <c r="CK39" s="129" t="n"/>
      <c r="CL39" s="129" t="n"/>
      <c r="CM39" s="129" t="n"/>
      <c r="CN39" s="129" t="n"/>
      <c r="CO39" s="129" t="n"/>
      <c r="CP39" s="129" t="n"/>
      <c r="CQ39" s="129" t="n"/>
      <c r="CR39" s="129" t="n"/>
      <c r="CS39" s="129" t="n"/>
      <c r="CT39" s="129" t="n"/>
      <c r="CU39" s="129" t="n"/>
      <c r="CV39" s="129" t="n"/>
      <c r="CW39" s="129" t="n"/>
      <c r="CX39" s="129" t="n"/>
      <c r="CY39" s="129" t="n"/>
      <c r="CZ39" s="129" t="n"/>
      <c r="DA39" s="129" t="n"/>
      <c r="DB39" s="129" t="n"/>
      <c r="DC39" s="129" t="n"/>
      <c r="DD39" s="129" t="n"/>
      <c r="DE39" s="129" t="n"/>
      <c r="DF39" s="129" t="n"/>
      <c r="DG39" s="129" t="n"/>
      <c r="DH39" s="129" t="n"/>
      <c r="DI39" s="129" t="n"/>
      <c r="DJ39" s="129" t="n"/>
      <c r="DK39" s="129" t="n"/>
      <c r="DL39" s="129" t="n"/>
      <c r="DM39" s="129" t="n"/>
      <c r="DN39" s="129" t="n"/>
      <c r="DO39" s="129" t="n"/>
      <c r="DP39" s="129" t="n"/>
      <c r="DQ39" s="129" t="n"/>
      <c r="DR39" s="129" t="n"/>
      <c r="DS39" s="129" t="n"/>
      <c r="DT39" s="129" t="n"/>
      <c r="DU39" s="129" t="n"/>
      <c r="DV39" s="129" t="n"/>
      <c r="DW39" s="129" t="n"/>
      <c r="DX39" s="129" t="n"/>
      <c r="DY39" s="129" t="n"/>
      <c r="DZ39" s="129" t="n"/>
      <c r="EA39" s="129" t="n"/>
      <c r="EB39" s="129" t="n"/>
      <c r="EC39" s="129" t="n"/>
      <c r="ED39" s="129" t="n"/>
      <c r="EE39" s="129" t="n"/>
      <c r="EF39" s="129" t="n"/>
      <c r="EG39" s="129" t="n"/>
      <c r="EH39" s="129" t="n"/>
      <c r="EI39" s="129" t="n"/>
      <c r="EJ39" s="129" t="n"/>
      <c r="EK39" s="129" t="n"/>
      <c r="EL39" s="129" t="n"/>
      <c r="EM39" s="129" t="n"/>
      <c r="EN39" s="129" t="n"/>
      <c r="EO39" s="129" t="n"/>
      <c r="EP39" s="129" t="n"/>
      <c r="EQ39" s="129" t="n"/>
      <c r="ER39" s="129" t="n"/>
      <c r="ES39" s="129" t="n"/>
      <c r="ET39" s="129" t="n"/>
      <c r="EU39" s="129" t="n"/>
      <c r="EV39" s="129" t="n"/>
      <c r="EW39" s="129" t="n"/>
      <c r="EX39" s="129" t="n"/>
      <c r="EY39" s="129" t="n"/>
      <c r="EZ39" s="129" t="n"/>
      <c r="FA39" s="129" t="n"/>
      <c r="FB39" s="129" t="n"/>
      <c r="FC39" s="129" t="n"/>
      <c r="FD39" s="129" t="n"/>
      <c r="FE39" s="129" t="n"/>
      <c r="FF39" s="129" t="n"/>
      <c r="FG39" s="129" t="n"/>
      <c r="FH39" s="129" t="n"/>
      <c r="FI39" s="129" t="n"/>
      <c r="FJ39" s="129" t="n"/>
      <c r="FK39" s="129" t="n"/>
      <c r="FL39" s="129" t="n"/>
      <c r="FM39" s="129" t="n"/>
    </row>
    <row r="40" s="135">
      <c r="A40" s="92" t="n">
        <v>33908</v>
      </c>
      <c r="B40" s="93" t="n">
        <v>0.185</v>
      </c>
      <c r="C40" s="79" t="n"/>
      <c r="D40" s="129" t="n"/>
      <c r="E40" s="129" t="n"/>
      <c r="F40" s="129" t="n"/>
      <c r="G40" s="129" t="n"/>
      <c r="H40" s="129" t="n"/>
      <c r="I40" s="129" t="n"/>
      <c r="J40" s="129" t="n"/>
      <c r="K40" s="129" t="n"/>
      <c r="L40" s="129" t="n"/>
      <c r="M40" s="129" t="n"/>
      <c r="N40" s="129" t="n"/>
      <c r="O40" s="129" t="n"/>
      <c r="P40" s="129" t="n"/>
      <c r="Q40" s="129" t="n"/>
      <c r="R40" s="129" t="n"/>
      <c r="S40" s="129" t="n"/>
      <c r="T40" s="129" t="n"/>
      <c r="U40" s="129" t="n"/>
      <c r="V40" s="129" t="n"/>
      <c r="W40" s="129" t="n"/>
      <c r="X40" s="129" t="n"/>
      <c r="Y40" s="129" t="n"/>
      <c r="Z40" s="129" t="n"/>
      <c r="AA40" s="129" t="n"/>
      <c r="AB40" s="129" t="n"/>
      <c r="AC40" s="129" t="n"/>
      <c r="AD40" s="129" t="n"/>
      <c r="AE40" s="129" t="n"/>
      <c r="AF40" s="129" t="n"/>
      <c r="AG40" s="129" t="n"/>
      <c r="AH40" s="129" t="n"/>
      <c r="AI40" s="129" t="n"/>
      <c r="AJ40" s="129" t="n"/>
      <c r="AK40" s="129" t="n"/>
      <c r="AL40" s="129" t="n"/>
      <c r="AM40" s="129" t="n"/>
      <c r="AN40" s="129" t="n"/>
      <c r="AO40" s="129" t="n"/>
      <c r="AP40" s="129" t="n"/>
      <c r="AQ40" s="129" t="n"/>
      <c r="AR40" s="129" t="n"/>
      <c r="AS40" s="129" t="n"/>
      <c r="AT40" s="129" t="n"/>
      <c r="AU40" s="129" t="n"/>
      <c r="AV40" s="129" t="n"/>
      <c r="AW40" s="129" t="n"/>
      <c r="AX40" s="129" t="n"/>
      <c r="AY40" s="129" t="n"/>
      <c r="AZ40" s="129" t="n"/>
      <c r="BA40" s="129" t="n"/>
      <c r="BB40" s="129" t="n"/>
      <c r="BC40" s="129" t="n"/>
      <c r="BD40" s="129" t="n"/>
      <c r="BE40" s="129" t="n"/>
      <c r="BF40" s="129" t="n"/>
      <c r="BG40" s="129" t="n"/>
      <c r="BH40" s="129" t="n"/>
      <c r="BI40" s="129" t="n"/>
      <c r="BJ40" s="129" t="n"/>
      <c r="BK40" s="129" t="n"/>
      <c r="BL40" s="129" t="n"/>
      <c r="BM40" s="129" t="n"/>
      <c r="BN40" s="129" t="n"/>
      <c r="BO40" s="129" t="n"/>
      <c r="BP40" s="129" t="n"/>
      <c r="BQ40" s="129" t="n"/>
      <c r="BR40" s="129" t="n"/>
      <c r="BS40" s="129" t="n"/>
      <c r="BT40" s="129" t="n"/>
      <c r="BU40" s="129" t="n"/>
      <c r="BV40" s="129" t="n"/>
      <c r="BW40" s="129" t="n"/>
      <c r="BX40" s="129" t="n"/>
      <c r="BY40" s="129" t="n"/>
      <c r="BZ40" s="129" t="n"/>
      <c r="CA40" s="129" t="n"/>
      <c r="CB40" s="129" t="n"/>
      <c r="CC40" s="129" t="n"/>
      <c r="CD40" s="129" t="n"/>
      <c r="CE40" s="129" t="n"/>
      <c r="CF40" s="129" t="n"/>
      <c r="CG40" s="129" t="n"/>
      <c r="CH40" s="129" t="n"/>
      <c r="CI40" s="129" t="n"/>
      <c r="CJ40" s="129" t="n"/>
      <c r="CK40" s="129" t="n"/>
      <c r="CL40" s="129" t="n"/>
      <c r="CM40" s="129" t="n"/>
      <c r="CN40" s="129" t="n"/>
      <c r="CO40" s="129" t="n"/>
      <c r="CP40" s="129" t="n"/>
      <c r="CQ40" s="129" t="n"/>
      <c r="CR40" s="129" t="n"/>
      <c r="CS40" s="129" t="n"/>
      <c r="CT40" s="129" t="n"/>
      <c r="CU40" s="129" t="n"/>
      <c r="CV40" s="129" t="n"/>
      <c r="CW40" s="129" t="n"/>
      <c r="CX40" s="129" t="n"/>
      <c r="CY40" s="129" t="n"/>
      <c r="CZ40" s="129" t="n"/>
      <c r="DA40" s="129" t="n"/>
      <c r="DB40" s="129" t="n"/>
      <c r="DC40" s="129" t="n"/>
      <c r="DD40" s="129" t="n"/>
      <c r="DE40" s="129" t="n"/>
      <c r="DF40" s="129" t="n"/>
      <c r="DG40" s="129" t="n"/>
      <c r="DH40" s="129" t="n"/>
      <c r="DI40" s="129" t="n"/>
      <c r="DJ40" s="129" t="n"/>
      <c r="DK40" s="129" t="n"/>
      <c r="DL40" s="129" t="n"/>
      <c r="DM40" s="129" t="n"/>
      <c r="DN40" s="129" t="n"/>
      <c r="DO40" s="129" t="n"/>
      <c r="DP40" s="129" t="n"/>
      <c r="DQ40" s="129" t="n"/>
      <c r="DR40" s="129" t="n"/>
      <c r="DS40" s="129" t="n"/>
      <c r="DT40" s="129" t="n"/>
      <c r="DU40" s="129" t="n"/>
      <c r="DV40" s="129" t="n"/>
      <c r="DW40" s="129" t="n"/>
      <c r="DX40" s="129" t="n"/>
      <c r="DY40" s="129" t="n"/>
      <c r="DZ40" s="129" t="n"/>
      <c r="EA40" s="129" t="n"/>
      <c r="EB40" s="129" t="n"/>
      <c r="EC40" s="129" t="n"/>
      <c r="ED40" s="129" t="n"/>
      <c r="EE40" s="129" t="n"/>
      <c r="EF40" s="129" t="n"/>
      <c r="EG40" s="129" t="n"/>
      <c r="EH40" s="129" t="n"/>
      <c r="EI40" s="129" t="n"/>
      <c r="EJ40" s="129" t="n"/>
      <c r="EK40" s="129" t="n"/>
      <c r="EL40" s="129" t="n"/>
      <c r="EM40" s="129" t="n"/>
      <c r="EN40" s="129" t="n"/>
      <c r="EO40" s="129" t="n"/>
      <c r="EP40" s="129" t="n"/>
      <c r="EQ40" s="129" t="n"/>
      <c r="ER40" s="129" t="n"/>
      <c r="ES40" s="129" t="n"/>
      <c r="ET40" s="129" t="n"/>
      <c r="EU40" s="129" t="n"/>
      <c r="EV40" s="129" t="n"/>
      <c r="EW40" s="129" t="n"/>
      <c r="EX40" s="129" t="n"/>
      <c r="EY40" s="129" t="n"/>
      <c r="EZ40" s="129" t="n"/>
      <c r="FA40" s="129" t="n"/>
      <c r="FB40" s="129" t="n"/>
      <c r="FC40" s="129" t="n"/>
      <c r="FD40" s="129" t="n"/>
      <c r="FE40" s="129" t="n"/>
      <c r="FF40" s="129" t="n"/>
      <c r="FG40" s="129" t="n"/>
      <c r="FH40" s="129" t="n"/>
      <c r="FI40" s="129" t="n"/>
      <c r="FJ40" s="129" t="n"/>
      <c r="FK40" s="129" t="n"/>
      <c r="FL40" s="129" t="n"/>
      <c r="FM40" s="129" t="n"/>
    </row>
    <row r="41" s="135">
      <c r="A41" s="90" t="n">
        <v>33938</v>
      </c>
      <c r="B41" s="91" t="n">
        <v>0.218</v>
      </c>
      <c r="C41" s="79" t="n"/>
      <c r="D41" s="129" t="n"/>
      <c r="E41" s="129" t="n"/>
      <c r="F41" s="129" t="n"/>
      <c r="G41" s="129" t="n"/>
      <c r="H41" s="129" t="n"/>
      <c r="I41" s="129" t="n"/>
      <c r="J41" s="129" t="n"/>
      <c r="K41" s="129" t="n"/>
      <c r="L41" s="129" t="n"/>
      <c r="M41" s="129" t="n"/>
      <c r="N41" s="129" t="n"/>
      <c r="O41" s="129" t="n"/>
      <c r="P41" s="129" t="n"/>
      <c r="Q41" s="129" t="n"/>
      <c r="R41" s="129" t="n"/>
      <c r="S41" s="129" t="n"/>
      <c r="T41" s="129" t="n"/>
      <c r="U41" s="129" t="n"/>
      <c r="V41" s="129" t="n"/>
      <c r="W41" s="129" t="n"/>
      <c r="X41" s="129" t="n"/>
      <c r="Y41" s="129" t="n"/>
      <c r="Z41" s="129" t="n"/>
      <c r="AA41" s="129" t="n"/>
      <c r="AB41" s="129" t="n"/>
      <c r="AC41" s="129" t="n"/>
      <c r="AD41" s="129" t="n"/>
      <c r="AE41" s="129" t="n"/>
      <c r="AF41" s="129" t="n"/>
      <c r="AG41" s="129" t="n"/>
      <c r="AH41" s="129" t="n"/>
      <c r="AI41" s="129" t="n"/>
      <c r="AJ41" s="129" t="n"/>
      <c r="AK41" s="129" t="n"/>
      <c r="AL41" s="129" t="n"/>
      <c r="AM41" s="129" t="n"/>
      <c r="AN41" s="129" t="n"/>
      <c r="AO41" s="129" t="n"/>
      <c r="AP41" s="129" t="n"/>
      <c r="AQ41" s="129" t="n"/>
      <c r="AR41" s="129" t="n"/>
      <c r="AS41" s="129" t="n"/>
      <c r="AT41" s="129" t="n"/>
      <c r="AU41" s="129" t="n"/>
      <c r="AV41" s="129" t="n"/>
      <c r="AW41" s="129" t="n"/>
      <c r="AX41" s="129" t="n"/>
      <c r="AY41" s="129" t="n"/>
      <c r="AZ41" s="129" t="n"/>
      <c r="BA41" s="129" t="n"/>
      <c r="BB41" s="129" t="n"/>
      <c r="BC41" s="129" t="n"/>
      <c r="BD41" s="129" t="n"/>
      <c r="BE41" s="129" t="n"/>
      <c r="BF41" s="129" t="n"/>
      <c r="BG41" s="129" t="n"/>
      <c r="BH41" s="129" t="n"/>
      <c r="BI41" s="129" t="n"/>
      <c r="BJ41" s="129" t="n"/>
      <c r="BK41" s="129" t="n"/>
      <c r="BL41" s="129" t="n"/>
      <c r="BM41" s="129" t="n"/>
      <c r="BN41" s="129" t="n"/>
      <c r="BO41" s="129" t="n"/>
      <c r="BP41" s="129" t="n"/>
      <c r="BQ41" s="129" t="n"/>
      <c r="BR41" s="129" t="n"/>
      <c r="BS41" s="129" t="n"/>
      <c r="BT41" s="129" t="n"/>
      <c r="BU41" s="129" t="n"/>
      <c r="BV41" s="129" t="n"/>
      <c r="BW41" s="129" t="n"/>
      <c r="BX41" s="129" t="n"/>
      <c r="BY41" s="129" t="n"/>
      <c r="BZ41" s="129" t="n"/>
      <c r="CA41" s="129" t="n"/>
      <c r="CB41" s="129" t="n"/>
      <c r="CC41" s="129" t="n"/>
      <c r="CD41" s="129" t="n"/>
      <c r="CE41" s="129" t="n"/>
      <c r="CF41" s="129" t="n"/>
      <c r="CG41" s="129" t="n"/>
      <c r="CH41" s="129" t="n"/>
      <c r="CI41" s="129" t="n"/>
      <c r="CJ41" s="129" t="n"/>
      <c r="CK41" s="129" t="n"/>
      <c r="CL41" s="129" t="n"/>
      <c r="CM41" s="129" t="n"/>
      <c r="CN41" s="129" t="n"/>
      <c r="CO41" s="129" t="n"/>
      <c r="CP41" s="129" t="n"/>
      <c r="CQ41" s="129" t="n"/>
      <c r="CR41" s="129" t="n"/>
      <c r="CS41" s="129" t="n"/>
      <c r="CT41" s="129" t="n"/>
      <c r="CU41" s="129" t="n"/>
      <c r="CV41" s="129" t="n"/>
      <c r="CW41" s="129" t="n"/>
      <c r="CX41" s="129" t="n"/>
      <c r="CY41" s="129" t="n"/>
      <c r="CZ41" s="129" t="n"/>
      <c r="DA41" s="129" t="n"/>
      <c r="DB41" s="129" t="n"/>
      <c r="DC41" s="129" t="n"/>
      <c r="DD41" s="129" t="n"/>
      <c r="DE41" s="129" t="n"/>
      <c r="DF41" s="129" t="n"/>
      <c r="DG41" s="129" t="n"/>
      <c r="DH41" s="129" t="n"/>
      <c r="DI41" s="129" t="n"/>
      <c r="DJ41" s="129" t="n"/>
      <c r="DK41" s="129" t="n"/>
      <c r="DL41" s="129" t="n"/>
      <c r="DM41" s="129" t="n"/>
      <c r="DN41" s="129" t="n"/>
      <c r="DO41" s="129" t="n"/>
      <c r="DP41" s="129" t="n"/>
      <c r="DQ41" s="129" t="n"/>
      <c r="DR41" s="129" t="n"/>
      <c r="DS41" s="129" t="n"/>
      <c r="DT41" s="129" t="n"/>
      <c r="DU41" s="129" t="n"/>
      <c r="DV41" s="129" t="n"/>
      <c r="DW41" s="129" t="n"/>
      <c r="DX41" s="129" t="n"/>
      <c r="DY41" s="129" t="n"/>
      <c r="DZ41" s="129" t="n"/>
      <c r="EA41" s="129" t="n"/>
      <c r="EB41" s="129" t="n"/>
      <c r="EC41" s="129" t="n"/>
      <c r="ED41" s="129" t="n"/>
      <c r="EE41" s="129" t="n"/>
      <c r="EF41" s="129" t="n"/>
      <c r="EG41" s="129" t="n"/>
      <c r="EH41" s="129" t="n"/>
      <c r="EI41" s="129" t="n"/>
      <c r="EJ41" s="129" t="n"/>
      <c r="EK41" s="129" t="n"/>
      <c r="EL41" s="129" t="n"/>
      <c r="EM41" s="129" t="n"/>
      <c r="EN41" s="129" t="n"/>
      <c r="EO41" s="129" t="n"/>
      <c r="EP41" s="129" t="n"/>
      <c r="EQ41" s="129" t="n"/>
      <c r="ER41" s="129" t="n"/>
      <c r="ES41" s="129" t="n"/>
      <c r="ET41" s="129" t="n"/>
      <c r="EU41" s="129" t="n"/>
      <c r="EV41" s="129" t="n"/>
      <c r="EW41" s="129" t="n"/>
      <c r="EX41" s="129" t="n"/>
      <c r="EY41" s="129" t="n"/>
      <c r="EZ41" s="129" t="n"/>
      <c r="FA41" s="129" t="n"/>
      <c r="FB41" s="129" t="n"/>
      <c r="FC41" s="129" t="n"/>
      <c r="FD41" s="129" t="n"/>
      <c r="FE41" s="129" t="n"/>
      <c r="FF41" s="129" t="n"/>
      <c r="FG41" s="129" t="n"/>
      <c r="FH41" s="129" t="n"/>
      <c r="FI41" s="129" t="n"/>
      <c r="FJ41" s="129" t="n"/>
      <c r="FK41" s="129" t="n"/>
      <c r="FL41" s="129" t="n"/>
      <c r="FM41" s="129" t="n"/>
    </row>
    <row r="42" s="135">
      <c r="A42" s="92" t="n">
        <v>33969</v>
      </c>
      <c r="B42" s="93" t="n">
        <v>0.269</v>
      </c>
      <c r="C42" s="79" t="n"/>
      <c r="D42" s="129" t="n"/>
      <c r="E42" s="129" t="n"/>
      <c r="F42" s="129" t="n"/>
      <c r="G42" s="129" t="n"/>
      <c r="H42" s="129" t="n"/>
      <c r="I42" s="129" t="n"/>
      <c r="J42" s="129" t="n"/>
      <c r="K42" s="129" t="n"/>
      <c r="L42" s="129" t="n"/>
      <c r="M42" s="129" t="n"/>
      <c r="N42" s="129" t="n"/>
      <c r="O42" s="129" t="n"/>
      <c r="P42" s="129" t="n"/>
      <c r="Q42" s="129" t="n"/>
      <c r="R42" s="129" t="n"/>
      <c r="S42" s="129" t="n"/>
      <c r="T42" s="129" t="n"/>
      <c r="U42" s="129" t="n"/>
      <c r="V42" s="129" t="n"/>
      <c r="W42" s="129" t="n"/>
      <c r="X42" s="129" t="n"/>
      <c r="Y42" s="129" t="n"/>
      <c r="Z42" s="129" t="n"/>
      <c r="AA42" s="129" t="n"/>
      <c r="AB42" s="129" t="n"/>
      <c r="AC42" s="129" t="n"/>
      <c r="AD42" s="129" t="n"/>
      <c r="AE42" s="129" t="n"/>
      <c r="AF42" s="129" t="n"/>
      <c r="AG42" s="129" t="n"/>
      <c r="AH42" s="129" t="n"/>
      <c r="AI42" s="129" t="n"/>
      <c r="AJ42" s="129" t="n"/>
      <c r="AK42" s="129" t="n"/>
      <c r="AL42" s="129" t="n"/>
      <c r="AM42" s="129" t="n"/>
      <c r="AN42" s="129" t="n"/>
      <c r="AO42" s="129" t="n"/>
      <c r="AP42" s="129" t="n"/>
      <c r="AQ42" s="129" t="n"/>
      <c r="AR42" s="129" t="n"/>
      <c r="AS42" s="129" t="n"/>
      <c r="AT42" s="129" t="n"/>
      <c r="AU42" s="129" t="n"/>
      <c r="AV42" s="129" t="n"/>
      <c r="AW42" s="129" t="n"/>
      <c r="AX42" s="129" t="n"/>
      <c r="AY42" s="129" t="n"/>
      <c r="AZ42" s="129" t="n"/>
      <c r="BA42" s="129" t="n"/>
      <c r="BB42" s="129" t="n"/>
      <c r="BC42" s="129" t="n"/>
      <c r="BD42" s="129" t="n"/>
      <c r="BE42" s="129" t="n"/>
      <c r="BF42" s="129" t="n"/>
      <c r="BG42" s="129" t="n"/>
      <c r="BH42" s="129" t="n"/>
      <c r="BI42" s="129" t="n"/>
      <c r="BJ42" s="129" t="n"/>
      <c r="BK42" s="129" t="n"/>
      <c r="BL42" s="129" t="n"/>
      <c r="BM42" s="129" t="n"/>
      <c r="BN42" s="129" t="n"/>
      <c r="BO42" s="129" t="n"/>
      <c r="BP42" s="129" t="n"/>
      <c r="BQ42" s="129" t="n"/>
      <c r="BR42" s="129" t="n"/>
      <c r="BS42" s="129" t="n"/>
      <c r="BT42" s="129" t="n"/>
      <c r="BU42" s="129" t="n"/>
      <c r="BV42" s="129" t="n"/>
      <c r="BW42" s="129" t="n"/>
      <c r="BX42" s="129" t="n"/>
      <c r="BY42" s="129" t="n"/>
      <c r="BZ42" s="129" t="n"/>
      <c r="CA42" s="129" t="n"/>
      <c r="CB42" s="129" t="n"/>
      <c r="CC42" s="129" t="n"/>
      <c r="CD42" s="129" t="n"/>
      <c r="CE42" s="129" t="n"/>
      <c r="CF42" s="129" t="n"/>
      <c r="CG42" s="129" t="n"/>
      <c r="CH42" s="129" t="n"/>
      <c r="CI42" s="129" t="n"/>
      <c r="CJ42" s="129" t="n"/>
      <c r="CK42" s="129" t="n"/>
      <c r="CL42" s="129" t="n"/>
      <c r="CM42" s="129" t="n"/>
      <c r="CN42" s="129" t="n"/>
      <c r="CO42" s="129" t="n"/>
      <c r="CP42" s="129" t="n"/>
      <c r="CQ42" s="129" t="n"/>
      <c r="CR42" s="129" t="n"/>
      <c r="CS42" s="129" t="n"/>
      <c r="CT42" s="129" t="n"/>
      <c r="CU42" s="129" t="n"/>
      <c r="CV42" s="129" t="n"/>
      <c r="CW42" s="129" t="n"/>
      <c r="CX42" s="129" t="n"/>
      <c r="CY42" s="129" t="n"/>
      <c r="CZ42" s="129" t="n"/>
      <c r="DA42" s="129" t="n"/>
      <c r="DB42" s="129" t="n"/>
      <c r="DC42" s="129" t="n"/>
      <c r="DD42" s="129" t="n"/>
      <c r="DE42" s="129" t="n"/>
      <c r="DF42" s="129" t="n"/>
      <c r="DG42" s="129" t="n"/>
      <c r="DH42" s="129" t="n"/>
      <c r="DI42" s="129" t="n"/>
      <c r="DJ42" s="129" t="n"/>
      <c r="DK42" s="129" t="n"/>
      <c r="DL42" s="129" t="n"/>
      <c r="DM42" s="129" t="n"/>
      <c r="DN42" s="129" t="n"/>
      <c r="DO42" s="129" t="n"/>
      <c r="DP42" s="129" t="n"/>
      <c r="DQ42" s="129" t="n"/>
      <c r="DR42" s="129" t="n"/>
      <c r="DS42" s="129" t="n"/>
      <c r="DT42" s="129" t="n"/>
      <c r="DU42" s="129" t="n"/>
      <c r="DV42" s="129" t="n"/>
      <c r="DW42" s="129" t="n"/>
      <c r="DX42" s="129" t="n"/>
      <c r="DY42" s="129" t="n"/>
      <c r="DZ42" s="129" t="n"/>
      <c r="EA42" s="129" t="n"/>
      <c r="EB42" s="129" t="n"/>
      <c r="EC42" s="129" t="n"/>
      <c r="ED42" s="129" t="n"/>
      <c r="EE42" s="129" t="n"/>
      <c r="EF42" s="129" t="n"/>
      <c r="EG42" s="129" t="n"/>
      <c r="EH42" s="129" t="n"/>
      <c r="EI42" s="129" t="n"/>
      <c r="EJ42" s="129" t="n"/>
      <c r="EK42" s="129" t="n"/>
      <c r="EL42" s="129" t="n"/>
      <c r="EM42" s="129" t="n"/>
      <c r="EN42" s="129" t="n"/>
      <c r="EO42" s="129" t="n"/>
      <c r="EP42" s="129" t="n"/>
      <c r="EQ42" s="129" t="n"/>
      <c r="ER42" s="129" t="n"/>
      <c r="ES42" s="129" t="n"/>
      <c r="ET42" s="129" t="n"/>
      <c r="EU42" s="129" t="n"/>
      <c r="EV42" s="129" t="n"/>
      <c r="EW42" s="129" t="n"/>
      <c r="EX42" s="129" t="n"/>
      <c r="EY42" s="129" t="n"/>
      <c r="EZ42" s="129" t="n"/>
      <c r="FA42" s="129" t="n"/>
      <c r="FB42" s="129" t="n"/>
      <c r="FC42" s="129" t="n"/>
      <c r="FD42" s="129" t="n"/>
      <c r="FE42" s="129" t="n"/>
      <c r="FF42" s="129" t="n"/>
      <c r="FG42" s="129" t="n"/>
      <c r="FH42" s="129" t="n"/>
      <c r="FI42" s="129" t="n"/>
      <c r="FJ42" s="129" t="n"/>
      <c r="FK42" s="129" t="n"/>
      <c r="FL42" s="129" t="n"/>
      <c r="FM42" s="129" t="n"/>
    </row>
    <row r="43" s="135">
      <c r="A43" s="90" t="n">
        <v>34000</v>
      </c>
      <c r="B43" s="91" t="n">
        <v>0.08400000000000001</v>
      </c>
      <c r="C43" s="79" t="n"/>
      <c r="D43" s="129" t="n"/>
      <c r="E43" s="129" t="n"/>
      <c r="F43" s="129" t="n"/>
      <c r="G43" s="129" t="n"/>
      <c r="H43" s="129" t="n"/>
      <c r="I43" s="129" t="n"/>
      <c r="J43" s="129" t="n"/>
      <c r="K43" s="129" t="n"/>
      <c r="L43" s="129" t="n"/>
      <c r="M43" s="129" t="n"/>
      <c r="N43" s="129" t="n"/>
      <c r="O43" s="129" t="n"/>
      <c r="P43" s="129" t="n"/>
      <c r="Q43" s="129" t="n"/>
      <c r="R43" s="129" t="n"/>
      <c r="S43" s="129" t="n"/>
      <c r="T43" s="129" t="n"/>
      <c r="U43" s="129" t="n"/>
      <c r="V43" s="129" t="n"/>
      <c r="W43" s="129" t="n"/>
      <c r="X43" s="129" t="n"/>
      <c r="Y43" s="129" t="n"/>
      <c r="Z43" s="129" t="n"/>
      <c r="AA43" s="129" t="n"/>
      <c r="AB43" s="129" t="n"/>
      <c r="AC43" s="129" t="n"/>
      <c r="AD43" s="129" t="n"/>
      <c r="AE43" s="129" t="n"/>
      <c r="AF43" s="129" t="n"/>
      <c r="AG43" s="129" t="n"/>
      <c r="AH43" s="129" t="n"/>
      <c r="AI43" s="129" t="n"/>
      <c r="AJ43" s="129" t="n"/>
      <c r="AK43" s="129" t="n"/>
      <c r="AL43" s="129" t="n"/>
      <c r="AM43" s="129" t="n"/>
      <c r="AN43" s="129" t="n"/>
      <c r="AO43" s="129" t="n"/>
      <c r="AP43" s="129" t="n"/>
      <c r="AQ43" s="129" t="n"/>
      <c r="AR43" s="129" t="n"/>
      <c r="AS43" s="129" t="n"/>
      <c r="AT43" s="129" t="n"/>
      <c r="AU43" s="129" t="n"/>
      <c r="AV43" s="129" t="n"/>
      <c r="AW43" s="129" t="n"/>
      <c r="AX43" s="129" t="n"/>
      <c r="AY43" s="129" t="n"/>
      <c r="AZ43" s="129" t="n"/>
      <c r="BA43" s="129" t="n"/>
      <c r="BB43" s="129" t="n"/>
      <c r="BC43" s="129" t="n"/>
      <c r="BD43" s="129" t="n"/>
      <c r="BE43" s="129" t="n"/>
      <c r="BF43" s="129" t="n"/>
      <c r="BG43" s="129" t="n"/>
      <c r="BH43" s="129" t="n"/>
      <c r="BI43" s="129" t="n"/>
      <c r="BJ43" s="129" t="n"/>
      <c r="BK43" s="129" t="n"/>
      <c r="BL43" s="129" t="n"/>
      <c r="BM43" s="129" t="n"/>
      <c r="BN43" s="129" t="n"/>
      <c r="BO43" s="129" t="n"/>
      <c r="BP43" s="129" t="n"/>
      <c r="BQ43" s="129" t="n"/>
      <c r="BR43" s="129" t="n"/>
      <c r="BS43" s="129" t="n"/>
      <c r="BT43" s="129" t="n"/>
      <c r="BU43" s="129" t="n"/>
      <c r="BV43" s="129" t="n"/>
      <c r="BW43" s="129" t="n"/>
      <c r="BX43" s="129" t="n"/>
      <c r="BY43" s="129" t="n"/>
      <c r="BZ43" s="129" t="n"/>
      <c r="CA43" s="129" t="n"/>
      <c r="CB43" s="129" t="n"/>
      <c r="CC43" s="129" t="n"/>
      <c r="CD43" s="129" t="n"/>
      <c r="CE43" s="129" t="n"/>
      <c r="CF43" s="129" t="n"/>
      <c r="CG43" s="129" t="n"/>
      <c r="CH43" s="129" t="n"/>
      <c r="CI43" s="129" t="n"/>
      <c r="CJ43" s="129" t="n"/>
      <c r="CK43" s="129" t="n"/>
      <c r="CL43" s="129" t="n"/>
      <c r="CM43" s="129" t="n"/>
      <c r="CN43" s="129" t="n"/>
      <c r="CO43" s="129" t="n"/>
      <c r="CP43" s="129" t="n"/>
      <c r="CQ43" s="129" t="n"/>
      <c r="CR43" s="129" t="n"/>
      <c r="CS43" s="129" t="n"/>
      <c r="CT43" s="129" t="n"/>
      <c r="CU43" s="129" t="n"/>
      <c r="CV43" s="129" t="n"/>
      <c r="CW43" s="129" t="n"/>
      <c r="CX43" s="129" t="n"/>
      <c r="CY43" s="129" t="n"/>
      <c r="CZ43" s="129" t="n"/>
      <c r="DA43" s="129" t="n"/>
      <c r="DB43" s="129" t="n"/>
      <c r="DC43" s="129" t="n"/>
      <c r="DD43" s="129" t="n"/>
      <c r="DE43" s="129" t="n"/>
      <c r="DF43" s="129" t="n"/>
      <c r="DG43" s="129" t="n"/>
      <c r="DH43" s="129" t="n"/>
      <c r="DI43" s="129" t="n"/>
      <c r="DJ43" s="129" t="n"/>
      <c r="DK43" s="129" t="n"/>
      <c r="DL43" s="129" t="n"/>
      <c r="DM43" s="129" t="n"/>
      <c r="DN43" s="129" t="n"/>
      <c r="DO43" s="129" t="n"/>
      <c r="DP43" s="129" t="n"/>
      <c r="DQ43" s="129" t="n"/>
      <c r="DR43" s="129" t="n"/>
      <c r="DS43" s="129" t="n"/>
      <c r="DT43" s="129" t="n"/>
      <c r="DU43" s="129" t="n"/>
      <c r="DV43" s="129" t="n"/>
      <c r="DW43" s="129" t="n"/>
      <c r="DX43" s="129" t="n"/>
      <c r="DY43" s="129" t="n"/>
      <c r="DZ43" s="129" t="n"/>
      <c r="EA43" s="129" t="n"/>
      <c r="EB43" s="129" t="n"/>
      <c r="EC43" s="129" t="n"/>
      <c r="ED43" s="129" t="n"/>
      <c r="EE43" s="129" t="n"/>
      <c r="EF43" s="129" t="n"/>
      <c r="EG43" s="129" t="n"/>
      <c r="EH43" s="129" t="n"/>
      <c r="EI43" s="129" t="n"/>
      <c r="EJ43" s="129" t="n"/>
      <c r="EK43" s="129" t="n"/>
      <c r="EL43" s="129" t="n"/>
      <c r="EM43" s="129" t="n"/>
      <c r="EN43" s="129" t="n"/>
      <c r="EO43" s="129" t="n"/>
      <c r="EP43" s="129" t="n"/>
      <c r="EQ43" s="129" t="n"/>
      <c r="ER43" s="129" t="n"/>
      <c r="ES43" s="129" t="n"/>
      <c r="ET43" s="129" t="n"/>
      <c r="EU43" s="129" t="n"/>
      <c r="EV43" s="129" t="n"/>
      <c r="EW43" s="129" t="n"/>
      <c r="EX43" s="129" t="n"/>
      <c r="EY43" s="129" t="n"/>
      <c r="EZ43" s="129" t="n"/>
      <c r="FA43" s="129" t="n"/>
      <c r="FB43" s="129" t="n"/>
      <c r="FC43" s="129" t="n"/>
      <c r="FD43" s="129" t="n"/>
      <c r="FE43" s="129" t="n"/>
      <c r="FF43" s="129" t="n"/>
      <c r="FG43" s="129" t="n"/>
      <c r="FH43" s="129" t="n"/>
      <c r="FI43" s="129" t="n"/>
      <c r="FJ43" s="129" t="n"/>
      <c r="FK43" s="129" t="n"/>
      <c r="FL43" s="129" t="n"/>
      <c r="FM43" s="129" t="n"/>
    </row>
    <row r="44" s="135">
      <c r="A44" s="92" t="n">
        <v>34028</v>
      </c>
      <c r="B44" s="93" t="n">
        <v>0.277</v>
      </c>
      <c r="C44" s="79" t="n"/>
      <c r="D44" s="129" t="n"/>
      <c r="E44" s="129" t="n"/>
      <c r="F44" s="129" t="n"/>
      <c r="G44" s="129" t="n"/>
      <c r="H44" s="129" t="n"/>
      <c r="I44" s="129" t="n"/>
      <c r="J44" s="129" t="n"/>
      <c r="K44" s="129" t="n"/>
      <c r="L44" s="129" t="n"/>
      <c r="M44" s="129" t="n"/>
      <c r="N44" s="129" t="n"/>
      <c r="O44" s="129" t="n"/>
      <c r="P44" s="129" t="n"/>
      <c r="Q44" s="129" t="n"/>
      <c r="R44" s="129" t="n"/>
      <c r="S44" s="129" t="n"/>
      <c r="T44" s="129" t="n"/>
      <c r="U44" s="129" t="n"/>
      <c r="V44" s="129" t="n"/>
      <c r="W44" s="129" t="n"/>
      <c r="X44" s="129" t="n"/>
      <c r="Y44" s="129" t="n"/>
      <c r="Z44" s="129" t="n"/>
      <c r="AA44" s="129" t="n"/>
      <c r="AB44" s="129" t="n"/>
      <c r="AC44" s="129" t="n"/>
      <c r="AD44" s="129" t="n"/>
      <c r="AE44" s="129" t="n"/>
      <c r="AF44" s="129" t="n"/>
      <c r="AG44" s="129" t="n"/>
      <c r="AH44" s="129" t="n"/>
      <c r="AI44" s="129" t="n"/>
      <c r="AJ44" s="129" t="n"/>
      <c r="AK44" s="129" t="n"/>
      <c r="AL44" s="129" t="n"/>
      <c r="AM44" s="129" t="n"/>
      <c r="AN44" s="129" t="n"/>
      <c r="AO44" s="129" t="n"/>
      <c r="AP44" s="129" t="n"/>
      <c r="AQ44" s="129" t="n"/>
      <c r="AR44" s="129" t="n"/>
      <c r="AS44" s="129" t="n"/>
      <c r="AT44" s="129" t="n"/>
      <c r="AU44" s="129" t="n"/>
      <c r="AV44" s="129" t="n"/>
      <c r="AW44" s="129" t="n"/>
      <c r="AX44" s="129" t="n"/>
      <c r="AY44" s="129" t="n"/>
      <c r="AZ44" s="129" t="n"/>
      <c r="BA44" s="129" t="n"/>
      <c r="BB44" s="129" t="n"/>
      <c r="BC44" s="129" t="n"/>
      <c r="BD44" s="129" t="n"/>
      <c r="BE44" s="129" t="n"/>
      <c r="BF44" s="129" t="n"/>
      <c r="BG44" s="129" t="n"/>
      <c r="BH44" s="129" t="n"/>
      <c r="BI44" s="129" t="n"/>
      <c r="BJ44" s="129" t="n"/>
      <c r="BK44" s="129" t="n"/>
      <c r="BL44" s="129" t="n"/>
      <c r="BM44" s="129" t="n"/>
      <c r="BN44" s="129" t="n"/>
      <c r="BO44" s="129" t="n"/>
      <c r="BP44" s="129" t="n"/>
      <c r="BQ44" s="129" t="n"/>
      <c r="BR44" s="129" t="n"/>
      <c r="BS44" s="129" t="n"/>
      <c r="BT44" s="129" t="n"/>
      <c r="BU44" s="129" t="n"/>
      <c r="BV44" s="129" t="n"/>
      <c r="BW44" s="129" t="n"/>
      <c r="BX44" s="129" t="n"/>
      <c r="BY44" s="129" t="n"/>
      <c r="BZ44" s="129" t="n"/>
      <c r="CA44" s="129" t="n"/>
      <c r="CB44" s="129" t="n"/>
      <c r="CC44" s="129" t="n"/>
      <c r="CD44" s="129" t="n"/>
      <c r="CE44" s="129" t="n"/>
      <c r="CF44" s="129" t="n"/>
      <c r="CG44" s="129" t="n"/>
      <c r="CH44" s="129" t="n"/>
      <c r="CI44" s="129" t="n"/>
      <c r="CJ44" s="129" t="n"/>
      <c r="CK44" s="129" t="n"/>
      <c r="CL44" s="129" t="n"/>
      <c r="CM44" s="129" t="n"/>
      <c r="CN44" s="129" t="n"/>
      <c r="CO44" s="129" t="n"/>
      <c r="CP44" s="129" t="n"/>
      <c r="CQ44" s="129" t="n"/>
      <c r="CR44" s="129" t="n"/>
      <c r="CS44" s="129" t="n"/>
      <c r="CT44" s="129" t="n"/>
      <c r="CU44" s="129" t="n"/>
      <c r="CV44" s="129" t="n"/>
      <c r="CW44" s="129" t="n"/>
      <c r="CX44" s="129" t="n"/>
      <c r="CY44" s="129" t="n"/>
      <c r="CZ44" s="129" t="n"/>
      <c r="DA44" s="129" t="n"/>
      <c r="DB44" s="129" t="n"/>
      <c r="DC44" s="129" t="n"/>
      <c r="DD44" s="129" t="n"/>
      <c r="DE44" s="129" t="n"/>
      <c r="DF44" s="129" t="n"/>
      <c r="DG44" s="129" t="n"/>
      <c r="DH44" s="129" t="n"/>
      <c r="DI44" s="129" t="n"/>
      <c r="DJ44" s="129" t="n"/>
      <c r="DK44" s="129" t="n"/>
      <c r="DL44" s="129" t="n"/>
      <c r="DM44" s="129" t="n"/>
      <c r="DN44" s="129" t="n"/>
      <c r="DO44" s="129" t="n"/>
      <c r="DP44" s="129" t="n"/>
      <c r="DQ44" s="129" t="n"/>
      <c r="DR44" s="129" t="n"/>
      <c r="DS44" s="129" t="n"/>
      <c r="DT44" s="129" t="n"/>
      <c r="DU44" s="129" t="n"/>
      <c r="DV44" s="129" t="n"/>
      <c r="DW44" s="129" t="n"/>
      <c r="DX44" s="129" t="n"/>
      <c r="DY44" s="129" t="n"/>
      <c r="DZ44" s="129" t="n"/>
      <c r="EA44" s="129" t="n"/>
      <c r="EB44" s="129" t="n"/>
      <c r="EC44" s="129" t="n"/>
      <c r="ED44" s="129" t="n"/>
      <c r="EE44" s="129" t="n"/>
      <c r="EF44" s="129" t="n"/>
      <c r="EG44" s="129" t="n"/>
      <c r="EH44" s="129" t="n"/>
      <c r="EI44" s="129" t="n"/>
      <c r="EJ44" s="129" t="n"/>
      <c r="EK44" s="129" t="n"/>
      <c r="EL44" s="129" t="n"/>
      <c r="EM44" s="129" t="n"/>
      <c r="EN44" s="129" t="n"/>
      <c r="EO44" s="129" t="n"/>
      <c r="EP44" s="129" t="n"/>
      <c r="EQ44" s="129" t="n"/>
      <c r="ER44" s="129" t="n"/>
      <c r="ES44" s="129" t="n"/>
      <c r="ET44" s="129" t="n"/>
      <c r="EU44" s="129" t="n"/>
      <c r="EV44" s="129" t="n"/>
      <c r="EW44" s="129" t="n"/>
      <c r="EX44" s="129" t="n"/>
      <c r="EY44" s="129" t="n"/>
      <c r="EZ44" s="129" t="n"/>
      <c r="FA44" s="129" t="n"/>
      <c r="FB44" s="129" t="n"/>
      <c r="FC44" s="129" t="n"/>
      <c r="FD44" s="129" t="n"/>
      <c r="FE44" s="129" t="n"/>
      <c r="FF44" s="129" t="n"/>
      <c r="FG44" s="129" t="n"/>
      <c r="FH44" s="129" t="n"/>
      <c r="FI44" s="129" t="n"/>
      <c r="FJ44" s="129" t="n"/>
      <c r="FK44" s="129" t="n"/>
      <c r="FL44" s="129" t="n"/>
      <c r="FM44" s="129" t="n"/>
    </row>
    <row r="45" s="135">
      <c r="A45" s="90" t="n">
        <v>34059</v>
      </c>
      <c r="B45" s="91" t="n">
        <v>0.218</v>
      </c>
      <c r="C45" s="79" t="n"/>
      <c r="D45" s="129" t="n"/>
      <c r="E45" s="129" t="n"/>
      <c r="F45" s="129" t="n"/>
      <c r="G45" s="129" t="n"/>
      <c r="H45" s="129" t="n"/>
      <c r="I45" s="129" t="n"/>
      <c r="J45" s="129" t="n"/>
      <c r="K45" s="129" t="n"/>
      <c r="L45" s="129" t="n"/>
      <c r="M45" s="129" t="n"/>
      <c r="N45" s="129" t="n"/>
      <c r="O45" s="129" t="n"/>
      <c r="P45" s="129" t="n"/>
      <c r="Q45" s="129" t="n"/>
      <c r="R45" s="129" t="n"/>
      <c r="S45" s="129" t="n"/>
      <c r="T45" s="129" t="n"/>
      <c r="U45" s="129" t="n"/>
      <c r="V45" s="129" t="n"/>
      <c r="W45" s="129" t="n"/>
      <c r="X45" s="129" t="n"/>
      <c r="Y45" s="129" t="n"/>
      <c r="Z45" s="129" t="n"/>
      <c r="AA45" s="129" t="n"/>
      <c r="AB45" s="129" t="n"/>
      <c r="AC45" s="129" t="n"/>
      <c r="AD45" s="129" t="n"/>
      <c r="AE45" s="129" t="n"/>
      <c r="AF45" s="129" t="n"/>
      <c r="AG45" s="129" t="n"/>
      <c r="AH45" s="129" t="n"/>
      <c r="AI45" s="129" t="n"/>
      <c r="AJ45" s="129" t="n"/>
      <c r="AK45" s="129" t="n"/>
      <c r="AL45" s="129" t="n"/>
      <c r="AM45" s="129" t="n"/>
      <c r="AN45" s="129" t="n"/>
      <c r="AO45" s="129" t="n"/>
      <c r="AP45" s="129" t="n"/>
      <c r="AQ45" s="129" t="n"/>
      <c r="AR45" s="129" t="n"/>
      <c r="AS45" s="129" t="n"/>
      <c r="AT45" s="129" t="n"/>
      <c r="AU45" s="129" t="n"/>
      <c r="AV45" s="129" t="n"/>
      <c r="AW45" s="129" t="n"/>
      <c r="AX45" s="129" t="n"/>
      <c r="AY45" s="129" t="n"/>
      <c r="AZ45" s="129" t="n"/>
      <c r="BA45" s="129" t="n"/>
      <c r="BB45" s="129" t="n"/>
      <c r="BC45" s="129" t="n"/>
      <c r="BD45" s="129" t="n"/>
      <c r="BE45" s="129" t="n"/>
      <c r="BF45" s="129" t="n"/>
      <c r="BG45" s="129" t="n"/>
      <c r="BH45" s="129" t="n"/>
      <c r="BI45" s="129" t="n"/>
      <c r="BJ45" s="129" t="n"/>
      <c r="BK45" s="129" t="n"/>
      <c r="BL45" s="129" t="n"/>
      <c r="BM45" s="129" t="n"/>
      <c r="BN45" s="129" t="n"/>
      <c r="BO45" s="129" t="n"/>
      <c r="BP45" s="129" t="n"/>
      <c r="BQ45" s="129" t="n"/>
      <c r="BR45" s="129" t="n"/>
      <c r="BS45" s="129" t="n"/>
      <c r="BT45" s="129" t="n"/>
      <c r="BU45" s="129" t="n"/>
      <c r="BV45" s="129" t="n"/>
      <c r="BW45" s="129" t="n"/>
      <c r="BX45" s="129" t="n"/>
      <c r="BY45" s="129" t="n"/>
      <c r="BZ45" s="129" t="n"/>
      <c r="CA45" s="129" t="n"/>
      <c r="CB45" s="129" t="n"/>
      <c r="CC45" s="129" t="n"/>
      <c r="CD45" s="129" t="n"/>
      <c r="CE45" s="129" t="n"/>
      <c r="CF45" s="129" t="n"/>
      <c r="CG45" s="129" t="n"/>
      <c r="CH45" s="129" t="n"/>
      <c r="CI45" s="129" t="n"/>
      <c r="CJ45" s="129" t="n"/>
      <c r="CK45" s="129" t="n"/>
      <c r="CL45" s="129" t="n"/>
      <c r="CM45" s="129" t="n"/>
      <c r="CN45" s="129" t="n"/>
      <c r="CO45" s="129" t="n"/>
      <c r="CP45" s="129" t="n"/>
      <c r="CQ45" s="129" t="n"/>
      <c r="CR45" s="129" t="n"/>
      <c r="CS45" s="129" t="n"/>
      <c r="CT45" s="129" t="n"/>
      <c r="CU45" s="129" t="n"/>
      <c r="CV45" s="129" t="n"/>
      <c r="CW45" s="129" t="n"/>
      <c r="CX45" s="129" t="n"/>
      <c r="CY45" s="129" t="n"/>
      <c r="CZ45" s="129" t="n"/>
      <c r="DA45" s="129" t="n"/>
      <c r="DB45" s="129" t="n"/>
      <c r="DC45" s="129" t="n"/>
      <c r="DD45" s="129" t="n"/>
      <c r="DE45" s="129" t="n"/>
      <c r="DF45" s="129" t="n"/>
      <c r="DG45" s="129" t="n"/>
      <c r="DH45" s="129" t="n"/>
      <c r="DI45" s="129" t="n"/>
      <c r="DJ45" s="129" t="n"/>
      <c r="DK45" s="129" t="n"/>
      <c r="DL45" s="129" t="n"/>
      <c r="DM45" s="129" t="n"/>
      <c r="DN45" s="129" t="n"/>
      <c r="DO45" s="129" t="n"/>
      <c r="DP45" s="129" t="n"/>
      <c r="DQ45" s="129" t="n"/>
      <c r="DR45" s="129" t="n"/>
      <c r="DS45" s="129" t="n"/>
      <c r="DT45" s="129" t="n"/>
      <c r="DU45" s="129" t="n"/>
      <c r="DV45" s="129" t="n"/>
      <c r="DW45" s="129" t="n"/>
      <c r="DX45" s="129" t="n"/>
      <c r="DY45" s="129" t="n"/>
      <c r="DZ45" s="129" t="n"/>
      <c r="EA45" s="129" t="n"/>
      <c r="EB45" s="129" t="n"/>
      <c r="EC45" s="129" t="n"/>
      <c r="ED45" s="129" t="n"/>
      <c r="EE45" s="129" t="n"/>
      <c r="EF45" s="129" t="n"/>
      <c r="EG45" s="129" t="n"/>
      <c r="EH45" s="129" t="n"/>
      <c r="EI45" s="129" t="n"/>
      <c r="EJ45" s="129" t="n"/>
      <c r="EK45" s="129" t="n"/>
      <c r="EL45" s="129" t="n"/>
      <c r="EM45" s="129" t="n"/>
      <c r="EN45" s="129" t="n"/>
      <c r="EO45" s="129" t="n"/>
      <c r="EP45" s="129" t="n"/>
      <c r="EQ45" s="129" t="n"/>
      <c r="ER45" s="129" t="n"/>
      <c r="ES45" s="129" t="n"/>
      <c r="ET45" s="129" t="n"/>
      <c r="EU45" s="129" t="n"/>
      <c r="EV45" s="129" t="n"/>
      <c r="EW45" s="129" t="n"/>
      <c r="EX45" s="129" t="n"/>
      <c r="EY45" s="129" t="n"/>
      <c r="EZ45" s="129" t="n"/>
      <c r="FA45" s="129" t="n"/>
      <c r="FB45" s="129" t="n"/>
      <c r="FC45" s="129" t="n"/>
      <c r="FD45" s="129" t="n"/>
      <c r="FE45" s="129" t="n"/>
      <c r="FF45" s="129" t="n"/>
      <c r="FG45" s="129" t="n"/>
      <c r="FH45" s="129" t="n"/>
      <c r="FI45" s="129" t="n"/>
      <c r="FJ45" s="129" t="n"/>
      <c r="FK45" s="129" t="n"/>
      <c r="FL45" s="129" t="n"/>
      <c r="FM45" s="129" t="n"/>
    </row>
    <row r="46" s="135">
      <c r="A46" s="92" t="n">
        <v>34089</v>
      </c>
      <c r="B46" s="93" t="n">
        <v>0.21</v>
      </c>
      <c r="C46" s="79" t="n"/>
      <c r="D46" s="129" t="n"/>
      <c r="E46" s="129" t="n"/>
      <c r="F46" s="129" t="n"/>
      <c r="G46" s="129" t="n"/>
      <c r="H46" s="129" t="n"/>
      <c r="I46" s="129" t="n"/>
      <c r="J46" s="129" t="n"/>
      <c r="K46" s="129" t="n"/>
      <c r="L46" s="129" t="n"/>
      <c r="M46" s="129" t="n"/>
      <c r="N46" s="129" t="n"/>
      <c r="O46" s="129" t="n"/>
      <c r="P46" s="129" t="n"/>
      <c r="Q46" s="129" t="n"/>
      <c r="R46" s="129" t="n"/>
      <c r="S46" s="129" t="n"/>
      <c r="T46" s="129" t="n"/>
      <c r="U46" s="129" t="n"/>
      <c r="V46" s="129" t="n"/>
      <c r="W46" s="129" t="n"/>
      <c r="X46" s="129" t="n"/>
      <c r="Y46" s="129" t="n"/>
      <c r="Z46" s="129" t="n"/>
      <c r="AA46" s="129" t="n"/>
      <c r="AB46" s="129" t="n"/>
      <c r="AC46" s="129" t="n"/>
      <c r="AD46" s="129" t="n"/>
      <c r="AE46" s="129" t="n"/>
      <c r="AF46" s="129" t="n"/>
      <c r="AG46" s="129" t="n"/>
      <c r="AH46" s="129" t="n"/>
      <c r="AI46" s="129" t="n"/>
      <c r="AJ46" s="129" t="n"/>
      <c r="AK46" s="129" t="n"/>
      <c r="AL46" s="129" t="n"/>
      <c r="AM46" s="129" t="n"/>
      <c r="AN46" s="129" t="n"/>
      <c r="AO46" s="129" t="n"/>
      <c r="AP46" s="129" t="n"/>
      <c r="AQ46" s="129" t="n"/>
      <c r="AR46" s="129" t="n"/>
      <c r="AS46" s="129" t="n"/>
      <c r="AT46" s="129" t="n"/>
      <c r="AU46" s="129" t="n"/>
      <c r="AV46" s="129" t="n"/>
      <c r="AW46" s="129" t="n"/>
      <c r="AX46" s="129" t="n"/>
      <c r="AY46" s="129" t="n"/>
      <c r="AZ46" s="129" t="n"/>
      <c r="BA46" s="129" t="n"/>
      <c r="BB46" s="129" t="n"/>
      <c r="BC46" s="129" t="n"/>
      <c r="BD46" s="129" t="n"/>
      <c r="BE46" s="129" t="n"/>
      <c r="BF46" s="129" t="n"/>
      <c r="BG46" s="129" t="n"/>
      <c r="BH46" s="129" t="n"/>
      <c r="BI46" s="129" t="n"/>
      <c r="BJ46" s="129" t="n"/>
      <c r="BK46" s="129" t="n"/>
      <c r="BL46" s="129" t="n"/>
      <c r="BM46" s="129" t="n"/>
      <c r="BN46" s="129" t="n"/>
      <c r="BO46" s="129" t="n"/>
      <c r="BP46" s="129" t="n"/>
      <c r="BQ46" s="129" t="n"/>
      <c r="BR46" s="129" t="n"/>
      <c r="BS46" s="129" t="n"/>
      <c r="BT46" s="129" t="n"/>
      <c r="BU46" s="129" t="n"/>
      <c r="BV46" s="129" t="n"/>
      <c r="BW46" s="129" t="n"/>
      <c r="BX46" s="129" t="n"/>
      <c r="BY46" s="129" t="n"/>
      <c r="BZ46" s="129" t="n"/>
      <c r="CA46" s="129" t="n"/>
      <c r="CB46" s="129" t="n"/>
      <c r="CC46" s="129" t="n"/>
      <c r="CD46" s="129" t="n"/>
      <c r="CE46" s="129" t="n"/>
      <c r="CF46" s="129" t="n"/>
      <c r="CG46" s="129" t="n"/>
      <c r="CH46" s="129" t="n"/>
      <c r="CI46" s="129" t="n"/>
      <c r="CJ46" s="129" t="n"/>
      <c r="CK46" s="129" t="n"/>
      <c r="CL46" s="129" t="n"/>
      <c r="CM46" s="129" t="n"/>
      <c r="CN46" s="129" t="n"/>
      <c r="CO46" s="129" t="n"/>
      <c r="CP46" s="129" t="n"/>
      <c r="CQ46" s="129" t="n"/>
      <c r="CR46" s="129" t="n"/>
      <c r="CS46" s="129" t="n"/>
      <c r="CT46" s="129" t="n"/>
      <c r="CU46" s="129" t="n"/>
      <c r="CV46" s="129" t="n"/>
      <c r="CW46" s="129" t="n"/>
      <c r="CX46" s="129" t="n"/>
      <c r="CY46" s="129" t="n"/>
      <c r="CZ46" s="129" t="n"/>
      <c r="DA46" s="129" t="n"/>
      <c r="DB46" s="129" t="n"/>
      <c r="DC46" s="129" t="n"/>
      <c r="DD46" s="129" t="n"/>
      <c r="DE46" s="129" t="n"/>
      <c r="DF46" s="129" t="n"/>
      <c r="DG46" s="129" t="n"/>
      <c r="DH46" s="129" t="n"/>
      <c r="DI46" s="129" t="n"/>
      <c r="DJ46" s="129" t="n"/>
      <c r="DK46" s="129" t="n"/>
      <c r="DL46" s="129" t="n"/>
      <c r="DM46" s="129" t="n"/>
      <c r="DN46" s="129" t="n"/>
      <c r="DO46" s="129" t="n"/>
      <c r="DP46" s="129" t="n"/>
      <c r="DQ46" s="129" t="n"/>
      <c r="DR46" s="129" t="n"/>
      <c r="DS46" s="129" t="n"/>
      <c r="DT46" s="129" t="n"/>
      <c r="DU46" s="129" t="n"/>
      <c r="DV46" s="129" t="n"/>
      <c r="DW46" s="129" t="n"/>
      <c r="DX46" s="129" t="n"/>
      <c r="DY46" s="129" t="n"/>
      <c r="DZ46" s="129" t="n"/>
      <c r="EA46" s="129" t="n"/>
      <c r="EB46" s="129" t="n"/>
      <c r="EC46" s="129" t="n"/>
      <c r="ED46" s="129" t="n"/>
      <c r="EE46" s="129" t="n"/>
      <c r="EF46" s="129" t="n"/>
      <c r="EG46" s="129" t="n"/>
      <c r="EH46" s="129" t="n"/>
      <c r="EI46" s="129" t="n"/>
      <c r="EJ46" s="129" t="n"/>
      <c r="EK46" s="129" t="n"/>
      <c r="EL46" s="129" t="n"/>
      <c r="EM46" s="129" t="n"/>
      <c r="EN46" s="129" t="n"/>
      <c r="EO46" s="129" t="n"/>
      <c r="EP46" s="129" t="n"/>
      <c r="EQ46" s="129" t="n"/>
      <c r="ER46" s="129" t="n"/>
      <c r="ES46" s="129" t="n"/>
      <c r="ET46" s="129" t="n"/>
      <c r="EU46" s="129" t="n"/>
      <c r="EV46" s="129" t="n"/>
      <c r="EW46" s="129" t="n"/>
      <c r="EX46" s="129" t="n"/>
      <c r="EY46" s="129" t="n"/>
      <c r="EZ46" s="129" t="n"/>
      <c r="FA46" s="129" t="n"/>
      <c r="FB46" s="129" t="n"/>
      <c r="FC46" s="129" t="n"/>
      <c r="FD46" s="129" t="n"/>
      <c r="FE46" s="129" t="n"/>
      <c r="FF46" s="129" t="n"/>
      <c r="FG46" s="129" t="n"/>
      <c r="FH46" s="129" t="n"/>
      <c r="FI46" s="129" t="n"/>
      <c r="FJ46" s="129" t="n"/>
      <c r="FK46" s="129" t="n"/>
      <c r="FL46" s="129" t="n"/>
      <c r="FM46" s="129" t="n"/>
    </row>
    <row r="47" s="135">
      <c r="A47" s="90" t="n">
        <v>34120</v>
      </c>
      <c r="B47" s="91" t="n">
        <v>0.227</v>
      </c>
      <c r="C47" s="79" t="n"/>
      <c r="D47" s="129" t="n"/>
      <c r="E47" s="129" t="n"/>
      <c r="F47" s="129" t="n"/>
      <c r="G47" s="129" t="n"/>
      <c r="H47" s="129" t="n"/>
      <c r="I47" s="129" t="n"/>
      <c r="J47" s="129" t="n"/>
      <c r="K47" s="129" t="n"/>
      <c r="L47" s="129" t="n"/>
      <c r="M47" s="129" t="n"/>
      <c r="N47" s="129" t="n"/>
      <c r="O47" s="129" t="n"/>
      <c r="P47" s="129" t="n"/>
      <c r="Q47" s="129" t="n"/>
      <c r="R47" s="129" t="n"/>
      <c r="S47" s="129" t="n"/>
      <c r="T47" s="129" t="n"/>
      <c r="U47" s="129" t="n"/>
      <c r="V47" s="129" t="n"/>
      <c r="W47" s="129" t="n"/>
      <c r="X47" s="129" t="n"/>
      <c r="Y47" s="129" t="n"/>
      <c r="Z47" s="129" t="n"/>
      <c r="AA47" s="129" t="n"/>
      <c r="AB47" s="129" t="n"/>
      <c r="AC47" s="129" t="n"/>
      <c r="AD47" s="129" t="n"/>
      <c r="AE47" s="129" t="n"/>
      <c r="AF47" s="129" t="n"/>
      <c r="AG47" s="129" t="n"/>
      <c r="AH47" s="129" t="n"/>
      <c r="AI47" s="129" t="n"/>
      <c r="AJ47" s="129" t="n"/>
      <c r="AK47" s="129" t="n"/>
      <c r="AL47" s="129" t="n"/>
      <c r="AM47" s="129" t="n"/>
      <c r="AN47" s="129" t="n"/>
      <c r="AO47" s="129" t="n"/>
      <c r="AP47" s="129" t="n"/>
      <c r="AQ47" s="129" t="n"/>
      <c r="AR47" s="129" t="n"/>
      <c r="AS47" s="129" t="n"/>
      <c r="AT47" s="129" t="n"/>
      <c r="AU47" s="129" t="n"/>
      <c r="AV47" s="129" t="n"/>
      <c r="AW47" s="129" t="n"/>
      <c r="AX47" s="129" t="n"/>
      <c r="AY47" s="129" t="n"/>
      <c r="AZ47" s="129" t="n"/>
      <c r="BA47" s="129" t="n"/>
      <c r="BB47" s="129" t="n"/>
      <c r="BC47" s="129" t="n"/>
      <c r="BD47" s="129" t="n"/>
      <c r="BE47" s="129" t="n"/>
      <c r="BF47" s="129" t="n"/>
      <c r="BG47" s="129" t="n"/>
      <c r="BH47" s="129" t="n"/>
      <c r="BI47" s="129" t="n"/>
      <c r="BJ47" s="129" t="n"/>
      <c r="BK47" s="129" t="n"/>
      <c r="BL47" s="129" t="n"/>
      <c r="BM47" s="129" t="n"/>
      <c r="BN47" s="129" t="n"/>
      <c r="BO47" s="129" t="n"/>
      <c r="BP47" s="129" t="n"/>
      <c r="BQ47" s="129" t="n"/>
      <c r="BR47" s="129" t="n"/>
      <c r="BS47" s="129" t="n"/>
      <c r="BT47" s="129" t="n"/>
      <c r="BU47" s="129" t="n"/>
      <c r="BV47" s="129" t="n"/>
      <c r="BW47" s="129" t="n"/>
      <c r="BX47" s="129" t="n"/>
      <c r="BY47" s="129" t="n"/>
      <c r="BZ47" s="129" t="n"/>
      <c r="CA47" s="129" t="n"/>
      <c r="CB47" s="129" t="n"/>
      <c r="CC47" s="129" t="n"/>
      <c r="CD47" s="129" t="n"/>
      <c r="CE47" s="129" t="n"/>
      <c r="CF47" s="129" t="n"/>
      <c r="CG47" s="129" t="n"/>
      <c r="CH47" s="129" t="n"/>
      <c r="CI47" s="129" t="n"/>
      <c r="CJ47" s="129" t="n"/>
      <c r="CK47" s="129" t="n"/>
      <c r="CL47" s="129" t="n"/>
      <c r="CM47" s="129" t="n"/>
      <c r="CN47" s="129" t="n"/>
      <c r="CO47" s="129" t="n"/>
      <c r="CP47" s="129" t="n"/>
      <c r="CQ47" s="129" t="n"/>
      <c r="CR47" s="129" t="n"/>
      <c r="CS47" s="129" t="n"/>
      <c r="CT47" s="129" t="n"/>
      <c r="CU47" s="129" t="n"/>
      <c r="CV47" s="129" t="n"/>
      <c r="CW47" s="129" t="n"/>
      <c r="CX47" s="129" t="n"/>
      <c r="CY47" s="129" t="n"/>
      <c r="CZ47" s="129" t="n"/>
      <c r="DA47" s="129" t="n"/>
      <c r="DB47" s="129" t="n"/>
      <c r="DC47" s="129" t="n"/>
      <c r="DD47" s="129" t="n"/>
      <c r="DE47" s="129" t="n"/>
      <c r="DF47" s="129" t="n"/>
      <c r="DG47" s="129" t="n"/>
      <c r="DH47" s="129" t="n"/>
      <c r="DI47" s="129" t="n"/>
      <c r="DJ47" s="129" t="n"/>
      <c r="DK47" s="129" t="n"/>
      <c r="DL47" s="129" t="n"/>
      <c r="DM47" s="129" t="n"/>
      <c r="DN47" s="129" t="n"/>
      <c r="DO47" s="129" t="n"/>
      <c r="DP47" s="129" t="n"/>
      <c r="DQ47" s="129" t="n"/>
      <c r="DR47" s="129" t="n"/>
      <c r="DS47" s="129" t="n"/>
      <c r="DT47" s="129" t="n"/>
      <c r="DU47" s="129" t="n"/>
      <c r="DV47" s="129" t="n"/>
      <c r="DW47" s="129" t="n"/>
      <c r="DX47" s="129" t="n"/>
      <c r="DY47" s="129" t="n"/>
      <c r="DZ47" s="129" t="n"/>
      <c r="EA47" s="129" t="n"/>
      <c r="EB47" s="129" t="n"/>
      <c r="EC47" s="129" t="n"/>
      <c r="ED47" s="129" t="n"/>
      <c r="EE47" s="129" t="n"/>
      <c r="EF47" s="129" t="n"/>
      <c r="EG47" s="129" t="n"/>
      <c r="EH47" s="129" t="n"/>
      <c r="EI47" s="129" t="n"/>
      <c r="EJ47" s="129" t="n"/>
      <c r="EK47" s="129" t="n"/>
      <c r="EL47" s="129" t="n"/>
      <c r="EM47" s="129" t="n"/>
      <c r="EN47" s="129" t="n"/>
      <c r="EO47" s="129" t="n"/>
      <c r="EP47" s="129" t="n"/>
      <c r="EQ47" s="129" t="n"/>
      <c r="ER47" s="129" t="n"/>
      <c r="ES47" s="129" t="n"/>
      <c r="ET47" s="129" t="n"/>
      <c r="EU47" s="129" t="n"/>
      <c r="EV47" s="129" t="n"/>
      <c r="EW47" s="129" t="n"/>
      <c r="EX47" s="129" t="n"/>
      <c r="EY47" s="129" t="n"/>
      <c r="EZ47" s="129" t="n"/>
      <c r="FA47" s="129" t="n"/>
      <c r="FB47" s="129" t="n"/>
      <c r="FC47" s="129" t="n"/>
      <c r="FD47" s="129" t="n"/>
      <c r="FE47" s="129" t="n"/>
      <c r="FF47" s="129" t="n"/>
      <c r="FG47" s="129" t="n"/>
      <c r="FH47" s="129" t="n"/>
      <c r="FI47" s="129" t="n"/>
      <c r="FJ47" s="129" t="n"/>
      <c r="FK47" s="129" t="n"/>
      <c r="FL47" s="129" t="n"/>
      <c r="FM47" s="129" t="n"/>
    </row>
    <row r="48" s="135">
      <c r="A48" s="92" t="n">
        <v>34150</v>
      </c>
      <c r="B48" s="93" t="n">
        <v>0.252</v>
      </c>
      <c r="C48" s="79" t="n"/>
      <c r="D48" s="129" t="n"/>
      <c r="E48" s="129" t="n"/>
      <c r="F48" s="129" t="n"/>
      <c r="G48" s="129" t="n"/>
      <c r="H48" s="129" t="n"/>
      <c r="I48" s="129" t="n"/>
      <c r="J48" s="129" t="n"/>
      <c r="K48" s="129" t="n"/>
      <c r="L48" s="129" t="n"/>
      <c r="M48" s="129" t="n"/>
      <c r="N48" s="129" t="n"/>
      <c r="O48" s="129" t="n"/>
      <c r="P48" s="129" t="n"/>
      <c r="Q48" s="129" t="n"/>
      <c r="R48" s="129" t="n"/>
      <c r="S48" s="129" t="n"/>
      <c r="T48" s="129" t="n"/>
      <c r="U48" s="129" t="n"/>
      <c r="V48" s="129" t="n"/>
      <c r="W48" s="129" t="n"/>
      <c r="X48" s="129" t="n"/>
      <c r="Y48" s="129" t="n"/>
      <c r="Z48" s="129" t="n"/>
      <c r="AA48" s="129" t="n"/>
      <c r="AB48" s="129" t="n"/>
      <c r="AC48" s="129" t="n"/>
      <c r="AD48" s="129" t="n"/>
      <c r="AE48" s="129" t="n"/>
      <c r="AF48" s="129" t="n"/>
      <c r="AG48" s="129" t="n"/>
      <c r="AH48" s="129" t="n"/>
      <c r="AI48" s="129" t="n"/>
      <c r="AJ48" s="129" t="n"/>
      <c r="AK48" s="129" t="n"/>
      <c r="AL48" s="129" t="n"/>
      <c r="AM48" s="129" t="n"/>
      <c r="AN48" s="129" t="n"/>
      <c r="AO48" s="129" t="n"/>
      <c r="AP48" s="129" t="n"/>
      <c r="AQ48" s="129" t="n"/>
      <c r="AR48" s="129" t="n"/>
      <c r="AS48" s="129" t="n"/>
      <c r="AT48" s="129" t="n"/>
      <c r="AU48" s="129" t="n"/>
      <c r="AV48" s="129" t="n"/>
      <c r="AW48" s="129" t="n"/>
      <c r="AX48" s="129" t="n"/>
      <c r="AY48" s="129" t="n"/>
      <c r="AZ48" s="129" t="n"/>
      <c r="BA48" s="129" t="n"/>
      <c r="BB48" s="129" t="n"/>
      <c r="BC48" s="129" t="n"/>
      <c r="BD48" s="129" t="n"/>
      <c r="BE48" s="129" t="n"/>
      <c r="BF48" s="129" t="n"/>
      <c r="BG48" s="129" t="n"/>
      <c r="BH48" s="129" t="n"/>
      <c r="BI48" s="129" t="n"/>
      <c r="BJ48" s="129" t="n"/>
      <c r="BK48" s="129" t="n"/>
      <c r="BL48" s="129" t="n"/>
      <c r="BM48" s="129" t="n"/>
      <c r="BN48" s="129" t="n"/>
      <c r="BO48" s="129" t="n"/>
      <c r="BP48" s="129" t="n"/>
      <c r="BQ48" s="129" t="n"/>
      <c r="BR48" s="129" t="n"/>
      <c r="BS48" s="129" t="n"/>
      <c r="BT48" s="129" t="n"/>
      <c r="BU48" s="129" t="n"/>
      <c r="BV48" s="129" t="n"/>
      <c r="BW48" s="129" t="n"/>
      <c r="BX48" s="129" t="n"/>
      <c r="BY48" s="129" t="n"/>
      <c r="BZ48" s="129" t="n"/>
      <c r="CA48" s="129" t="n"/>
      <c r="CB48" s="129" t="n"/>
      <c r="CC48" s="129" t="n"/>
      <c r="CD48" s="129" t="n"/>
      <c r="CE48" s="129" t="n"/>
      <c r="CF48" s="129" t="n"/>
      <c r="CG48" s="129" t="n"/>
      <c r="CH48" s="129" t="n"/>
      <c r="CI48" s="129" t="n"/>
      <c r="CJ48" s="129" t="n"/>
      <c r="CK48" s="129" t="n"/>
      <c r="CL48" s="129" t="n"/>
      <c r="CM48" s="129" t="n"/>
      <c r="CN48" s="129" t="n"/>
      <c r="CO48" s="129" t="n"/>
      <c r="CP48" s="129" t="n"/>
      <c r="CQ48" s="129" t="n"/>
      <c r="CR48" s="129" t="n"/>
      <c r="CS48" s="129" t="n"/>
      <c r="CT48" s="129" t="n"/>
      <c r="CU48" s="129" t="n"/>
      <c r="CV48" s="129" t="n"/>
      <c r="CW48" s="129" t="n"/>
      <c r="CX48" s="129" t="n"/>
      <c r="CY48" s="129" t="n"/>
      <c r="CZ48" s="129" t="n"/>
      <c r="DA48" s="129" t="n"/>
      <c r="DB48" s="129" t="n"/>
      <c r="DC48" s="129" t="n"/>
      <c r="DD48" s="129" t="n"/>
      <c r="DE48" s="129" t="n"/>
      <c r="DF48" s="129" t="n"/>
      <c r="DG48" s="129" t="n"/>
      <c r="DH48" s="129" t="n"/>
      <c r="DI48" s="129" t="n"/>
      <c r="DJ48" s="129" t="n"/>
      <c r="DK48" s="129" t="n"/>
      <c r="DL48" s="129" t="n"/>
      <c r="DM48" s="129" t="n"/>
      <c r="DN48" s="129" t="n"/>
      <c r="DO48" s="129" t="n"/>
      <c r="DP48" s="129" t="n"/>
      <c r="DQ48" s="129" t="n"/>
      <c r="DR48" s="129" t="n"/>
      <c r="DS48" s="129" t="n"/>
      <c r="DT48" s="129" t="n"/>
      <c r="DU48" s="129" t="n"/>
      <c r="DV48" s="129" t="n"/>
      <c r="DW48" s="129" t="n"/>
      <c r="DX48" s="129" t="n"/>
      <c r="DY48" s="129" t="n"/>
      <c r="DZ48" s="129" t="n"/>
      <c r="EA48" s="129" t="n"/>
      <c r="EB48" s="129" t="n"/>
      <c r="EC48" s="129" t="n"/>
      <c r="ED48" s="129" t="n"/>
      <c r="EE48" s="129" t="n"/>
      <c r="EF48" s="129" t="n"/>
      <c r="EG48" s="129" t="n"/>
      <c r="EH48" s="129" t="n"/>
      <c r="EI48" s="129" t="n"/>
      <c r="EJ48" s="129" t="n"/>
      <c r="EK48" s="129" t="n"/>
      <c r="EL48" s="129" t="n"/>
      <c r="EM48" s="129" t="n"/>
      <c r="EN48" s="129" t="n"/>
      <c r="EO48" s="129" t="n"/>
      <c r="EP48" s="129" t="n"/>
      <c r="EQ48" s="129" t="n"/>
      <c r="ER48" s="129" t="n"/>
      <c r="ES48" s="129" t="n"/>
      <c r="ET48" s="129" t="n"/>
      <c r="EU48" s="129" t="n"/>
      <c r="EV48" s="129" t="n"/>
      <c r="EW48" s="129" t="n"/>
      <c r="EX48" s="129" t="n"/>
      <c r="EY48" s="129" t="n"/>
      <c r="EZ48" s="129" t="n"/>
      <c r="FA48" s="129" t="n"/>
      <c r="FB48" s="129" t="n"/>
      <c r="FC48" s="129" t="n"/>
      <c r="FD48" s="129" t="n"/>
      <c r="FE48" s="129" t="n"/>
      <c r="FF48" s="129" t="n"/>
      <c r="FG48" s="129" t="n"/>
      <c r="FH48" s="129" t="n"/>
      <c r="FI48" s="129" t="n"/>
      <c r="FJ48" s="129" t="n"/>
      <c r="FK48" s="129" t="n"/>
      <c r="FL48" s="129" t="n"/>
      <c r="FM48" s="129" t="n"/>
    </row>
    <row r="49" s="135">
      <c r="A49" s="90" t="n">
        <v>34181</v>
      </c>
      <c r="B49" s="91" t="n">
        <v>0.21</v>
      </c>
      <c r="C49" s="79" t="n"/>
      <c r="D49" s="129" t="n"/>
      <c r="E49" s="129" t="n"/>
      <c r="F49" s="129" t="n"/>
      <c r="G49" s="129" t="n"/>
      <c r="H49" s="129" t="n"/>
      <c r="I49" s="129" t="n"/>
      <c r="J49" s="129" t="n"/>
      <c r="K49" s="129" t="n"/>
      <c r="L49" s="129" t="n"/>
      <c r="M49" s="129" t="n"/>
      <c r="N49" s="129" t="n"/>
      <c r="O49" s="129" t="n"/>
      <c r="P49" s="129" t="n"/>
      <c r="Q49" s="129" t="n"/>
      <c r="R49" s="129" t="n"/>
      <c r="S49" s="129" t="n"/>
      <c r="T49" s="129" t="n"/>
      <c r="U49" s="129" t="n"/>
      <c r="V49" s="129" t="n"/>
      <c r="W49" s="129" t="n"/>
      <c r="X49" s="129" t="n"/>
      <c r="Y49" s="129" t="n"/>
      <c r="Z49" s="129" t="n"/>
      <c r="AA49" s="129" t="n"/>
      <c r="AB49" s="129" t="n"/>
      <c r="AC49" s="129" t="n"/>
      <c r="AD49" s="129" t="n"/>
      <c r="AE49" s="129" t="n"/>
      <c r="AF49" s="129" t="n"/>
      <c r="AG49" s="129" t="n"/>
      <c r="AH49" s="129" t="n"/>
      <c r="AI49" s="129" t="n"/>
      <c r="AJ49" s="129" t="n"/>
      <c r="AK49" s="129" t="n"/>
      <c r="AL49" s="129" t="n"/>
      <c r="AM49" s="129" t="n"/>
      <c r="AN49" s="129" t="n"/>
      <c r="AO49" s="129" t="n"/>
      <c r="AP49" s="129" t="n"/>
      <c r="AQ49" s="129" t="n"/>
      <c r="AR49" s="129" t="n"/>
      <c r="AS49" s="129" t="n"/>
      <c r="AT49" s="129" t="n"/>
      <c r="AU49" s="129" t="n"/>
      <c r="AV49" s="129" t="n"/>
      <c r="AW49" s="129" t="n"/>
      <c r="AX49" s="129" t="n"/>
      <c r="AY49" s="129" t="n"/>
      <c r="AZ49" s="129" t="n"/>
      <c r="BA49" s="129" t="n"/>
      <c r="BB49" s="129" t="n"/>
      <c r="BC49" s="129" t="n"/>
      <c r="BD49" s="129" t="n"/>
      <c r="BE49" s="129" t="n"/>
      <c r="BF49" s="129" t="n"/>
      <c r="BG49" s="129" t="n"/>
      <c r="BH49" s="129" t="n"/>
      <c r="BI49" s="129" t="n"/>
      <c r="BJ49" s="129" t="n"/>
      <c r="BK49" s="129" t="n"/>
      <c r="BL49" s="129" t="n"/>
      <c r="BM49" s="129" t="n"/>
      <c r="BN49" s="129" t="n"/>
      <c r="BO49" s="129" t="n"/>
      <c r="BP49" s="129" t="n"/>
      <c r="BQ49" s="129" t="n"/>
      <c r="BR49" s="129" t="n"/>
      <c r="BS49" s="129" t="n"/>
      <c r="BT49" s="129" t="n"/>
      <c r="BU49" s="129" t="n"/>
      <c r="BV49" s="129" t="n"/>
      <c r="BW49" s="129" t="n"/>
      <c r="BX49" s="129" t="n"/>
      <c r="BY49" s="129" t="n"/>
      <c r="BZ49" s="129" t="n"/>
      <c r="CA49" s="129" t="n"/>
      <c r="CB49" s="129" t="n"/>
      <c r="CC49" s="129" t="n"/>
      <c r="CD49" s="129" t="n"/>
      <c r="CE49" s="129" t="n"/>
      <c r="CF49" s="129" t="n"/>
      <c r="CG49" s="129" t="n"/>
      <c r="CH49" s="129" t="n"/>
      <c r="CI49" s="129" t="n"/>
      <c r="CJ49" s="129" t="n"/>
      <c r="CK49" s="129" t="n"/>
      <c r="CL49" s="129" t="n"/>
      <c r="CM49" s="129" t="n"/>
      <c r="CN49" s="129" t="n"/>
      <c r="CO49" s="129" t="n"/>
      <c r="CP49" s="129" t="n"/>
      <c r="CQ49" s="129" t="n"/>
      <c r="CR49" s="129" t="n"/>
      <c r="CS49" s="129" t="n"/>
      <c r="CT49" s="129" t="n"/>
      <c r="CU49" s="129" t="n"/>
      <c r="CV49" s="129" t="n"/>
      <c r="CW49" s="129" t="n"/>
      <c r="CX49" s="129" t="n"/>
      <c r="CY49" s="129" t="n"/>
      <c r="CZ49" s="129" t="n"/>
      <c r="DA49" s="129" t="n"/>
      <c r="DB49" s="129" t="n"/>
      <c r="DC49" s="129" t="n"/>
      <c r="DD49" s="129" t="n"/>
      <c r="DE49" s="129" t="n"/>
      <c r="DF49" s="129" t="n"/>
      <c r="DG49" s="129" t="n"/>
      <c r="DH49" s="129" t="n"/>
      <c r="DI49" s="129" t="n"/>
      <c r="DJ49" s="129" t="n"/>
      <c r="DK49" s="129" t="n"/>
      <c r="DL49" s="129" t="n"/>
      <c r="DM49" s="129" t="n"/>
      <c r="DN49" s="129" t="n"/>
      <c r="DO49" s="129" t="n"/>
      <c r="DP49" s="129" t="n"/>
      <c r="DQ49" s="129" t="n"/>
      <c r="DR49" s="129" t="n"/>
      <c r="DS49" s="129" t="n"/>
      <c r="DT49" s="129" t="n"/>
      <c r="DU49" s="129" t="n"/>
      <c r="DV49" s="129" t="n"/>
      <c r="DW49" s="129" t="n"/>
      <c r="DX49" s="129" t="n"/>
      <c r="DY49" s="129" t="n"/>
      <c r="DZ49" s="129" t="n"/>
      <c r="EA49" s="129" t="n"/>
      <c r="EB49" s="129" t="n"/>
      <c r="EC49" s="129" t="n"/>
      <c r="ED49" s="129" t="n"/>
      <c r="EE49" s="129" t="n"/>
      <c r="EF49" s="129" t="n"/>
      <c r="EG49" s="129" t="n"/>
      <c r="EH49" s="129" t="n"/>
      <c r="EI49" s="129" t="n"/>
      <c r="EJ49" s="129" t="n"/>
      <c r="EK49" s="129" t="n"/>
      <c r="EL49" s="129" t="n"/>
      <c r="EM49" s="129" t="n"/>
      <c r="EN49" s="129" t="n"/>
      <c r="EO49" s="129" t="n"/>
      <c r="EP49" s="129" t="n"/>
      <c r="EQ49" s="129" t="n"/>
      <c r="ER49" s="129" t="n"/>
      <c r="ES49" s="129" t="n"/>
      <c r="ET49" s="129" t="n"/>
      <c r="EU49" s="129" t="n"/>
      <c r="EV49" s="129" t="n"/>
      <c r="EW49" s="129" t="n"/>
      <c r="EX49" s="129" t="n"/>
      <c r="EY49" s="129" t="n"/>
      <c r="EZ49" s="129" t="n"/>
      <c r="FA49" s="129" t="n"/>
      <c r="FB49" s="129" t="n"/>
      <c r="FC49" s="129" t="n"/>
      <c r="FD49" s="129" t="n"/>
      <c r="FE49" s="129" t="n"/>
      <c r="FF49" s="129" t="n"/>
      <c r="FG49" s="129" t="n"/>
      <c r="FH49" s="129" t="n"/>
      <c r="FI49" s="129" t="n"/>
      <c r="FJ49" s="129" t="n"/>
      <c r="FK49" s="129" t="n"/>
      <c r="FL49" s="129" t="n"/>
      <c r="FM49" s="129" t="n"/>
    </row>
    <row r="50" s="135">
      <c r="A50" s="92" t="n">
        <v>34212</v>
      </c>
      <c r="B50" s="93" t="n">
        <v>0.193</v>
      </c>
      <c r="C50" s="79" t="n"/>
      <c r="D50" s="129" t="n"/>
      <c r="E50" s="129" t="n"/>
      <c r="F50" s="129" t="n"/>
      <c r="G50" s="129" t="n"/>
      <c r="H50" s="129" t="n"/>
      <c r="I50" s="129" t="n"/>
      <c r="J50" s="129" t="n"/>
      <c r="K50" s="129" t="n"/>
      <c r="L50" s="129" t="n"/>
      <c r="M50" s="129" t="n"/>
      <c r="N50" s="129" t="n"/>
      <c r="O50" s="129" t="n"/>
      <c r="P50" s="129" t="n"/>
      <c r="Q50" s="129" t="n"/>
      <c r="R50" s="129" t="n"/>
      <c r="S50" s="129" t="n"/>
      <c r="T50" s="129" t="n"/>
      <c r="U50" s="129" t="n"/>
      <c r="V50" s="129" t="n"/>
      <c r="W50" s="129" t="n"/>
      <c r="X50" s="129" t="n"/>
      <c r="Y50" s="129" t="n"/>
      <c r="Z50" s="129" t="n"/>
      <c r="AA50" s="129" t="n"/>
      <c r="AB50" s="129" t="n"/>
      <c r="AC50" s="129" t="n"/>
      <c r="AD50" s="129" t="n"/>
      <c r="AE50" s="129" t="n"/>
      <c r="AF50" s="129" t="n"/>
      <c r="AG50" s="129" t="n"/>
      <c r="AH50" s="129" t="n"/>
      <c r="AI50" s="129" t="n"/>
      <c r="AJ50" s="129" t="n"/>
      <c r="AK50" s="129" t="n"/>
      <c r="AL50" s="129" t="n"/>
      <c r="AM50" s="129" t="n"/>
      <c r="AN50" s="129" t="n"/>
      <c r="AO50" s="129" t="n"/>
      <c r="AP50" s="129" t="n"/>
      <c r="AQ50" s="129" t="n"/>
      <c r="AR50" s="129" t="n"/>
      <c r="AS50" s="129" t="n"/>
      <c r="AT50" s="129" t="n"/>
      <c r="AU50" s="129" t="n"/>
      <c r="AV50" s="129" t="n"/>
      <c r="AW50" s="129" t="n"/>
      <c r="AX50" s="129" t="n"/>
      <c r="AY50" s="129" t="n"/>
      <c r="AZ50" s="129" t="n"/>
      <c r="BA50" s="129" t="n"/>
      <c r="BB50" s="129" t="n"/>
      <c r="BC50" s="129" t="n"/>
      <c r="BD50" s="129" t="n"/>
      <c r="BE50" s="129" t="n"/>
      <c r="BF50" s="129" t="n"/>
      <c r="BG50" s="129" t="n"/>
      <c r="BH50" s="129" t="n"/>
      <c r="BI50" s="129" t="n"/>
      <c r="BJ50" s="129" t="n"/>
      <c r="BK50" s="129" t="n"/>
      <c r="BL50" s="129" t="n"/>
      <c r="BM50" s="129" t="n"/>
      <c r="BN50" s="129" t="n"/>
      <c r="BO50" s="129" t="n"/>
      <c r="BP50" s="129" t="n"/>
      <c r="BQ50" s="129" t="n"/>
      <c r="BR50" s="129" t="n"/>
      <c r="BS50" s="129" t="n"/>
      <c r="BT50" s="129" t="n"/>
      <c r="BU50" s="129" t="n"/>
      <c r="BV50" s="129" t="n"/>
      <c r="BW50" s="129" t="n"/>
      <c r="BX50" s="129" t="n"/>
      <c r="BY50" s="129" t="n"/>
      <c r="BZ50" s="129" t="n"/>
      <c r="CA50" s="129" t="n"/>
      <c r="CB50" s="129" t="n"/>
      <c r="CC50" s="129" t="n"/>
      <c r="CD50" s="129" t="n"/>
      <c r="CE50" s="129" t="n"/>
      <c r="CF50" s="129" t="n"/>
      <c r="CG50" s="129" t="n"/>
      <c r="CH50" s="129" t="n"/>
      <c r="CI50" s="129" t="n"/>
      <c r="CJ50" s="129" t="n"/>
      <c r="CK50" s="129" t="n"/>
      <c r="CL50" s="129" t="n"/>
      <c r="CM50" s="129" t="n"/>
      <c r="CN50" s="129" t="n"/>
      <c r="CO50" s="129" t="n"/>
      <c r="CP50" s="129" t="n"/>
      <c r="CQ50" s="129" t="n"/>
      <c r="CR50" s="129" t="n"/>
      <c r="CS50" s="129" t="n"/>
      <c r="CT50" s="129" t="n"/>
      <c r="CU50" s="129" t="n"/>
      <c r="CV50" s="129" t="n"/>
      <c r="CW50" s="129" t="n"/>
      <c r="CX50" s="129" t="n"/>
      <c r="CY50" s="129" t="n"/>
      <c r="CZ50" s="129" t="n"/>
      <c r="DA50" s="129" t="n"/>
      <c r="DB50" s="129" t="n"/>
      <c r="DC50" s="129" t="n"/>
      <c r="DD50" s="129" t="n"/>
      <c r="DE50" s="129" t="n"/>
      <c r="DF50" s="129" t="n"/>
      <c r="DG50" s="129" t="n"/>
      <c r="DH50" s="129" t="n"/>
      <c r="DI50" s="129" t="n"/>
      <c r="DJ50" s="129" t="n"/>
      <c r="DK50" s="129" t="n"/>
      <c r="DL50" s="129" t="n"/>
      <c r="DM50" s="129" t="n"/>
      <c r="DN50" s="129" t="n"/>
      <c r="DO50" s="129" t="n"/>
      <c r="DP50" s="129" t="n"/>
      <c r="DQ50" s="129" t="n"/>
      <c r="DR50" s="129" t="n"/>
      <c r="DS50" s="129" t="n"/>
      <c r="DT50" s="129" t="n"/>
      <c r="DU50" s="129" t="n"/>
      <c r="DV50" s="129" t="n"/>
      <c r="DW50" s="129" t="n"/>
      <c r="DX50" s="129" t="n"/>
      <c r="DY50" s="129" t="n"/>
      <c r="DZ50" s="129" t="n"/>
      <c r="EA50" s="129" t="n"/>
      <c r="EB50" s="129" t="n"/>
      <c r="EC50" s="129" t="n"/>
      <c r="ED50" s="129" t="n"/>
      <c r="EE50" s="129" t="n"/>
      <c r="EF50" s="129" t="n"/>
      <c r="EG50" s="129" t="n"/>
      <c r="EH50" s="129" t="n"/>
      <c r="EI50" s="129" t="n"/>
      <c r="EJ50" s="129" t="n"/>
      <c r="EK50" s="129" t="n"/>
      <c r="EL50" s="129" t="n"/>
      <c r="EM50" s="129" t="n"/>
      <c r="EN50" s="129" t="n"/>
      <c r="EO50" s="129" t="n"/>
      <c r="EP50" s="129" t="n"/>
      <c r="EQ50" s="129" t="n"/>
      <c r="ER50" s="129" t="n"/>
      <c r="ES50" s="129" t="n"/>
      <c r="ET50" s="129" t="n"/>
      <c r="EU50" s="129" t="n"/>
      <c r="EV50" s="129" t="n"/>
      <c r="EW50" s="129" t="n"/>
      <c r="EX50" s="129" t="n"/>
      <c r="EY50" s="129" t="n"/>
      <c r="EZ50" s="129" t="n"/>
      <c r="FA50" s="129" t="n"/>
      <c r="FB50" s="129" t="n"/>
      <c r="FC50" s="129" t="n"/>
      <c r="FD50" s="129" t="n"/>
      <c r="FE50" s="129" t="n"/>
      <c r="FF50" s="129" t="n"/>
      <c r="FG50" s="129" t="n"/>
      <c r="FH50" s="129" t="n"/>
      <c r="FI50" s="129" t="n"/>
      <c r="FJ50" s="129" t="n"/>
      <c r="FK50" s="129" t="n"/>
      <c r="FL50" s="129" t="n"/>
      <c r="FM50" s="129" t="n"/>
    </row>
    <row r="51" s="135">
      <c r="A51" s="90" t="n">
        <v>34242</v>
      </c>
      <c r="B51" s="91" t="n">
        <v>0.16</v>
      </c>
      <c r="C51" s="79" t="n"/>
      <c r="D51" s="129" t="n"/>
      <c r="E51" s="129" t="n"/>
      <c r="F51" s="129" t="n"/>
      <c r="G51" s="129" t="n"/>
      <c r="H51" s="129" t="n"/>
      <c r="I51" s="129" t="n"/>
      <c r="J51" s="129" t="n"/>
      <c r="K51" s="129" t="n"/>
      <c r="L51" s="129" t="n"/>
      <c r="M51" s="129" t="n"/>
      <c r="N51" s="129" t="n"/>
      <c r="O51" s="129" t="n"/>
      <c r="P51" s="129" t="n"/>
      <c r="Q51" s="129" t="n"/>
      <c r="R51" s="129" t="n"/>
      <c r="S51" s="129" t="n"/>
      <c r="T51" s="129" t="n"/>
      <c r="U51" s="129" t="n"/>
      <c r="V51" s="129" t="n"/>
      <c r="W51" s="129" t="n"/>
      <c r="X51" s="129" t="n"/>
      <c r="Y51" s="129" t="n"/>
      <c r="Z51" s="129" t="n"/>
      <c r="AA51" s="129" t="n"/>
      <c r="AB51" s="129" t="n"/>
      <c r="AC51" s="129" t="n"/>
      <c r="AD51" s="129" t="n"/>
      <c r="AE51" s="129" t="n"/>
      <c r="AF51" s="129" t="n"/>
      <c r="AG51" s="129" t="n"/>
      <c r="AH51" s="129" t="n"/>
      <c r="AI51" s="129" t="n"/>
      <c r="AJ51" s="129" t="n"/>
      <c r="AK51" s="129" t="n"/>
      <c r="AL51" s="129" t="n"/>
      <c r="AM51" s="129" t="n"/>
      <c r="AN51" s="129" t="n"/>
      <c r="AO51" s="129" t="n"/>
      <c r="AP51" s="129" t="n"/>
      <c r="AQ51" s="129" t="n"/>
      <c r="AR51" s="129" t="n"/>
      <c r="AS51" s="129" t="n"/>
      <c r="AT51" s="129" t="n"/>
      <c r="AU51" s="129" t="n"/>
      <c r="AV51" s="129" t="n"/>
      <c r="AW51" s="129" t="n"/>
      <c r="AX51" s="129" t="n"/>
      <c r="AY51" s="129" t="n"/>
      <c r="AZ51" s="129" t="n"/>
      <c r="BA51" s="129" t="n"/>
      <c r="BB51" s="129" t="n"/>
      <c r="BC51" s="129" t="n"/>
      <c r="BD51" s="129" t="n"/>
      <c r="BE51" s="129" t="n"/>
      <c r="BF51" s="129" t="n"/>
      <c r="BG51" s="129" t="n"/>
      <c r="BH51" s="129" t="n"/>
      <c r="BI51" s="129" t="n"/>
      <c r="BJ51" s="129" t="n"/>
      <c r="BK51" s="129" t="n"/>
      <c r="BL51" s="129" t="n"/>
      <c r="BM51" s="129" t="n"/>
      <c r="BN51" s="129" t="n"/>
      <c r="BO51" s="129" t="n"/>
      <c r="BP51" s="129" t="n"/>
      <c r="BQ51" s="129" t="n"/>
      <c r="BR51" s="129" t="n"/>
      <c r="BS51" s="129" t="n"/>
      <c r="BT51" s="129" t="n"/>
      <c r="BU51" s="129" t="n"/>
      <c r="BV51" s="129" t="n"/>
      <c r="BW51" s="129" t="n"/>
      <c r="BX51" s="129" t="n"/>
      <c r="BY51" s="129" t="n"/>
      <c r="BZ51" s="129" t="n"/>
      <c r="CA51" s="129" t="n"/>
      <c r="CB51" s="129" t="n"/>
      <c r="CC51" s="129" t="n"/>
      <c r="CD51" s="129" t="n"/>
      <c r="CE51" s="129" t="n"/>
      <c r="CF51" s="129" t="n"/>
      <c r="CG51" s="129" t="n"/>
      <c r="CH51" s="129" t="n"/>
      <c r="CI51" s="129" t="n"/>
      <c r="CJ51" s="129" t="n"/>
      <c r="CK51" s="129" t="n"/>
      <c r="CL51" s="129" t="n"/>
      <c r="CM51" s="129" t="n"/>
      <c r="CN51" s="129" t="n"/>
      <c r="CO51" s="129" t="n"/>
      <c r="CP51" s="129" t="n"/>
      <c r="CQ51" s="129" t="n"/>
      <c r="CR51" s="129" t="n"/>
      <c r="CS51" s="129" t="n"/>
      <c r="CT51" s="129" t="n"/>
      <c r="CU51" s="129" t="n"/>
      <c r="CV51" s="129" t="n"/>
      <c r="CW51" s="129" t="n"/>
      <c r="CX51" s="129" t="n"/>
      <c r="CY51" s="129" t="n"/>
      <c r="CZ51" s="129" t="n"/>
      <c r="DA51" s="129" t="n"/>
      <c r="DB51" s="129" t="n"/>
      <c r="DC51" s="129" t="n"/>
      <c r="DD51" s="129" t="n"/>
      <c r="DE51" s="129" t="n"/>
      <c r="DF51" s="129" t="n"/>
      <c r="DG51" s="129" t="n"/>
      <c r="DH51" s="129" t="n"/>
      <c r="DI51" s="129" t="n"/>
      <c r="DJ51" s="129" t="n"/>
      <c r="DK51" s="129" t="n"/>
      <c r="DL51" s="129" t="n"/>
      <c r="DM51" s="129" t="n"/>
      <c r="DN51" s="129" t="n"/>
      <c r="DO51" s="129" t="n"/>
      <c r="DP51" s="129" t="n"/>
      <c r="DQ51" s="129" t="n"/>
      <c r="DR51" s="129" t="n"/>
      <c r="DS51" s="129" t="n"/>
      <c r="DT51" s="129" t="n"/>
      <c r="DU51" s="129" t="n"/>
      <c r="DV51" s="129" t="n"/>
      <c r="DW51" s="129" t="n"/>
      <c r="DX51" s="129" t="n"/>
      <c r="DY51" s="129" t="n"/>
      <c r="DZ51" s="129" t="n"/>
      <c r="EA51" s="129" t="n"/>
      <c r="EB51" s="129" t="n"/>
      <c r="EC51" s="129" t="n"/>
      <c r="ED51" s="129" t="n"/>
      <c r="EE51" s="129" t="n"/>
      <c r="EF51" s="129" t="n"/>
      <c r="EG51" s="129" t="n"/>
      <c r="EH51" s="129" t="n"/>
      <c r="EI51" s="129" t="n"/>
      <c r="EJ51" s="129" t="n"/>
      <c r="EK51" s="129" t="n"/>
      <c r="EL51" s="129" t="n"/>
      <c r="EM51" s="129" t="n"/>
      <c r="EN51" s="129" t="n"/>
      <c r="EO51" s="129" t="n"/>
      <c r="EP51" s="129" t="n"/>
      <c r="EQ51" s="129" t="n"/>
      <c r="ER51" s="129" t="n"/>
      <c r="ES51" s="129" t="n"/>
      <c r="ET51" s="129" t="n"/>
      <c r="EU51" s="129" t="n"/>
      <c r="EV51" s="129" t="n"/>
      <c r="EW51" s="129" t="n"/>
      <c r="EX51" s="129" t="n"/>
      <c r="EY51" s="129" t="n"/>
      <c r="EZ51" s="129" t="n"/>
      <c r="FA51" s="129" t="n"/>
      <c r="FB51" s="129" t="n"/>
      <c r="FC51" s="129" t="n"/>
      <c r="FD51" s="129" t="n"/>
      <c r="FE51" s="129" t="n"/>
      <c r="FF51" s="129" t="n"/>
      <c r="FG51" s="129" t="n"/>
      <c r="FH51" s="129" t="n"/>
      <c r="FI51" s="129" t="n"/>
      <c r="FJ51" s="129" t="n"/>
      <c r="FK51" s="129" t="n"/>
      <c r="FL51" s="129" t="n"/>
      <c r="FM51" s="129" t="n"/>
    </row>
    <row r="52" s="135">
      <c r="A52" s="92" t="n">
        <v>34273</v>
      </c>
      <c r="B52" s="93" t="n">
        <v>0.134</v>
      </c>
      <c r="C52" s="79" t="n"/>
      <c r="D52" s="129" t="n"/>
      <c r="E52" s="129" t="n"/>
      <c r="F52" s="129" t="n"/>
      <c r="G52" s="129" t="n"/>
      <c r="H52" s="129" t="n"/>
      <c r="I52" s="129" t="n"/>
      <c r="J52" s="129" t="n"/>
      <c r="K52" s="129" t="n"/>
      <c r="L52" s="129" t="n"/>
      <c r="M52" s="129" t="n"/>
      <c r="N52" s="129" t="n"/>
      <c r="O52" s="129" t="n"/>
      <c r="P52" s="129" t="n"/>
      <c r="Q52" s="129" t="n"/>
      <c r="R52" s="129" t="n"/>
      <c r="S52" s="129" t="n"/>
      <c r="T52" s="129" t="n"/>
      <c r="U52" s="129" t="n"/>
      <c r="V52" s="129" t="n"/>
      <c r="W52" s="129" t="n"/>
      <c r="X52" s="129" t="n"/>
      <c r="Y52" s="129" t="n"/>
      <c r="Z52" s="129" t="n"/>
      <c r="AA52" s="129" t="n"/>
      <c r="AB52" s="129" t="n"/>
      <c r="AC52" s="129" t="n"/>
      <c r="AD52" s="129" t="n"/>
      <c r="AE52" s="129" t="n"/>
      <c r="AF52" s="129" t="n"/>
      <c r="AG52" s="129" t="n"/>
      <c r="AH52" s="129" t="n"/>
      <c r="AI52" s="129" t="n"/>
      <c r="AJ52" s="129" t="n"/>
      <c r="AK52" s="129" t="n"/>
      <c r="AL52" s="129" t="n"/>
      <c r="AM52" s="129" t="n"/>
      <c r="AN52" s="129" t="n"/>
      <c r="AO52" s="129" t="n"/>
      <c r="AP52" s="129" t="n"/>
      <c r="AQ52" s="129" t="n"/>
      <c r="AR52" s="129" t="n"/>
      <c r="AS52" s="129" t="n"/>
      <c r="AT52" s="129" t="n"/>
      <c r="AU52" s="129" t="n"/>
      <c r="AV52" s="129" t="n"/>
      <c r="AW52" s="129" t="n"/>
      <c r="AX52" s="129" t="n"/>
      <c r="AY52" s="129" t="n"/>
      <c r="AZ52" s="129" t="n"/>
      <c r="BA52" s="129" t="n"/>
      <c r="BB52" s="129" t="n"/>
      <c r="BC52" s="129" t="n"/>
      <c r="BD52" s="129" t="n"/>
      <c r="BE52" s="129" t="n"/>
      <c r="BF52" s="129" t="n"/>
      <c r="BG52" s="129" t="n"/>
      <c r="BH52" s="129" t="n"/>
      <c r="BI52" s="129" t="n"/>
      <c r="BJ52" s="129" t="n"/>
      <c r="BK52" s="129" t="n"/>
      <c r="BL52" s="129" t="n"/>
      <c r="BM52" s="129" t="n"/>
      <c r="BN52" s="129" t="n"/>
      <c r="BO52" s="129" t="n"/>
      <c r="BP52" s="129" t="n"/>
      <c r="BQ52" s="129" t="n"/>
      <c r="BR52" s="129" t="n"/>
      <c r="BS52" s="129" t="n"/>
      <c r="BT52" s="129" t="n"/>
      <c r="BU52" s="129" t="n"/>
      <c r="BV52" s="129" t="n"/>
      <c r="BW52" s="129" t="n"/>
      <c r="BX52" s="129" t="n"/>
      <c r="BY52" s="129" t="n"/>
      <c r="BZ52" s="129" t="n"/>
      <c r="CA52" s="129" t="n"/>
      <c r="CB52" s="129" t="n"/>
      <c r="CC52" s="129" t="n"/>
      <c r="CD52" s="129" t="n"/>
      <c r="CE52" s="129" t="n"/>
      <c r="CF52" s="129" t="n"/>
      <c r="CG52" s="129" t="n"/>
      <c r="CH52" s="129" t="n"/>
      <c r="CI52" s="129" t="n"/>
      <c r="CJ52" s="129" t="n"/>
      <c r="CK52" s="129" t="n"/>
      <c r="CL52" s="129" t="n"/>
      <c r="CM52" s="129" t="n"/>
      <c r="CN52" s="129" t="n"/>
      <c r="CO52" s="129" t="n"/>
      <c r="CP52" s="129" t="n"/>
      <c r="CQ52" s="129" t="n"/>
      <c r="CR52" s="129" t="n"/>
      <c r="CS52" s="129" t="n"/>
      <c r="CT52" s="129" t="n"/>
      <c r="CU52" s="129" t="n"/>
      <c r="CV52" s="129" t="n"/>
      <c r="CW52" s="129" t="n"/>
      <c r="CX52" s="129" t="n"/>
      <c r="CY52" s="129" t="n"/>
      <c r="CZ52" s="129" t="n"/>
      <c r="DA52" s="129" t="n"/>
      <c r="DB52" s="129" t="n"/>
      <c r="DC52" s="129" t="n"/>
      <c r="DD52" s="129" t="n"/>
      <c r="DE52" s="129" t="n"/>
      <c r="DF52" s="129" t="n"/>
      <c r="DG52" s="129" t="n"/>
      <c r="DH52" s="129" t="n"/>
      <c r="DI52" s="129" t="n"/>
      <c r="DJ52" s="129" t="n"/>
      <c r="DK52" s="129" t="n"/>
      <c r="DL52" s="129" t="n"/>
      <c r="DM52" s="129" t="n"/>
      <c r="DN52" s="129" t="n"/>
      <c r="DO52" s="129" t="n"/>
      <c r="DP52" s="129" t="n"/>
      <c r="DQ52" s="129" t="n"/>
      <c r="DR52" s="129" t="n"/>
      <c r="DS52" s="129" t="n"/>
      <c r="DT52" s="129" t="n"/>
      <c r="DU52" s="129" t="n"/>
      <c r="DV52" s="129" t="n"/>
      <c r="DW52" s="129" t="n"/>
      <c r="DX52" s="129" t="n"/>
      <c r="DY52" s="129" t="n"/>
      <c r="DZ52" s="129" t="n"/>
      <c r="EA52" s="129" t="n"/>
      <c r="EB52" s="129" t="n"/>
      <c r="EC52" s="129" t="n"/>
      <c r="ED52" s="129" t="n"/>
      <c r="EE52" s="129" t="n"/>
      <c r="EF52" s="129" t="n"/>
      <c r="EG52" s="129" t="n"/>
      <c r="EH52" s="129" t="n"/>
      <c r="EI52" s="129" t="n"/>
      <c r="EJ52" s="129" t="n"/>
      <c r="EK52" s="129" t="n"/>
      <c r="EL52" s="129" t="n"/>
      <c r="EM52" s="129" t="n"/>
      <c r="EN52" s="129" t="n"/>
      <c r="EO52" s="129" t="n"/>
      <c r="EP52" s="129" t="n"/>
      <c r="EQ52" s="129" t="n"/>
      <c r="ER52" s="129" t="n"/>
      <c r="ES52" s="129" t="n"/>
      <c r="ET52" s="129" t="n"/>
      <c r="EU52" s="129" t="n"/>
      <c r="EV52" s="129" t="n"/>
      <c r="EW52" s="129" t="n"/>
      <c r="EX52" s="129" t="n"/>
      <c r="EY52" s="129" t="n"/>
      <c r="EZ52" s="129" t="n"/>
      <c r="FA52" s="129" t="n"/>
      <c r="FB52" s="129" t="n"/>
      <c r="FC52" s="129" t="n"/>
      <c r="FD52" s="129" t="n"/>
      <c r="FE52" s="129" t="n"/>
      <c r="FF52" s="129" t="n"/>
      <c r="FG52" s="129" t="n"/>
      <c r="FH52" s="129" t="n"/>
      <c r="FI52" s="129" t="n"/>
      <c r="FJ52" s="129" t="n"/>
      <c r="FK52" s="129" t="n"/>
      <c r="FL52" s="129" t="n"/>
      <c r="FM52" s="129" t="n"/>
    </row>
    <row r="53" s="135">
      <c r="A53" s="90" t="n">
        <v>34303</v>
      </c>
      <c r="B53" s="91" t="n">
        <v>0.16</v>
      </c>
      <c r="C53" s="79" t="n"/>
      <c r="D53" s="129" t="n"/>
      <c r="E53" s="129" t="n"/>
      <c r="F53" s="129" t="n"/>
      <c r="G53" s="129" t="n"/>
      <c r="H53" s="129" t="n"/>
      <c r="I53" s="129" t="n"/>
      <c r="J53" s="129" t="n"/>
      <c r="K53" s="129" t="n"/>
      <c r="L53" s="129" t="n"/>
      <c r="M53" s="129" t="n"/>
      <c r="N53" s="129" t="n"/>
      <c r="O53" s="129" t="n"/>
      <c r="P53" s="129" t="n"/>
      <c r="Q53" s="129" t="n"/>
      <c r="R53" s="129" t="n"/>
      <c r="S53" s="129" t="n"/>
      <c r="T53" s="129" t="n"/>
      <c r="U53" s="129" t="n"/>
      <c r="V53" s="129" t="n"/>
      <c r="W53" s="129" t="n"/>
      <c r="X53" s="129" t="n"/>
      <c r="Y53" s="129" t="n"/>
      <c r="Z53" s="129" t="n"/>
      <c r="AA53" s="129" t="n"/>
      <c r="AB53" s="129" t="n"/>
      <c r="AC53" s="129" t="n"/>
      <c r="AD53" s="129" t="n"/>
      <c r="AE53" s="129" t="n"/>
      <c r="AF53" s="129" t="n"/>
      <c r="AG53" s="129" t="n"/>
      <c r="AH53" s="129" t="n"/>
      <c r="AI53" s="129" t="n"/>
      <c r="AJ53" s="129" t="n"/>
      <c r="AK53" s="129" t="n"/>
      <c r="AL53" s="129" t="n"/>
      <c r="AM53" s="129" t="n"/>
      <c r="AN53" s="129" t="n"/>
      <c r="AO53" s="129" t="n"/>
      <c r="AP53" s="129" t="n"/>
      <c r="AQ53" s="129" t="n"/>
      <c r="AR53" s="129" t="n"/>
      <c r="AS53" s="129" t="n"/>
      <c r="AT53" s="129" t="n"/>
      <c r="AU53" s="129" t="n"/>
      <c r="AV53" s="129" t="n"/>
      <c r="AW53" s="129" t="n"/>
      <c r="AX53" s="129" t="n"/>
      <c r="AY53" s="129" t="n"/>
      <c r="AZ53" s="129" t="n"/>
      <c r="BA53" s="129" t="n"/>
      <c r="BB53" s="129" t="n"/>
      <c r="BC53" s="129" t="n"/>
      <c r="BD53" s="129" t="n"/>
      <c r="BE53" s="129" t="n"/>
      <c r="BF53" s="129" t="n"/>
      <c r="BG53" s="129" t="n"/>
      <c r="BH53" s="129" t="n"/>
      <c r="BI53" s="129" t="n"/>
      <c r="BJ53" s="129" t="n"/>
      <c r="BK53" s="129" t="n"/>
      <c r="BL53" s="129" t="n"/>
      <c r="BM53" s="129" t="n"/>
      <c r="BN53" s="129" t="n"/>
      <c r="BO53" s="129" t="n"/>
      <c r="BP53" s="129" t="n"/>
      <c r="BQ53" s="129" t="n"/>
      <c r="BR53" s="129" t="n"/>
      <c r="BS53" s="129" t="n"/>
      <c r="BT53" s="129" t="n"/>
      <c r="BU53" s="129" t="n"/>
      <c r="BV53" s="129" t="n"/>
      <c r="BW53" s="129" t="n"/>
      <c r="BX53" s="129" t="n"/>
      <c r="BY53" s="129" t="n"/>
      <c r="BZ53" s="129" t="n"/>
      <c r="CA53" s="129" t="n"/>
      <c r="CB53" s="129" t="n"/>
      <c r="CC53" s="129" t="n"/>
      <c r="CD53" s="129" t="n"/>
      <c r="CE53" s="129" t="n"/>
      <c r="CF53" s="129" t="n"/>
      <c r="CG53" s="129" t="n"/>
      <c r="CH53" s="129" t="n"/>
      <c r="CI53" s="129" t="n"/>
      <c r="CJ53" s="129" t="n"/>
      <c r="CK53" s="129" t="n"/>
      <c r="CL53" s="129" t="n"/>
      <c r="CM53" s="129" t="n"/>
      <c r="CN53" s="129" t="n"/>
      <c r="CO53" s="129" t="n"/>
      <c r="CP53" s="129" t="n"/>
      <c r="CQ53" s="129" t="n"/>
      <c r="CR53" s="129" t="n"/>
      <c r="CS53" s="129" t="n"/>
      <c r="CT53" s="129" t="n"/>
      <c r="CU53" s="129" t="n"/>
      <c r="CV53" s="129" t="n"/>
      <c r="CW53" s="129" t="n"/>
      <c r="CX53" s="129" t="n"/>
      <c r="CY53" s="129" t="n"/>
      <c r="CZ53" s="129" t="n"/>
      <c r="DA53" s="129" t="n"/>
      <c r="DB53" s="129" t="n"/>
      <c r="DC53" s="129" t="n"/>
      <c r="DD53" s="129" t="n"/>
      <c r="DE53" s="129" t="n"/>
      <c r="DF53" s="129" t="n"/>
      <c r="DG53" s="129" t="n"/>
      <c r="DH53" s="129" t="n"/>
      <c r="DI53" s="129" t="n"/>
      <c r="DJ53" s="129" t="n"/>
      <c r="DK53" s="129" t="n"/>
      <c r="DL53" s="129" t="n"/>
      <c r="DM53" s="129" t="n"/>
      <c r="DN53" s="129" t="n"/>
      <c r="DO53" s="129" t="n"/>
      <c r="DP53" s="129" t="n"/>
      <c r="DQ53" s="129" t="n"/>
      <c r="DR53" s="129" t="n"/>
      <c r="DS53" s="129" t="n"/>
      <c r="DT53" s="129" t="n"/>
      <c r="DU53" s="129" t="n"/>
      <c r="DV53" s="129" t="n"/>
      <c r="DW53" s="129" t="n"/>
      <c r="DX53" s="129" t="n"/>
      <c r="DY53" s="129" t="n"/>
      <c r="DZ53" s="129" t="n"/>
      <c r="EA53" s="129" t="n"/>
      <c r="EB53" s="129" t="n"/>
      <c r="EC53" s="129" t="n"/>
      <c r="ED53" s="129" t="n"/>
      <c r="EE53" s="129" t="n"/>
      <c r="EF53" s="129" t="n"/>
      <c r="EG53" s="129" t="n"/>
      <c r="EH53" s="129" t="n"/>
      <c r="EI53" s="129" t="n"/>
      <c r="EJ53" s="129" t="n"/>
      <c r="EK53" s="129" t="n"/>
      <c r="EL53" s="129" t="n"/>
      <c r="EM53" s="129" t="n"/>
      <c r="EN53" s="129" t="n"/>
      <c r="EO53" s="129" t="n"/>
      <c r="EP53" s="129" t="n"/>
      <c r="EQ53" s="129" t="n"/>
      <c r="ER53" s="129" t="n"/>
      <c r="ES53" s="129" t="n"/>
      <c r="ET53" s="129" t="n"/>
      <c r="EU53" s="129" t="n"/>
      <c r="EV53" s="129" t="n"/>
      <c r="EW53" s="129" t="n"/>
      <c r="EX53" s="129" t="n"/>
      <c r="EY53" s="129" t="n"/>
      <c r="EZ53" s="129" t="n"/>
      <c r="FA53" s="129" t="n"/>
      <c r="FB53" s="129" t="n"/>
      <c r="FC53" s="129" t="n"/>
      <c r="FD53" s="129" t="n"/>
      <c r="FE53" s="129" t="n"/>
      <c r="FF53" s="129" t="n"/>
      <c r="FG53" s="129" t="n"/>
      <c r="FH53" s="129" t="n"/>
      <c r="FI53" s="129" t="n"/>
      <c r="FJ53" s="129" t="n"/>
      <c r="FK53" s="129" t="n"/>
      <c r="FL53" s="129" t="n"/>
      <c r="FM53" s="129" t="n"/>
    </row>
    <row r="54" s="135">
      <c r="A54" s="92" t="n">
        <v>34334</v>
      </c>
      <c r="B54" s="93" t="n">
        <v>0.252</v>
      </c>
      <c r="C54" s="79" t="n"/>
      <c r="D54" s="129" t="n"/>
      <c r="E54" s="129" t="n"/>
      <c r="F54" s="129" t="n"/>
      <c r="G54" s="129" t="n"/>
      <c r="H54" s="129" t="n"/>
      <c r="I54" s="129" t="n"/>
      <c r="J54" s="129" t="n"/>
      <c r="K54" s="129" t="n"/>
      <c r="L54" s="129" t="n"/>
      <c r="M54" s="129" t="n"/>
      <c r="N54" s="129" t="n"/>
      <c r="O54" s="129" t="n"/>
      <c r="P54" s="129" t="n"/>
      <c r="Q54" s="129" t="n"/>
      <c r="R54" s="129" t="n"/>
      <c r="S54" s="129" t="n"/>
      <c r="T54" s="129" t="n"/>
      <c r="U54" s="129" t="n"/>
      <c r="V54" s="129" t="n"/>
      <c r="W54" s="129" t="n"/>
      <c r="X54" s="129" t="n"/>
      <c r="Y54" s="129" t="n"/>
      <c r="Z54" s="129" t="n"/>
      <c r="AA54" s="129" t="n"/>
      <c r="AB54" s="129" t="n"/>
      <c r="AC54" s="129" t="n"/>
      <c r="AD54" s="129" t="n"/>
      <c r="AE54" s="129" t="n"/>
      <c r="AF54" s="129" t="n"/>
      <c r="AG54" s="129" t="n"/>
      <c r="AH54" s="129" t="n"/>
      <c r="AI54" s="129" t="n"/>
      <c r="AJ54" s="129" t="n"/>
      <c r="AK54" s="129" t="n"/>
      <c r="AL54" s="129" t="n"/>
      <c r="AM54" s="129" t="n"/>
      <c r="AN54" s="129" t="n"/>
      <c r="AO54" s="129" t="n"/>
      <c r="AP54" s="129" t="n"/>
      <c r="AQ54" s="129" t="n"/>
      <c r="AR54" s="129" t="n"/>
      <c r="AS54" s="129" t="n"/>
      <c r="AT54" s="129" t="n"/>
      <c r="AU54" s="129" t="n"/>
      <c r="AV54" s="129" t="n"/>
      <c r="AW54" s="129" t="n"/>
      <c r="AX54" s="129" t="n"/>
      <c r="AY54" s="129" t="n"/>
      <c r="AZ54" s="129" t="n"/>
      <c r="BA54" s="129" t="n"/>
      <c r="BB54" s="129" t="n"/>
      <c r="BC54" s="129" t="n"/>
      <c r="BD54" s="129" t="n"/>
      <c r="BE54" s="129" t="n"/>
      <c r="BF54" s="129" t="n"/>
      <c r="BG54" s="129" t="n"/>
      <c r="BH54" s="129" t="n"/>
      <c r="BI54" s="129" t="n"/>
      <c r="BJ54" s="129" t="n"/>
      <c r="BK54" s="129" t="n"/>
      <c r="BL54" s="129" t="n"/>
      <c r="BM54" s="129" t="n"/>
      <c r="BN54" s="129" t="n"/>
      <c r="BO54" s="129" t="n"/>
      <c r="BP54" s="129" t="n"/>
      <c r="BQ54" s="129" t="n"/>
      <c r="BR54" s="129" t="n"/>
      <c r="BS54" s="129" t="n"/>
      <c r="BT54" s="129" t="n"/>
      <c r="BU54" s="129" t="n"/>
      <c r="BV54" s="129" t="n"/>
      <c r="BW54" s="129" t="n"/>
      <c r="BX54" s="129" t="n"/>
      <c r="BY54" s="129" t="n"/>
      <c r="BZ54" s="129" t="n"/>
      <c r="CA54" s="129" t="n"/>
      <c r="CB54" s="129" t="n"/>
      <c r="CC54" s="129" t="n"/>
      <c r="CD54" s="129" t="n"/>
      <c r="CE54" s="129" t="n"/>
      <c r="CF54" s="129" t="n"/>
      <c r="CG54" s="129" t="n"/>
      <c r="CH54" s="129" t="n"/>
      <c r="CI54" s="129" t="n"/>
      <c r="CJ54" s="129" t="n"/>
      <c r="CK54" s="129" t="n"/>
      <c r="CL54" s="129" t="n"/>
      <c r="CM54" s="129" t="n"/>
      <c r="CN54" s="129" t="n"/>
      <c r="CO54" s="129" t="n"/>
      <c r="CP54" s="129" t="n"/>
      <c r="CQ54" s="129" t="n"/>
      <c r="CR54" s="129" t="n"/>
      <c r="CS54" s="129" t="n"/>
      <c r="CT54" s="129" t="n"/>
      <c r="CU54" s="129" t="n"/>
      <c r="CV54" s="129" t="n"/>
      <c r="CW54" s="129" t="n"/>
      <c r="CX54" s="129" t="n"/>
      <c r="CY54" s="129" t="n"/>
      <c r="CZ54" s="129" t="n"/>
      <c r="DA54" s="129" t="n"/>
      <c r="DB54" s="129" t="n"/>
      <c r="DC54" s="129" t="n"/>
      <c r="DD54" s="129" t="n"/>
      <c r="DE54" s="129" t="n"/>
      <c r="DF54" s="129" t="n"/>
      <c r="DG54" s="129" t="n"/>
      <c r="DH54" s="129" t="n"/>
      <c r="DI54" s="129" t="n"/>
      <c r="DJ54" s="129" t="n"/>
      <c r="DK54" s="129" t="n"/>
      <c r="DL54" s="129" t="n"/>
      <c r="DM54" s="129" t="n"/>
      <c r="DN54" s="129" t="n"/>
      <c r="DO54" s="129" t="n"/>
      <c r="DP54" s="129" t="n"/>
      <c r="DQ54" s="129" t="n"/>
      <c r="DR54" s="129" t="n"/>
      <c r="DS54" s="129" t="n"/>
      <c r="DT54" s="129" t="n"/>
      <c r="DU54" s="129" t="n"/>
      <c r="DV54" s="129" t="n"/>
      <c r="DW54" s="129" t="n"/>
      <c r="DX54" s="129" t="n"/>
      <c r="DY54" s="129" t="n"/>
      <c r="DZ54" s="129" t="n"/>
      <c r="EA54" s="129" t="n"/>
      <c r="EB54" s="129" t="n"/>
      <c r="EC54" s="129" t="n"/>
      <c r="ED54" s="129" t="n"/>
      <c r="EE54" s="129" t="n"/>
      <c r="EF54" s="129" t="n"/>
      <c r="EG54" s="129" t="n"/>
      <c r="EH54" s="129" t="n"/>
      <c r="EI54" s="129" t="n"/>
      <c r="EJ54" s="129" t="n"/>
      <c r="EK54" s="129" t="n"/>
      <c r="EL54" s="129" t="n"/>
      <c r="EM54" s="129" t="n"/>
      <c r="EN54" s="129" t="n"/>
      <c r="EO54" s="129" t="n"/>
      <c r="EP54" s="129" t="n"/>
      <c r="EQ54" s="129" t="n"/>
      <c r="ER54" s="129" t="n"/>
      <c r="ES54" s="129" t="n"/>
      <c r="ET54" s="129" t="n"/>
      <c r="EU54" s="129" t="n"/>
      <c r="EV54" s="129" t="n"/>
      <c r="EW54" s="129" t="n"/>
      <c r="EX54" s="129" t="n"/>
      <c r="EY54" s="129" t="n"/>
      <c r="EZ54" s="129" t="n"/>
      <c r="FA54" s="129" t="n"/>
      <c r="FB54" s="129" t="n"/>
      <c r="FC54" s="129" t="n"/>
      <c r="FD54" s="129" t="n"/>
      <c r="FE54" s="129" t="n"/>
      <c r="FF54" s="129" t="n"/>
      <c r="FG54" s="129" t="n"/>
      <c r="FH54" s="129" t="n"/>
      <c r="FI54" s="129" t="n"/>
      <c r="FJ54" s="129" t="n"/>
      <c r="FK54" s="129" t="n"/>
      <c r="FL54" s="129" t="n"/>
      <c r="FM54" s="129" t="n"/>
    </row>
    <row r="55" s="135">
      <c r="A55" s="90" t="n">
        <v>34365</v>
      </c>
      <c r="B55" s="91" t="n">
        <v>0.277</v>
      </c>
      <c r="C55" s="79" t="n"/>
      <c r="D55" s="129" t="n"/>
      <c r="E55" s="129" t="n"/>
      <c r="F55" s="129" t="n"/>
      <c r="G55" s="129" t="n"/>
      <c r="H55" s="129" t="n"/>
      <c r="I55" s="129" t="n"/>
      <c r="J55" s="129" t="n"/>
      <c r="K55" s="129" t="n"/>
      <c r="L55" s="129" t="n"/>
      <c r="M55" s="129" t="n"/>
      <c r="N55" s="129" t="n"/>
      <c r="O55" s="129" t="n"/>
      <c r="P55" s="129" t="n"/>
      <c r="Q55" s="129" t="n"/>
      <c r="R55" s="129" t="n"/>
      <c r="S55" s="129" t="n"/>
      <c r="T55" s="129" t="n"/>
      <c r="U55" s="129" t="n"/>
      <c r="V55" s="129" t="n"/>
      <c r="W55" s="129" t="n"/>
      <c r="X55" s="129" t="n"/>
      <c r="Y55" s="129" t="n"/>
      <c r="Z55" s="129" t="n"/>
      <c r="AA55" s="129" t="n"/>
      <c r="AB55" s="129" t="n"/>
      <c r="AC55" s="129" t="n"/>
      <c r="AD55" s="129" t="n"/>
      <c r="AE55" s="129" t="n"/>
      <c r="AF55" s="129" t="n"/>
      <c r="AG55" s="129" t="n"/>
      <c r="AH55" s="129" t="n"/>
      <c r="AI55" s="129" t="n"/>
      <c r="AJ55" s="129" t="n"/>
      <c r="AK55" s="129" t="n"/>
      <c r="AL55" s="129" t="n"/>
      <c r="AM55" s="129" t="n"/>
      <c r="AN55" s="129" t="n"/>
      <c r="AO55" s="129" t="n"/>
      <c r="AP55" s="129" t="n"/>
      <c r="AQ55" s="129" t="n"/>
      <c r="AR55" s="129" t="n"/>
      <c r="AS55" s="129" t="n"/>
      <c r="AT55" s="129" t="n"/>
      <c r="AU55" s="129" t="n"/>
      <c r="AV55" s="129" t="n"/>
      <c r="AW55" s="129" t="n"/>
      <c r="AX55" s="129" t="n"/>
      <c r="AY55" s="129" t="n"/>
      <c r="AZ55" s="129" t="n"/>
      <c r="BA55" s="129" t="n"/>
      <c r="BB55" s="129" t="n"/>
      <c r="BC55" s="129" t="n"/>
      <c r="BD55" s="129" t="n"/>
      <c r="BE55" s="129" t="n"/>
      <c r="BF55" s="129" t="n"/>
      <c r="BG55" s="129" t="n"/>
      <c r="BH55" s="129" t="n"/>
      <c r="BI55" s="129" t="n"/>
      <c r="BJ55" s="129" t="n"/>
      <c r="BK55" s="129" t="n"/>
      <c r="BL55" s="129" t="n"/>
      <c r="BM55" s="129" t="n"/>
      <c r="BN55" s="129" t="n"/>
      <c r="BO55" s="129" t="n"/>
      <c r="BP55" s="129" t="n"/>
      <c r="BQ55" s="129" t="n"/>
      <c r="BR55" s="129" t="n"/>
      <c r="BS55" s="129" t="n"/>
      <c r="BT55" s="129" t="n"/>
      <c r="BU55" s="129" t="n"/>
      <c r="BV55" s="129" t="n"/>
      <c r="BW55" s="129" t="n"/>
      <c r="BX55" s="129" t="n"/>
      <c r="BY55" s="129" t="n"/>
      <c r="BZ55" s="129" t="n"/>
      <c r="CA55" s="129" t="n"/>
      <c r="CB55" s="129" t="n"/>
      <c r="CC55" s="129" t="n"/>
      <c r="CD55" s="129" t="n"/>
      <c r="CE55" s="129" t="n"/>
      <c r="CF55" s="129" t="n"/>
      <c r="CG55" s="129" t="n"/>
      <c r="CH55" s="129" t="n"/>
      <c r="CI55" s="129" t="n"/>
      <c r="CJ55" s="129" t="n"/>
      <c r="CK55" s="129" t="n"/>
      <c r="CL55" s="129" t="n"/>
      <c r="CM55" s="129" t="n"/>
      <c r="CN55" s="129" t="n"/>
      <c r="CO55" s="129" t="n"/>
      <c r="CP55" s="129" t="n"/>
      <c r="CQ55" s="129" t="n"/>
      <c r="CR55" s="129" t="n"/>
      <c r="CS55" s="129" t="n"/>
      <c r="CT55" s="129" t="n"/>
      <c r="CU55" s="129" t="n"/>
      <c r="CV55" s="129" t="n"/>
      <c r="CW55" s="129" t="n"/>
      <c r="CX55" s="129" t="n"/>
      <c r="CY55" s="129" t="n"/>
      <c r="CZ55" s="129" t="n"/>
      <c r="DA55" s="129" t="n"/>
      <c r="DB55" s="129" t="n"/>
      <c r="DC55" s="129" t="n"/>
      <c r="DD55" s="129" t="n"/>
      <c r="DE55" s="129" t="n"/>
      <c r="DF55" s="129" t="n"/>
      <c r="DG55" s="129" t="n"/>
      <c r="DH55" s="129" t="n"/>
      <c r="DI55" s="129" t="n"/>
      <c r="DJ55" s="129" t="n"/>
      <c r="DK55" s="129" t="n"/>
      <c r="DL55" s="129" t="n"/>
      <c r="DM55" s="129" t="n"/>
      <c r="DN55" s="129" t="n"/>
      <c r="DO55" s="129" t="n"/>
      <c r="DP55" s="129" t="n"/>
      <c r="DQ55" s="129" t="n"/>
      <c r="DR55" s="129" t="n"/>
      <c r="DS55" s="129" t="n"/>
      <c r="DT55" s="129" t="n"/>
      <c r="DU55" s="129" t="n"/>
      <c r="DV55" s="129" t="n"/>
      <c r="DW55" s="129" t="n"/>
      <c r="DX55" s="129" t="n"/>
      <c r="DY55" s="129" t="n"/>
      <c r="DZ55" s="129" t="n"/>
      <c r="EA55" s="129" t="n"/>
      <c r="EB55" s="129" t="n"/>
      <c r="EC55" s="129" t="n"/>
      <c r="ED55" s="129" t="n"/>
      <c r="EE55" s="129" t="n"/>
      <c r="EF55" s="129" t="n"/>
      <c r="EG55" s="129" t="n"/>
      <c r="EH55" s="129" t="n"/>
      <c r="EI55" s="129" t="n"/>
      <c r="EJ55" s="129" t="n"/>
      <c r="EK55" s="129" t="n"/>
      <c r="EL55" s="129" t="n"/>
      <c r="EM55" s="129" t="n"/>
      <c r="EN55" s="129" t="n"/>
      <c r="EO55" s="129" t="n"/>
      <c r="EP55" s="129" t="n"/>
      <c r="EQ55" s="129" t="n"/>
      <c r="ER55" s="129" t="n"/>
      <c r="ES55" s="129" t="n"/>
      <c r="ET55" s="129" t="n"/>
      <c r="EU55" s="129" t="n"/>
      <c r="EV55" s="129" t="n"/>
      <c r="EW55" s="129" t="n"/>
      <c r="EX55" s="129" t="n"/>
      <c r="EY55" s="129" t="n"/>
      <c r="EZ55" s="129" t="n"/>
      <c r="FA55" s="129" t="n"/>
      <c r="FB55" s="129" t="n"/>
      <c r="FC55" s="129" t="n"/>
      <c r="FD55" s="129" t="n"/>
      <c r="FE55" s="129" t="n"/>
      <c r="FF55" s="129" t="n"/>
      <c r="FG55" s="129" t="n"/>
      <c r="FH55" s="129" t="n"/>
      <c r="FI55" s="129" t="n"/>
      <c r="FJ55" s="129" t="n"/>
      <c r="FK55" s="129" t="n"/>
      <c r="FL55" s="129" t="n"/>
      <c r="FM55" s="129" t="n"/>
    </row>
    <row r="56" s="135">
      <c r="A56" s="92" t="n">
        <v>34393</v>
      </c>
      <c r="B56" s="93" t="n">
        <v>0.034</v>
      </c>
      <c r="C56" s="79" t="n"/>
      <c r="D56" s="129" t="n"/>
      <c r="E56" s="129" t="n"/>
      <c r="F56" s="129" t="n"/>
      <c r="G56" s="129" t="n"/>
      <c r="H56" s="129" t="n"/>
      <c r="I56" s="129" t="n"/>
      <c r="J56" s="129" t="n"/>
      <c r="K56" s="129" t="n"/>
      <c r="L56" s="129" t="n"/>
      <c r="M56" s="129" t="n"/>
      <c r="N56" s="129" t="n"/>
      <c r="O56" s="129" t="n"/>
      <c r="P56" s="129" t="n"/>
      <c r="Q56" s="129" t="n"/>
      <c r="R56" s="129" t="n"/>
      <c r="S56" s="129" t="n"/>
      <c r="T56" s="129" t="n"/>
      <c r="U56" s="129" t="n"/>
      <c r="V56" s="129" t="n"/>
      <c r="W56" s="129" t="n"/>
      <c r="X56" s="129" t="n"/>
      <c r="Y56" s="129" t="n"/>
      <c r="Z56" s="129" t="n"/>
      <c r="AA56" s="129" t="n"/>
      <c r="AB56" s="129" t="n"/>
      <c r="AC56" s="129" t="n"/>
      <c r="AD56" s="129" t="n"/>
      <c r="AE56" s="129" t="n"/>
      <c r="AF56" s="129" t="n"/>
      <c r="AG56" s="129" t="n"/>
      <c r="AH56" s="129" t="n"/>
      <c r="AI56" s="129" t="n"/>
      <c r="AJ56" s="129" t="n"/>
      <c r="AK56" s="129" t="n"/>
      <c r="AL56" s="129" t="n"/>
      <c r="AM56" s="129" t="n"/>
      <c r="AN56" s="129" t="n"/>
      <c r="AO56" s="129" t="n"/>
      <c r="AP56" s="129" t="n"/>
      <c r="AQ56" s="129" t="n"/>
      <c r="AR56" s="129" t="n"/>
      <c r="AS56" s="129" t="n"/>
      <c r="AT56" s="129" t="n"/>
      <c r="AU56" s="129" t="n"/>
      <c r="AV56" s="129" t="n"/>
      <c r="AW56" s="129" t="n"/>
      <c r="AX56" s="129" t="n"/>
      <c r="AY56" s="129" t="n"/>
      <c r="AZ56" s="129" t="n"/>
      <c r="BA56" s="129" t="n"/>
      <c r="BB56" s="129" t="n"/>
      <c r="BC56" s="129" t="n"/>
      <c r="BD56" s="129" t="n"/>
      <c r="BE56" s="129" t="n"/>
      <c r="BF56" s="129" t="n"/>
      <c r="BG56" s="129" t="n"/>
      <c r="BH56" s="129" t="n"/>
      <c r="BI56" s="129" t="n"/>
      <c r="BJ56" s="129" t="n"/>
      <c r="BK56" s="129" t="n"/>
      <c r="BL56" s="129" t="n"/>
      <c r="BM56" s="129" t="n"/>
      <c r="BN56" s="129" t="n"/>
      <c r="BO56" s="129" t="n"/>
      <c r="BP56" s="129" t="n"/>
      <c r="BQ56" s="129" t="n"/>
      <c r="BR56" s="129" t="n"/>
      <c r="BS56" s="129" t="n"/>
      <c r="BT56" s="129" t="n"/>
      <c r="BU56" s="129" t="n"/>
      <c r="BV56" s="129" t="n"/>
      <c r="BW56" s="129" t="n"/>
      <c r="BX56" s="129" t="n"/>
      <c r="BY56" s="129" t="n"/>
      <c r="BZ56" s="129" t="n"/>
      <c r="CA56" s="129" t="n"/>
      <c r="CB56" s="129" t="n"/>
      <c r="CC56" s="129" t="n"/>
      <c r="CD56" s="129" t="n"/>
      <c r="CE56" s="129" t="n"/>
      <c r="CF56" s="129" t="n"/>
      <c r="CG56" s="129" t="n"/>
      <c r="CH56" s="129" t="n"/>
      <c r="CI56" s="129" t="n"/>
      <c r="CJ56" s="129" t="n"/>
      <c r="CK56" s="129" t="n"/>
      <c r="CL56" s="129" t="n"/>
      <c r="CM56" s="129" t="n"/>
      <c r="CN56" s="129" t="n"/>
      <c r="CO56" s="129" t="n"/>
      <c r="CP56" s="129" t="n"/>
      <c r="CQ56" s="129" t="n"/>
      <c r="CR56" s="129" t="n"/>
      <c r="CS56" s="129" t="n"/>
      <c r="CT56" s="129" t="n"/>
      <c r="CU56" s="129" t="n"/>
      <c r="CV56" s="129" t="n"/>
      <c r="CW56" s="129" t="n"/>
      <c r="CX56" s="129" t="n"/>
      <c r="CY56" s="129" t="n"/>
      <c r="CZ56" s="129" t="n"/>
      <c r="DA56" s="129" t="n"/>
      <c r="DB56" s="129" t="n"/>
      <c r="DC56" s="129" t="n"/>
      <c r="DD56" s="129" t="n"/>
      <c r="DE56" s="129" t="n"/>
      <c r="DF56" s="129" t="n"/>
      <c r="DG56" s="129" t="n"/>
      <c r="DH56" s="129" t="n"/>
      <c r="DI56" s="129" t="n"/>
      <c r="DJ56" s="129" t="n"/>
      <c r="DK56" s="129" t="n"/>
      <c r="DL56" s="129" t="n"/>
      <c r="DM56" s="129" t="n"/>
      <c r="DN56" s="129" t="n"/>
      <c r="DO56" s="129" t="n"/>
      <c r="DP56" s="129" t="n"/>
      <c r="DQ56" s="129" t="n"/>
      <c r="DR56" s="129" t="n"/>
      <c r="DS56" s="129" t="n"/>
      <c r="DT56" s="129" t="n"/>
      <c r="DU56" s="129" t="n"/>
      <c r="DV56" s="129" t="n"/>
      <c r="DW56" s="129" t="n"/>
      <c r="DX56" s="129" t="n"/>
      <c r="DY56" s="129" t="n"/>
      <c r="DZ56" s="129" t="n"/>
      <c r="EA56" s="129" t="n"/>
      <c r="EB56" s="129" t="n"/>
      <c r="EC56" s="129" t="n"/>
      <c r="ED56" s="129" t="n"/>
      <c r="EE56" s="129" t="n"/>
      <c r="EF56" s="129" t="n"/>
      <c r="EG56" s="129" t="n"/>
      <c r="EH56" s="129" t="n"/>
      <c r="EI56" s="129" t="n"/>
      <c r="EJ56" s="129" t="n"/>
      <c r="EK56" s="129" t="n"/>
      <c r="EL56" s="129" t="n"/>
      <c r="EM56" s="129" t="n"/>
      <c r="EN56" s="129" t="n"/>
      <c r="EO56" s="129" t="n"/>
      <c r="EP56" s="129" t="n"/>
      <c r="EQ56" s="129" t="n"/>
      <c r="ER56" s="129" t="n"/>
      <c r="ES56" s="129" t="n"/>
      <c r="ET56" s="129" t="n"/>
      <c r="EU56" s="129" t="n"/>
      <c r="EV56" s="129" t="n"/>
      <c r="EW56" s="129" t="n"/>
      <c r="EX56" s="129" t="n"/>
      <c r="EY56" s="129" t="n"/>
      <c r="EZ56" s="129" t="n"/>
      <c r="FA56" s="129" t="n"/>
      <c r="FB56" s="129" t="n"/>
      <c r="FC56" s="129" t="n"/>
      <c r="FD56" s="129" t="n"/>
      <c r="FE56" s="129" t="n"/>
      <c r="FF56" s="129" t="n"/>
      <c r="FG56" s="129" t="n"/>
      <c r="FH56" s="129" t="n"/>
      <c r="FI56" s="129" t="n"/>
      <c r="FJ56" s="129" t="n"/>
      <c r="FK56" s="129" t="n"/>
      <c r="FL56" s="129" t="n"/>
      <c r="FM56" s="129" t="n"/>
    </row>
    <row r="57" s="135">
      <c r="A57" s="90" t="n">
        <v>34424</v>
      </c>
      <c r="B57" s="91" t="n">
        <v>0.16</v>
      </c>
      <c r="C57" s="79" t="n"/>
      <c r="D57" s="129" t="n"/>
      <c r="E57" s="129" t="n"/>
      <c r="F57" s="129" t="n"/>
      <c r="G57" s="129" t="n"/>
      <c r="H57" s="129" t="n"/>
      <c r="I57" s="129" t="n"/>
      <c r="J57" s="129" t="n"/>
      <c r="K57" s="129" t="n"/>
      <c r="L57" s="129" t="n"/>
      <c r="M57" s="129" t="n"/>
      <c r="N57" s="129" t="n"/>
      <c r="O57" s="129" t="n"/>
      <c r="P57" s="129" t="n"/>
      <c r="Q57" s="129" t="n"/>
      <c r="R57" s="129" t="n"/>
      <c r="S57" s="129" t="n"/>
      <c r="T57" s="129" t="n"/>
      <c r="U57" s="129" t="n"/>
      <c r="V57" s="129" t="n"/>
      <c r="W57" s="129" t="n"/>
      <c r="X57" s="129" t="n"/>
      <c r="Y57" s="129" t="n"/>
      <c r="Z57" s="129" t="n"/>
      <c r="AA57" s="129" t="n"/>
      <c r="AB57" s="129" t="n"/>
      <c r="AC57" s="129" t="n"/>
      <c r="AD57" s="129" t="n"/>
      <c r="AE57" s="129" t="n"/>
      <c r="AF57" s="129" t="n"/>
      <c r="AG57" s="129" t="n"/>
      <c r="AH57" s="129" t="n"/>
      <c r="AI57" s="129" t="n"/>
      <c r="AJ57" s="129" t="n"/>
      <c r="AK57" s="129" t="n"/>
      <c r="AL57" s="129" t="n"/>
      <c r="AM57" s="129" t="n"/>
      <c r="AN57" s="129" t="n"/>
      <c r="AO57" s="129" t="n"/>
      <c r="AP57" s="129" t="n"/>
      <c r="AQ57" s="129" t="n"/>
      <c r="AR57" s="129" t="n"/>
      <c r="AS57" s="129" t="n"/>
      <c r="AT57" s="129" t="n"/>
      <c r="AU57" s="129" t="n"/>
      <c r="AV57" s="129" t="n"/>
      <c r="AW57" s="129" t="n"/>
      <c r="AX57" s="129" t="n"/>
      <c r="AY57" s="129" t="n"/>
      <c r="AZ57" s="129" t="n"/>
      <c r="BA57" s="129" t="n"/>
      <c r="BB57" s="129" t="n"/>
      <c r="BC57" s="129" t="n"/>
      <c r="BD57" s="129" t="n"/>
      <c r="BE57" s="129" t="n"/>
      <c r="BF57" s="129" t="n"/>
      <c r="BG57" s="129" t="n"/>
      <c r="BH57" s="129" t="n"/>
      <c r="BI57" s="129" t="n"/>
      <c r="BJ57" s="129" t="n"/>
      <c r="BK57" s="129" t="n"/>
      <c r="BL57" s="129" t="n"/>
      <c r="BM57" s="129" t="n"/>
      <c r="BN57" s="129" t="n"/>
      <c r="BO57" s="129" t="n"/>
      <c r="BP57" s="129" t="n"/>
      <c r="BQ57" s="129" t="n"/>
      <c r="BR57" s="129" t="n"/>
      <c r="BS57" s="129" t="n"/>
      <c r="BT57" s="129" t="n"/>
      <c r="BU57" s="129" t="n"/>
      <c r="BV57" s="129" t="n"/>
      <c r="BW57" s="129" t="n"/>
      <c r="BX57" s="129" t="n"/>
      <c r="BY57" s="129" t="n"/>
      <c r="BZ57" s="129" t="n"/>
      <c r="CA57" s="129" t="n"/>
      <c r="CB57" s="129" t="n"/>
      <c r="CC57" s="129" t="n"/>
      <c r="CD57" s="129" t="n"/>
      <c r="CE57" s="129" t="n"/>
      <c r="CF57" s="129" t="n"/>
      <c r="CG57" s="129" t="n"/>
      <c r="CH57" s="129" t="n"/>
      <c r="CI57" s="129" t="n"/>
      <c r="CJ57" s="129" t="n"/>
      <c r="CK57" s="129" t="n"/>
      <c r="CL57" s="129" t="n"/>
      <c r="CM57" s="129" t="n"/>
      <c r="CN57" s="129" t="n"/>
      <c r="CO57" s="129" t="n"/>
      <c r="CP57" s="129" t="n"/>
      <c r="CQ57" s="129" t="n"/>
      <c r="CR57" s="129" t="n"/>
      <c r="CS57" s="129" t="n"/>
      <c r="CT57" s="129" t="n"/>
      <c r="CU57" s="129" t="n"/>
      <c r="CV57" s="129" t="n"/>
      <c r="CW57" s="129" t="n"/>
      <c r="CX57" s="129" t="n"/>
      <c r="CY57" s="129" t="n"/>
      <c r="CZ57" s="129" t="n"/>
      <c r="DA57" s="129" t="n"/>
      <c r="DB57" s="129" t="n"/>
      <c r="DC57" s="129" t="n"/>
      <c r="DD57" s="129" t="n"/>
      <c r="DE57" s="129" t="n"/>
      <c r="DF57" s="129" t="n"/>
      <c r="DG57" s="129" t="n"/>
      <c r="DH57" s="129" t="n"/>
      <c r="DI57" s="129" t="n"/>
      <c r="DJ57" s="129" t="n"/>
      <c r="DK57" s="129" t="n"/>
      <c r="DL57" s="129" t="n"/>
      <c r="DM57" s="129" t="n"/>
      <c r="DN57" s="129" t="n"/>
      <c r="DO57" s="129" t="n"/>
      <c r="DP57" s="129" t="n"/>
      <c r="DQ57" s="129" t="n"/>
      <c r="DR57" s="129" t="n"/>
      <c r="DS57" s="129" t="n"/>
      <c r="DT57" s="129" t="n"/>
      <c r="DU57" s="129" t="n"/>
      <c r="DV57" s="129" t="n"/>
      <c r="DW57" s="129" t="n"/>
      <c r="DX57" s="129" t="n"/>
      <c r="DY57" s="129" t="n"/>
      <c r="DZ57" s="129" t="n"/>
      <c r="EA57" s="129" t="n"/>
      <c r="EB57" s="129" t="n"/>
      <c r="EC57" s="129" t="n"/>
      <c r="ED57" s="129" t="n"/>
      <c r="EE57" s="129" t="n"/>
      <c r="EF57" s="129" t="n"/>
      <c r="EG57" s="129" t="n"/>
      <c r="EH57" s="129" t="n"/>
      <c r="EI57" s="129" t="n"/>
      <c r="EJ57" s="129" t="n"/>
      <c r="EK57" s="129" t="n"/>
      <c r="EL57" s="129" t="n"/>
      <c r="EM57" s="129" t="n"/>
      <c r="EN57" s="129" t="n"/>
      <c r="EO57" s="129" t="n"/>
      <c r="EP57" s="129" t="n"/>
      <c r="EQ57" s="129" t="n"/>
      <c r="ER57" s="129" t="n"/>
      <c r="ES57" s="129" t="n"/>
      <c r="ET57" s="129" t="n"/>
      <c r="EU57" s="129" t="n"/>
      <c r="EV57" s="129" t="n"/>
      <c r="EW57" s="129" t="n"/>
      <c r="EX57" s="129" t="n"/>
      <c r="EY57" s="129" t="n"/>
      <c r="EZ57" s="129" t="n"/>
      <c r="FA57" s="129" t="n"/>
      <c r="FB57" s="129" t="n"/>
      <c r="FC57" s="129" t="n"/>
      <c r="FD57" s="129" t="n"/>
      <c r="FE57" s="129" t="n"/>
      <c r="FF57" s="129" t="n"/>
      <c r="FG57" s="129" t="n"/>
      <c r="FH57" s="129" t="n"/>
      <c r="FI57" s="129" t="n"/>
      <c r="FJ57" s="129" t="n"/>
      <c r="FK57" s="129" t="n"/>
      <c r="FL57" s="129" t="n"/>
      <c r="FM57" s="129" t="n"/>
    </row>
    <row r="58" s="135">
      <c r="A58" s="92" t="n">
        <v>34454</v>
      </c>
      <c r="B58" s="93" t="n">
        <v>0.168</v>
      </c>
      <c r="C58" s="79" t="n"/>
      <c r="D58" s="129" t="n"/>
      <c r="E58" s="129" t="n"/>
      <c r="F58" s="129" t="n"/>
      <c r="G58" s="129" t="n"/>
      <c r="H58" s="129" t="n"/>
      <c r="I58" s="129" t="n"/>
      <c r="J58" s="129" t="n"/>
      <c r="K58" s="129" t="n"/>
      <c r="L58" s="129" t="n"/>
      <c r="M58" s="129" t="n"/>
      <c r="N58" s="129" t="n"/>
      <c r="O58" s="129" t="n"/>
      <c r="P58" s="129" t="n"/>
      <c r="Q58" s="129" t="n"/>
      <c r="R58" s="129" t="n"/>
      <c r="S58" s="129" t="n"/>
      <c r="T58" s="129" t="n"/>
      <c r="U58" s="129" t="n"/>
      <c r="V58" s="129" t="n"/>
      <c r="W58" s="129" t="n"/>
      <c r="X58" s="129" t="n"/>
      <c r="Y58" s="129" t="n"/>
      <c r="Z58" s="129" t="n"/>
      <c r="AA58" s="129" t="n"/>
      <c r="AB58" s="129" t="n"/>
      <c r="AC58" s="129" t="n"/>
      <c r="AD58" s="129" t="n"/>
      <c r="AE58" s="129" t="n"/>
      <c r="AF58" s="129" t="n"/>
      <c r="AG58" s="129" t="n"/>
      <c r="AH58" s="129" t="n"/>
      <c r="AI58" s="129" t="n"/>
      <c r="AJ58" s="129" t="n"/>
      <c r="AK58" s="129" t="n"/>
      <c r="AL58" s="129" t="n"/>
      <c r="AM58" s="129" t="n"/>
      <c r="AN58" s="129" t="n"/>
      <c r="AO58" s="129" t="n"/>
      <c r="AP58" s="129" t="n"/>
      <c r="AQ58" s="129" t="n"/>
      <c r="AR58" s="129" t="n"/>
      <c r="AS58" s="129" t="n"/>
      <c r="AT58" s="129" t="n"/>
      <c r="AU58" s="129" t="n"/>
      <c r="AV58" s="129" t="n"/>
      <c r="AW58" s="129" t="n"/>
      <c r="AX58" s="129" t="n"/>
      <c r="AY58" s="129" t="n"/>
      <c r="AZ58" s="129" t="n"/>
      <c r="BA58" s="129" t="n"/>
      <c r="BB58" s="129" t="n"/>
      <c r="BC58" s="129" t="n"/>
      <c r="BD58" s="129" t="n"/>
      <c r="BE58" s="129" t="n"/>
      <c r="BF58" s="129" t="n"/>
      <c r="BG58" s="129" t="n"/>
      <c r="BH58" s="129" t="n"/>
      <c r="BI58" s="129" t="n"/>
      <c r="BJ58" s="129" t="n"/>
      <c r="BK58" s="129" t="n"/>
      <c r="BL58" s="129" t="n"/>
      <c r="BM58" s="129" t="n"/>
      <c r="BN58" s="129" t="n"/>
      <c r="BO58" s="129" t="n"/>
      <c r="BP58" s="129" t="n"/>
      <c r="BQ58" s="129" t="n"/>
      <c r="BR58" s="129" t="n"/>
      <c r="BS58" s="129" t="n"/>
      <c r="BT58" s="129" t="n"/>
      <c r="BU58" s="129" t="n"/>
      <c r="BV58" s="129" t="n"/>
      <c r="BW58" s="129" t="n"/>
      <c r="BX58" s="129" t="n"/>
      <c r="BY58" s="129" t="n"/>
      <c r="BZ58" s="129" t="n"/>
      <c r="CA58" s="129" t="n"/>
      <c r="CB58" s="129" t="n"/>
      <c r="CC58" s="129" t="n"/>
      <c r="CD58" s="129" t="n"/>
      <c r="CE58" s="129" t="n"/>
      <c r="CF58" s="129" t="n"/>
      <c r="CG58" s="129" t="n"/>
      <c r="CH58" s="129" t="n"/>
      <c r="CI58" s="129" t="n"/>
      <c r="CJ58" s="129" t="n"/>
      <c r="CK58" s="129" t="n"/>
      <c r="CL58" s="129" t="n"/>
      <c r="CM58" s="129" t="n"/>
      <c r="CN58" s="129" t="n"/>
      <c r="CO58" s="129" t="n"/>
      <c r="CP58" s="129" t="n"/>
      <c r="CQ58" s="129" t="n"/>
      <c r="CR58" s="129" t="n"/>
      <c r="CS58" s="129" t="n"/>
      <c r="CT58" s="129" t="n"/>
      <c r="CU58" s="129" t="n"/>
      <c r="CV58" s="129" t="n"/>
      <c r="CW58" s="129" t="n"/>
      <c r="CX58" s="129" t="n"/>
      <c r="CY58" s="129" t="n"/>
      <c r="CZ58" s="129" t="n"/>
      <c r="DA58" s="129" t="n"/>
      <c r="DB58" s="129" t="n"/>
      <c r="DC58" s="129" t="n"/>
      <c r="DD58" s="129" t="n"/>
      <c r="DE58" s="129" t="n"/>
      <c r="DF58" s="129" t="n"/>
      <c r="DG58" s="129" t="n"/>
      <c r="DH58" s="129" t="n"/>
      <c r="DI58" s="129" t="n"/>
      <c r="DJ58" s="129" t="n"/>
      <c r="DK58" s="129" t="n"/>
      <c r="DL58" s="129" t="n"/>
      <c r="DM58" s="129" t="n"/>
      <c r="DN58" s="129" t="n"/>
      <c r="DO58" s="129" t="n"/>
      <c r="DP58" s="129" t="n"/>
      <c r="DQ58" s="129" t="n"/>
      <c r="DR58" s="129" t="n"/>
      <c r="DS58" s="129" t="n"/>
      <c r="DT58" s="129" t="n"/>
      <c r="DU58" s="129" t="n"/>
      <c r="DV58" s="129" t="n"/>
      <c r="DW58" s="129" t="n"/>
      <c r="DX58" s="129" t="n"/>
      <c r="DY58" s="129" t="n"/>
      <c r="DZ58" s="129" t="n"/>
      <c r="EA58" s="129" t="n"/>
      <c r="EB58" s="129" t="n"/>
      <c r="EC58" s="129" t="n"/>
      <c r="ED58" s="129" t="n"/>
      <c r="EE58" s="129" t="n"/>
      <c r="EF58" s="129" t="n"/>
      <c r="EG58" s="129" t="n"/>
      <c r="EH58" s="129" t="n"/>
      <c r="EI58" s="129" t="n"/>
      <c r="EJ58" s="129" t="n"/>
      <c r="EK58" s="129" t="n"/>
      <c r="EL58" s="129" t="n"/>
      <c r="EM58" s="129" t="n"/>
      <c r="EN58" s="129" t="n"/>
      <c r="EO58" s="129" t="n"/>
      <c r="EP58" s="129" t="n"/>
      <c r="EQ58" s="129" t="n"/>
      <c r="ER58" s="129" t="n"/>
      <c r="ES58" s="129" t="n"/>
      <c r="ET58" s="129" t="n"/>
      <c r="EU58" s="129" t="n"/>
      <c r="EV58" s="129" t="n"/>
      <c r="EW58" s="129" t="n"/>
      <c r="EX58" s="129" t="n"/>
      <c r="EY58" s="129" t="n"/>
      <c r="EZ58" s="129" t="n"/>
      <c r="FA58" s="129" t="n"/>
      <c r="FB58" s="129" t="n"/>
      <c r="FC58" s="129" t="n"/>
      <c r="FD58" s="129" t="n"/>
      <c r="FE58" s="129" t="n"/>
      <c r="FF58" s="129" t="n"/>
      <c r="FG58" s="129" t="n"/>
      <c r="FH58" s="129" t="n"/>
      <c r="FI58" s="129" t="n"/>
      <c r="FJ58" s="129" t="n"/>
      <c r="FK58" s="129" t="n"/>
      <c r="FL58" s="129" t="n"/>
      <c r="FM58" s="129" t="n"/>
    </row>
    <row r="59" s="135">
      <c r="A59" s="90" t="n">
        <v>34485</v>
      </c>
      <c r="B59" s="91" t="n">
        <v>0.176</v>
      </c>
      <c r="C59" s="79" t="n"/>
      <c r="D59" s="129" t="n"/>
      <c r="E59" s="129" t="n"/>
      <c r="F59" s="129" t="n"/>
      <c r="G59" s="129" t="n"/>
      <c r="H59" s="129" t="n"/>
      <c r="I59" s="129" t="n"/>
      <c r="J59" s="129" t="n"/>
      <c r="K59" s="129" t="n"/>
      <c r="L59" s="129" t="n"/>
      <c r="M59" s="129" t="n"/>
      <c r="N59" s="129" t="n"/>
      <c r="O59" s="129" t="n"/>
      <c r="P59" s="129" t="n"/>
      <c r="Q59" s="129" t="n"/>
      <c r="R59" s="129" t="n"/>
      <c r="S59" s="129" t="n"/>
      <c r="T59" s="129" t="n"/>
      <c r="U59" s="129" t="n"/>
      <c r="V59" s="129" t="n"/>
      <c r="W59" s="129" t="n"/>
      <c r="X59" s="129" t="n"/>
      <c r="Y59" s="129" t="n"/>
      <c r="Z59" s="129" t="n"/>
      <c r="AA59" s="129" t="n"/>
      <c r="AB59" s="129" t="n"/>
      <c r="AC59" s="129" t="n"/>
      <c r="AD59" s="129" t="n"/>
      <c r="AE59" s="129" t="n"/>
      <c r="AF59" s="129" t="n"/>
      <c r="AG59" s="129" t="n"/>
      <c r="AH59" s="129" t="n"/>
      <c r="AI59" s="129" t="n"/>
      <c r="AJ59" s="129" t="n"/>
      <c r="AK59" s="129" t="n"/>
      <c r="AL59" s="129" t="n"/>
      <c r="AM59" s="129" t="n"/>
      <c r="AN59" s="129" t="n"/>
      <c r="AO59" s="129" t="n"/>
      <c r="AP59" s="129" t="n"/>
      <c r="AQ59" s="129" t="n"/>
      <c r="AR59" s="129" t="n"/>
      <c r="AS59" s="129" t="n"/>
      <c r="AT59" s="129" t="n"/>
      <c r="AU59" s="129" t="n"/>
      <c r="AV59" s="129" t="n"/>
      <c r="AW59" s="129" t="n"/>
      <c r="AX59" s="129" t="n"/>
      <c r="AY59" s="129" t="n"/>
      <c r="AZ59" s="129" t="n"/>
      <c r="BA59" s="129" t="n"/>
      <c r="BB59" s="129" t="n"/>
      <c r="BC59" s="129" t="n"/>
      <c r="BD59" s="129" t="n"/>
      <c r="BE59" s="129" t="n"/>
      <c r="BF59" s="129" t="n"/>
      <c r="BG59" s="129" t="n"/>
      <c r="BH59" s="129" t="n"/>
      <c r="BI59" s="129" t="n"/>
      <c r="BJ59" s="129" t="n"/>
      <c r="BK59" s="129" t="n"/>
      <c r="BL59" s="129" t="n"/>
      <c r="BM59" s="129" t="n"/>
      <c r="BN59" s="129" t="n"/>
      <c r="BO59" s="129" t="n"/>
      <c r="BP59" s="129" t="n"/>
      <c r="BQ59" s="129" t="n"/>
      <c r="BR59" s="129" t="n"/>
      <c r="BS59" s="129" t="n"/>
      <c r="BT59" s="129" t="n"/>
      <c r="BU59" s="129" t="n"/>
      <c r="BV59" s="129" t="n"/>
      <c r="BW59" s="129" t="n"/>
      <c r="BX59" s="129" t="n"/>
      <c r="BY59" s="129" t="n"/>
      <c r="BZ59" s="129" t="n"/>
      <c r="CA59" s="129" t="n"/>
      <c r="CB59" s="129" t="n"/>
      <c r="CC59" s="129" t="n"/>
      <c r="CD59" s="129" t="n"/>
      <c r="CE59" s="129" t="n"/>
      <c r="CF59" s="129" t="n"/>
      <c r="CG59" s="129" t="n"/>
      <c r="CH59" s="129" t="n"/>
      <c r="CI59" s="129" t="n"/>
      <c r="CJ59" s="129" t="n"/>
      <c r="CK59" s="129" t="n"/>
      <c r="CL59" s="129" t="n"/>
      <c r="CM59" s="129" t="n"/>
      <c r="CN59" s="129" t="n"/>
      <c r="CO59" s="129" t="n"/>
      <c r="CP59" s="129" t="n"/>
      <c r="CQ59" s="129" t="n"/>
      <c r="CR59" s="129" t="n"/>
      <c r="CS59" s="129" t="n"/>
      <c r="CT59" s="129" t="n"/>
      <c r="CU59" s="129" t="n"/>
      <c r="CV59" s="129" t="n"/>
      <c r="CW59" s="129" t="n"/>
      <c r="CX59" s="129" t="n"/>
      <c r="CY59" s="129" t="n"/>
      <c r="CZ59" s="129" t="n"/>
      <c r="DA59" s="129" t="n"/>
      <c r="DB59" s="129" t="n"/>
      <c r="DC59" s="129" t="n"/>
      <c r="DD59" s="129" t="n"/>
      <c r="DE59" s="129" t="n"/>
      <c r="DF59" s="129" t="n"/>
      <c r="DG59" s="129" t="n"/>
      <c r="DH59" s="129" t="n"/>
      <c r="DI59" s="129" t="n"/>
      <c r="DJ59" s="129" t="n"/>
      <c r="DK59" s="129" t="n"/>
      <c r="DL59" s="129" t="n"/>
      <c r="DM59" s="129" t="n"/>
      <c r="DN59" s="129" t="n"/>
      <c r="DO59" s="129" t="n"/>
      <c r="DP59" s="129" t="n"/>
      <c r="DQ59" s="129" t="n"/>
      <c r="DR59" s="129" t="n"/>
      <c r="DS59" s="129" t="n"/>
      <c r="DT59" s="129" t="n"/>
      <c r="DU59" s="129" t="n"/>
      <c r="DV59" s="129" t="n"/>
      <c r="DW59" s="129" t="n"/>
      <c r="DX59" s="129" t="n"/>
      <c r="DY59" s="129" t="n"/>
      <c r="DZ59" s="129" t="n"/>
      <c r="EA59" s="129" t="n"/>
      <c r="EB59" s="129" t="n"/>
      <c r="EC59" s="129" t="n"/>
      <c r="ED59" s="129" t="n"/>
      <c r="EE59" s="129" t="n"/>
      <c r="EF59" s="129" t="n"/>
      <c r="EG59" s="129" t="n"/>
      <c r="EH59" s="129" t="n"/>
      <c r="EI59" s="129" t="n"/>
      <c r="EJ59" s="129" t="n"/>
      <c r="EK59" s="129" t="n"/>
      <c r="EL59" s="129" t="n"/>
      <c r="EM59" s="129" t="n"/>
      <c r="EN59" s="129" t="n"/>
      <c r="EO59" s="129" t="n"/>
      <c r="EP59" s="129" t="n"/>
      <c r="EQ59" s="129" t="n"/>
      <c r="ER59" s="129" t="n"/>
      <c r="ES59" s="129" t="n"/>
      <c r="ET59" s="129" t="n"/>
      <c r="EU59" s="129" t="n"/>
      <c r="EV59" s="129" t="n"/>
      <c r="EW59" s="129" t="n"/>
      <c r="EX59" s="129" t="n"/>
      <c r="EY59" s="129" t="n"/>
      <c r="EZ59" s="129" t="n"/>
      <c r="FA59" s="129" t="n"/>
      <c r="FB59" s="129" t="n"/>
      <c r="FC59" s="129" t="n"/>
      <c r="FD59" s="129" t="n"/>
      <c r="FE59" s="129" t="n"/>
      <c r="FF59" s="129" t="n"/>
      <c r="FG59" s="129" t="n"/>
      <c r="FH59" s="129" t="n"/>
      <c r="FI59" s="129" t="n"/>
      <c r="FJ59" s="129" t="n"/>
      <c r="FK59" s="129" t="n"/>
      <c r="FL59" s="129" t="n"/>
      <c r="FM59" s="129" t="n"/>
    </row>
    <row r="60" s="135">
      <c r="A60" s="92" t="n">
        <v>34515</v>
      </c>
      <c r="B60" s="93" t="n">
        <v>0.151</v>
      </c>
      <c r="C60" s="79" t="n"/>
      <c r="D60" s="129" t="n"/>
      <c r="E60" s="129" t="n"/>
      <c r="F60" s="129" t="n"/>
      <c r="G60" s="129" t="n"/>
      <c r="H60" s="129" t="n"/>
      <c r="I60" s="129" t="n"/>
      <c r="J60" s="129" t="n"/>
      <c r="K60" s="129" t="n"/>
      <c r="L60" s="129" t="n"/>
      <c r="M60" s="129" t="n"/>
      <c r="N60" s="129" t="n"/>
      <c r="O60" s="129" t="n"/>
      <c r="P60" s="129" t="n"/>
      <c r="Q60" s="129" t="n"/>
      <c r="R60" s="129" t="n"/>
      <c r="S60" s="129" t="n"/>
      <c r="T60" s="129" t="n"/>
      <c r="U60" s="129" t="n"/>
      <c r="V60" s="129" t="n"/>
      <c r="W60" s="129" t="n"/>
      <c r="X60" s="129" t="n"/>
      <c r="Y60" s="129" t="n"/>
      <c r="Z60" s="129" t="n"/>
      <c r="AA60" s="129" t="n"/>
      <c r="AB60" s="129" t="n"/>
      <c r="AC60" s="129" t="n"/>
      <c r="AD60" s="129" t="n"/>
      <c r="AE60" s="129" t="n"/>
      <c r="AF60" s="129" t="n"/>
      <c r="AG60" s="129" t="n"/>
      <c r="AH60" s="129" t="n"/>
      <c r="AI60" s="129" t="n"/>
      <c r="AJ60" s="129" t="n"/>
      <c r="AK60" s="129" t="n"/>
      <c r="AL60" s="129" t="n"/>
      <c r="AM60" s="129" t="n"/>
      <c r="AN60" s="129" t="n"/>
      <c r="AO60" s="129" t="n"/>
      <c r="AP60" s="129" t="n"/>
      <c r="AQ60" s="129" t="n"/>
      <c r="AR60" s="129" t="n"/>
      <c r="AS60" s="129" t="n"/>
      <c r="AT60" s="129" t="n"/>
      <c r="AU60" s="129" t="n"/>
      <c r="AV60" s="129" t="n"/>
      <c r="AW60" s="129" t="n"/>
      <c r="AX60" s="129" t="n"/>
      <c r="AY60" s="129" t="n"/>
      <c r="AZ60" s="129" t="n"/>
      <c r="BA60" s="129" t="n"/>
      <c r="BB60" s="129" t="n"/>
      <c r="BC60" s="129" t="n"/>
      <c r="BD60" s="129" t="n"/>
      <c r="BE60" s="129" t="n"/>
      <c r="BF60" s="129" t="n"/>
      <c r="BG60" s="129" t="n"/>
      <c r="BH60" s="129" t="n"/>
      <c r="BI60" s="129" t="n"/>
      <c r="BJ60" s="129" t="n"/>
      <c r="BK60" s="129" t="n"/>
      <c r="BL60" s="129" t="n"/>
      <c r="BM60" s="129" t="n"/>
      <c r="BN60" s="129" t="n"/>
      <c r="BO60" s="129" t="n"/>
      <c r="BP60" s="129" t="n"/>
      <c r="BQ60" s="129" t="n"/>
      <c r="BR60" s="129" t="n"/>
      <c r="BS60" s="129" t="n"/>
      <c r="BT60" s="129" t="n"/>
      <c r="BU60" s="129" t="n"/>
      <c r="BV60" s="129" t="n"/>
      <c r="BW60" s="129" t="n"/>
      <c r="BX60" s="129" t="n"/>
      <c r="BY60" s="129" t="n"/>
      <c r="BZ60" s="129" t="n"/>
      <c r="CA60" s="129" t="n"/>
      <c r="CB60" s="129" t="n"/>
      <c r="CC60" s="129" t="n"/>
      <c r="CD60" s="129" t="n"/>
      <c r="CE60" s="129" t="n"/>
      <c r="CF60" s="129" t="n"/>
      <c r="CG60" s="129" t="n"/>
      <c r="CH60" s="129" t="n"/>
      <c r="CI60" s="129" t="n"/>
      <c r="CJ60" s="129" t="n"/>
      <c r="CK60" s="129" t="n"/>
      <c r="CL60" s="129" t="n"/>
      <c r="CM60" s="129" t="n"/>
      <c r="CN60" s="129" t="n"/>
      <c r="CO60" s="129" t="n"/>
      <c r="CP60" s="129" t="n"/>
      <c r="CQ60" s="129" t="n"/>
      <c r="CR60" s="129" t="n"/>
      <c r="CS60" s="129" t="n"/>
      <c r="CT60" s="129" t="n"/>
      <c r="CU60" s="129" t="n"/>
      <c r="CV60" s="129" t="n"/>
      <c r="CW60" s="129" t="n"/>
      <c r="CX60" s="129" t="n"/>
      <c r="CY60" s="129" t="n"/>
      <c r="CZ60" s="129" t="n"/>
      <c r="DA60" s="129" t="n"/>
      <c r="DB60" s="129" t="n"/>
      <c r="DC60" s="129" t="n"/>
      <c r="DD60" s="129" t="n"/>
      <c r="DE60" s="129" t="n"/>
      <c r="DF60" s="129" t="n"/>
      <c r="DG60" s="129" t="n"/>
      <c r="DH60" s="129" t="n"/>
      <c r="DI60" s="129" t="n"/>
      <c r="DJ60" s="129" t="n"/>
      <c r="DK60" s="129" t="n"/>
      <c r="DL60" s="129" t="n"/>
      <c r="DM60" s="129" t="n"/>
      <c r="DN60" s="129" t="n"/>
      <c r="DO60" s="129" t="n"/>
      <c r="DP60" s="129" t="n"/>
      <c r="DQ60" s="129" t="n"/>
      <c r="DR60" s="129" t="n"/>
      <c r="DS60" s="129" t="n"/>
      <c r="DT60" s="129" t="n"/>
      <c r="DU60" s="129" t="n"/>
      <c r="DV60" s="129" t="n"/>
      <c r="DW60" s="129" t="n"/>
      <c r="DX60" s="129" t="n"/>
      <c r="DY60" s="129" t="n"/>
      <c r="DZ60" s="129" t="n"/>
      <c r="EA60" s="129" t="n"/>
      <c r="EB60" s="129" t="n"/>
      <c r="EC60" s="129" t="n"/>
      <c r="ED60" s="129" t="n"/>
      <c r="EE60" s="129" t="n"/>
      <c r="EF60" s="129" t="n"/>
      <c r="EG60" s="129" t="n"/>
      <c r="EH60" s="129" t="n"/>
      <c r="EI60" s="129" t="n"/>
      <c r="EJ60" s="129" t="n"/>
      <c r="EK60" s="129" t="n"/>
      <c r="EL60" s="129" t="n"/>
      <c r="EM60" s="129" t="n"/>
      <c r="EN60" s="129" t="n"/>
      <c r="EO60" s="129" t="n"/>
      <c r="EP60" s="129" t="n"/>
      <c r="EQ60" s="129" t="n"/>
      <c r="ER60" s="129" t="n"/>
      <c r="ES60" s="129" t="n"/>
      <c r="ET60" s="129" t="n"/>
      <c r="EU60" s="129" t="n"/>
      <c r="EV60" s="129" t="n"/>
      <c r="EW60" s="129" t="n"/>
      <c r="EX60" s="129" t="n"/>
      <c r="EY60" s="129" t="n"/>
      <c r="EZ60" s="129" t="n"/>
      <c r="FA60" s="129" t="n"/>
      <c r="FB60" s="129" t="n"/>
      <c r="FC60" s="129" t="n"/>
      <c r="FD60" s="129" t="n"/>
      <c r="FE60" s="129" t="n"/>
      <c r="FF60" s="129" t="n"/>
      <c r="FG60" s="129" t="n"/>
      <c r="FH60" s="129" t="n"/>
      <c r="FI60" s="129" t="n"/>
      <c r="FJ60" s="129" t="n"/>
      <c r="FK60" s="129" t="n"/>
      <c r="FL60" s="129" t="n"/>
      <c r="FM60" s="129" t="n"/>
    </row>
    <row r="61" s="135">
      <c r="A61" s="90" t="n">
        <v>34546</v>
      </c>
      <c r="B61" s="91" t="n">
        <v>0.151</v>
      </c>
      <c r="C61" s="79" t="n"/>
      <c r="D61" s="129" t="n"/>
      <c r="E61" s="129" t="n"/>
      <c r="F61" s="129" t="n"/>
      <c r="G61" s="129" t="n"/>
      <c r="H61" s="129" t="n"/>
      <c r="I61" s="129" t="n"/>
      <c r="J61" s="129" t="n"/>
      <c r="K61" s="129" t="n"/>
      <c r="L61" s="129" t="n"/>
      <c r="M61" s="129" t="n"/>
      <c r="N61" s="129" t="n"/>
      <c r="O61" s="129" t="n"/>
      <c r="P61" s="129" t="n"/>
      <c r="Q61" s="129" t="n"/>
      <c r="R61" s="129" t="n"/>
      <c r="S61" s="129" t="n"/>
      <c r="T61" s="129" t="n"/>
      <c r="U61" s="129" t="n"/>
      <c r="V61" s="129" t="n"/>
      <c r="W61" s="129" t="n"/>
      <c r="X61" s="129" t="n"/>
      <c r="Y61" s="129" t="n"/>
      <c r="Z61" s="129" t="n"/>
      <c r="AA61" s="129" t="n"/>
      <c r="AB61" s="129" t="n"/>
      <c r="AC61" s="129" t="n"/>
      <c r="AD61" s="129" t="n"/>
      <c r="AE61" s="129" t="n"/>
      <c r="AF61" s="129" t="n"/>
      <c r="AG61" s="129" t="n"/>
      <c r="AH61" s="129" t="n"/>
      <c r="AI61" s="129" t="n"/>
      <c r="AJ61" s="129" t="n"/>
      <c r="AK61" s="129" t="n"/>
      <c r="AL61" s="129" t="n"/>
      <c r="AM61" s="129" t="n"/>
      <c r="AN61" s="129" t="n"/>
      <c r="AO61" s="129" t="n"/>
      <c r="AP61" s="129" t="n"/>
      <c r="AQ61" s="129" t="n"/>
      <c r="AR61" s="129" t="n"/>
      <c r="AS61" s="129" t="n"/>
      <c r="AT61" s="129" t="n"/>
      <c r="AU61" s="129" t="n"/>
      <c r="AV61" s="129" t="n"/>
      <c r="AW61" s="129" t="n"/>
      <c r="AX61" s="129" t="n"/>
      <c r="AY61" s="129" t="n"/>
      <c r="AZ61" s="129" t="n"/>
      <c r="BA61" s="129" t="n"/>
      <c r="BB61" s="129" t="n"/>
      <c r="BC61" s="129" t="n"/>
      <c r="BD61" s="129" t="n"/>
      <c r="BE61" s="129" t="n"/>
      <c r="BF61" s="129" t="n"/>
      <c r="BG61" s="129" t="n"/>
      <c r="BH61" s="129" t="n"/>
      <c r="BI61" s="129" t="n"/>
      <c r="BJ61" s="129" t="n"/>
      <c r="BK61" s="129" t="n"/>
      <c r="BL61" s="129" t="n"/>
      <c r="BM61" s="129" t="n"/>
      <c r="BN61" s="129" t="n"/>
      <c r="BO61" s="129" t="n"/>
      <c r="BP61" s="129" t="n"/>
      <c r="BQ61" s="129" t="n"/>
      <c r="BR61" s="129" t="n"/>
      <c r="BS61" s="129" t="n"/>
      <c r="BT61" s="129" t="n"/>
      <c r="BU61" s="129" t="n"/>
      <c r="BV61" s="129" t="n"/>
      <c r="BW61" s="129" t="n"/>
      <c r="BX61" s="129" t="n"/>
      <c r="BY61" s="129" t="n"/>
      <c r="BZ61" s="129" t="n"/>
      <c r="CA61" s="129" t="n"/>
      <c r="CB61" s="129" t="n"/>
      <c r="CC61" s="129" t="n"/>
      <c r="CD61" s="129" t="n"/>
      <c r="CE61" s="129" t="n"/>
      <c r="CF61" s="129" t="n"/>
      <c r="CG61" s="129" t="n"/>
      <c r="CH61" s="129" t="n"/>
      <c r="CI61" s="129" t="n"/>
      <c r="CJ61" s="129" t="n"/>
      <c r="CK61" s="129" t="n"/>
      <c r="CL61" s="129" t="n"/>
      <c r="CM61" s="129" t="n"/>
      <c r="CN61" s="129" t="n"/>
      <c r="CO61" s="129" t="n"/>
      <c r="CP61" s="129" t="n"/>
      <c r="CQ61" s="129" t="n"/>
      <c r="CR61" s="129" t="n"/>
      <c r="CS61" s="129" t="n"/>
      <c r="CT61" s="129" t="n"/>
      <c r="CU61" s="129" t="n"/>
      <c r="CV61" s="129" t="n"/>
      <c r="CW61" s="129" t="n"/>
      <c r="CX61" s="129" t="n"/>
      <c r="CY61" s="129" t="n"/>
      <c r="CZ61" s="129" t="n"/>
      <c r="DA61" s="129" t="n"/>
      <c r="DB61" s="129" t="n"/>
      <c r="DC61" s="129" t="n"/>
      <c r="DD61" s="129" t="n"/>
      <c r="DE61" s="129" t="n"/>
      <c r="DF61" s="129" t="n"/>
      <c r="DG61" s="129" t="n"/>
      <c r="DH61" s="129" t="n"/>
      <c r="DI61" s="129" t="n"/>
      <c r="DJ61" s="129" t="n"/>
      <c r="DK61" s="129" t="n"/>
      <c r="DL61" s="129" t="n"/>
      <c r="DM61" s="129" t="n"/>
      <c r="DN61" s="129" t="n"/>
      <c r="DO61" s="129" t="n"/>
      <c r="DP61" s="129" t="n"/>
      <c r="DQ61" s="129" t="n"/>
      <c r="DR61" s="129" t="n"/>
      <c r="DS61" s="129" t="n"/>
      <c r="DT61" s="129" t="n"/>
      <c r="DU61" s="129" t="n"/>
      <c r="DV61" s="129" t="n"/>
      <c r="DW61" s="129" t="n"/>
      <c r="DX61" s="129" t="n"/>
      <c r="DY61" s="129" t="n"/>
      <c r="DZ61" s="129" t="n"/>
      <c r="EA61" s="129" t="n"/>
      <c r="EB61" s="129" t="n"/>
      <c r="EC61" s="129" t="n"/>
      <c r="ED61" s="129" t="n"/>
      <c r="EE61" s="129" t="n"/>
      <c r="EF61" s="129" t="n"/>
      <c r="EG61" s="129" t="n"/>
      <c r="EH61" s="129" t="n"/>
      <c r="EI61" s="129" t="n"/>
      <c r="EJ61" s="129" t="n"/>
      <c r="EK61" s="129" t="n"/>
      <c r="EL61" s="129" t="n"/>
      <c r="EM61" s="129" t="n"/>
      <c r="EN61" s="129" t="n"/>
      <c r="EO61" s="129" t="n"/>
      <c r="EP61" s="129" t="n"/>
      <c r="EQ61" s="129" t="n"/>
      <c r="ER61" s="129" t="n"/>
      <c r="ES61" s="129" t="n"/>
      <c r="ET61" s="129" t="n"/>
      <c r="EU61" s="129" t="n"/>
      <c r="EV61" s="129" t="n"/>
      <c r="EW61" s="129" t="n"/>
      <c r="EX61" s="129" t="n"/>
      <c r="EY61" s="129" t="n"/>
      <c r="EZ61" s="129" t="n"/>
      <c r="FA61" s="129" t="n"/>
      <c r="FB61" s="129" t="n"/>
      <c r="FC61" s="129" t="n"/>
      <c r="FD61" s="129" t="n"/>
      <c r="FE61" s="129" t="n"/>
      <c r="FF61" s="129" t="n"/>
      <c r="FG61" s="129" t="n"/>
      <c r="FH61" s="129" t="n"/>
      <c r="FI61" s="129" t="n"/>
      <c r="FJ61" s="129" t="n"/>
      <c r="FK61" s="129" t="n"/>
      <c r="FL61" s="129" t="n"/>
      <c r="FM61" s="129" t="n"/>
    </row>
    <row r="62" s="135">
      <c r="A62" s="92" t="n">
        <v>34577</v>
      </c>
      <c r="B62" s="93" t="n">
        <v>0.294</v>
      </c>
      <c r="C62" s="79" t="n"/>
      <c r="D62" s="129" t="n"/>
      <c r="E62" s="129" t="n"/>
      <c r="F62" s="129" t="n"/>
      <c r="G62" s="129" t="n"/>
      <c r="H62" s="129" t="n"/>
      <c r="I62" s="129" t="n"/>
      <c r="J62" s="129" t="n"/>
      <c r="K62" s="129" t="n"/>
      <c r="L62" s="129" t="n"/>
      <c r="M62" s="129" t="n"/>
      <c r="N62" s="129" t="n"/>
      <c r="O62" s="129" t="n"/>
      <c r="P62" s="129" t="n"/>
      <c r="Q62" s="129" t="n"/>
      <c r="R62" s="129" t="n"/>
      <c r="S62" s="129" t="n"/>
      <c r="T62" s="129" t="n"/>
      <c r="U62" s="129" t="n"/>
      <c r="V62" s="129" t="n"/>
      <c r="W62" s="129" t="n"/>
      <c r="X62" s="129" t="n"/>
      <c r="Y62" s="129" t="n"/>
      <c r="Z62" s="129" t="n"/>
      <c r="AA62" s="129" t="n"/>
      <c r="AB62" s="129" t="n"/>
      <c r="AC62" s="129" t="n"/>
      <c r="AD62" s="129" t="n"/>
      <c r="AE62" s="129" t="n"/>
      <c r="AF62" s="129" t="n"/>
      <c r="AG62" s="129" t="n"/>
      <c r="AH62" s="129" t="n"/>
      <c r="AI62" s="129" t="n"/>
      <c r="AJ62" s="129" t="n"/>
      <c r="AK62" s="129" t="n"/>
      <c r="AL62" s="129" t="n"/>
      <c r="AM62" s="129" t="n"/>
      <c r="AN62" s="129" t="n"/>
      <c r="AO62" s="129" t="n"/>
      <c r="AP62" s="129" t="n"/>
      <c r="AQ62" s="129" t="n"/>
      <c r="AR62" s="129" t="n"/>
      <c r="AS62" s="129" t="n"/>
      <c r="AT62" s="129" t="n"/>
      <c r="AU62" s="129" t="n"/>
      <c r="AV62" s="129" t="n"/>
      <c r="AW62" s="129" t="n"/>
      <c r="AX62" s="129" t="n"/>
      <c r="AY62" s="129" t="n"/>
      <c r="AZ62" s="129" t="n"/>
      <c r="BA62" s="129" t="n"/>
      <c r="BB62" s="129" t="n"/>
      <c r="BC62" s="129" t="n"/>
      <c r="BD62" s="129" t="n"/>
      <c r="BE62" s="129" t="n"/>
      <c r="BF62" s="129" t="n"/>
      <c r="BG62" s="129" t="n"/>
      <c r="BH62" s="129" t="n"/>
      <c r="BI62" s="129" t="n"/>
      <c r="BJ62" s="129" t="n"/>
      <c r="BK62" s="129" t="n"/>
      <c r="BL62" s="129" t="n"/>
      <c r="BM62" s="129" t="n"/>
      <c r="BN62" s="129" t="n"/>
      <c r="BO62" s="129" t="n"/>
      <c r="BP62" s="129" t="n"/>
      <c r="BQ62" s="129" t="n"/>
      <c r="BR62" s="129" t="n"/>
      <c r="BS62" s="129" t="n"/>
      <c r="BT62" s="129" t="n"/>
      <c r="BU62" s="129" t="n"/>
      <c r="BV62" s="129" t="n"/>
      <c r="BW62" s="129" t="n"/>
      <c r="BX62" s="129" t="n"/>
      <c r="BY62" s="129" t="n"/>
      <c r="BZ62" s="129" t="n"/>
      <c r="CA62" s="129" t="n"/>
      <c r="CB62" s="129" t="n"/>
      <c r="CC62" s="129" t="n"/>
      <c r="CD62" s="129" t="n"/>
      <c r="CE62" s="129" t="n"/>
      <c r="CF62" s="129" t="n"/>
      <c r="CG62" s="129" t="n"/>
      <c r="CH62" s="129" t="n"/>
      <c r="CI62" s="129" t="n"/>
      <c r="CJ62" s="129" t="n"/>
      <c r="CK62" s="129" t="n"/>
      <c r="CL62" s="129" t="n"/>
      <c r="CM62" s="129" t="n"/>
      <c r="CN62" s="129" t="n"/>
      <c r="CO62" s="129" t="n"/>
      <c r="CP62" s="129" t="n"/>
      <c r="CQ62" s="129" t="n"/>
      <c r="CR62" s="129" t="n"/>
      <c r="CS62" s="129" t="n"/>
      <c r="CT62" s="129" t="n"/>
      <c r="CU62" s="129" t="n"/>
      <c r="CV62" s="129" t="n"/>
      <c r="CW62" s="129" t="n"/>
      <c r="CX62" s="129" t="n"/>
      <c r="CY62" s="129" t="n"/>
      <c r="CZ62" s="129" t="n"/>
      <c r="DA62" s="129" t="n"/>
      <c r="DB62" s="129" t="n"/>
      <c r="DC62" s="129" t="n"/>
      <c r="DD62" s="129" t="n"/>
      <c r="DE62" s="129" t="n"/>
      <c r="DF62" s="129" t="n"/>
      <c r="DG62" s="129" t="n"/>
      <c r="DH62" s="129" t="n"/>
      <c r="DI62" s="129" t="n"/>
      <c r="DJ62" s="129" t="n"/>
      <c r="DK62" s="129" t="n"/>
      <c r="DL62" s="129" t="n"/>
      <c r="DM62" s="129" t="n"/>
      <c r="DN62" s="129" t="n"/>
      <c r="DO62" s="129" t="n"/>
      <c r="DP62" s="129" t="n"/>
      <c r="DQ62" s="129" t="n"/>
      <c r="DR62" s="129" t="n"/>
      <c r="DS62" s="129" t="n"/>
      <c r="DT62" s="129" t="n"/>
      <c r="DU62" s="129" t="n"/>
      <c r="DV62" s="129" t="n"/>
      <c r="DW62" s="129" t="n"/>
      <c r="DX62" s="129" t="n"/>
      <c r="DY62" s="129" t="n"/>
      <c r="DZ62" s="129" t="n"/>
      <c r="EA62" s="129" t="n"/>
      <c r="EB62" s="129" t="n"/>
      <c r="EC62" s="129" t="n"/>
      <c r="ED62" s="129" t="n"/>
      <c r="EE62" s="129" t="n"/>
      <c r="EF62" s="129" t="n"/>
      <c r="EG62" s="129" t="n"/>
      <c r="EH62" s="129" t="n"/>
      <c r="EI62" s="129" t="n"/>
      <c r="EJ62" s="129" t="n"/>
      <c r="EK62" s="129" t="n"/>
      <c r="EL62" s="129" t="n"/>
      <c r="EM62" s="129" t="n"/>
      <c r="EN62" s="129" t="n"/>
      <c r="EO62" s="129" t="n"/>
      <c r="EP62" s="129" t="n"/>
      <c r="EQ62" s="129" t="n"/>
      <c r="ER62" s="129" t="n"/>
      <c r="ES62" s="129" t="n"/>
      <c r="ET62" s="129" t="n"/>
      <c r="EU62" s="129" t="n"/>
      <c r="EV62" s="129" t="n"/>
      <c r="EW62" s="129" t="n"/>
      <c r="EX62" s="129" t="n"/>
      <c r="EY62" s="129" t="n"/>
      <c r="EZ62" s="129" t="n"/>
      <c r="FA62" s="129" t="n"/>
      <c r="FB62" s="129" t="n"/>
      <c r="FC62" s="129" t="n"/>
      <c r="FD62" s="129" t="n"/>
      <c r="FE62" s="129" t="n"/>
      <c r="FF62" s="129" t="n"/>
      <c r="FG62" s="129" t="n"/>
      <c r="FH62" s="129" t="n"/>
      <c r="FI62" s="129" t="n"/>
      <c r="FJ62" s="129" t="n"/>
      <c r="FK62" s="129" t="n"/>
      <c r="FL62" s="129" t="n"/>
      <c r="FM62" s="129" t="n"/>
    </row>
    <row r="63" s="135">
      <c r="A63" s="90" t="n">
        <v>34607</v>
      </c>
      <c r="B63" s="91" t="n">
        <v>0.218</v>
      </c>
      <c r="C63" s="79" t="n"/>
      <c r="D63" s="129" t="n"/>
      <c r="E63" s="129" t="n"/>
      <c r="F63" s="129" t="n"/>
      <c r="G63" s="129" t="n"/>
      <c r="H63" s="129" t="n"/>
      <c r="I63" s="129" t="n"/>
      <c r="J63" s="129" t="n"/>
      <c r="K63" s="129" t="n"/>
      <c r="L63" s="129" t="n"/>
      <c r="M63" s="129" t="n"/>
      <c r="N63" s="129" t="n"/>
      <c r="O63" s="129" t="n"/>
      <c r="P63" s="129" t="n"/>
      <c r="Q63" s="129" t="n"/>
      <c r="R63" s="129" t="n"/>
      <c r="S63" s="129" t="n"/>
      <c r="T63" s="129" t="n"/>
      <c r="U63" s="129" t="n"/>
      <c r="V63" s="129" t="n"/>
      <c r="W63" s="129" t="n"/>
      <c r="X63" s="129" t="n"/>
      <c r="Y63" s="129" t="n"/>
      <c r="Z63" s="129" t="n"/>
      <c r="AA63" s="129" t="n"/>
      <c r="AB63" s="129" t="n"/>
      <c r="AC63" s="129" t="n"/>
      <c r="AD63" s="129" t="n"/>
      <c r="AE63" s="129" t="n"/>
      <c r="AF63" s="129" t="n"/>
      <c r="AG63" s="129" t="n"/>
      <c r="AH63" s="129" t="n"/>
      <c r="AI63" s="129" t="n"/>
      <c r="AJ63" s="129" t="n"/>
      <c r="AK63" s="129" t="n"/>
      <c r="AL63" s="129" t="n"/>
      <c r="AM63" s="129" t="n"/>
      <c r="AN63" s="129" t="n"/>
      <c r="AO63" s="129" t="n"/>
      <c r="AP63" s="129" t="n"/>
      <c r="AQ63" s="129" t="n"/>
      <c r="AR63" s="129" t="n"/>
      <c r="AS63" s="129" t="n"/>
      <c r="AT63" s="129" t="n"/>
      <c r="AU63" s="129" t="n"/>
      <c r="AV63" s="129" t="n"/>
      <c r="AW63" s="129" t="n"/>
      <c r="AX63" s="129" t="n"/>
      <c r="AY63" s="129" t="n"/>
      <c r="AZ63" s="129" t="n"/>
      <c r="BA63" s="129" t="n"/>
      <c r="BB63" s="129" t="n"/>
      <c r="BC63" s="129" t="n"/>
      <c r="BD63" s="129" t="n"/>
      <c r="BE63" s="129" t="n"/>
      <c r="BF63" s="129" t="n"/>
      <c r="BG63" s="129" t="n"/>
      <c r="BH63" s="129" t="n"/>
      <c r="BI63" s="129" t="n"/>
      <c r="BJ63" s="129" t="n"/>
      <c r="BK63" s="129" t="n"/>
      <c r="BL63" s="129" t="n"/>
      <c r="BM63" s="129" t="n"/>
      <c r="BN63" s="129" t="n"/>
      <c r="BO63" s="129" t="n"/>
      <c r="BP63" s="129" t="n"/>
      <c r="BQ63" s="129" t="n"/>
      <c r="BR63" s="129" t="n"/>
      <c r="BS63" s="129" t="n"/>
      <c r="BT63" s="129" t="n"/>
      <c r="BU63" s="129" t="n"/>
      <c r="BV63" s="129" t="n"/>
      <c r="BW63" s="129" t="n"/>
      <c r="BX63" s="129" t="n"/>
      <c r="BY63" s="129" t="n"/>
      <c r="BZ63" s="129" t="n"/>
      <c r="CA63" s="129" t="n"/>
      <c r="CB63" s="129" t="n"/>
      <c r="CC63" s="129" t="n"/>
      <c r="CD63" s="129" t="n"/>
      <c r="CE63" s="129" t="n"/>
      <c r="CF63" s="129" t="n"/>
      <c r="CG63" s="129" t="n"/>
      <c r="CH63" s="129" t="n"/>
      <c r="CI63" s="129" t="n"/>
      <c r="CJ63" s="129" t="n"/>
      <c r="CK63" s="129" t="n"/>
      <c r="CL63" s="129" t="n"/>
      <c r="CM63" s="129" t="n"/>
      <c r="CN63" s="129" t="n"/>
      <c r="CO63" s="129" t="n"/>
      <c r="CP63" s="129" t="n"/>
      <c r="CQ63" s="129" t="n"/>
      <c r="CR63" s="129" t="n"/>
      <c r="CS63" s="129" t="n"/>
      <c r="CT63" s="129" t="n"/>
      <c r="CU63" s="129" t="n"/>
      <c r="CV63" s="129" t="n"/>
      <c r="CW63" s="129" t="n"/>
      <c r="CX63" s="129" t="n"/>
      <c r="CY63" s="129" t="n"/>
      <c r="CZ63" s="129" t="n"/>
      <c r="DA63" s="129" t="n"/>
      <c r="DB63" s="129" t="n"/>
      <c r="DC63" s="129" t="n"/>
      <c r="DD63" s="129" t="n"/>
      <c r="DE63" s="129" t="n"/>
      <c r="DF63" s="129" t="n"/>
      <c r="DG63" s="129" t="n"/>
      <c r="DH63" s="129" t="n"/>
      <c r="DI63" s="129" t="n"/>
      <c r="DJ63" s="129" t="n"/>
      <c r="DK63" s="129" t="n"/>
      <c r="DL63" s="129" t="n"/>
      <c r="DM63" s="129" t="n"/>
      <c r="DN63" s="129" t="n"/>
      <c r="DO63" s="129" t="n"/>
      <c r="DP63" s="129" t="n"/>
      <c r="DQ63" s="129" t="n"/>
      <c r="DR63" s="129" t="n"/>
      <c r="DS63" s="129" t="n"/>
      <c r="DT63" s="129" t="n"/>
      <c r="DU63" s="129" t="n"/>
      <c r="DV63" s="129" t="n"/>
      <c r="DW63" s="129" t="n"/>
      <c r="DX63" s="129" t="n"/>
      <c r="DY63" s="129" t="n"/>
      <c r="DZ63" s="129" t="n"/>
      <c r="EA63" s="129" t="n"/>
      <c r="EB63" s="129" t="n"/>
      <c r="EC63" s="129" t="n"/>
      <c r="ED63" s="129" t="n"/>
      <c r="EE63" s="129" t="n"/>
      <c r="EF63" s="129" t="n"/>
      <c r="EG63" s="129" t="n"/>
      <c r="EH63" s="129" t="n"/>
      <c r="EI63" s="129" t="n"/>
      <c r="EJ63" s="129" t="n"/>
      <c r="EK63" s="129" t="n"/>
      <c r="EL63" s="129" t="n"/>
      <c r="EM63" s="129" t="n"/>
      <c r="EN63" s="129" t="n"/>
      <c r="EO63" s="129" t="n"/>
      <c r="EP63" s="129" t="n"/>
      <c r="EQ63" s="129" t="n"/>
      <c r="ER63" s="129" t="n"/>
      <c r="ES63" s="129" t="n"/>
      <c r="ET63" s="129" t="n"/>
      <c r="EU63" s="129" t="n"/>
      <c r="EV63" s="129" t="n"/>
      <c r="EW63" s="129" t="n"/>
      <c r="EX63" s="129" t="n"/>
      <c r="EY63" s="129" t="n"/>
      <c r="EZ63" s="129" t="n"/>
      <c r="FA63" s="129" t="n"/>
      <c r="FB63" s="129" t="n"/>
      <c r="FC63" s="129" t="n"/>
      <c r="FD63" s="129" t="n"/>
      <c r="FE63" s="129" t="n"/>
      <c r="FF63" s="129" t="n"/>
      <c r="FG63" s="129" t="n"/>
      <c r="FH63" s="129" t="n"/>
      <c r="FI63" s="129" t="n"/>
      <c r="FJ63" s="129" t="n"/>
      <c r="FK63" s="129" t="n"/>
      <c r="FL63" s="129" t="n"/>
      <c r="FM63" s="129" t="n"/>
    </row>
    <row r="64" s="135">
      <c r="A64" s="92" t="n">
        <v>34638</v>
      </c>
      <c r="B64" s="93" t="n">
        <v>0.244</v>
      </c>
      <c r="C64" s="79" t="n"/>
      <c r="D64" s="129" t="n"/>
      <c r="E64" s="129" t="n"/>
      <c r="F64" s="129" t="n"/>
      <c r="G64" s="129" t="n"/>
      <c r="H64" s="129" t="n"/>
      <c r="I64" s="129" t="n"/>
      <c r="J64" s="129" t="n"/>
      <c r="K64" s="129" t="n"/>
      <c r="L64" s="129" t="n"/>
      <c r="M64" s="129" t="n"/>
      <c r="N64" s="129" t="n"/>
      <c r="O64" s="129" t="n"/>
      <c r="P64" s="129" t="n"/>
      <c r="Q64" s="129" t="n"/>
      <c r="R64" s="129" t="n"/>
      <c r="S64" s="129" t="n"/>
      <c r="T64" s="129" t="n"/>
      <c r="U64" s="129" t="n"/>
      <c r="V64" s="129" t="n"/>
      <c r="W64" s="129" t="n"/>
      <c r="X64" s="129" t="n"/>
      <c r="Y64" s="129" t="n"/>
      <c r="Z64" s="129" t="n"/>
      <c r="AA64" s="129" t="n"/>
      <c r="AB64" s="129" t="n"/>
      <c r="AC64" s="129" t="n"/>
      <c r="AD64" s="129" t="n"/>
      <c r="AE64" s="129" t="n"/>
      <c r="AF64" s="129" t="n"/>
      <c r="AG64" s="129" t="n"/>
      <c r="AH64" s="129" t="n"/>
      <c r="AI64" s="129" t="n"/>
      <c r="AJ64" s="129" t="n"/>
      <c r="AK64" s="129" t="n"/>
      <c r="AL64" s="129" t="n"/>
      <c r="AM64" s="129" t="n"/>
      <c r="AN64" s="129" t="n"/>
      <c r="AO64" s="129" t="n"/>
      <c r="AP64" s="129" t="n"/>
      <c r="AQ64" s="129" t="n"/>
      <c r="AR64" s="129" t="n"/>
      <c r="AS64" s="129" t="n"/>
      <c r="AT64" s="129" t="n"/>
      <c r="AU64" s="129" t="n"/>
      <c r="AV64" s="129" t="n"/>
      <c r="AW64" s="129" t="n"/>
      <c r="AX64" s="129" t="n"/>
      <c r="AY64" s="129" t="n"/>
      <c r="AZ64" s="129" t="n"/>
      <c r="BA64" s="129" t="n"/>
      <c r="BB64" s="129" t="n"/>
      <c r="BC64" s="129" t="n"/>
      <c r="BD64" s="129" t="n"/>
      <c r="BE64" s="129" t="n"/>
      <c r="BF64" s="129" t="n"/>
      <c r="BG64" s="129" t="n"/>
      <c r="BH64" s="129" t="n"/>
      <c r="BI64" s="129" t="n"/>
      <c r="BJ64" s="129" t="n"/>
      <c r="BK64" s="129" t="n"/>
      <c r="BL64" s="129" t="n"/>
      <c r="BM64" s="129" t="n"/>
      <c r="BN64" s="129" t="n"/>
      <c r="BO64" s="129" t="n"/>
      <c r="BP64" s="129" t="n"/>
      <c r="BQ64" s="129" t="n"/>
      <c r="BR64" s="129" t="n"/>
      <c r="BS64" s="129" t="n"/>
      <c r="BT64" s="129" t="n"/>
      <c r="BU64" s="129" t="n"/>
      <c r="BV64" s="129" t="n"/>
      <c r="BW64" s="129" t="n"/>
      <c r="BX64" s="129" t="n"/>
      <c r="BY64" s="129" t="n"/>
      <c r="BZ64" s="129" t="n"/>
      <c r="CA64" s="129" t="n"/>
      <c r="CB64" s="129" t="n"/>
      <c r="CC64" s="129" t="n"/>
      <c r="CD64" s="129" t="n"/>
      <c r="CE64" s="129" t="n"/>
      <c r="CF64" s="129" t="n"/>
      <c r="CG64" s="129" t="n"/>
      <c r="CH64" s="129" t="n"/>
      <c r="CI64" s="129" t="n"/>
      <c r="CJ64" s="129" t="n"/>
      <c r="CK64" s="129" t="n"/>
      <c r="CL64" s="129" t="n"/>
      <c r="CM64" s="129" t="n"/>
      <c r="CN64" s="129" t="n"/>
      <c r="CO64" s="129" t="n"/>
      <c r="CP64" s="129" t="n"/>
      <c r="CQ64" s="129" t="n"/>
      <c r="CR64" s="129" t="n"/>
      <c r="CS64" s="129" t="n"/>
      <c r="CT64" s="129" t="n"/>
      <c r="CU64" s="129" t="n"/>
      <c r="CV64" s="129" t="n"/>
      <c r="CW64" s="129" t="n"/>
      <c r="CX64" s="129" t="n"/>
      <c r="CY64" s="129" t="n"/>
      <c r="CZ64" s="129" t="n"/>
      <c r="DA64" s="129" t="n"/>
      <c r="DB64" s="129" t="n"/>
      <c r="DC64" s="129" t="n"/>
      <c r="DD64" s="129" t="n"/>
      <c r="DE64" s="129" t="n"/>
      <c r="DF64" s="129" t="n"/>
      <c r="DG64" s="129" t="n"/>
      <c r="DH64" s="129" t="n"/>
      <c r="DI64" s="129" t="n"/>
      <c r="DJ64" s="129" t="n"/>
      <c r="DK64" s="129" t="n"/>
      <c r="DL64" s="129" t="n"/>
      <c r="DM64" s="129" t="n"/>
      <c r="DN64" s="129" t="n"/>
      <c r="DO64" s="129" t="n"/>
      <c r="DP64" s="129" t="n"/>
      <c r="DQ64" s="129" t="n"/>
      <c r="DR64" s="129" t="n"/>
      <c r="DS64" s="129" t="n"/>
      <c r="DT64" s="129" t="n"/>
      <c r="DU64" s="129" t="n"/>
      <c r="DV64" s="129" t="n"/>
      <c r="DW64" s="129" t="n"/>
      <c r="DX64" s="129" t="n"/>
      <c r="DY64" s="129" t="n"/>
      <c r="DZ64" s="129" t="n"/>
      <c r="EA64" s="129" t="n"/>
      <c r="EB64" s="129" t="n"/>
      <c r="EC64" s="129" t="n"/>
      <c r="ED64" s="129" t="n"/>
      <c r="EE64" s="129" t="n"/>
      <c r="EF64" s="129" t="n"/>
      <c r="EG64" s="129" t="n"/>
      <c r="EH64" s="129" t="n"/>
      <c r="EI64" s="129" t="n"/>
      <c r="EJ64" s="129" t="n"/>
      <c r="EK64" s="129" t="n"/>
      <c r="EL64" s="129" t="n"/>
      <c r="EM64" s="129" t="n"/>
      <c r="EN64" s="129" t="n"/>
      <c r="EO64" s="129" t="n"/>
      <c r="EP64" s="129" t="n"/>
      <c r="EQ64" s="129" t="n"/>
      <c r="ER64" s="129" t="n"/>
      <c r="ES64" s="129" t="n"/>
      <c r="ET64" s="129" t="n"/>
      <c r="EU64" s="129" t="n"/>
      <c r="EV64" s="129" t="n"/>
      <c r="EW64" s="129" t="n"/>
      <c r="EX64" s="129" t="n"/>
      <c r="EY64" s="129" t="n"/>
      <c r="EZ64" s="129" t="n"/>
      <c r="FA64" s="129" t="n"/>
      <c r="FB64" s="129" t="n"/>
      <c r="FC64" s="129" t="n"/>
      <c r="FD64" s="129" t="n"/>
      <c r="FE64" s="129" t="n"/>
      <c r="FF64" s="129" t="n"/>
      <c r="FG64" s="129" t="n"/>
      <c r="FH64" s="129" t="n"/>
      <c r="FI64" s="129" t="n"/>
      <c r="FJ64" s="129" t="n"/>
      <c r="FK64" s="129" t="n"/>
      <c r="FL64" s="129" t="n"/>
      <c r="FM64" s="129" t="n"/>
    </row>
    <row r="65" s="135">
      <c r="A65" s="90" t="n">
        <v>34668</v>
      </c>
      <c r="B65" s="91" t="n">
        <v>0.235</v>
      </c>
      <c r="C65" s="79" t="n"/>
      <c r="D65" s="129" t="n"/>
      <c r="E65" s="129" t="n"/>
      <c r="F65" s="129" t="n"/>
      <c r="G65" s="129" t="n"/>
      <c r="H65" s="129" t="n"/>
      <c r="I65" s="129" t="n"/>
      <c r="J65" s="129" t="n"/>
      <c r="K65" s="129" t="n"/>
      <c r="L65" s="129" t="n"/>
      <c r="M65" s="129" t="n"/>
      <c r="N65" s="129" t="n"/>
      <c r="O65" s="129" t="n"/>
      <c r="P65" s="129" t="n"/>
      <c r="Q65" s="129" t="n"/>
      <c r="R65" s="129" t="n"/>
      <c r="S65" s="129" t="n"/>
      <c r="T65" s="129" t="n"/>
      <c r="U65" s="129" t="n"/>
      <c r="V65" s="129" t="n"/>
      <c r="W65" s="129" t="n"/>
      <c r="X65" s="129" t="n"/>
      <c r="Y65" s="129" t="n"/>
      <c r="Z65" s="129" t="n"/>
      <c r="AA65" s="129" t="n"/>
      <c r="AB65" s="129" t="n"/>
      <c r="AC65" s="129" t="n"/>
      <c r="AD65" s="129" t="n"/>
      <c r="AE65" s="129" t="n"/>
      <c r="AF65" s="129" t="n"/>
      <c r="AG65" s="129" t="n"/>
      <c r="AH65" s="129" t="n"/>
      <c r="AI65" s="129" t="n"/>
      <c r="AJ65" s="129" t="n"/>
      <c r="AK65" s="129" t="n"/>
      <c r="AL65" s="129" t="n"/>
      <c r="AM65" s="129" t="n"/>
      <c r="AN65" s="129" t="n"/>
      <c r="AO65" s="129" t="n"/>
      <c r="AP65" s="129" t="n"/>
      <c r="AQ65" s="129" t="n"/>
      <c r="AR65" s="129" t="n"/>
      <c r="AS65" s="129" t="n"/>
      <c r="AT65" s="129" t="n"/>
      <c r="AU65" s="129" t="n"/>
      <c r="AV65" s="129" t="n"/>
      <c r="AW65" s="129" t="n"/>
      <c r="AX65" s="129" t="n"/>
      <c r="AY65" s="129" t="n"/>
      <c r="AZ65" s="129" t="n"/>
      <c r="BA65" s="129" t="n"/>
      <c r="BB65" s="129" t="n"/>
      <c r="BC65" s="129" t="n"/>
      <c r="BD65" s="129" t="n"/>
      <c r="BE65" s="129" t="n"/>
      <c r="BF65" s="129" t="n"/>
      <c r="BG65" s="129" t="n"/>
      <c r="BH65" s="129" t="n"/>
      <c r="BI65" s="129" t="n"/>
      <c r="BJ65" s="129" t="n"/>
      <c r="BK65" s="129" t="n"/>
      <c r="BL65" s="129" t="n"/>
      <c r="BM65" s="129" t="n"/>
      <c r="BN65" s="129" t="n"/>
      <c r="BO65" s="129" t="n"/>
      <c r="BP65" s="129" t="n"/>
      <c r="BQ65" s="129" t="n"/>
      <c r="BR65" s="129" t="n"/>
      <c r="BS65" s="129" t="n"/>
      <c r="BT65" s="129" t="n"/>
      <c r="BU65" s="129" t="n"/>
      <c r="BV65" s="129" t="n"/>
      <c r="BW65" s="129" t="n"/>
      <c r="BX65" s="129" t="n"/>
      <c r="BY65" s="129" t="n"/>
      <c r="BZ65" s="129" t="n"/>
      <c r="CA65" s="129" t="n"/>
      <c r="CB65" s="129" t="n"/>
      <c r="CC65" s="129" t="n"/>
      <c r="CD65" s="129" t="n"/>
      <c r="CE65" s="129" t="n"/>
      <c r="CF65" s="129" t="n"/>
      <c r="CG65" s="129" t="n"/>
      <c r="CH65" s="129" t="n"/>
      <c r="CI65" s="129" t="n"/>
      <c r="CJ65" s="129" t="n"/>
      <c r="CK65" s="129" t="n"/>
      <c r="CL65" s="129" t="n"/>
      <c r="CM65" s="129" t="n"/>
      <c r="CN65" s="129" t="n"/>
      <c r="CO65" s="129" t="n"/>
      <c r="CP65" s="129" t="n"/>
      <c r="CQ65" s="129" t="n"/>
      <c r="CR65" s="129" t="n"/>
      <c r="CS65" s="129" t="n"/>
      <c r="CT65" s="129" t="n"/>
      <c r="CU65" s="129" t="n"/>
      <c r="CV65" s="129" t="n"/>
      <c r="CW65" s="129" t="n"/>
      <c r="CX65" s="129" t="n"/>
      <c r="CY65" s="129" t="n"/>
      <c r="CZ65" s="129" t="n"/>
      <c r="DA65" s="129" t="n"/>
      <c r="DB65" s="129" t="n"/>
      <c r="DC65" s="129" t="n"/>
      <c r="DD65" s="129" t="n"/>
      <c r="DE65" s="129" t="n"/>
      <c r="DF65" s="129" t="n"/>
      <c r="DG65" s="129" t="n"/>
      <c r="DH65" s="129" t="n"/>
      <c r="DI65" s="129" t="n"/>
      <c r="DJ65" s="129" t="n"/>
      <c r="DK65" s="129" t="n"/>
      <c r="DL65" s="129" t="n"/>
      <c r="DM65" s="129" t="n"/>
      <c r="DN65" s="129" t="n"/>
      <c r="DO65" s="129" t="n"/>
      <c r="DP65" s="129" t="n"/>
      <c r="DQ65" s="129" t="n"/>
      <c r="DR65" s="129" t="n"/>
      <c r="DS65" s="129" t="n"/>
      <c r="DT65" s="129" t="n"/>
      <c r="DU65" s="129" t="n"/>
      <c r="DV65" s="129" t="n"/>
      <c r="DW65" s="129" t="n"/>
      <c r="DX65" s="129" t="n"/>
      <c r="DY65" s="129" t="n"/>
      <c r="DZ65" s="129" t="n"/>
      <c r="EA65" s="129" t="n"/>
      <c r="EB65" s="129" t="n"/>
      <c r="EC65" s="129" t="n"/>
      <c r="ED65" s="129" t="n"/>
      <c r="EE65" s="129" t="n"/>
      <c r="EF65" s="129" t="n"/>
      <c r="EG65" s="129" t="n"/>
      <c r="EH65" s="129" t="n"/>
      <c r="EI65" s="129" t="n"/>
      <c r="EJ65" s="129" t="n"/>
      <c r="EK65" s="129" t="n"/>
      <c r="EL65" s="129" t="n"/>
      <c r="EM65" s="129" t="n"/>
      <c r="EN65" s="129" t="n"/>
      <c r="EO65" s="129" t="n"/>
      <c r="EP65" s="129" t="n"/>
      <c r="EQ65" s="129" t="n"/>
      <c r="ER65" s="129" t="n"/>
      <c r="ES65" s="129" t="n"/>
      <c r="ET65" s="129" t="n"/>
      <c r="EU65" s="129" t="n"/>
      <c r="EV65" s="129" t="n"/>
      <c r="EW65" s="129" t="n"/>
      <c r="EX65" s="129" t="n"/>
      <c r="EY65" s="129" t="n"/>
      <c r="EZ65" s="129" t="n"/>
      <c r="FA65" s="129" t="n"/>
      <c r="FB65" s="129" t="n"/>
      <c r="FC65" s="129" t="n"/>
      <c r="FD65" s="129" t="n"/>
      <c r="FE65" s="129" t="n"/>
      <c r="FF65" s="129" t="n"/>
      <c r="FG65" s="129" t="n"/>
      <c r="FH65" s="129" t="n"/>
      <c r="FI65" s="129" t="n"/>
      <c r="FJ65" s="129" t="n"/>
      <c r="FK65" s="129" t="n"/>
      <c r="FL65" s="129" t="n"/>
      <c r="FM65" s="129" t="n"/>
    </row>
    <row r="66" s="135">
      <c r="A66" s="92" t="n">
        <v>34699</v>
      </c>
      <c r="B66" s="93" t="n">
        <v>0.185</v>
      </c>
      <c r="C66" s="79" t="n"/>
      <c r="D66" s="129" t="n"/>
      <c r="E66" s="129" t="n"/>
      <c r="F66" s="129" t="n"/>
      <c r="G66" s="129" t="n"/>
      <c r="H66" s="129" t="n"/>
      <c r="I66" s="129" t="n"/>
      <c r="J66" s="129" t="n"/>
      <c r="K66" s="129" t="n"/>
      <c r="L66" s="129" t="n"/>
      <c r="M66" s="129" t="n"/>
      <c r="N66" s="129" t="n"/>
      <c r="O66" s="129" t="n"/>
      <c r="P66" s="129" t="n"/>
      <c r="Q66" s="129" t="n"/>
      <c r="R66" s="129" t="n"/>
      <c r="S66" s="129" t="n"/>
      <c r="T66" s="129" t="n"/>
      <c r="U66" s="129" t="n"/>
      <c r="V66" s="129" t="n"/>
      <c r="W66" s="129" t="n"/>
      <c r="X66" s="129" t="n"/>
      <c r="Y66" s="129" t="n"/>
      <c r="Z66" s="129" t="n"/>
      <c r="AA66" s="129" t="n"/>
      <c r="AB66" s="129" t="n"/>
      <c r="AC66" s="129" t="n"/>
      <c r="AD66" s="129" t="n"/>
      <c r="AE66" s="129" t="n"/>
      <c r="AF66" s="129" t="n"/>
      <c r="AG66" s="129" t="n"/>
      <c r="AH66" s="129" t="n"/>
      <c r="AI66" s="129" t="n"/>
      <c r="AJ66" s="129" t="n"/>
      <c r="AK66" s="129" t="n"/>
      <c r="AL66" s="129" t="n"/>
      <c r="AM66" s="129" t="n"/>
      <c r="AN66" s="129" t="n"/>
      <c r="AO66" s="129" t="n"/>
      <c r="AP66" s="129" t="n"/>
      <c r="AQ66" s="129" t="n"/>
      <c r="AR66" s="129" t="n"/>
      <c r="AS66" s="129" t="n"/>
      <c r="AT66" s="129" t="n"/>
      <c r="AU66" s="129" t="n"/>
      <c r="AV66" s="129" t="n"/>
      <c r="AW66" s="129" t="n"/>
      <c r="AX66" s="129" t="n"/>
      <c r="AY66" s="129" t="n"/>
      <c r="AZ66" s="129" t="n"/>
      <c r="BA66" s="129" t="n"/>
      <c r="BB66" s="129" t="n"/>
      <c r="BC66" s="129" t="n"/>
      <c r="BD66" s="129" t="n"/>
      <c r="BE66" s="129" t="n"/>
      <c r="BF66" s="129" t="n"/>
      <c r="BG66" s="129" t="n"/>
      <c r="BH66" s="129" t="n"/>
      <c r="BI66" s="129" t="n"/>
      <c r="BJ66" s="129" t="n"/>
      <c r="BK66" s="129" t="n"/>
      <c r="BL66" s="129" t="n"/>
      <c r="BM66" s="129" t="n"/>
      <c r="BN66" s="129" t="n"/>
      <c r="BO66" s="129" t="n"/>
      <c r="BP66" s="129" t="n"/>
      <c r="BQ66" s="129" t="n"/>
      <c r="BR66" s="129" t="n"/>
      <c r="BS66" s="129" t="n"/>
      <c r="BT66" s="129" t="n"/>
      <c r="BU66" s="129" t="n"/>
      <c r="BV66" s="129" t="n"/>
      <c r="BW66" s="129" t="n"/>
      <c r="BX66" s="129" t="n"/>
      <c r="BY66" s="129" t="n"/>
      <c r="BZ66" s="129" t="n"/>
      <c r="CA66" s="129" t="n"/>
      <c r="CB66" s="129" t="n"/>
      <c r="CC66" s="129" t="n"/>
      <c r="CD66" s="129" t="n"/>
      <c r="CE66" s="129" t="n"/>
      <c r="CF66" s="129" t="n"/>
      <c r="CG66" s="129" t="n"/>
      <c r="CH66" s="129" t="n"/>
      <c r="CI66" s="129" t="n"/>
      <c r="CJ66" s="129" t="n"/>
      <c r="CK66" s="129" t="n"/>
      <c r="CL66" s="129" t="n"/>
      <c r="CM66" s="129" t="n"/>
      <c r="CN66" s="129" t="n"/>
      <c r="CO66" s="129" t="n"/>
      <c r="CP66" s="129" t="n"/>
      <c r="CQ66" s="129" t="n"/>
      <c r="CR66" s="129" t="n"/>
      <c r="CS66" s="129" t="n"/>
      <c r="CT66" s="129" t="n"/>
      <c r="CU66" s="129" t="n"/>
      <c r="CV66" s="129" t="n"/>
      <c r="CW66" s="129" t="n"/>
      <c r="CX66" s="129" t="n"/>
      <c r="CY66" s="129" t="n"/>
      <c r="CZ66" s="129" t="n"/>
      <c r="DA66" s="129" t="n"/>
      <c r="DB66" s="129" t="n"/>
      <c r="DC66" s="129" t="n"/>
      <c r="DD66" s="129" t="n"/>
      <c r="DE66" s="129" t="n"/>
      <c r="DF66" s="129" t="n"/>
      <c r="DG66" s="129" t="n"/>
      <c r="DH66" s="129" t="n"/>
      <c r="DI66" s="129" t="n"/>
      <c r="DJ66" s="129" t="n"/>
      <c r="DK66" s="129" t="n"/>
      <c r="DL66" s="129" t="n"/>
      <c r="DM66" s="129" t="n"/>
      <c r="DN66" s="129" t="n"/>
      <c r="DO66" s="129" t="n"/>
      <c r="DP66" s="129" t="n"/>
      <c r="DQ66" s="129" t="n"/>
      <c r="DR66" s="129" t="n"/>
      <c r="DS66" s="129" t="n"/>
      <c r="DT66" s="129" t="n"/>
      <c r="DU66" s="129" t="n"/>
      <c r="DV66" s="129" t="n"/>
      <c r="DW66" s="129" t="n"/>
      <c r="DX66" s="129" t="n"/>
      <c r="DY66" s="129" t="n"/>
      <c r="DZ66" s="129" t="n"/>
      <c r="EA66" s="129" t="n"/>
      <c r="EB66" s="129" t="n"/>
      <c r="EC66" s="129" t="n"/>
      <c r="ED66" s="129" t="n"/>
      <c r="EE66" s="129" t="n"/>
      <c r="EF66" s="129" t="n"/>
      <c r="EG66" s="129" t="n"/>
      <c r="EH66" s="129" t="n"/>
      <c r="EI66" s="129" t="n"/>
      <c r="EJ66" s="129" t="n"/>
      <c r="EK66" s="129" t="n"/>
      <c r="EL66" s="129" t="n"/>
      <c r="EM66" s="129" t="n"/>
      <c r="EN66" s="129" t="n"/>
      <c r="EO66" s="129" t="n"/>
      <c r="EP66" s="129" t="n"/>
      <c r="EQ66" s="129" t="n"/>
      <c r="ER66" s="129" t="n"/>
      <c r="ES66" s="129" t="n"/>
      <c r="ET66" s="129" t="n"/>
      <c r="EU66" s="129" t="n"/>
      <c r="EV66" s="129" t="n"/>
      <c r="EW66" s="129" t="n"/>
      <c r="EX66" s="129" t="n"/>
      <c r="EY66" s="129" t="n"/>
      <c r="EZ66" s="129" t="n"/>
      <c r="FA66" s="129" t="n"/>
      <c r="FB66" s="129" t="n"/>
      <c r="FC66" s="129" t="n"/>
      <c r="FD66" s="129" t="n"/>
      <c r="FE66" s="129" t="n"/>
      <c r="FF66" s="129" t="n"/>
      <c r="FG66" s="129" t="n"/>
      <c r="FH66" s="129" t="n"/>
      <c r="FI66" s="129" t="n"/>
      <c r="FJ66" s="129" t="n"/>
      <c r="FK66" s="129" t="n"/>
      <c r="FL66" s="129" t="n"/>
      <c r="FM66" s="129" t="n"/>
    </row>
    <row r="67" s="135">
      <c r="A67" s="90" t="n">
        <v>34730</v>
      </c>
      <c r="B67" s="91" t="n">
        <v>0.114</v>
      </c>
      <c r="C67" s="79" t="n"/>
      <c r="D67" s="129" t="n"/>
      <c r="E67" s="129" t="n"/>
      <c r="F67" s="129" t="n"/>
      <c r="G67" s="129" t="n"/>
      <c r="H67" s="129" t="n"/>
      <c r="I67" s="129" t="n"/>
      <c r="J67" s="129" t="n"/>
      <c r="K67" s="129" t="n"/>
      <c r="L67" s="129" t="n"/>
      <c r="M67" s="129" t="n"/>
      <c r="N67" s="129" t="n"/>
      <c r="O67" s="129" t="n"/>
      <c r="P67" s="129" t="n"/>
      <c r="Q67" s="129" t="n"/>
      <c r="R67" s="129" t="n"/>
      <c r="S67" s="129" t="n"/>
      <c r="T67" s="129" t="n"/>
      <c r="U67" s="129" t="n"/>
      <c r="V67" s="129" t="n"/>
      <c r="W67" s="129" t="n"/>
      <c r="X67" s="129" t="n"/>
      <c r="Y67" s="129" t="n"/>
      <c r="Z67" s="129" t="n"/>
      <c r="AA67" s="129" t="n"/>
      <c r="AB67" s="129" t="n"/>
      <c r="AC67" s="129" t="n"/>
      <c r="AD67" s="129" t="n"/>
      <c r="AE67" s="129" t="n"/>
      <c r="AF67" s="129" t="n"/>
      <c r="AG67" s="129" t="n"/>
      <c r="AH67" s="129" t="n"/>
      <c r="AI67" s="129" t="n"/>
      <c r="AJ67" s="129" t="n"/>
      <c r="AK67" s="129" t="n"/>
      <c r="AL67" s="129" t="n"/>
      <c r="AM67" s="129" t="n"/>
      <c r="AN67" s="129" t="n"/>
      <c r="AO67" s="129" t="n"/>
      <c r="AP67" s="129" t="n"/>
      <c r="AQ67" s="129" t="n"/>
      <c r="AR67" s="129" t="n"/>
      <c r="AS67" s="129" t="n"/>
      <c r="AT67" s="129" t="n"/>
      <c r="AU67" s="129" t="n"/>
      <c r="AV67" s="129" t="n"/>
      <c r="AW67" s="129" t="n"/>
      <c r="AX67" s="129" t="n"/>
      <c r="AY67" s="129" t="n"/>
      <c r="AZ67" s="129" t="n"/>
      <c r="BA67" s="129" t="n"/>
      <c r="BB67" s="129" t="n"/>
      <c r="BC67" s="129" t="n"/>
      <c r="BD67" s="129" t="n"/>
      <c r="BE67" s="129" t="n"/>
      <c r="BF67" s="129" t="n"/>
      <c r="BG67" s="129" t="n"/>
      <c r="BH67" s="129" t="n"/>
      <c r="BI67" s="129" t="n"/>
      <c r="BJ67" s="129" t="n"/>
      <c r="BK67" s="129" t="n"/>
      <c r="BL67" s="129" t="n"/>
      <c r="BM67" s="129" t="n"/>
      <c r="BN67" s="129" t="n"/>
      <c r="BO67" s="129" t="n"/>
      <c r="BP67" s="129" t="n"/>
      <c r="BQ67" s="129" t="n"/>
      <c r="BR67" s="129" t="n"/>
      <c r="BS67" s="129" t="n"/>
      <c r="BT67" s="129" t="n"/>
      <c r="BU67" s="129" t="n"/>
      <c r="BV67" s="129" t="n"/>
      <c r="BW67" s="129" t="n"/>
      <c r="BX67" s="129" t="n"/>
      <c r="BY67" s="129" t="n"/>
      <c r="BZ67" s="129" t="n"/>
      <c r="CA67" s="129" t="n"/>
      <c r="CB67" s="129" t="n"/>
      <c r="CC67" s="129" t="n"/>
      <c r="CD67" s="129" t="n"/>
      <c r="CE67" s="129" t="n"/>
      <c r="CF67" s="129" t="n"/>
      <c r="CG67" s="129" t="n"/>
      <c r="CH67" s="129" t="n"/>
      <c r="CI67" s="129" t="n"/>
      <c r="CJ67" s="129" t="n"/>
      <c r="CK67" s="129" t="n"/>
      <c r="CL67" s="129" t="n"/>
      <c r="CM67" s="129" t="n"/>
      <c r="CN67" s="129" t="n"/>
      <c r="CO67" s="129" t="n"/>
      <c r="CP67" s="129" t="n"/>
      <c r="CQ67" s="129" t="n"/>
      <c r="CR67" s="129" t="n"/>
      <c r="CS67" s="129" t="n"/>
      <c r="CT67" s="129" t="n"/>
      <c r="CU67" s="129" t="n"/>
      <c r="CV67" s="129" t="n"/>
      <c r="CW67" s="129" t="n"/>
      <c r="CX67" s="129" t="n"/>
      <c r="CY67" s="129" t="n"/>
      <c r="CZ67" s="129" t="n"/>
      <c r="DA67" s="129" t="n"/>
      <c r="DB67" s="129" t="n"/>
      <c r="DC67" s="129" t="n"/>
      <c r="DD67" s="129" t="n"/>
      <c r="DE67" s="129" t="n"/>
      <c r="DF67" s="129" t="n"/>
      <c r="DG67" s="129" t="n"/>
      <c r="DH67" s="129" t="n"/>
      <c r="DI67" s="129" t="n"/>
      <c r="DJ67" s="129" t="n"/>
      <c r="DK67" s="129" t="n"/>
      <c r="DL67" s="129" t="n"/>
      <c r="DM67" s="129" t="n"/>
      <c r="DN67" s="129" t="n"/>
      <c r="DO67" s="129" t="n"/>
      <c r="DP67" s="129" t="n"/>
      <c r="DQ67" s="129" t="n"/>
      <c r="DR67" s="129" t="n"/>
      <c r="DS67" s="129" t="n"/>
      <c r="DT67" s="129" t="n"/>
      <c r="DU67" s="129" t="n"/>
      <c r="DV67" s="129" t="n"/>
      <c r="DW67" s="129" t="n"/>
      <c r="DX67" s="129" t="n"/>
      <c r="DY67" s="129" t="n"/>
      <c r="DZ67" s="129" t="n"/>
      <c r="EA67" s="129" t="n"/>
      <c r="EB67" s="129" t="n"/>
      <c r="EC67" s="129" t="n"/>
      <c r="ED67" s="129" t="n"/>
      <c r="EE67" s="129" t="n"/>
      <c r="EF67" s="129" t="n"/>
      <c r="EG67" s="129" t="n"/>
      <c r="EH67" s="129" t="n"/>
      <c r="EI67" s="129" t="n"/>
      <c r="EJ67" s="129" t="n"/>
      <c r="EK67" s="129" t="n"/>
      <c r="EL67" s="129" t="n"/>
      <c r="EM67" s="129" t="n"/>
      <c r="EN67" s="129" t="n"/>
      <c r="EO67" s="129" t="n"/>
      <c r="EP67" s="129" t="n"/>
      <c r="EQ67" s="129" t="n"/>
      <c r="ER67" s="129" t="n"/>
      <c r="ES67" s="129" t="n"/>
      <c r="ET67" s="129" t="n"/>
      <c r="EU67" s="129" t="n"/>
      <c r="EV67" s="129" t="n"/>
      <c r="EW67" s="129" t="n"/>
      <c r="EX67" s="129" t="n"/>
      <c r="EY67" s="129" t="n"/>
      <c r="EZ67" s="129" t="n"/>
      <c r="FA67" s="129" t="n"/>
      <c r="FB67" s="129" t="n"/>
      <c r="FC67" s="129" t="n"/>
      <c r="FD67" s="129" t="n"/>
      <c r="FE67" s="129" t="n"/>
      <c r="FF67" s="129" t="n"/>
      <c r="FG67" s="129" t="n"/>
      <c r="FH67" s="129" t="n"/>
      <c r="FI67" s="129" t="n"/>
      <c r="FJ67" s="129" t="n"/>
      <c r="FK67" s="129" t="n"/>
      <c r="FL67" s="129" t="n"/>
      <c r="FM67" s="129" t="n"/>
    </row>
    <row r="68" s="135">
      <c r="A68" s="92" t="n">
        <v>34758</v>
      </c>
      <c r="B68" s="93" t="n">
        <v>0.155</v>
      </c>
      <c r="C68" s="79" t="n"/>
      <c r="D68" s="129" t="n"/>
      <c r="E68" s="129" t="n"/>
      <c r="F68" s="129" t="n"/>
      <c r="G68" s="129" t="n"/>
      <c r="H68" s="129" t="n"/>
      <c r="I68" s="129" t="n"/>
      <c r="J68" s="129" t="n"/>
      <c r="K68" s="129" t="n"/>
      <c r="L68" s="129" t="n"/>
      <c r="M68" s="129" t="n"/>
      <c r="N68" s="129" t="n"/>
      <c r="O68" s="129" t="n"/>
      <c r="P68" s="129" t="n"/>
      <c r="Q68" s="129" t="n"/>
      <c r="R68" s="129" t="n"/>
      <c r="S68" s="129" t="n"/>
      <c r="T68" s="129" t="n"/>
      <c r="U68" s="129" t="n"/>
      <c r="V68" s="129" t="n"/>
      <c r="W68" s="129" t="n"/>
      <c r="X68" s="129" t="n"/>
      <c r="Y68" s="129" t="n"/>
      <c r="Z68" s="129" t="n"/>
      <c r="AA68" s="129" t="n"/>
      <c r="AB68" s="129" t="n"/>
      <c r="AC68" s="129" t="n"/>
      <c r="AD68" s="129" t="n"/>
      <c r="AE68" s="129" t="n"/>
      <c r="AF68" s="129" t="n"/>
      <c r="AG68" s="129" t="n"/>
      <c r="AH68" s="129" t="n"/>
      <c r="AI68" s="129" t="n"/>
      <c r="AJ68" s="129" t="n"/>
      <c r="AK68" s="129" t="n"/>
      <c r="AL68" s="129" t="n"/>
      <c r="AM68" s="129" t="n"/>
      <c r="AN68" s="129" t="n"/>
      <c r="AO68" s="129" t="n"/>
      <c r="AP68" s="129" t="n"/>
      <c r="AQ68" s="129" t="n"/>
      <c r="AR68" s="129" t="n"/>
      <c r="AS68" s="129" t="n"/>
      <c r="AT68" s="129" t="n"/>
      <c r="AU68" s="129" t="n"/>
      <c r="AV68" s="129" t="n"/>
      <c r="AW68" s="129" t="n"/>
      <c r="AX68" s="129" t="n"/>
      <c r="AY68" s="129" t="n"/>
      <c r="AZ68" s="129" t="n"/>
      <c r="BA68" s="129" t="n"/>
      <c r="BB68" s="129" t="n"/>
      <c r="BC68" s="129" t="n"/>
      <c r="BD68" s="129" t="n"/>
      <c r="BE68" s="129" t="n"/>
      <c r="BF68" s="129" t="n"/>
      <c r="BG68" s="129" t="n"/>
      <c r="BH68" s="129" t="n"/>
      <c r="BI68" s="129" t="n"/>
      <c r="BJ68" s="129" t="n"/>
      <c r="BK68" s="129" t="n"/>
      <c r="BL68" s="129" t="n"/>
      <c r="BM68" s="129" t="n"/>
      <c r="BN68" s="129" t="n"/>
      <c r="BO68" s="129" t="n"/>
      <c r="BP68" s="129" t="n"/>
      <c r="BQ68" s="129" t="n"/>
      <c r="BR68" s="129" t="n"/>
      <c r="BS68" s="129" t="n"/>
      <c r="BT68" s="129" t="n"/>
      <c r="BU68" s="129" t="n"/>
      <c r="BV68" s="129" t="n"/>
      <c r="BW68" s="129" t="n"/>
      <c r="BX68" s="129" t="n"/>
      <c r="BY68" s="129" t="n"/>
      <c r="BZ68" s="129" t="n"/>
      <c r="CA68" s="129" t="n"/>
      <c r="CB68" s="129" t="n"/>
      <c r="CC68" s="129" t="n"/>
      <c r="CD68" s="129" t="n"/>
      <c r="CE68" s="129" t="n"/>
      <c r="CF68" s="129" t="n"/>
      <c r="CG68" s="129" t="n"/>
      <c r="CH68" s="129" t="n"/>
      <c r="CI68" s="129" t="n"/>
      <c r="CJ68" s="129" t="n"/>
      <c r="CK68" s="129" t="n"/>
      <c r="CL68" s="129" t="n"/>
      <c r="CM68" s="129" t="n"/>
      <c r="CN68" s="129" t="n"/>
      <c r="CO68" s="129" t="n"/>
      <c r="CP68" s="129" t="n"/>
      <c r="CQ68" s="129" t="n"/>
      <c r="CR68" s="129" t="n"/>
      <c r="CS68" s="129" t="n"/>
      <c r="CT68" s="129" t="n"/>
      <c r="CU68" s="129" t="n"/>
      <c r="CV68" s="129" t="n"/>
      <c r="CW68" s="129" t="n"/>
      <c r="CX68" s="129" t="n"/>
      <c r="CY68" s="129" t="n"/>
      <c r="CZ68" s="129" t="n"/>
      <c r="DA68" s="129" t="n"/>
      <c r="DB68" s="129" t="n"/>
      <c r="DC68" s="129" t="n"/>
      <c r="DD68" s="129" t="n"/>
      <c r="DE68" s="129" t="n"/>
      <c r="DF68" s="129" t="n"/>
      <c r="DG68" s="129" t="n"/>
      <c r="DH68" s="129" t="n"/>
      <c r="DI68" s="129" t="n"/>
      <c r="DJ68" s="129" t="n"/>
      <c r="DK68" s="129" t="n"/>
      <c r="DL68" s="129" t="n"/>
      <c r="DM68" s="129" t="n"/>
      <c r="DN68" s="129" t="n"/>
      <c r="DO68" s="129" t="n"/>
      <c r="DP68" s="129" t="n"/>
      <c r="DQ68" s="129" t="n"/>
      <c r="DR68" s="129" t="n"/>
      <c r="DS68" s="129" t="n"/>
      <c r="DT68" s="129" t="n"/>
      <c r="DU68" s="129" t="n"/>
      <c r="DV68" s="129" t="n"/>
      <c r="DW68" s="129" t="n"/>
      <c r="DX68" s="129" t="n"/>
      <c r="DY68" s="129" t="n"/>
      <c r="DZ68" s="129" t="n"/>
      <c r="EA68" s="129" t="n"/>
      <c r="EB68" s="129" t="n"/>
      <c r="EC68" s="129" t="n"/>
      <c r="ED68" s="129" t="n"/>
      <c r="EE68" s="129" t="n"/>
      <c r="EF68" s="129" t="n"/>
      <c r="EG68" s="129" t="n"/>
      <c r="EH68" s="129" t="n"/>
      <c r="EI68" s="129" t="n"/>
      <c r="EJ68" s="129" t="n"/>
      <c r="EK68" s="129" t="n"/>
      <c r="EL68" s="129" t="n"/>
      <c r="EM68" s="129" t="n"/>
      <c r="EN68" s="129" t="n"/>
      <c r="EO68" s="129" t="n"/>
      <c r="EP68" s="129" t="n"/>
      <c r="EQ68" s="129" t="n"/>
      <c r="ER68" s="129" t="n"/>
      <c r="ES68" s="129" t="n"/>
      <c r="ET68" s="129" t="n"/>
      <c r="EU68" s="129" t="n"/>
      <c r="EV68" s="129" t="n"/>
      <c r="EW68" s="129" t="n"/>
      <c r="EX68" s="129" t="n"/>
      <c r="EY68" s="129" t="n"/>
      <c r="EZ68" s="129" t="n"/>
      <c r="FA68" s="129" t="n"/>
      <c r="FB68" s="129" t="n"/>
      <c r="FC68" s="129" t="n"/>
      <c r="FD68" s="129" t="n"/>
      <c r="FE68" s="129" t="n"/>
      <c r="FF68" s="129" t="n"/>
      <c r="FG68" s="129" t="n"/>
      <c r="FH68" s="129" t="n"/>
      <c r="FI68" s="129" t="n"/>
      <c r="FJ68" s="129" t="n"/>
      <c r="FK68" s="129" t="n"/>
      <c r="FL68" s="129" t="n"/>
      <c r="FM68" s="129" t="n"/>
    </row>
    <row r="69" s="135">
      <c r="A69" s="90" t="n">
        <v>34789</v>
      </c>
      <c r="B69" s="91" t="n">
        <v>0.164</v>
      </c>
      <c r="C69" s="79" t="n"/>
      <c r="D69" s="129" t="n"/>
      <c r="E69" s="129" t="n"/>
      <c r="F69" s="129" t="n"/>
      <c r="G69" s="129" t="n"/>
      <c r="H69" s="129" t="n"/>
      <c r="I69" s="129" t="n"/>
      <c r="J69" s="129" t="n"/>
      <c r="K69" s="129" t="n"/>
      <c r="L69" s="129" t="n"/>
      <c r="M69" s="129" t="n"/>
      <c r="N69" s="129" t="n"/>
      <c r="O69" s="129" t="n"/>
      <c r="P69" s="129" t="n"/>
      <c r="Q69" s="129" t="n"/>
      <c r="R69" s="129" t="n"/>
      <c r="S69" s="129" t="n"/>
      <c r="T69" s="129" t="n"/>
      <c r="U69" s="129" t="n"/>
      <c r="V69" s="129" t="n"/>
      <c r="W69" s="129" t="n"/>
      <c r="X69" s="129" t="n"/>
      <c r="Y69" s="129" t="n"/>
      <c r="Z69" s="129" t="n"/>
      <c r="AA69" s="129" t="n"/>
      <c r="AB69" s="129" t="n"/>
      <c r="AC69" s="129" t="n"/>
      <c r="AD69" s="129" t="n"/>
      <c r="AE69" s="129" t="n"/>
      <c r="AF69" s="129" t="n"/>
      <c r="AG69" s="129" t="n"/>
      <c r="AH69" s="129" t="n"/>
      <c r="AI69" s="129" t="n"/>
      <c r="AJ69" s="129" t="n"/>
      <c r="AK69" s="129" t="n"/>
      <c r="AL69" s="129" t="n"/>
      <c r="AM69" s="129" t="n"/>
      <c r="AN69" s="129" t="n"/>
      <c r="AO69" s="129" t="n"/>
      <c r="AP69" s="129" t="n"/>
      <c r="AQ69" s="129" t="n"/>
      <c r="AR69" s="129" t="n"/>
      <c r="AS69" s="129" t="n"/>
      <c r="AT69" s="129" t="n"/>
      <c r="AU69" s="129" t="n"/>
      <c r="AV69" s="129" t="n"/>
      <c r="AW69" s="129" t="n"/>
      <c r="AX69" s="129" t="n"/>
      <c r="AY69" s="129" t="n"/>
      <c r="AZ69" s="129" t="n"/>
      <c r="BA69" s="129" t="n"/>
      <c r="BB69" s="129" t="n"/>
      <c r="BC69" s="129" t="n"/>
      <c r="BD69" s="129" t="n"/>
      <c r="BE69" s="129" t="n"/>
      <c r="BF69" s="129" t="n"/>
      <c r="BG69" s="129" t="n"/>
      <c r="BH69" s="129" t="n"/>
      <c r="BI69" s="129" t="n"/>
      <c r="BJ69" s="129" t="n"/>
      <c r="BK69" s="129" t="n"/>
      <c r="BL69" s="129" t="n"/>
      <c r="BM69" s="129" t="n"/>
      <c r="BN69" s="129" t="n"/>
      <c r="BO69" s="129" t="n"/>
      <c r="BP69" s="129" t="n"/>
      <c r="BQ69" s="129" t="n"/>
      <c r="BR69" s="129" t="n"/>
      <c r="BS69" s="129" t="n"/>
      <c r="BT69" s="129" t="n"/>
      <c r="BU69" s="129" t="n"/>
      <c r="BV69" s="129" t="n"/>
      <c r="BW69" s="129" t="n"/>
      <c r="BX69" s="129" t="n"/>
      <c r="BY69" s="129" t="n"/>
      <c r="BZ69" s="129" t="n"/>
      <c r="CA69" s="129" t="n"/>
      <c r="CB69" s="129" t="n"/>
      <c r="CC69" s="129" t="n"/>
      <c r="CD69" s="129" t="n"/>
      <c r="CE69" s="129" t="n"/>
      <c r="CF69" s="129" t="n"/>
      <c r="CG69" s="129" t="n"/>
      <c r="CH69" s="129" t="n"/>
      <c r="CI69" s="129" t="n"/>
      <c r="CJ69" s="129" t="n"/>
      <c r="CK69" s="129" t="n"/>
      <c r="CL69" s="129" t="n"/>
      <c r="CM69" s="129" t="n"/>
      <c r="CN69" s="129" t="n"/>
      <c r="CO69" s="129" t="n"/>
      <c r="CP69" s="129" t="n"/>
      <c r="CQ69" s="129" t="n"/>
      <c r="CR69" s="129" t="n"/>
      <c r="CS69" s="129" t="n"/>
      <c r="CT69" s="129" t="n"/>
      <c r="CU69" s="129" t="n"/>
      <c r="CV69" s="129" t="n"/>
      <c r="CW69" s="129" t="n"/>
      <c r="CX69" s="129" t="n"/>
      <c r="CY69" s="129" t="n"/>
      <c r="CZ69" s="129" t="n"/>
      <c r="DA69" s="129" t="n"/>
      <c r="DB69" s="129" t="n"/>
      <c r="DC69" s="129" t="n"/>
      <c r="DD69" s="129" t="n"/>
      <c r="DE69" s="129" t="n"/>
      <c r="DF69" s="129" t="n"/>
      <c r="DG69" s="129" t="n"/>
      <c r="DH69" s="129" t="n"/>
      <c r="DI69" s="129" t="n"/>
      <c r="DJ69" s="129" t="n"/>
      <c r="DK69" s="129" t="n"/>
      <c r="DL69" s="129" t="n"/>
      <c r="DM69" s="129" t="n"/>
      <c r="DN69" s="129" t="n"/>
      <c r="DO69" s="129" t="n"/>
      <c r="DP69" s="129" t="n"/>
      <c r="DQ69" s="129" t="n"/>
      <c r="DR69" s="129" t="n"/>
      <c r="DS69" s="129" t="n"/>
      <c r="DT69" s="129" t="n"/>
      <c r="DU69" s="129" t="n"/>
      <c r="DV69" s="129" t="n"/>
      <c r="DW69" s="129" t="n"/>
      <c r="DX69" s="129" t="n"/>
      <c r="DY69" s="129" t="n"/>
      <c r="DZ69" s="129" t="n"/>
      <c r="EA69" s="129" t="n"/>
      <c r="EB69" s="129" t="n"/>
      <c r="EC69" s="129" t="n"/>
      <c r="ED69" s="129" t="n"/>
      <c r="EE69" s="129" t="n"/>
      <c r="EF69" s="129" t="n"/>
      <c r="EG69" s="129" t="n"/>
      <c r="EH69" s="129" t="n"/>
      <c r="EI69" s="129" t="n"/>
      <c r="EJ69" s="129" t="n"/>
      <c r="EK69" s="129" t="n"/>
      <c r="EL69" s="129" t="n"/>
      <c r="EM69" s="129" t="n"/>
      <c r="EN69" s="129" t="n"/>
      <c r="EO69" s="129" t="n"/>
      <c r="EP69" s="129" t="n"/>
      <c r="EQ69" s="129" t="n"/>
      <c r="ER69" s="129" t="n"/>
      <c r="ES69" s="129" t="n"/>
      <c r="ET69" s="129" t="n"/>
      <c r="EU69" s="129" t="n"/>
      <c r="EV69" s="129" t="n"/>
      <c r="EW69" s="129" t="n"/>
      <c r="EX69" s="129" t="n"/>
      <c r="EY69" s="129" t="n"/>
      <c r="EZ69" s="129" t="n"/>
      <c r="FA69" s="129" t="n"/>
      <c r="FB69" s="129" t="n"/>
      <c r="FC69" s="129" t="n"/>
      <c r="FD69" s="129" t="n"/>
      <c r="FE69" s="129" t="n"/>
      <c r="FF69" s="129" t="n"/>
      <c r="FG69" s="129" t="n"/>
      <c r="FH69" s="129" t="n"/>
      <c r="FI69" s="129" t="n"/>
      <c r="FJ69" s="129" t="n"/>
      <c r="FK69" s="129" t="n"/>
      <c r="FL69" s="129" t="n"/>
      <c r="FM69" s="129" t="n"/>
    </row>
    <row r="70" s="135">
      <c r="A70" s="92" t="n">
        <v>34819</v>
      </c>
      <c r="B70" s="93" t="n">
        <v>0.154</v>
      </c>
      <c r="C70" s="79" t="n"/>
      <c r="D70" s="129" t="n"/>
      <c r="E70" s="129" t="n"/>
      <c r="F70" s="129" t="n"/>
      <c r="G70" s="129" t="n"/>
      <c r="H70" s="129" t="n"/>
      <c r="I70" s="129" t="n"/>
      <c r="J70" s="129" t="n"/>
      <c r="K70" s="129" t="n"/>
      <c r="L70" s="129" t="n"/>
      <c r="M70" s="129" t="n"/>
      <c r="N70" s="129" t="n"/>
      <c r="O70" s="129" t="n"/>
      <c r="P70" s="129" t="n"/>
      <c r="Q70" s="129" t="n"/>
      <c r="R70" s="129" t="n"/>
      <c r="S70" s="129" t="n"/>
      <c r="T70" s="129" t="n"/>
      <c r="U70" s="129" t="n"/>
      <c r="V70" s="129" t="n"/>
      <c r="W70" s="129" t="n"/>
      <c r="X70" s="129" t="n"/>
      <c r="Y70" s="129" t="n"/>
      <c r="Z70" s="129" t="n"/>
      <c r="AA70" s="129" t="n"/>
      <c r="AB70" s="129" t="n"/>
      <c r="AC70" s="129" t="n"/>
      <c r="AD70" s="129" t="n"/>
      <c r="AE70" s="129" t="n"/>
      <c r="AF70" s="129" t="n"/>
      <c r="AG70" s="129" t="n"/>
      <c r="AH70" s="129" t="n"/>
      <c r="AI70" s="129" t="n"/>
      <c r="AJ70" s="129" t="n"/>
      <c r="AK70" s="129" t="n"/>
      <c r="AL70" s="129" t="n"/>
      <c r="AM70" s="129" t="n"/>
      <c r="AN70" s="129" t="n"/>
      <c r="AO70" s="129" t="n"/>
      <c r="AP70" s="129" t="n"/>
      <c r="AQ70" s="129" t="n"/>
      <c r="AR70" s="129" t="n"/>
      <c r="AS70" s="129" t="n"/>
      <c r="AT70" s="129" t="n"/>
      <c r="AU70" s="129" t="n"/>
      <c r="AV70" s="129" t="n"/>
      <c r="AW70" s="129" t="n"/>
      <c r="AX70" s="129" t="n"/>
      <c r="AY70" s="129" t="n"/>
      <c r="AZ70" s="129" t="n"/>
      <c r="BA70" s="129" t="n"/>
      <c r="BB70" s="129" t="n"/>
      <c r="BC70" s="129" t="n"/>
      <c r="BD70" s="129" t="n"/>
      <c r="BE70" s="129" t="n"/>
      <c r="BF70" s="129" t="n"/>
      <c r="BG70" s="129" t="n"/>
      <c r="BH70" s="129" t="n"/>
      <c r="BI70" s="129" t="n"/>
      <c r="BJ70" s="129" t="n"/>
      <c r="BK70" s="129" t="n"/>
      <c r="BL70" s="129" t="n"/>
      <c r="BM70" s="129" t="n"/>
      <c r="BN70" s="129" t="n"/>
      <c r="BO70" s="129" t="n"/>
      <c r="BP70" s="129" t="n"/>
      <c r="BQ70" s="129" t="n"/>
      <c r="BR70" s="129" t="n"/>
      <c r="BS70" s="129" t="n"/>
      <c r="BT70" s="129" t="n"/>
      <c r="BU70" s="129" t="n"/>
      <c r="BV70" s="129" t="n"/>
      <c r="BW70" s="129" t="n"/>
      <c r="BX70" s="129" t="n"/>
      <c r="BY70" s="129" t="n"/>
      <c r="BZ70" s="129" t="n"/>
      <c r="CA70" s="129" t="n"/>
      <c r="CB70" s="129" t="n"/>
      <c r="CC70" s="129" t="n"/>
      <c r="CD70" s="129" t="n"/>
      <c r="CE70" s="129" t="n"/>
      <c r="CF70" s="129" t="n"/>
      <c r="CG70" s="129" t="n"/>
      <c r="CH70" s="129" t="n"/>
      <c r="CI70" s="129" t="n"/>
      <c r="CJ70" s="129" t="n"/>
      <c r="CK70" s="129" t="n"/>
      <c r="CL70" s="129" t="n"/>
      <c r="CM70" s="129" t="n"/>
      <c r="CN70" s="129" t="n"/>
      <c r="CO70" s="129" t="n"/>
      <c r="CP70" s="129" t="n"/>
      <c r="CQ70" s="129" t="n"/>
      <c r="CR70" s="129" t="n"/>
      <c r="CS70" s="129" t="n"/>
      <c r="CT70" s="129" t="n"/>
      <c r="CU70" s="129" t="n"/>
      <c r="CV70" s="129" t="n"/>
      <c r="CW70" s="129" t="n"/>
      <c r="CX70" s="129" t="n"/>
      <c r="CY70" s="129" t="n"/>
      <c r="CZ70" s="129" t="n"/>
      <c r="DA70" s="129" t="n"/>
      <c r="DB70" s="129" t="n"/>
      <c r="DC70" s="129" t="n"/>
      <c r="DD70" s="129" t="n"/>
      <c r="DE70" s="129" t="n"/>
      <c r="DF70" s="129" t="n"/>
      <c r="DG70" s="129" t="n"/>
      <c r="DH70" s="129" t="n"/>
      <c r="DI70" s="129" t="n"/>
      <c r="DJ70" s="129" t="n"/>
      <c r="DK70" s="129" t="n"/>
      <c r="DL70" s="129" t="n"/>
      <c r="DM70" s="129" t="n"/>
      <c r="DN70" s="129" t="n"/>
      <c r="DO70" s="129" t="n"/>
      <c r="DP70" s="129" t="n"/>
      <c r="DQ70" s="129" t="n"/>
      <c r="DR70" s="129" t="n"/>
      <c r="DS70" s="129" t="n"/>
      <c r="DT70" s="129" t="n"/>
      <c r="DU70" s="129" t="n"/>
      <c r="DV70" s="129" t="n"/>
      <c r="DW70" s="129" t="n"/>
      <c r="DX70" s="129" t="n"/>
      <c r="DY70" s="129" t="n"/>
      <c r="DZ70" s="129" t="n"/>
      <c r="EA70" s="129" t="n"/>
      <c r="EB70" s="129" t="n"/>
      <c r="EC70" s="129" t="n"/>
      <c r="ED70" s="129" t="n"/>
      <c r="EE70" s="129" t="n"/>
      <c r="EF70" s="129" t="n"/>
      <c r="EG70" s="129" t="n"/>
      <c r="EH70" s="129" t="n"/>
      <c r="EI70" s="129" t="n"/>
      <c r="EJ70" s="129" t="n"/>
      <c r="EK70" s="129" t="n"/>
      <c r="EL70" s="129" t="n"/>
      <c r="EM70" s="129" t="n"/>
      <c r="EN70" s="129" t="n"/>
      <c r="EO70" s="129" t="n"/>
      <c r="EP70" s="129" t="n"/>
      <c r="EQ70" s="129" t="n"/>
      <c r="ER70" s="129" t="n"/>
      <c r="ES70" s="129" t="n"/>
      <c r="ET70" s="129" t="n"/>
      <c r="EU70" s="129" t="n"/>
      <c r="EV70" s="129" t="n"/>
      <c r="EW70" s="129" t="n"/>
      <c r="EX70" s="129" t="n"/>
      <c r="EY70" s="129" t="n"/>
      <c r="EZ70" s="129" t="n"/>
      <c r="FA70" s="129" t="n"/>
      <c r="FB70" s="129" t="n"/>
      <c r="FC70" s="129" t="n"/>
      <c r="FD70" s="129" t="n"/>
      <c r="FE70" s="129" t="n"/>
      <c r="FF70" s="129" t="n"/>
      <c r="FG70" s="129" t="n"/>
      <c r="FH70" s="129" t="n"/>
      <c r="FI70" s="129" t="n"/>
      <c r="FJ70" s="129" t="n"/>
      <c r="FK70" s="129" t="n"/>
      <c r="FL70" s="129" t="n"/>
      <c r="FM70" s="129" t="n"/>
    </row>
    <row r="71" s="135">
      <c r="A71" s="90" t="n">
        <v>34850</v>
      </c>
      <c r="B71" s="91" t="n">
        <v>0.131</v>
      </c>
      <c r="C71" s="79" t="n"/>
      <c r="D71" s="129" t="n"/>
      <c r="E71" s="129" t="n"/>
      <c r="F71" s="129" t="n"/>
      <c r="G71" s="129" t="n"/>
      <c r="H71" s="129" t="n"/>
      <c r="I71" s="129" t="n"/>
      <c r="J71" s="129" t="n"/>
      <c r="K71" s="129" t="n"/>
      <c r="L71" s="129" t="n"/>
      <c r="M71" s="129" t="n"/>
      <c r="N71" s="129" t="n"/>
      <c r="O71" s="129" t="n"/>
      <c r="P71" s="129" t="n"/>
      <c r="Q71" s="129" t="n"/>
      <c r="R71" s="129" t="n"/>
      <c r="S71" s="129" t="n"/>
      <c r="T71" s="129" t="n"/>
      <c r="U71" s="129" t="n"/>
      <c r="V71" s="129" t="n"/>
      <c r="W71" s="129" t="n"/>
      <c r="X71" s="129" t="n"/>
      <c r="Y71" s="129" t="n"/>
      <c r="Z71" s="129" t="n"/>
      <c r="AA71" s="129" t="n"/>
      <c r="AB71" s="129" t="n"/>
      <c r="AC71" s="129" t="n"/>
      <c r="AD71" s="129" t="n"/>
      <c r="AE71" s="129" t="n"/>
      <c r="AF71" s="129" t="n"/>
      <c r="AG71" s="129" t="n"/>
      <c r="AH71" s="129" t="n"/>
      <c r="AI71" s="129" t="n"/>
      <c r="AJ71" s="129" t="n"/>
      <c r="AK71" s="129" t="n"/>
      <c r="AL71" s="129" t="n"/>
      <c r="AM71" s="129" t="n"/>
      <c r="AN71" s="129" t="n"/>
      <c r="AO71" s="129" t="n"/>
      <c r="AP71" s="129" t="n"/>
      <c r="AQ71" s="129" t="n"/>
      <c r="AR71" s="129" t="n"/>
      <c r="AS71" s="129" t="n"/>
      <c r="AT71" s="129" t="n"/>
      <c r="AU71" s="129" t="n"/>
      <c r="AV71" s="129" t="n"/>
      <c r="AW71" s="129" t="n"/>
      <c r="AX71" s="129" t="n"/>
      <c r="AY71" s="129" t="n"/>
      <c r="AZ71" s="129" t="n"/>
      <c r="BA71" s="129" t="n"/>
      <c r="BB71" s="129" t="n"/>
      <c r="BC71" s="129" t="n"/>
      <c r="BD71" s="129" t="n"/>
      <c r="BE71" s="129" t="n"/>
      <c r="BF71" s="129" t="n"/>
      <c r="BG71" s="129" t="n"/>
      <c r="BH71" s="129" t="n"/>
      <c r="BI71" s="129" t="n"/>
      <c r="BJ71" s="129" t="n"/>
      <c r="BK71" s="129" t="n"/>
      <c r="BL71" s="129" t="n"/>
      <c r="BM71" s="129" t="n"/>
      <c r="BN71" s="129" t="n"/>
      <c r="BO71" s="129" t="n"/>
      <c r="BP71" s="129" t="n"/>
      <c r="BQ71" s="129" t="n"/>
      <c r="BR71" s="129" t="n"/>
      <c r="BS71" s="129" t="n"/>
      <c r="BT71" s="129" t="n"/>
      <c r="BU71" s="129" t="n"/>
      <c r="BV71" s="129" t="n"/>
      <c r="BW71" s="129" t="n"/>
      <c r="BX71" s="129" t="n"/>
      <c r="BY71" s="129" t="n"/>
      <c r="BZ71" s="129" t="n"/>
      <c r="CA71" s="129" t="n"/>
      <c r="CB71" s="129" t="n"/>
      <c r="CC71" s="129" t="n"/>
      <c r="CD71" s="129" t="n"/>
      <c r="CE71" s="129" t="n"/>
      <c r="CF71" s="129" t="n"/>
      <c r="CG71" s="129" t="n"/>
      <c r="CH71" s="129" t="n"/>
      <c r="CI71" s="129" t="n"/>
      <c r="CJ71" s="129" t="n"/>
      <c r="CK71" s="129" t="n"/>
      <c r="CL71" s="129" t="n"/>
      <c r="CM71" s="129" t="n"/>
      <c r="CN71" s="129" t="n"/>
      <c r="CO71" s="129" t="n"/>
      <c r="CP71" s="129" t="n"/>
      <c r="CQ71" s="129" t="n"/>
      <c r="CR71" s="129" t="n"/>
      <c r="CS71" s="129" t="n"/>
      <c r="CT71" s="129" t="n"/>
      <c r="CU71" s="129" t="n"/>
      <c r="CV71" s="129" t="n"/>
      <c r="CW71" s="129" t="n"/>
      <c r="CX71" s="129" t="n"/>
      <c r="CY71" s="129" t="n"/>
      <c r="CZ71" s="129" t="n"/>
      <c r="DA71" s="129" t="n"/>
      <c r="DB71" s="129" t="n"/>
      <c r="DC71" s="129" t="n"/>
      <c r="DD71" s="129" t="n"/>
      <c r="DE71" s="129" t="n"/>
      <c r="DF71" s="129" t="n"/>
      <c r="DG71" s="129" t="n"/>
      <c r="DH71" s="129" t="n"/>
      <c r="DI71" s="129" t="n"/>
      <c r="DJ71" s="129" t="n"/>
      <c r="DK71" s="129" t="n"/>
      <c r="DL71" s="129" t="n"/>
      <c r="DM71" s="129" t="n"/>
      <c r="DN71" s="129" t="n"/>
      <c r="DO71" s="129" t="n"/>
      <c r="DP71" s="129" t="n"/>
      <c r="DQ71" s="129" t="n"/>
      <c r="DR71" s="129" t="n"/>
      <c r="DS71" s="129" t="n"/>
      <c r="DT71" s="129" t="n"/>
      <c r="DU71" s="129" t="n"/>
      <c r="DV71" s="129" t="n"/>
      <c r="DW71" s="129" t="n"/>
      <c r="DX71" s="129" t="n"/>
      <c r="DY71" s="129" t="n"/>
      <c r="DZ71" s="129" t="n"/>
      <c r="EA71" s="129" t="n"/>
      <c r="EB71" s="129" t="n"/>
      <c r="EC71" s="129" t="n"/>
      <c r="ED71" s="129" t="n"/>
      <c r="EE71" s="129" t="n"/>
      <c r="EF71" s="129" t="n"/>
      <c r="EG71" s="129" t="n"/>
      <c r="EH71" s="129" t="n"/>
      <c r="EI71" s="129" t="n"/>
      <c r="EJ71" s="129" t="n"/>
      <c r="EK71" s="129" t="n"/>
      <c r="EL71" s="129" t="n"/>
      <c r="EM71" s="129" t="n"/>
      <c r="EN71" s="129" t="n"/>
      <c r="EO71" s="129" t="n"/>
      <c r="EP71" s="129" t="n"/>
      <c r="EQ71" s="129" t="n"/>
      <c r="ER71" s="129" t="n"/>
      <c r="ES71" s="129" t="n"/>
      <c r="ET71" s="129" t="n"/>
      <c r="EU71" s="129" t="n"/>
      <c r="EV71" s="129" t="n"/>
      <c r="EW71" s="129" t="n"/>
      <c r="EX71" s="129" t="n"/>
      <c r="EY71" s="129" t="n"/>
      <c r="EZ71" s="129" t="n"/>
      <c r="FA71" s="129" t="n"/>
      <c r="FB71" s="129" t="n"/>
      <c r="FC71" s="129" t="n"/>
      <c r="FD71" s="129" t="n"/>
      <c r="FE71" s="129" t="n"/>
      <c r="FF71" s="129" t="n"/>
      <c r="FG71" s="129" t="n"/>
      <c r="FH71" s="129" t="n"/>
      <c r="FI71" s="129" t="n"/>
      <c r="FJ71" s="129" t="n"/>
      <c r="FK71" s="129" t="n"/>
      <c r="FL71" s="129" t="n"/>
      <c r="FM71" s="129" t="n"/>
    </row>
    <row r="72" s="135">
      <c r="A72" s="92" t="n">
        <v>34880</v>
      </c>
      <c r="B72" s="93" t="n">
        <v>0.139</v>
      </c>
      <c r="C72" s="79" t="n"/>
      <c r="D72" s="129" t="n"/>
      <c r="E72" s="129" t="n"/>
      <c r="F72" s="129" t="n"/>
      <c r="G72" s="129" t="n"/>
      <c r="H72" s="129" t="n"/>
      <c r="I72" s="129" t="n"/>
      <c r="J72" s="129" t="n"/>
      <c r="K72" s="129" t="n"/>
      <c r="L72" s="129" t="n"/>
      <c r="M72" s="129" t="n"/>
      <c r="N72" s="129" t="n"/>
      <c r="O72" s="129" t="n"/>
      <c r="P72" s="129" t="n"/>
      <c r="Q72" s="129" t="n"/>
      <c r="R72" s="129" t="n"/>
      <c r="S72" s="129" t="n"/>
      <c r="T72" s="129" t="n"/>
      <c r="U72" s="129" t="n"/>
      <c r="V72" s="129" t="n"/>
      <c r="W72" s="129" t="n"/>
      <c r="X72" s="129" t="n"/>
      <c r="Y72" s="129" t="n"/>
      <c r="Z72" s="129" t="n"/>
      <c r="AA72" s="129" t="n"/>
      <c r="AB72" s="129" t="n"/>
      <c r="AC72" s="129" t="n"/>
      <c r="AD72" s="129" t="n"/>
      <c r="AE72" s="129" t="n"/>
      <c r="AF72" s="129" t="n"/>
      <c r="AG72" s="129" t="n"/>
      <c r="AH72" s="129" t="n"/>
      <c r="AI72" s="129" t="n"/>
      <c r="AJ72" s="129" t="n"/>
      <c r="AK72" s="129" t="n"/>
      <c r="AL72" s="129" t="n"/>
      <c r="AM72" s="129" t="n"/>
      <c r="AN72" s="129" t="n"/>
      <c r="AO72" s="129" t="n"/>
      <c r="AP72" s="129" t="n"/>
      <c r="AQ72" s="129" t="n"/>
      <c r="AR72" s="129" t="n"/>
      <c r="AS72" s="129" t="n"/>
      <c r="AT72" s="129" t="n"/>
      <c r="AU72" s="129" t="n"/>
      <c r="AV72" s="129" t="n"/>
      <c r="AW72" s="129" t="n"/>
      <c r="AX72" s="129" t="n"/>
      <c r="AY72" s="129" t="n"/>
      <c r="AZ72" s="129" t="n"/>
      <c r="BA72" s="129" t="n"/>
      <c r="BB72" s="129" t="n"/>
      <c r="BC72" s="129" t="n"/>
      <c r="BD72" s="129" t="n"/>
      <c r="BE72" s="129" t="n"/>
      <c r="BF72" s="129" t="n"/>
      <c r="BG72" s="129" t="n"/>
      <c r="BH72" s="129" t="n"/>
      <c r="BI72" s="129" t="n"/>
      <c r="BJ72" s="129" t="n"/>
      <c r="BK72" s="129" t="n"/>
      <c r="BL72" s="129" t="n"/>
      <c r="BM72" s="129" t="n"/>
      <c r="BN72" s="129" t="n"/>
      <c r="BO72" s="129" t="n"/>
      <c r="BP72" s="129" t="n"/>
      <c r="BQ72" s="129" t="n"/>
      <c r="BR72" s="129" t="n"/>
      <c r="BS72" s="129" t="n"/>
      <c r="BT72" s="129" t="n"/>
      <c r="BU72" s="129" t="n"/>
      <c r="BV72" s="129" t="n"/>
      <c r="BW72" s="129" t="n"/>
      <c r="BX72" s="129" t="n"/>
      <c r="BY72" s="129" t="n"/>
      <c r="BZ72" s="129" t="n"/>
      <c r="CA72" s="129" t="n"/>
      <c r="CB72" s="129" t="n"/>
      <c r="CC72" s="129" t="n"/>
      <c r="CD72" s="129" t="n"/>
      <c r="CE72" s="129" t="n"/>
      <c r="CF72" s="129" t="n"/>
      <c r="CG72" s="129" t="n"/>
      <c r="CH72" s="129" t="n"/>
      <c r="CI72" s="129" t="n"/>
      <c r="CJ72" s="129" t="n"/>
      <c r="CK72" s="129" t="n"/>
      <c r="CL72" s="129" t="n"/>
      <c r="CM72" s="129" t="n"/>
      <c r="CN72" s="129" t="n"/>
      <c r="CO72" s="129" t="n"/>
      <c r="CP72" s="129" t="n"/>
      <c r="CQ72" s="129" t="n"/>
      <c r="CR72" s="129" t="n"/>
      <c r="CS72" s="129" t="n"/>
      <c r="CT72" s="129" t="n"/>
      <c r="CU72" s="129" t="n"/>
      <c r="CV72" s="129" t="n"/>
      <c r="CW72" s="129" t="n"/>
      <c r="CX72" s="129" t="n"/>
      <c r="CY72" s="129" t="n"/>
      <c r="CZ72" s="129" t="n"/>
      <c r="DA72" s="129" t="n"/>
      <c r="DB72" s="129" t="n"/>
      <c r="DC72" s="129" t="n"/>
      <c r="DD72" s="129" t="n"/>
      <c r="DE72" s="129" t="n"/>
      <c r="DF72" s="129" t="n"/>
      <c r="DG72" s="129" t="n"/>
      <c r="DH72" s="129" t="n"/>
      <c r="DI72" s="129" t="n"/>
      <c r="DJ72" s="129" t="n"/>
      <c r="DK72" s="129" t="n"/>
      <c r="DL72" s="129" t="n"/>
      <c r="DM72" s="129" t="n"/>
      <c r="DN72" s="129" t="n"/>
      <c r="DO72" s="129" t="n"/>
      <c r="DP72" s="129" t="n"/>
      <c r="DQ72" s="129" t="n"/>
      <c r="DR72" s="129" t="n"/>
      <c r="DS72" s="129" t="n"/>
      <c r="DT72" s="129" t="n"/>
      <c r="DU72" s="129" t="n"/>
      <c r="DV72" s="129" t="n"/>
      <c r="DW72" s="129" t="n"/>
      <c r="DX72" s="129" t="n"/>
      <c r="DY72" s="129" t="n"/>
      <c r="DZ72" s="129" t="n"/>
      <c r="EA72" s="129" t="n"/>
      <c r="EB72" s="129" t="n"/>
      <c r="EC72" s="129" t="n"/>
      <c r="ED72" s="129" t="n"/>
      <c r="EE72" s="129" t="n"/>
      <c r="EF72" s="129" t="n"/>
      <c r="EG72" s="129" t="n"/>
      <c r="EH72" s="129" t="n"/>
      <c r="EI72" s="129" t="n"/>
      <c r="EJ72" s="129" t="n"/>
      <c r="EK72" s="129" t="n"/>
      <c r="EL72" s="129" t="n"/>
      <c r="EM72" s="129" t="n"/>
      <c r="EN72" s="129" t="n"/>
      <c r="EO72" s="129" t="n"/>
      <c r="EP72" s="129" t="n"/>
      <c r="EQ72" s="129" t="n"/>
      <c r="ER72" s="129" t="n"/>
      <c r="ES72" s="129" t="n"/>
      <c r="ET72" s="129" t="n"/>
      <c r="EU72" s="129" t="n"/>
      <c r="EV72" s="129" t="n"/>
      <c r="EW72" s="129" t="n"/>
      <c r="EX72" s="129" t="n"/>
      <c r="EY72" s="129" t="n"/>
      <c r="EZ72" s="129" t="n"/>
      <c r="FA72" s="129" t="n"/>
      <c r="FB72" s="129" t="n"/>
      <c r="FC72" s="129" t="n"/>
      <c r="FD72" s="129" t="n"/>
      <c r="FE72" s="129" t="n"/>
      <c r="FF72" s="129" t="n"/>
      <c r="FG72" s="129" t="n"/>
      <c r="FH72" s="129" t="n"/>
      <c r="FI72" s="129" t="n"/>
      <c r="FJ72" s="129" t="n"/>
      <c r="FK72" s="129" t="n"/>
      <c r="FL72" s="129" t="n"/>
      <c r="FM72" s="129" t="n"/>
    </row>
    <row r="73" s="135">
      <c r="A73" s="90" t="n">
        <v>34911</v>
      </c>
      <c r="B73" s="91" t="n">
        <v>0.136</v>
      </c>
      <c r="C73" s="79" t="n"/>
      <c r="D73" s="129" t="n"/>
      <c r="E73" s="129" t="n"/>
      <c r="F73" s="129" t="n"/>
      <c r="G73" s="129" t="n"/>
      <c r="H73" s="129" t="n"/>
      <c r="I73" s="129" t="n"/>
      <c r="J73" s="129" t="n"/>
      <c r="K73" s="129" t="n"/>
      <c r="L73" s="129" t="n"/>
      <c r="M73" s="129" t="n"/>
      <c r="N73" s="129" t="n"/>
      <c r="O73" s="129" t="n"/>
      <c r="P73" s="129" t="n"/>
      <c r="Q73" s="129" t="n"/>
      <c r="R73" s="129" t="n"/>
      <c r="S73" s="129" t="n"/>
      <c r="T73" s="129" t="n"/>
      <c r="U73" s="129" t="n"/>
      <c r="V73" s="129" t="n"/>
      <c r="W73" s="129" t="n"/>
      <c r="X73" s="129" t="n"/>
      <c r="Y73" s="129" t="n"/>
      <c r="Z73" s="129" t="n"/>
      <c r="AA73" s="129" t="n"/>
      <c r="AB73" s="129" t="n"/>
      <c r="AC73" s="129" t="n"/>
      <c r="AD73" s="129" t="n"/>
      <c r="AE73" s="129" t="n"/>
      <c r="AF73" s="129" t="n"/>
      <c r="AG73" s="129" t="n"/>
      <c r="AH73" s="129" t="n"/>
      <c r="AI73" s="129" t="n"/>
      <c r="AJ73" s="129" t="n"/>
      <c r="AK73" s="129" t="n"/>
      <c r="AL73" s="129" t="n"/>
      <c r="AM73" s="129" t="n"/>
      <c r="AN73" s="129" t="n"/>
      <c r="AO73" s="129" t="n"/>
      <c r="AP73" s="129" t="n"/>
      <c r="AQ73" s="129" t="n"/>
      <c r="AR73" s="129" t="n"/>
      <c r="AS73" s="129" t="n"/>
      <c r="AT73" s="129" t="n"/>
      <c r="AU73" s="129" t="n"/>
      <c r="AV73" s="129" t="n"/>
      <c r="AW73" s="129" t="n"/>
      <c r="AX73" s="129" t="n"/>
      <c r="AY73" s="129" t="n"/>
      <c r="AZ73" s="129" t="n"/>
      <c r="BA73" s="129" t="n"/>
      <c r="BB73" s="129" t="n"/>
      <c r="BC73" s="129" t="n"/>
      <c r="BD73" s="129" t="n"/>
      <c r="BE73" s="129" t="n"/>
      <c r="BF73" s="129" t="n"/>
      <c r="BG73" s="129" t="n"/>
      <c r="BH73" s="129" t="n"/>
      <c r="BI73" s="129" t="n"/>
      <c r="BJ73" s="129" t="n"/>
      <c r="BK73" s="129" t="n"/>
      <c r="BL73" s="129" t="n"/>
      <c r="BM73" s="129" t="n"/>
      <c r="BN73" s="129" t="n"/>
      <c r="BO73" s="129" t="n"/>
      <c r="BP73" s="129" t="n"/>
      <c r="BQ73" s="129" t="n"/>
      <c r="BR73" s="129" t="n"/>
      <c r="BS73" s="129" t="n"/>
      <c r="BT73" s="129" t="n"/>
      <c r="BU73" s="129" t="n"/>
      <c r="BV73" s="129" t="n"/>
      <c r="BW73" s="129" t="n"/>
      <c r="BX73" s="129" t="n"/>
      <c r="BY73" s="129" t="n"/>
      <c r="BZ73" s="129" t="n"/>
      <c r="CA73" s="129" t="n"/>
      <c r="CB73" s="129" t="n"/>
      <c r="CC73" s="129" t="n"/>
      <c r="CD73" s="129" t="n"/>
      <c r="CE73" s="129" t="n"/>
      <c r="CF73" s="129" t="n"/>
      <c r="CG73" s="129" t="n"/>
      <c r="CH73" s="129" t="n"/>
      <c r="CI73" s="129" t="n"/>
      <c r="CJ73" s="129" t="n"/>
      <c r="CK73" s="129" t="n"/>
      <c r="CL73" s="129" t="n"/>
      <c r="CM73" s="129" t="n"/>
      <c r="CN73" s="129" t="n"/>
      <c r="CO73" s="129" t="n"/>
      <c r="CP73" s="129" t="n"/>
      <c r="CQ73" s="129" t="n"/>
      <c r="CR73" s="129" t="n"/>
      <c r="CS73" s="129" t="n"/>
      <c r="CT73" s="129" t="n"/>
      <c r="CU73" s="129" t="n"/>
      <c r="CV73" s="129" t="n"/>
      <c r="CW73" s="129" t="n"/>
      <c r="CX73" s="129" t="n"/>
      <c r="CY73" s="129" t="n"/>
      <c r="CZ73" s="129" t="n"/>
      <c r="DA73" s="129" t="n"/>
      <c r="DB73" s="129" t="n"/>
      <c r="DC73" s="129" t="n"/>
      <c r="DD73" s="129" t="n"/>
      <c r="DE73" s="129" t="n"/>
      <c r="DF73" s="129" t="n"/>
      <c r="DG73" s="129" t="n"/>
      <c r="DH73" s="129" t="n"/>
      <c r="DI73" s="129" t="n"/>
      <c r="DJ73" s="129" t="n"/>
      <c r="DK73" s="129" t="n"/>
      <c r="DL73" s="129" t="n"/>
      <c r="DM73" s="129" t="n"/>
      <c r="DN73" s="129" t="n"/>
      <c r="DO73" s="129" t="n"/>
      <c r="DP73" s="129" t="n"/>
      <c r="DQ73" s="129" t="n"/>
      <c r="DR73" s="129" t="n"/>
      <c r="DS73" s="129" t="n"/>
      <c r="DT73" s="129" t="n"/>
      <c r="DU73" s="129" t="n"/>
      <c r="DV73" s="129" t="n"/>
      <c r="DW73" s="129" t="n"/>
      <c r="DX73" s="129" t="n"/>
      <c r="DY73" s="129" t="n"/>
      <c r="DZ73" s="129" t="n"/>
      <c r="EA73" s="129" t="n"/>
      <c r="EB73" s="129" t="n"/>
      <c r="EC73" s="129" t="n"/>
      <c r="ED73" s="129" t="n"/>
      <c r="EE73" s="129" t="n"/>
      <c r="EF73" s="129" t="n"/>
      <c r="EG73" s="129" t="n"/>
      <c r="EH73" s="129" t="n"/>
      <c r="EI73" s="129" t="n"/>
      <c r="EJ73" s="129" t="n"/>
      <c r="EK73" s="129" t="n"/>
      <c r="EL73" s="129" t="n"/>
      <c r="EM73" s="129" t="n"/>
      <c r="EN73" s="129" t="n"/>
      <c r="EO73" s="129" t="n"/>
      <c r="EP73" s="129" t="n"/>
      <c r="EQ73" s="129" t="n"/>
      <c r="ER73" s="129" t="n"/>
      <c r="ES73" s="129" t="n"/>
      <c r="ET73" s="129" t="n"/>
      <c r="EU73" s="129" t="n"/>
      <c r="EV73" s="129" t="n"/>
      <c r="EW73" s="129" t="n"/>
      <c r="EX73" s="129" t="n"/>
      <c r="EY73" s="129" t="n"/>
      <c r="EZ73" s="129" t="n"/>
      <c r="FA73" s="129" t="n"/>
      <c r="FB73" s="129" t="n"/>
      <c r="FC73" s="129" t="n"/>
      <c r="FD73" s="129" t="n"/>
      <c r="FE73" s="129" t="n"/>
      <c r="FF73" s="129" t="n"/>
      <c r="FG73" s="129" t="n"/>
      <c r="FH73" s="129" t="n"/>
      <c r="FI73" s="129" t="n"/>
      <c r="FJ73" s="129" t="n"/>
      <c r="FK73" s="129" t="n"/>
      <c r="FL73" s="129" t="n"/>
      <c r="FM73" s="129" t="n"/>
    </row>
    <row r="74" s="135">
      <c r="A74" s="92" t="n">
        <v>34942</v>
      </c>
      <c r="B74" s="93" t="n">
        <v>0.118</v>
      </c>
      <c r="C74" s="79" t="n"/>
      <c r="D74" s="129" t="n"/>
      <c r="E74" s="129" t="n"/>
      <c r="F74" s="129" t="n"/>
      <c r="G74" s="129" t="n"/>
      <c r="H74" s="129" t="n"/>
      <c r="I74" s="129" t="n"/>
      <c r="J74" s="129" t="n"/>
      <c r="K74" s="129" t="n"/>
      <c r="L74" s="129" t="n"/>
      <c r="M74" s="129" t="n"/>
      <c r="N74" s="129" t="n"/>
      <c r="O74" s="129" t="n"/>
      <c r="P74" s="129" t="n"/>
      <c r="Q74" s="129" t="n"/>
      <c r="R74" s="129" t="n"/>
      <c r="S74" s="129" t="n"/>
      <c r="T74" s="129" t="n"/>
      <c r="U74" s="129" t="n"/>
      <c r="V74" s="129" t="n"/>
      <c r="W74" s="129" t="n"/>
      <c r="X74" s="129" t="n"/>
      <c r="Y74" s="129" t="n"/>
      <c r="Z74" s="129" t="n"/>
      <c r="AA74" s="129" t="n"/>
      <c r="AB74" s="129" t="n"/>
      <c r="AC74" s="129" t="n"/>
      <c r="AD74" s="129" t="n"/>
      <c r="AE74" s="129" t="n"/>
      <c r="AF74" s="129" t="n"/>
      <c r="AG74" s="129" t="n"/>
      <c r="AH74" s="129" t="n"/>
      <c r="AI74" s="129" t="n"/>
      <c r="AJ74" s="129" t="n"/>
      <c r="AK74" s="129" t="n"/>
      <c r="AL74" s="129" t="n"/>
      <c r="AM74" s="129" t="n"/>
      <c r="AN74" s="129" t="n"/>
      <c r="AO74" s="129" t="n"/>
      <c r="AP74" s="129" t="n"/>
      <c r="AQ74" s="129" t="n"/>
      <c r="AR74" s="129" t="n"/>
      <c r="AS74" s="129" t="n"/>
      <c r="AT74" s="129" t="n"/>
      <c r="AU74" s="129" t="n"/>
      <c r="AV74" s="129" t="n"/>
      <c r="AW74" s="129" t="n"/>
      <c r="AX74" s="129" t="n"/>
      <c r="AY74" s="129" t="n"/>
      <c r="AZ74" s="129" t="n"/>
      <c r="BA74" s="129" t="n"/>
      <c r="BB74" s="129" t="n"/>
      <c r="BC74" s="129" t="n"/>
      <c r="BD74" s="129" t="n"/>
      <c r="BE74" s="129" t="n"/>
      <c r="BF74" s="129" t="n"/>
      <c r="BG74" s="129" t="n"/>
      <c r="BH74" s="129" t="n"/>
      <c r="BI74" s="129" t="n"/>
      <c r="BJ74" s="129" t="n"/>
      <c r="BK74" s="129" t="n"/>
      <c r="BL74" s="129" t="n"/>
      <c r="BM74" s="129" t="n"/>
      <c r="BN74" s="129" t="n"/>
      <c r="BO74" s="129" t="n"/>
      <c r="BP74" s="129" t="n"/>
      <c r="BQ74" s="129" t="n"/>
      <c r="BR74" s="129" t="n"/>
      <c r="BS74" s="129" t="n"/>
      <c r="BT74" s="129" t="n"/>
      <c r="BU74" s="129" t="n"/>
      <c r="BV74" s="129" t="n"/>
      <c r="BW74" s="129" t="n"/>
      <c r="BX74" s="129" t="n"/>
      <c r="BY74" s="129" t="n"/>
      <c r="BZ74" s="129" t="n"/>
      <c r="CA74" s="129" t="n"/>
      <c r="CB74" s="129" t="n"/>
      <c r="CC74" s="129" t="n"/>
      <c r="CD74" s="129" t="n"/>
      <c r="CE74" s="129" t="n"/>
      <c r="CF74" s="129" t="n"/>
      <c r="CG74" s="129" t="n"/>
      <c r="CH74" s="129" t="n"/>
      <c r="CI74" s="129" t="n"/>
      <c r="CJ74" s="129" t="n"/>
      <c r="CK74" s="129" t="n"/>
      <c r="CL74" s="129" t="n"/>
      <c r="CM74" s="129" t="n"/>
      <c r="CN74" s="129" t="n"/>
      <c r="CO74" s="129" t="n"/>
      <c r="CP74" s="129" t="n"/>
      <c r="CQ74" s="129" t="n"/>
      <c r="CR74" s="129" t="n"/>
      <c r="CS74" s="129" t="n"/>
      <c r="CT74" s="129" t="n"/>
      <c r="CU74" s="129" t="n"/>
      <c r="CV74" s="129" t="n"/>
      <c r="CW74" s="129" t="n"/>
      <c r="CX74" s="129" t="n"/>
      <c r="CY74" s="129" t="n"/>
      <c r="CZ74" s="129" t="n"/>
      <c r="DA74" s="129" t="n"/>
      <c r="DB74" s="129" t="n"/>
      <c r="DC74" s="129" t="n"/>
      <c r="DD74" s="129" t="n"/>
      <c r="DE74" s="129" t="n"/>
      <c r="DF74" s="129" t="n"/>
      <c r="DG74" s="129" t="n"/>
      <c r="DH74" s="129" t="n"/>
      <c r="DI74" s="129" t="n"/>
      <c r="DJ74" s="129" t="n"/>
      <c r="DK74" s="129" t="n"/>
      <c r="DL74" s="129" t="n"/>
      <c r="DM74" s="129" t="n"/>
      <c r="DN74" s="129" t="n"/>
      <c r="DO74" s="129" t="n"/>
      <c r="DP74" s="129" t="n"/>
      <c r="DQ74" s="129" t="n"/>
      <c r="DR74" s="129" t="n"/>
      <c r="DS74" s="129" t="n"/>
      <c r="DT74" s="129" t="n"/>
      <c r="DU74" s="129" t="n"/>
      <c r="DV74" s="129" t="n"/>
      <c r="DW74" s="129" t="n"/>
      <c r="DX74" s="129" t="n"/>
      <c r="DY74" s="129" t="n"/>
      <c r="DZ74" s="129" t="n"/>
      <c r="EA74" s="129" t="n"/>
      <c r="EB74" s="129" t="n"/>
      <c r="EC74" s="129" t="n"/>
      <c r="ED74" s="129" t="n"/>
      <c r="EE74" s="129" t="n"/>
      <c r="EF74" s="129" t="n"/>
      <c r="EG74" s="129" t="n"/>
      <c r="EH74" s="129" t="n"/>
      <c r="EI74" s="129" t="n"/>
      <c r="EJ74" s="129" t="n"/>
      <c r="EK74" s="129" t="n"/>
      <c r="EL74" s="129" t="n"/>
      <c r="EM74" s="129" t="n"/>
      <c r="EN74" s="129" t="n"/>
      <c r="EO74" s="129" t="n"/>
      <c r="EP74" s="129" t="n"/>
      <c r="EQ74" s="129" t="n"/>
      <c r="ER74" s="129" t="n"/>
      <c r="ES74" s="129" t="n"/>
      <c r="ET74" s="129" t="n"/>
      <c r="EU74" s="129" t="n"/>
      <c r="EV74" s="129" t="n"/>
      <c r="EW74" s="129" t="n"/>
      <c r="EX74" s="129" t="n"/>
      <c r="EY74" s="129" t="n"/>
      <c r="EZ74" s="129" t="n"/>
      <c r="FA74" s="129" t="n"/>
      <c r="FB74" s="129" t="n"/>
      <c r="FC74" s="129" t="n"/>
      <c r="FD74" s="129" t="n"/>
      <c r="FE74" s="129" t="n"/>
      <c r="FF74" s="129" t="n"/>
      <c r="FG74" s="129" t="n"/>
      <c r="FH74" s="129" t="n"/>
      <c r="FI74" s="129" t="n"/>
      <c r="FJ74" s="129" t="n"/>
      <c r="FK74" s="129" t="n"/>
      <c r="FL74" s="129" t="n"/>
      <c r="FM74" s="129" t="n"/>
    </row>
    <row r="75" s="135">
      <c r="A75" s="90" t="n">
        <v>34972</v>
      </c>
      <c r="B75" s="91" t="n">
        <v>0.114</v>
      </c>
      <c r="C75" s="79" t="n"/>
      <c r="D75" s="129" t="n"/>
      <c r="E75" s="129" t="n"/>
      <c r="F75" s="129" t="n"/>
      <c r="G75" s="129" t="n"/>
      <c r="H75" s="129" t="n"/>
      <c r="I75" s="129" t="n"/>
      <c r="J75" s="129" t="n"/>
      <c r="K75" s="129" t="n"/>
      <c r="L75" s="129" t="n"/>
      <c r="M75" s="129" t="n"/>
      <c r="N75" s="129" t="n"/>
      <c r="O75" s="129" t="n"/>
      <c r="P75" s="129" t="n"/>
      <c r="Q75" s="129" t="n"/>
      <c r="R75" s="129" t="n"/>
      <c r="S75" s="129" t="n"/>
      <c r="T75" s="129" t="n"/>
      <c r="U75" s="129" t="n"/>
      <c r="V75" s="129" t="n"/>
      <c r="W75" s="129" t="n"/>
      <c r="X75" s="129" t="n"/>
      <c r="Y75" s="129" t="n"/>
      <c r="Z75" s="129" t="n"/>
      <c r="AA75" s="129" t="n"/>
      <c r="AB75" s="129" t="n"/>
      <c r="AC75" s="129" t="n"/>
      <c r="AD75" s="129" t="n"/>
      <c r="AE75" s="129" t="n"/>
      <c r="AF75" s="129" t="n"/>
      <c r="AG75" s="129" t="n"/>
      <c r="AH75" s="129" t="n"/>
      <c r="AI75" s="129" t="n"/>
      <c r="AJ75" s="129" t="n"/>
      <c r="AK75" s="129" t="n"/>
      <c r="AL75" s="129" t="n"/>
      <c r="AM75" s="129" t="n"/>
      <c r="AN75" s="129" t="n"/>
      <c r="AO75" s="129" t="n"/>
      <c r="AP75" s="129" t="n"/>
      <c r="AQ75" s="129" t="n"/>
      <c r="AR75" s="129" t="n"/>
      <c r="AS75" s="129" t="n"/>
      <c r="AT75" s="129" t="n"/>
      <c r="AU75" s="129" t="n"/>
      <c r="AV75" s="129" t="n"/>
      <c r="AW75" s="129" t="n"/>
      <c r="AX75" s="129" t="n"/>
      <c r="AY75" s="129" t="n"/>
      <c r="AZ75" s="129" t="n"/>
      <c r="BA75" s="129" t="n"/>
      <c r="BB75" s="129" t="n"/>
      <c r="BC75" s="129" t="n"/>
      <c r="BD75" s="129" t="n"/>
      <c r="BE75" s="129" t="n"/>
      <c r="BF75" s="129" t="n"/>
      <c r="BG75" s="129" t="n"/>
      <c r="BH75" s="129" t="n"/>
      <c r="BI75" s="129" t="n"/>
      <c r="BJ75" s="129" t="n"/>
      <c r="BK75" s="129" t="n"/>
      <c r="BL75" s="129" t="n"/>
      <c r="BM75" s="129" t="n"/>
      <c r="BN75" s="129" t="n"/>
      <c r="BO75" s="129" t="n"/>
      <c r="BP75" s="129" t="n"/>
      <c r="BQ75" s="129" t="n"/>
      <c r="BR75" s="129" t="n"/>
      <c r="BS75" s="129" t="n"/>
      <c r="BT75" s="129" t="n"/>
      <c r="BU75" s="129" t="n"/>
      <c r="BV75" s="129" t="n"/>
      <c r="BW75" s="129" t="n"/>
      <c r="BX75" s="129" t="n"/>
      <c r="BY75" s="129" t="n"/>
      <c r="BZ75" s="129" t="n"/>
      <c r="CA75" s="129" t="n"/>
      <c r="CB75" s="129" t="n"/>
      <c r="CC75" s="129" t="n"/>
      <c r="CD75" s="129" t="n"/>
      <c r="CE75" s="129" t="n"/>
      <c r="CF75" s="129" t="n"/>
      <c r="CG75" s="129" t="n"/>
      <c r="CH75" s="129" t="n"/>
      <c r="CI75" s="129" t="n"/>
      <c r="CJ75" s="129" t="n"/>
      <c r="CK75" s="129" t="n"/>
      <c r="CL75" s="129" t="n"/>
      <c r="CM75" s="129" t="n"/>
      <c r="CN75" s="129" t="n"/>
      <c r="CO75" s="129" t="n"/>
      <c r="CP75" s="129" t="n"/>
      <c r="CQ75" s="129" t="n"/>
      <c r="CR75" s="129" t="n"/>
      <c r="CS75" s="129" t="n"/>
      <c r="CT75" s="129" t="n"/>
      <c r="CU75" s="129" t="n"/>
      <c r="CV75" s="129" t="n"/>
      <c r="CW75" s="129" t="n"/>
      <c r="CX75" s="129" t="n"/>
      <c r="CY75" s="129" t="n"/>
      <c r="CZ75" s="129" t="n"/>
      <c r="DA75" s="129" t="n"/>
      <c r="DB75" s="129" t="n"/>
      <c r="DC75" s="129" t="n"/>
      <c r="DD75" s="129" t="n"/>
      <c r="DE75" s="129" t="n"/>
      <c r="DF75" s="129" t="n"/>
      <c r="DG75" s="129" t="n"/>
      <c r="DH75" s="129" t="n"/>
      <c r="DI75" s="129" t="n"/>
      <c r="DJ75" s="129" t="n"/>
      <c r="DK75" s="129" t="n"/>
      <c r="DL75" s="129" t="n"/>
      <c r="DM75" s="129" t="n"/>
      <c r="DN75" s="129" t="n"/>
      <c r="DO75" s="129" t="n"/>
      <c r="DP75" s="129" t="n"/>
      <c r="DQ75" s="129" t="n"/>
      <c r="DR75" s="129" t="n"/>
      <c r="DS75" s="129" t="n"/>
      <c r="DT75" s="129" t="n"/>
      <c r="DU75" s="129" t="n"/>
      <c r="DV75" s="129" t="n"/>
      <c r="DW75" s="129" t="n"/>
      <c r="DX75" s="129" t="n"/>
      <c r="DY75" s="129" t="n"/>
      <c r="DZ75" s="129" t="n"/>
      <c r="EA75" s="129" t="n"/>
      <c r="EB75" s="129" t="n"/>
      <c r="EC75" s="129" t="n"/>
      <c r="ED75" s="129" t="n"/>
      <c r="EE75" s="129" t="n"/>
      <c r="EF75" s="129" t="n"/>
      <c r="EG75" s="129" t="n"/>
      <c r="EH75" s="129" t="n"/>
      <c r="EI75" s="129" t="n"/>
      <c r="EJ75" s="129" t="n"/>
      <c r="EK75" s="129" t="n"/>
      <c r="EL75" s="129" t="n"/>
      <c r="EM75" s="129" t="n"/>
      <c r="EN75" s="129" t="n"/>
      <c r="EO75" s="129" t="n"/>
      <c r="EP75" s="129" t="n"/>
      <c r="EQ75" s="129" t="n"/>
      <c r="ER75" s="129" t="n"/>
      <c r="ES75" s="129" t="n"/>
      <c r="ET75" s="129" t="n"/>
      <c r="EU75" s="129" t="n"/>
      <c r="EV75" s="129" t="n"/>
      <c r="EW75" s="129" t="n"/>
      <c r="EX75" s="129" t="n"/>
      <c r="EY75" s="129" t="n"/>
      <c r="EZ75" s="129" t="n"/>
      <c r="FA75" s="129" t="n"/>
      <c r="FB75" s="129" t="n"/>
      <c r="FC75" s="129" t="n"/>
      <c r="FD75" s="129" t="n"/>
      <c r="FE75" s="129" t="n"/>
      <c r="FF75" s="129" t="n"/>
      <c r="FG75" s="129" t="n"/>
      <c r="FH75" s="129" t="n"/>
      <c r="FI75" s="129" t="n"/>
      <c r="FJ75" s="129" t="n"/>
      <c r="FK75" s="129" t="n"/>
      <c r="FL75" s="129" t="n"/>
      <c r="FM75" s="129" t="n"/>
    </row>
    <row r="76" s="135">
      <c r="A76" s="92" t="n">
        <v>35003</v>
      </c>
      <c r="B76" s="93" t="n">
        <v>0.129</v>
      </c>
      <c r="C76" s="79" t="n"/>
      <c r="D76" s="129" t="n"/>
      <c r="E76" s="129" t="n"/>
      <c r="F76" s="129" t="n"/>
      <c r="G76" s="129" t="n"/>
      <c r="H76" s="129" t="n"/>
      <c r="I76" s="129" t="n"/>
      <c r="J76" s="129" t="n"/>
      <c r="K76" s="129" t="n"/>
      <c r="L76" s="129" t="n"/>
      <c r="M76" s="129" t="n"/>
      <c r="N76" s="129" t="n"/>
      <c r="O76" s="129" t="n"/>
      <c r="P76" s="129" t="n"/>
      <c r="Q76" s="129" t="n"/>
      <c r="R76" s="129" t="n"/>
      <c r="S76" s="129" t="n"/>
      <c r="T76" s="129" t="n"/>
      <c r="U76" s="129" t="n"/>
      <c r="V76" s="129" t="n"/>
      <c r="W76" s="129" t="n"/>
      <c r="X76" s="129" t="n"/>
      <c r="Y76" s="129" t="n"/>
      <c r="Z76" s="129" t="n"/>
      <c r="AA76" s="129" t="n"/>
      <c r="AB76" s="129" t="n"/>
      <c r="AC76" s="129" t="n"/>
      <c r="AD76" s="129" t="n"/>
      <c r="AE76" s="129" t="n"/>
      <c r="AF76" s="129" t="n"/>
      <c r="AG76" s="129" t="n"/>
      <c r="AH76" s="129" t="n"/>
      <c r="AI76" s="129" t="n"/>
      <c r="AJ76" s="129" t="n"/>
      <c r="AK76" s="129" t="n"/>
      <c r="AL76" s="129" t="n"/>
      <c r="AM76" s="129" t="n"/>
      <c r="AN76" s="129" t="n"/>
      <c r="AO76" s="129" t="n"/>
      <c r="AP76" s="129" t="n"/>
      <c r="AQ76" s="129" t="n"/>
      <c r="AR76" s="129" t="n"/>
      <c r="AS76" s="129" t="n"/>
      <c r="AT76" s="129" t="n"/>
      <c r="AU76" s="129" t="n"/>
      <c r="AV76" s="129" t="n"/>
      <c r="AW76" s="129" t="n"/>
      <c r="AX76" s="129" t="n"/>
      <c r="AY76" s="129" t="n"/>
      <c r="AZ76" s="129" t="n"/>
      <c r="BA76" s="129" t="n"/>
      <c r="BB76" s="129" t="n"/>
      <c r="BC76" s="129" t="n"/>
      <c r="BD76" s="129" t="n"/>
      <c r="BE76" s="129" t="n"/>
      <c r="BF76" s="129" t="n"/>
      <c r="BG76" s="129" t="n"/>
      <c r="BH76" s="129" t="n"/>
      <c r="BI76" s="129" t="n"/>
      <c r="BJ76" s="129" t="n"/>
      <c r="BK76" s="129" t="n"/>
      <c r="BL76" s="129" t="n"/>
      <c r="BM76" s="129" t="n"/>
      <c r="BN76" s="129" t="n"/>
      <c r="BO76" s="129" t="n"/>
      <c r="BP76" s="129" t="n"/>
      <c r="BQ76" s="129" t="n"/>
      <c r="BR76" s="129" t="n"/>
      <c r="BS76" s="129" t="n"/>
      <c r="BT76" s="129" t="n"/>
      <c r="BU76" s="129" t="n"/>
      <c r="BV76" s="129" t="n"/>
      <c r="BW76" s="129" t="n"/>
      <c r="BX76" s="129" t="n"/>
      <c r="BY76" s="129" t="n"/>
      <c r="BZ76" s="129" t="n"/>
      <c r="CA76" s="129" t="n"/>
      <c r="CB76" s="129" t="n"/>
      <c r="CC76" s="129" t="n"/>
      <c r="CD76" s="129" t="n"/>
      <c r="CE76" s="129" t="n"/>
      <c r="CF76" s="129" t="n"/>
      <c r="CG76" s="129" t="n"/>
      <c r="CH76" s="129" t="n"/>
      <c r="CI76" s="129" t="n"/>
      <c r="CJ76" s="129" t="n"/>
      <c r="CK76" s="129" t="n"/>
      <c r="CL76" s="129" t="n"/>
      <c r="CM76" s="129" t="n"/>
      <c r="CN76" s="129" t="n"/>
      <c r="CO76" s="129" t="n"/>
      <c r="CP76" s="129" t="n"/>
      <c r="CQ76" s="129" t="n"/>
      <c r="CR76" s="129" t="n"/>
      <c r="CS76" s="129" t="n"/>
      <c r="CT76" s="129" t="n"/>
      <c r="CU76" s="129" t="n"/>
      <c r="CV76" s="129" t="n"/>
      <c r="CW76" s="129" t="n"/>
      <c r="CX76" s="129" t="n"/>
      <c r="CY76" s="129" t="n"/>
      <c r="CZ76" s="129" t="n"/>
      <c r="DA76" s="129" t="n"/>
      <c r="DB76" s="129" t="n"/>
      <c r="DC76" s="129" t="n"/>
      <c r="DD76" s="129" t="n"/>
      <c r="DE76" s="129" t="n"/>
      <c r="DF76" s="129" t="n"/>
      <c r="DG76" s="129" t="n"/>
      <c r="DH76" s="129" t="n"/>
      <c r="DI76" s="129" t="n"/>
      <c r="DJ76" s="129" t="n"/>
      <c r="DK76" s="129" t="n"/>
      <c r="DL76" s="129" t="n"/>
      <c r="DM76" s="129" t="n"/>
      <c r="DN76" s="129" t="n"/>
      <c r="DO76" s="129" t="n"/>
      <c r="DP76" s="129" t="n"/>
      <c r="DQ76" s="129" t="n"/>
      <c r="DR76" s="129" t="n"/>
      <c r="DS76" s="129" t="n"/>
      <c r="DT76" s="129" t="n"/>
      <c r="DU76" s="129" t="n"/>
      <c r="DV76" s="129" t="n"/>
      <c r="DW76" s="129" t="n"/>
      <c r="DX76" s="129" t="n"/>
      <c r="DY76" s="129" t="n"/>
      <c r="DZ76" s="129" t="n"/>
      <c r="EA76" s="129" t="n"/>
      <c r="EB76" s="129" t="n"/>
      <c r="EC76" s="129" t="n"/>
      <c r="ED76" s="129" t="n"/>
      <c r="EE76" s="129" t="n"/>
      <c r="EF76" s="129" t="n"/>
      <c r="EG76" s="129" t="n"/>
      <c r="EH76" s="129" t="n"/>
      <c r="EI76" s="129" t="n"/>
      <c r="EJ76" s="129" t="n"/>
      <c r="EK76" s="129" t="n"/>
      <c r="EL76" s="129" t="n"/>
      <c r="EM76" s="129" t="n"/>
      <c r="EN76" s="129" t="n"/>
      <c r="EO76" s="129" t="n"/>
      <c r="EP76" s="129" t="n"/>
      <c r="EQ76" s="129" t="n"/>
      <c r="ER76" s="129" t="n"/>
      <c r="ES76" s="129" t="n"/>
      <c r="ET76" s="129" t="n"/>
      <c r="EU76" s="129" t="n"/>
      <c r="EV76" s="129" t="n"/>
      <c r="EW76" s="129" t="n"/>
      <c r="EX76" s="129" t="n"/>
      <c r="EY76" s="129" t="n"/>
      <c r="EZ76" s="129" t="n"/>
      <c r="FA76" s="129" t="n"/>
      <c r="FB76" s="129" t="n"/>
      <c r="FC76" s="129" t="n"/>
      <c r="FD76" s="129" t="n"/>
      <c r="FE76" s="129" t="n"/>
      <c r="FF76" s="129" t="n"/>
      <c r="FG76" s="129" t="n"/>
      <c r="FH76" s="129" t="n"/>
      <c r="FI76" s="129" t="n"/>
      <c r="FJ76" s="129" t="n"/>
      <c r="FK76" s="129" t="n"/>
      <c r="FL76" s="129" t="n"/>
      <c r="FM76" s="129" t="n"/>
    </row>
    <row r="77" s="135">
      <c r="A77" s="90" t="n">
        <v>35033</v>
      </c>
      <c r="B77" s="91" t="n">
        <v>0.121</v>
      </c>
      <c r="C77" s="79" t="n"/>
      <c r="D77" s="129" t="n"/>
      <c r="E77" s="129" t="n"/>
      <c r="F77" s="129" t="n"/>
      <c r="G77" s="129" t="n"/>
      <c r="H77" s="129" t="n"/>
      <c r="I77" s="129" t="n"/>
      <c r="J77" s="129" t="n"/>
      <c r="K77" s="129" t="n"/>
      <c r="L77" s="129" t="n"/>
      <c r="M77" s="129" t="n"/>
      <c r="N77" s="129" t="n"/>
      <c r="O77" s="129" t="n"/>
      <c r="P77" s="129" t="n"/>
      <c r="Q77" s="129" t="n"/>
      <c r="R77" s="129" t="n"/>
      <c r="S77" s="129" t="n"/>
      <c r="T77" s="129" t="n"/>
      <c r="U77" s="129" t="n"/>
      <c r="V77" s="129" t="n"/>
      <c r="W77" s="129" t="n"/>
      <c r="X77" s="129" t="n"/>
      <c r="Y77" s="129" t="n"/>
      <c r="Z77" s="129" t="n"/>
      <c r="AA77" s="129" t="n"/>
      <c r="AB77" s="129" t="n"/>
      <c r="AC77" s="129" t="n"/>
      <c r="AD77" s="129" t="n"/>
      <c r="AE77" s="129" t="n"/>
      <c r="AF77" s="129" t="n"/>
      <c r="AG77" s="129" t="n"/>
      <c r="AH77" s="129" t="n"/>
      <c r="AI77" s="129" t="n"/>
      <c r="AJ77" s="129" t="n"/>
      <c r="AK77" s="129" t="n"/>
      <c r="AL77" s="129" t="n"/>
      <c r="AM77" s="129" t="n"/>
      <c r="AN77" s="129" t="n"/>
      <c r="AO77" s="129" t="n"/>
      <c r="AP77" s="129" t="n"/>
      <c r="AQ77" s="129" t="n"/>
      <c r="AR77" s="129" t="n"/>
      <c r="AS77" s="129" t="n"/>
      <c r="AT77" s="129" t="n"/>
      <c r="AU77" s="129" t="n"/>
      <c r="AV77" s="129" t="n"/>
      <c r="AW77" s="129" t="n"/>
      <c r="AX77" s="129" t="n"/>
      <c r="AY77" s="129" t="n"/>
      <c r="AZ77" s="129" t="n"/>
      <c r="BA77" s="129" t="n"/>
      <c r="BB77" s="129" t="n"/>
      <c r="BC77" s="129" t="n"/>
      <c r="BD77" s="129" t="n"/>
      <c r="BE77" s="129" t="n"/>
      <c r="BF77" s="129" t="n"/>
      <c r="BG77" s="129" t="n"/>
      <c r="BH77" s="129" t="n"/>
      <c r="BI77" s="129" t="n"/>
      <c r="BJ77" s="129" t="n"/>
      <c r="BK77" s="129" t="n"/>
      <c r="BL77" s="129" t="n"/>
      <c r="BM77" s="129" t="n"/>
      <c r="BN77" s="129" t="n"/>
      <c r="BO77" s="129" t="n"/>
      <c r="BP77" s="129" t="n"/>
      <c r="BQ77" s="129" t="n"/>
      <c r="BR77" s="129" t="n"/>
      <c r="BS77" s="129" t="n"/>
      <c r="BT77" s="129" t="n"/>
      <c r="BU77" s="129" t="n"/>
      <c r="BV77" s="129" t="n"/>
      <c r="BW77" s="129" t="n"/>
      <c r="BX77" s="129" t="n"/>
      <c r="BY77" s="129" t="n"/>
      <c r="BZ77" s="129" t="n"/>
      <c r="CA77" s="129" t="n"/>
      <c r="CB77" s="129" t="n"/>
      <c r="CC77" s="129" t="n"/>
      <c r="CD77" s="129" t="n"/>
      <c r="CE77" s="129" t="n"/>
      <c r="CF77" s="129" t="n"/>
      <c r="CG77" s="129" t="n"/>
      <c r="CH77" s="129" t="n"/>
      <c r="CI77" s="129" t="n"/>
      <c r="CJ77" s="129" t="n"/>
      <c r="CK77" s="129" t="n"/>
      <c r="CL77" s="129" t="n"/>
      <c r="CM77" s="129" t="n"/>
      <c r="CN77" s="129" t="n"/>
      <c r="CO77" s="129" t="n"/>
      <c r="CP77" s="129" t="n"/>
      <c r="CQ77" s="129" t="n"/>
      <c r="CR77" s="129" t="n"/>
      <c r="CS77" s="129" t="n"/>
      <c r="CT77" s="129" t="n"/>
      <c r="CU77" s="129" t="n"/>
      <c r="CV77" s="129" t="n"/>
      <c r="CW77" s="129" t="n"/>
      <c r="CX77" s="129" t="n"/>
      <c r="CY77" s="129" t="n"/>
      <c r="CZ77" s="129" t="n"/>
      <c r="DA77" s="129" t="n"/>
      <c r="DB77" s="129" t="n"/>
      <c r="DC77" s="129" t="n"/>
      <c r="DD77" s="129" t="n"/>
      <c r="DE77" s="129" t="n"/>
      <c r="DF77" s="129" t="n"/>
      <c r="DG77" s="129" t="n"/>
      <c r="DH77" s="129" t="n"/>
      <c r="DI77" s="129" t="n"/>
      <c r="DJ77" s="129" t="n"/>
      <c r="DK77" s="129" t="n"/>
      <c r="DL77" s="129" t="n"/>
      <c r="DM77" s="129" t="n"/>
      <c r="DN77" s="129" t="n"/>
      <c r="DO77" s="129" t="n"/>
      <c r="DP77" s="129" t="n"/>
      <c r="DQ77" s="129" t="n"/>
      <c r="DR77" s="129" t="n"/>
      <c r="DS77" s="129" t="n"/>
      <c r="DT77" s="129" t="n"/>
      <c r="DU77" s="129" t="n"/>
      <c r="DV77" s="129" t="n"/>
      <c r="DW77" s="129" t="n"/>
      <c r="DX77" s="129" t="n"/>
      <c r="DY77" s="129" t="n"/>
      <c r="DZ77" s="129" t="n"/>
      <c r="EA77" s="129" t="n"/>
      <c r="EB77" s="129" t="n"/>
      <c r="EC77" s="129" t="n"/>
      <c r="ED77" s="129" t="n"/>
      <c r="EE77" s="129" t="n"/>
      <c r="EF77" s="129" t="n"/>
      <c r="EG77" s="129" t="n"/>
      <c r="EH77" s="129" t="n"/>
      <c r="EI77" s="129" t="n"/>
      <c r="EJ77" s="129" t="n"/>
      <c r="EK77" s="129" t="n"/>
      <c r="EL77" s="129" t="n"/>
      <c r="EM77" s="129" t="n"/>
      <c r="EN77" s="129" t="n"/>
      <c r="EO77" s="129" t="n"/>
      <c r="EP77" s="129" t="n"/>
      <c r="EQ77" s="129" t="n"/>
      <c r="ER77" s="129" t="n"/>
      <c r="ES77" s="129" t="n"/>
      <c r="ET77" s="129" t="n"/>
      <c r="EU77" s="129" t="n"/>
      <c r="EV77" s="129" t="n"/>
      <c r="EW77" s="129" t="n"/>
      <c r="EX77" s="129" t="n"/>
      <c r="EY77" s="129" t="n"/>
      <c r="EZ77" s="129" t="n"/>
      <c r="FA77" s="129" t="n"/>
      <c r="FB77" s="129" t="n"/>
      <c r="FC77" s="129" t="n"/>
      <c r="FD77" s="129" t="n"/>
      <c r="FE77" s="129" t="n"/>
      <c r="FF77" s="129" t="n"/>
      <c r="FG77" s="129" t="n"/>
      <c r="FH77" s="129" t="n"/>
      <c r="FI77" s="129" t="n"/>
      <c r="FJ77" s="129" t="n"/>
      <c r="FK77" s="129" t="n"/>
      <c r="FL77" s="129" t="n"/>
      <c r="FM77" s="129" t="n"/>
    </row>
    <row r="78" s="135">
      <c r="A78" s="92" t="n">
        <v>35064</v>
      </c>
      <c r="B78" s="93" t="n">
        <v>0.149</v>
      </c>
      <c r="C78" s="79" t="n"/>
      <c r="D78" s="129" t="n"/>
      <c r="E78" s="129" t="n"/>
      <c r="F78" s="129" t="n"/>
      <c r="G78" s="129" t="n"/>
      <c r="H78" s="129" t="n"/>
      <c r="I78" s="129" t="n"/>
      <c r="J78" s="129" t="n"/>
      <c r="K78" s="129" t="n"/>
      <c r="L78" s="129" t="n"/>
      <c r="M78" s="129" t="n"/>
      <c r="N78" s="129" t="n"/>
      <c r="O78" s="129" t="n"/>
      <c r="P78" s="129" t="n"/>
      <c r="Q78" s="129" t="n"/>
      <c r="R78" s="129" t="n"/>
      <c r="S78" s="129" t="n"/>
      <c r="T78" s="129" t="n"/>
      <c r="U78" s="129" t="n"/>
      <c r="V78" s="129" t="n"/>
      <c r="W78" s="129" t="n"/>
      <c r="X78" s="129" t="n"/>
      <c r="Y78" s="129" t="n"/>
      <c r="Z78" s="129" t="n"/>
      <c r="AA78" s="129" t="n"/>
      <c r="AB78" s="129" t="n"/>
      <c r="AC78" s="129" t="n"/>
      <c r="AD78" s="129" t="n"/>
      <c r="AE78" s="129" t="n"/>
      <c r="AF78" s="129" t="n"/>
      <c r="AG78" s="129" t="n"/>
      <c r="AH78" s="129" t="n"/>
      <c r="AI78" s="129" t="n"/>
      <c r="AJ78" s="129" t="n"/>
      <c r="AK78" s="129" t="n"/>
      <c r="AL78" s="129" t="n"/>
      <c r="AM78" s="129" t="n"/>
      <c r="AN78" s="129" t="n"/>
      <c r="AO78" s="129" t="n"/>
      <c r="AP78" s="129" t="n"/>
      <c r="AQ78" s="129" t="n"/>
      <c r="AR78" s="129" t="n"/>
      <c r="AS78" s="129" t="n"/>
      <c r="AT78" s="129" t="n"/>
      <c r="AU78" s="129" t="n"/>
      <c r="AV78" s="129" t="n"/>
      <c r="AW78" s="129" t="n"/>
      <c r="AX78" s="129" t="n"/>
      <c r="AY78" s="129" t="n"/>
      <c r="AZ78" s="129" t="n"/>
      <c r="BA78" s="129" t="n"/>
      <c r="BB78" s="129" t="n"/>
      <c r="BC78" s="129" t="n"/>
      <c r="BD78" s="129" t="n"/>
      <c r="BE78" s="129" t="n"/>
      <c r="BF78" s="129" t="n"/>
      <c r="BG78" s="129" t="n"/>
      <c r="BH78" s="129" t="n"/>
      <c r="BI78" s="129" t="n"/>
      <c r="BJ78" s="129" t="n"/>
      <c r="BK78" s="129" t="n"/>
      <c r="BL78" s="129" t="n"/>
      <c r="BM78" s="129" t="n"/>
      <c r="BN78" s="129" t="n"/>
      <c r="BO78" s="129" t="n"/>
      <c r="BP78" s="129" t="n"/>
      <c r="BQ78" s="129" t="n"/>
      <c r="BR78" s="129" t="n"/>
      <c r="BS78" s="129" t="n"/>
      <c r="BT78" s="129" t="n"/>
      <c r="BU78" s="129" t="n"/>
      <c r="BV78" s="129" t="n"/>
      <c r="BW78" s="129" t="n"/>
      <c r="BX78" s="129" t="n"/>
      <c r="BY78" s="129" t="n"/>
      <c r="BZ78" s="129" t="n"/>
      <c r="CA78" s="129" t="n"/>
      <c r="CB78" s="129" t="n"/>
      <c r="CC78" s="129" t="n"/>
      <c r="CD78" s="129" t="n"/>
      <c r="CE78" s="129" t="n"/>
      <c r="CF78" s="129" t="n"/>
      <c r="CG78" s="129" t="n"/>
      <c r="CH78" s="129" t="n"/>
      <c r="CI78" s="129" t="n"/>
      <c r="CJ78" s="129" t="n"/>
      <c r="CK78" s="129" t="n"/>
      <c r="CL78" s="129" t="n"/>
      <c r="CM78" s="129" t="n"/>
      <c r="CN78" s="129" t="n"/>
      <c r="CO78" s="129" t="n"/>
      <c r="CP78" s="129" t="n"/>
      <c r="CQ78" s="129" t="n"/>
      <c r="CR78" s="129" t="n"/>
      <c r="CS78" s="129" t="n"/>
      <c r="CT78" s="129" t="n"/>
      <c r="CU78" s="129" t="n"/>
      <c r="CV78" s="129" t="n"/>
      <c r="CW78" s="129" t="n"/>
      <c r="CX78" s="129" t="n"/>
      <c r="CY78" s="129" t="n"/>
      <c r="CZ78" s="129" t="n"/>
      <c r="DA78" s="129" t="n"/>
      <c r="DB78" s="129" t="n"/>
      <c r="DC78" s="129" t="n"/>
      <c r="DD78" s="129" t="n"/>
      <c r="DE78" s="129" t="n"/>
      <c r="DF78" s="129" t="n"/>
      <c r="DG78" s="129" t="n"/>
      <c r="DH78" s="129" t="n"/>
      <c r="DI78" s="129" t="n"/>
      <c r="DJ78" s="129" t="n"/>
      <c r="DK78" s="129" t="n"/>
      <c r="DL78" s="129" t="n"/>
      <c r="DM78" s="129" t="n"/>
      <c r="DN78" s="129" t="n"/>
      <c r="DO78" s="129" t="n"/>
      <c r="DP78" s="129" t="n"/>
      <c r="DQ78" s="129" t="n"/>
      <c r="DR78" s="129" t="n"/>
      <c r="DS78" s="129" t="n"/>
      <c r="DT78" s="129" t="n"/>
      <c r="DU78" s="129" t="n"/>
      <c r="DV78" s="129" t="n"/>
      <c r="DW78" s="129" t="n"/>
      <c r="DX78" s="129" t="n"/>
      <c r="DY78" s="129" t="n"/>
      <c r="DZ78" s="129" t="n"/>
      <c r="EA78" s="129" t="n"/>
      <c r="EB78" s="129" t="n"/>
      <c r="EC78" s="129" t="n"/>
      <c r="ED78" s="129" t="n"/>
      <c r="EE78" s="129" t="n"/>
      <c r="EF78" s="129" t="n"/>
      <c r="EG78" s="129" t="n"/>
      <c r="EH78" s="129" t="n"/>
      <c r="EI78" s="129" t="n"/>
      <c r="EJ78" s="129" t="n"/>
      <c r="EK78" s="129" t="n"/>
      <c r="EL78" s="129" t="n"/>
      <c r="EM78" s="129" t="n"/>
      <c r="EN78" s="129" t="n"/>
      <c r="EO78" s="129" t="n"/>
      <c r="EP78" s="129" t="n"/>
      <c r="EQ78" s="129" t="n"/>
      <c r="ER78" s="129" t="n"/>
      <c r="ES78" s="129" t="n"/>
      <c r="ET78" s="129" t="n"/>
      <c r="EU78" s="129" t="n"/>
      <c r="EV78" s="129" t="n"/>
      <c r="EW78" s="129" t="n"/>
      <c r="EX78" s="129" t="n"/>
      <c r="EY78" s="129" t="n"/>
      <c r="EZ78" s="129" t="n"/>
      <c r="FA78" s="129" t="n"/>
      <c r="FB78" s="129" t="n"/>
      <c r="FC78" s="129" t="n"/>
      <c r="FD78" s="129" t="n"/>
      <c r="FE78" s="129" t="n"/>
      <c r="FF78" s="129" t="n"/>
      <c r="FG78" s="129" t="n"/>
      <c r="FH78" s="129" t="n"/>
      <c r="FI78" s="129" t="n"/>
      <c r="FJ78" s="129" t="n"/>
      <c r="FK78" s="129" t="n"/>
      <c r="FL78" s="129" t="n"/>
      <c r="FM78" s="129" t="n"/>
    </row>
    <row r="79" s="135">
      <c r="A79" s="90" t="n">
        <v>35095</v>
      </c>
      <c r="B79" s="91" t="n">
        <v>0.169</v>
      </c>
      <c r="C79" s="79" t="n"/>
      <c r="D79" s="129" t="n"/>
      <c r="E79" s="129" t="n"/>
      <c r="F79" s="129" t="n"/>
      <c r="G79" s="129" t="n"/>
      <c r="H79" s="129" t="n"/>
      <c r="I79" s="129" t="n"/>
      <c r="J79" s="129" t="n"/>
      <c r="K79" s="129" t="n"/>
      <c r="L79" s="129" t="n"/>
      <c r="M79" s="129" t="n"/>
      <c r="N79" s="129" t="n"/>
      <c r="O79" s="129" t="n"/>
      <c r="P79" s="129" t="n"/>
      <c r="Q79" s="129" t="n"/>
      <c r="R79" s="129" t="n"/>
      <c r="S79" s="129" t="n"/>
      <c r="T79" s="129" t="n"/>
      <c r="U79" s="129" t="n"/>
      <c r="V79" s="129" t="n"/>
      <c r="W79" s="129" t="n"/>
      <c r="X79" s="129" t="n"/>
      <c r="Y79" s="129" t="n"/>
      <c r="Z79" s="129" t="n"/>
      <c r="AA79" s="129" t="n"/>
      <c r="AB79" s="129" t="n"/>
      <c r="AC79" s="129" t="n"/>
      <c r="AD79" s="129" t="n"/>
      <c r="AE79" s="129" t="n"/>
      <c r="AF79" s="129" t="n"/>
      <c r="AG79" s="129" t="n"/>
      <c r="AH79" s="129" t="n"/>
      <c r="AI79" s="129" t="n"/>
      <c r="AJ79" s="129" t="n"/>
      <c r="AK79" s="129" t="n"/>
      <c r="AL79" s="129" t="n"/>
      <c r="AM79" s="129" t="n"/>
      <c r="AN79" s="129" t="n"/>
      <c r="AO79" s="129" t="n"/>
      <c r="AP79" s="129" t="n"/>
      <c r="AQ79" s="129" t="n"/>
      <c r="AR79" s="129" t="n"/>
      <c r="AS79" s="129" t="n"/>
      <c r="AT79" s="129" t="n"/>
      <c r="AU79" s="129" t="n"/>
      <c r="AV79" s="129" t="n"/>
      <c r="AW79" s="129" t="n"/>
      <c r="AX79" s="129" t="n"/>
      <c r="AY79" s="129" t="n"/>
      <c r="AZ79" s="129" t="n"/>
      <c r="BA79" s="129" t="n"/>
      <c r="BB79" s="129" t="n"/>
      <c r="BC79" s="129" t="n"/>
      <c r="BD79" s="129" t="n"/>
      <c r="BE79" s="129" t="n"/>
      <c r="BF79" s="129" t="n"/>
      <c r="BG79" s="129" t="n"/>
      <c r="BH79" s="129" t="n"/>
      <c r="BI79" s="129" t="n"/>
      <c r="BJ79" s="129" t="n"/>
      <c r="BK79" s="129" t="n"/>
      <c r="BL79" s="129" t="n"/>
      <c r="BM79" s="129" t="n"/>
      <c r="BN79" s="129" t="n"/>
      <c r="BO79" s="129" t="n"/>
      <c r="BP79" s="129" t="n"/>
      <c r="BQ79" s="129" t="n"/>
      <c r="BR79" s="129" t="n"/>
      <c r="BS79" s="129" t="n"/>
      <c r="BT79" s="129" t="n"/>
      <c r="BU79" s="129" t="n"/>
      <c r="BV79" s="129" t="n"/>
      <c r="BW79" s="129" t="n"/>
      <c r="BX79" s="129" t="n"/>
      <c r="BY79" s="129" t="n"/>
      <c r="BZ79" s="129" t="n"/>
      <c r="CA79" s="129" t="n"/>
      <c r="CB79" s="129" t="n"/>
      <c r="CC79" s="129" t="n"/>
      <c r="CD79" s="129" t="n"/>
      <c r="CE79" s="129" t="n"/>
      <c r="CF79" s="129" t="n"/>
      <c r="CG79" s="129" t="n"/>
      <c r="CH79" s="129" t="n"/>
      <c r="CI79" s="129" t="n"/>
      <c r="CJ79" s="129" t="n"/>
      <c r="CK79" s="129" t="n"/>
      <c r="CL79" s="129" t="n"/>
      <c r="CM79" s="129" t="n"/>
      <c r="CN79" s="129" t="n"/>
      <c r="CO79" s="129" t="n"/>
      <c r="CP79" s="129" t="n"/>
      <c r="CQ79" s="129" t="n"/>
      <c r="CR79" s="129" t="n"/>
      <c r="CS79" s="129" t="n"/>
      <c r="CT79" s="129" t="n"/>
      <c r="CU79" s="129" t="n"/>
      <c r="CV79" s="129" t="n"/>
      <c r="CW79" s="129" t="n"/>
      <c r="CX79" s="129" t="n"/>
      <c r="CY79" s="129" t="n"/>
      <c r="CZ79" s="129" t="n"/>
      <c r="DA79" s="129" t="n"/>
      <c r="DB79" s="129" t="n"/>
      <c r="DC79" s="129" t="n"/>
      <c r="DD79" s="129" t="n"/>
      <c r="DE79" s="129" t="n"/>
      <c r="DF79" s="129" t="n"/>
      <c r="DG79" s="129" t="n"/>
      <c r="DH79" s="129" t="n"/>
      <c r="DI79" s="129" t="n"/>
      <c r="DJ79" s="129" t="n"/>
      <c r="DK79" s="129" t="n"/>
      <c r="DL79" s="129" t="n"/>
      <c r="DM79" s="129" t="n"/>
      <c r="DN79" s="129" t="n"/>
      <c r="DO79" s="129" t="n"/>
      <c r="DP79" s="129" t="n"/>
      <c r="DQ79" s="129" t="n"/>
      <c r="DR79" s="129" t="n"/>
      <c r="DS79" s="129" t="n"/>
      <c r="DT79" s="129" t="n"/>
      <c r="DU79" s="129" t="n"/>
      <c r="DV79" s="129" t="n"/>
      <c r="DW79" s="129" t="n"/>
      <c r="DX79" s="129" t="n"/>
      <c r="DY79" s="129" t="n"/>
      <c r="DZ79" s="129" t="n"/>
      <c r="EA79" s="129" t="n"/>
      <c r="EB79" s="129" t="n"/>
      <c r="EC79" s="129" t="n"/>
      <c r="ED79" s="129" t="n"/>
      <c r="EE79" s="129" t="n"/>
      <c r="EF79" s="129" t="n"/>
      <c r="EG79" s="129" t="n"/>
      <c r="EH79" s="129" t="n"/>
      <c r="EI79" s="129" t="n"/>
      <c r="EJ79" s="129" t="n"/>
      <c r="EK79" s="129" t="n"/>
      <c r="EL79" s="129" t="n"/>
      <c r="EM79" s="129" t="n"/>
      <c r="EN79" s="129" t="n"/>
      <c r="EO79" s="129" t="n"/>
      <c r="EP79" s="129" t="n"/>
      <c r="EQ79" s="129" t="n"/>
      <c r="ER79" s="129" t="n"/>
      <c r="ES79" s="129" t="n"/>
      <c r="ET79" s="129" t="n"/>
      <c r="EU79" s="129" t="n"/>
      <c r="EV79" s="129" t="n"/>
      <c r="EW79" s="129" t="n"/>
      <c r="EX79" s="129" t="n"/>
      <c r="EY79" s="129" t="n"/>
      <c r="EZ79" s="129" t="n"/>
      <c r="FA79" s="129" t="n"/>
      <c r="FB79" s="129" t="n"/>
      <c r="FC79" s="129" t="n"/>
      <c r="FD79" s="129" t="n"/>
      <c r="FE79" s="129" t="n"/>
      <c r="FF79" s="129" t="n"/>
      <c r="FG79" s="129" t="n"/>
      <c r="FH79" s="129" t="n"/>
      <c r="FI79" s="129" t="n"/>
      <c r="FJ79" s="129" t="n"/>
      <c r="FK79" s="129" t="n"/>
      <c r="FL79" s="129" t="n"/>
      <c r="FM79" s="129" t="n"/>
    </row>
    <row r="80" s="135">
      <c r="A80" s="92" t="n">
        <v>35124</v>
      </c>
      <c r="B80" s="93" t="n">
        <v>0.122</v>
      </c>
      <c r="C80" s="79" t="n"/>
      <c r="D80" s="129" t="n"/>
      <c r="E80" s="129" t="n"/>
      <c r="F80" s="129" t="n"/>
      <c r="G80" s="129" t="n"/>
      <c r="H80" s="129" t="n"/>
      <c r="I80" s="129" t="n"/>
      <c r="J80" s="129" t="n"/>
      <c r="K80" s="129" t="n"/>
      <c r="L80" s="129" t="n"/>
      <c r="M80" s="129" t="n"/>
      <c r="N80" s="129" t="n"/>
      <c r="O80" s="129" t="n"/>
      <c r="P80" s="129" t="n"/>
      <c r="Q80" s="129" t="n"/>
      <c r="R80" s="129" t="n"/>
      <c r="S80" s="129" t="n"/>
      <c r="T80" s="129" t="n"/>
      <c r="U80" s="129" t="n"/>
      <c r="V80" s="129" t="n"/>
      <c r="W80" s="129" t="n"/>
      <c r="X80" s="129" t="n"/>
      <c r="Y80" s="129" t="n"/>
      <c r="Z80" s="129" t="n"/>
      <c r="AA80" s="129" t="n"/>
      <c r="AB80" s="129" t="n"/>
      <c r="AC80" s="129" t="n"/>
      <c r="AD80" s="129" t="n"/>
      <c r="AE80" s="129" t="n"/>
      <c r="AF80" s="129" t="n"/>
      <c r="AG80" s="129" t="n"/>
      <c r="AH80" s="129" t="n"/>
      <c r="AI80" s="129" t="n"/>
      <c r="AJ80" s="129" t="n"/>
      <c r="AK80" s="129" t="n"/>
      <c r="AL80" s="129" t="n"/>
      <c r="AM80" s="129" t="n"/>
      <c r="AN80" s="129" t="n"/>
      <c r="AO80" s="129" t="n"/>
      <c r="AP80" s="129" t="n"/>
      <c r="AQ80" s="129" t="n"/>
      <c r="AR80" s="129" t="n"/>
      <c r="AS80" s="129" t="n"/>
      <c r="AT80" s="129" t="n"/>
      <c r="AU80" s="129" t="n"/>
      <c r="AV80" s="129" t="n"/>
      <c r="AW80" s="129" t="n"/>
      <c r="AX80" s="129" t="n"/>
      <c r="AY80" s="129" t="n"/>
      <c r="AZ80" s="129" t="n"/>
      <c r="BA80" s="129" t="n"/>
      <c r="BB80" s="129" t="n"/>
      <c r="BC80" s="129" t="n"/>
      <c r="BD80" s="129" t="n"/>
      <c r="BE80" s="129" t="n"/>
      <c r="BF80" s="129" t="n"/>
      <c r="BG80" s="129" t="n"/>
      <c r="BH80" s="129" t="n"/>
      <c r="BI80" s="129" t="n"/>
      <c r="BJ80" s="129" t="n"/>
      <c r="BK80" s="129" t="n"/>
      <c r="BL80" s="129" t="n"/>
      <c r="BM80" s="129" t="n"/>
      <c r="BN80" s="129" t="n"/>
      <c r="BO80" s="129" t="n"/>
      <c r="BP80" s="129" t="n"/>
      <c r="BQ80" s="129" t="n"/>
      <c r="BR80" s="129" t="n"/>
      <c r="BS80" s="129" t="n"/>
      <c r="BT80" s="129" t="n"/>
      <c r="BU80" s="129" t="n"/>
      <c r="BV80" s="129" t="n"/>
      <c r="BW80" s="129" t="n"/>
      <c r="BX80" s="129" t="n"/>
      <c r="BY80" s="129" t="n"/>
      <c r="BZ80" s="129" t="n"/>
      <c r="CA80" s="129" t="n"/>
      <c r="CB80" s="129" t="n"/>
      <c r="CC80" s="129" t="n"/>
      <c r="CD80" s="129" t="n"/>
      <c r="CE80" s="129" t="n"/>
      <c r="CF80" s="129" t="n"/>
      <c r="CG80" s="129" t="n"/>
      <c r="CH80" s="129" t="n"/>
      <c r="CI80" s="129" t="n"/>
      <c r="CJ80" s="129" t="n"/>
      <c r="CK80" s="129" t="n"/>
      <c r="CL80" s="129" t="n"/>
      <c r="CM80" s="129" t="n"/>
      <c r="CN80" s="129" t="n"/>
      <c r="CO80" s="129" t="n"/>
      <c r="CP80" s="129" t="n"/>
      <c r="CQ80" s="129" t="n"/>
      <c r="CR80" s="129" t="n"/>
      <c r="CS80" s="129" t="n"/>
      <c r="CT80" s="129" t="n"/>
      <c r="CU80" s="129" t="n"/>
      <c r="CV80" s="129" t="n"/>
      <c r="CW80" s="129" t="n"/>
      <c r="CX80" s="129" t="n"/>
      <c r="CY80" s="129" t="n"/>
      <c r="CZ80" s="129" t="n"/>
      <c r="DA80" s="129" t="n"/>
      <c r="DB80" s="129" t="n"/>
      <c r="DC80" s="129" t="n"/>
      <c r="DD80" s="129" t="n"/>
      <c r="DE80" s="129" t="n"/>
      <c r="DF80" s="129" t="n"/>
      <c r="DG80" s="129" t="n"/>
      <c r="DH80" s="129" t="n"/>
      <c r="DI80" s="129" t="n"/>
      <c r="DJ80" s="129" t="n"/>
      <c r="DK80" s="129" t="n"/>
      <c r="DL80" s="129" t="n"/>
      <c r="DM80" s="129" t="n"/>
      <c r="DN80" s="129" t="n"/>
      <c r="DO80" s="129" t="n"/>
      <c r="DP80" s="129" t="n"/>
      <c r="DQ80" s="129" t="n"/>
      <c r="DR80" s="129" t="n"/>
      <c r="DS80" s="129" t="n"/>
      <c r="DT80" s="129" t="n"/>
      <c r="DU80" s="129" t="n"/>
      <c r="DV80" s="129" t="n"/>
      <c r="DW80" s="129" t="n"/>
      <c r="DX80" s="129" t="n"/>
      <c r="DY80" s="129" t="n"/>
      <c r="DZ80" s="129" t="n"/>
      <c r="EA80" s="129" t="n"/>
      <c r="EB80" s="129" t="n"/>
      <c r="EC80" s="129" t="n"/>
      <c r="ED80" s="129" t="n"/>
      <c r="EE80" s="129" t="n"/>
      <c r="EF80" s="129" t="n"/>
      <c r="EG80" s="129" t="n"/>
      <c r="EH80" s="129" t="n"/>
      <c r="EI80" s="129" t="n"/>
      <c r="EJ80" s="129" t="n"/>
      <c r="EK80" s="129" t="n"/>
      <c r="EL80" s="129" t="n"/>
      <c r="EM80" s="129" t="n"/>
      <c r="EN80" s="129" t="n"/>
      <c r="EO80" s="129" t="n"/>
      <c r="EP80" s="129" t="n"/>
      <c r="EQ80" s="129" t="n"/>
      <c r="ER80" s="129" t="n"/>
      <c r="ES80" s="129" t="n"/>
      <c r="ET80" s="129" t="n"/>
      <c r="EU80" s="129" t="n"/>
      <c r="EV80" s="129" t="n"/>
      <c r="EW80" s="129" t="n"/>
      <c r="EX80" s="129" t="n"/>
      <c r="EY80" s="129" t="n"/>
      <c r="EZ80" s="129" t="n"/>
      <c r="FA80" s="129" t="n"/>
      <c r="FB80" s="129" t="n"/>
      <c r="FC80" s="129" t="n"/>
      <c r="FD80" s="129" t="n"/>
      <c r="FE80" s="129" t="n"/>
      <c r="FF80" s="129" t="n"/>
      <c r="FG80" s="129" t="n"/>
      <c r="FH80" s="129" t="n"/>
      <c r="FI80" s="129" t="n"/>
      <c r="FJ80" s="129" t="n"/>
      <c r="FK80" s="129" t="n"/>
      <c r="FL80" s="129" t="n"/>
      <c r="FM80" s="129" t="n"/>
    </row>
    <row r="81" s="135">
      <c r="A81" s="90" t="n">
        <v>35155</v>
      </c>
      <c r="B81" s="91" t="n">
        <v>0.122</v>
      </c>
      <c r="C81" s="79" t="n"/>
      <c r="D81" s="129" t="n"/>
      <c r="E81" s="129" t="n"/>
      <c r="F81" s="129" t="n"/>
      <c r="G81" s="129" t="n"/>
      <c r="H81" s="129" t="n"/>
      <c r="I81" s="129" t="n"/>
      <c r="J81" s="129" t="n"/>
      <c r="K81" s="129" t="n"/>
      <c r="L81" s="129" t="n"/>
      <c r="M81" s="129" t="n"/>
      <c r="N81" s="129" t="n"/>
      <c r="O81" s="129" t="n"/>
      <c r="P81" s="129" t="n"/>
      <c r="Q81" s="129" t="n"/>
      <c r="R81" s="129" t="n"/>
      <c r="S81" s="129" t="n"/>
      <c r="T81" s="129" t="n"/>
      <c r="U81" s="129" t="n"/>
      <c r="V81" s="129" t="n"/>
      <c r="W81" s="129" t="n"/>
      <c r="X81" s="129" t="n"/>
      <c r="Y81" s="129" t="n"/>
      <c r="Z81" s="129" t="n"/>
      <c r="AA81" s="129" t="n"/>
      <c r="AB81" s="129" t="n"/>
      <c r="AC81" s="129" t="n"/>
      <c r="AD81" s="129" t="n"/>
      <c r="AE81" s="129" t="n"/>
      <c r="AF81" s="129" t="n"/>
      <c r="AG81" s="129" t="n"/>
      <c r="AH81" s="129" t="n"/>
      <c r="AI81" s="129" t="n"/>
      <c r="AJ81" s="129" t="n"/>
      <c r="AK81" s="129" t="n"/>
      <c r="AL81" s="129" t="n"/>
      <c r="AM81" s="129" t="n"/>
      <c r="AN81" s="129" t="n"/>
      <c r="AO81" s="129" t="n"/>
      <c r="AP81" s="129" t="n"/>
      <c r="AQ81" s="129" t="n"/>
      <c r="AR81" s="129" t="n"/>
      <c r="AS81" s="129" t="n"/>
      <c r="AT81" s="129" t="n"/>
      <c r="AU81" s="129" t="n"/>
      <c r="AV81" s="129" t="n"/>
      <c r="AW81" s="129" t="n"/>
      <c r="AX81" s="129" t="n"/>
      <c r="AY81" s="129" t="n"/>
      <c r="AZ81" s="129" t="n"/>
      <c r="BA81" s="129" t="n"/>
      <c r="BB81" s="129" t="n"/>
      <c r="BC81" s="129" t="n"/>
      <c r="BD81" s="129" t="n"/>
      <c r="BE81" s="129" t="n"/>
      <c r="BF81" s="129" t="n"/>
      <c r="BG81" s="129" t="n"/>
      <c r="BH81" s="129" t="n"/>
      <c r="BI81" s="129" t="n"/>
      <c r="BJ81" s="129" t="n"/>
      <c r="BK81" s="129" t="n"/>
      <c r="BL81" s="129" t="n"/>
      <c r="BM81" s="129" t="n"/>
      <c r="BN81" s="129" t="n"/>
      <c r="BO81" s="129" t="n"/>
      <c r="BP81" s="129" t="n"/>
      <c r="BQ81" s="129" t="n"/>
      <c r="BR81" s="129" t="n"/>
      <c r="BS81" s="129" t="n"/>
      <c r="BT81" s="129" t="n"/>
      <c r="BU81" s="129" t="n"/>
      <c r="BV81" s="129" t="n"/>
      <c r="BW81" s="129" t="n"/>
      <c r="BX81" s="129" t="n"/>
      <c r="BY81" s="129" t="n"/>
      <c r="BZ81" s="129" t="n"/>
      <c r="CA81" s="129" t="n"/>
      <c r="CB81" s="129" t="n"/>
      <c r="CC81" s="129" t="n"/>
      <c r="CD81" s="129" t="n"/>
      <c r="CE81" s="129" t="n"/>
      <c r="CF81" s="129" t="n"/>
      <c r="CG81" s="129" t="n"/>
      <c r="CH81" s="129" t="n"/>
      <c r="CI81" s="129" t="n"/>
      <c r="CJ81" s="129" t="n"/>
      <c r="CK81" s="129" t="n"/>
      <c r="CL81" s="129" t="n"/>
      <c r="CM81" s="129" t="n"/>
      <c r="CN81" s="129" t="n"/>
      <c r="CO81" s="129" t="n"/>
      <c r="CP81" s="129" t="n"/>
      <c r="CQ81" s="129" t="n"/>
      <c r="CR81" s="129" t="n"/>
      <c r="CS81" s="129" t="n"/>
      <c r="CT81" s="129" t="n"/>
      <c r="CU81" s="129" t="n"/>
      <c r="CV81" s="129" t="n"/>
      <c r="CW81" s="129" t="n"/>
      <c r="CX81" s="129" t="n"/>
      <c r="CY81" s="129" t="n"/>
      <c r="CZ81" s="129" t="n"/>
      <c r="DA81" s="129" t="n"/>
      <c r="DB81" s="129" t="n"/>
      <c r="DC81" s="129" t="n"/>
      <c r="DD81" s="129" t="n"/>
      <c r="DE81" s="129" t="n"/>
      <c r="DF81" s="129" t="n"/>
      <c r="DG81" s="129" t="n"/>
      <c r="DH81" s="129" t="n"/>
      <c r="DI81" s="129" t="n"/>
      <c r="DJ81" s="129" t="n"/>
      <c r="DK81" s="129" t="n"/>
      <c r="DL81" s="129" t="n"/>
      <c r="DM81" s="129" t="n"/>
      <c r="DN81" s="129" t="n"/>
      <c r="DO81" s="129" t="n"/>
      <c r="DP81" s="129" t="n"/>
      <c r="DQ81" s="129" t="n"/>
      <c r="DR81" s="129" t="n"/>
      <c r="DS81" s="129" t="n"/>
      <c r="DT81" s="129" t="n"/>
      <c r="DU81" s="129" t="n"/>
      <c r="DV81" s="129" t="n"/>
      <c r="DW81" s="129" t="n"/>
      <c r="DX81" s="129" t="n"/>
      <c r="DY81" s="129" t="n"/>
      <c r="DZ81" s="129" t="n"/>
      <c r="EA81" s="129" t="n"/>
      <c r="EB81" s="129" t="n"/>
      <c r="EC81" s="129" t="n"/>
      <c r="ED81" s="129" t="n"/>
      <c r="EE81" s="129" t="n"/>
      <c r="EF81" s="129" t="n"/>
      <c r="EG81" s="129" t="n"/>
      <c r="EH81" s="129" t="n"/>
      <c r="EI81" s="129" t="n"/>
      <c r="EJ81" s="129" t="n"/>
      <c r="EK81" s="129" t="n"/>
      <c r="EL81" s="129" t="n"/>
      <c r="EM81" s="129" t="n"/>
      <c r="EN81" s="129" t="n"/>
      <c r="EO81" s="129" t="n"/>
      <c r="EP81" s="129" t="n"/>
      <c r="EQ81" s="129" t="n"/>
      <c r="ER81" s="129" t="n"/>
      <c r="ES81" s="129" t="n"/>
      <c r="ET81" s="129" t="n"/>
      <c r="EU81" s="129" t="n"/>
      <c r="EV81" s="129" t="n"/>
      <c r="EW81" s="129" t="n"/>
      <c r="EX81" s="129" t="n"/>
      <c r="EY81" s="129" t="n"/>
      <c r="EZ81" s="129" t="n"/>
      <c r="FA81" s="129" t="n"/>
      <c r="FB81" s="129" t="n"/>
      <c r="FC81" s="129" t="n"/>
      <c r="FD81" s="129" t="n"/>
      <c r="FE81" s="129" t="n"/>
      <c r="FF81" s="129" t="n"/>
      <c r="FG81" s="129" t="n"/>
      <c r="FH81" s="129" t="n"/>
      <c r="FI81" s="129" t="n"/>
      <c r="FJ81" s="129" t="n"/>
      <c r="FK81" s="129" t="n"/>
      <c r="FL81" s="129" t="n"/>
      <c r="FM81" s="129" t="n"/>
    </row>
    <row r="82" s="135">
      <c r="A82" s="92" t="n">
        <v>35185</v>
      </c>
      <c r="B82" s="93" t="n">
        <v>0.137</v>
      </c>
      <c r="C82" s="79" t="n"/>
      <c r="D82" s="129" t="n"/>
      <c r="E82" s="129" t="n"/>
      <c r="F82" s="129" t="n"/>
      <c r="G82" s="129" t="n"/>
      <c r="H82" s="129" t="n"/>
      <c r="I82" s="129" t="n"/>
      <c r="J82" s="129" t="n"/>
      <c r="K82" s="129" t="n"/>
      <c r="L82" s="129" t="n"/>
      <c r="M82" s="129" t="n"/>
      <c r="N82" s="129" t="n"/>
      <c r="O82" s="129" t="n"/>
      <c r="P82" s="129" t="n"/>
      <c r="Q82" s="129" t="n"/>
      <c r="R82" s="129" t="n"/>
      <c r="S82" s="129" t="n"/>
      <c r="T82" s="129" t="n"/>
      <c r="U82" s="129" t="n"/>
      <c r="V82" s="129" t="n"/>
      <c r="W82" s="129" t="n"/>
      <c r="X82" s="129" t="n"/>
      <c r="Y82" s="129" t="n"/>
      <c r="Z82" s="129" t="n"/>
      <c r="AA82" s="129" t="n"/>
      <c r="AB82" s="129" t="n"/>
      <c r="AC82" s="129" t="n"/>
      <c r="AD82" s="129" t="n"/>
      <c r="AE82" s="129" t="n"/>
      <c r="AF82" s="129" t="n"/>
      <c r="AG82" s="129" t="n"/>
      <c r="AH82" s="129" t="n"/>
      <c r="AI82" s="129" t="n"/>
      <c r="AJ82" s="129" t="n"/>
      <c r="AK82" s="129" t="n"/>
      <c r="AL82" s="129" t="n"/>
      <c r="AM82" s="129" t="n"/>
      <c r="AN82" s="129" t="n"/>
      <c r="AO82" s="129" t="n"/>
      <c r="AP82" s="129" t="n"/>
      <c r="AQ82" s="129" t="n"/>
      <c r="AR82" s="129" t="n"/>
      <c r="AS82" s="129" t="n"/>
      <c r="AT82" s="129" t="n"/>
      <c r="AU82" s="129" t="n"/>
      <c r="AV82" s="129" t="n"/>
      <c r="AW82" s="129" t="n"/>
      <c r="AX82" s="129" t="n"/>
      <c r="AY82" s="129" t="n"/>
      <c r="AZ82" s="129" t="n"/>
      <c r="BA82" s="129" t="n"/>
      <c r="BB82" s="129" t="n"/>
      <c r="BC82" s="129" t="n"/>
      <c r="BD82" s="129" t="n"/>
      <c r="BE82" s="129" t="n"/>
      <c r="BF82" s="129" t="n"/>
      <c r="BG82" s="129" t="n"/>
      <c r="BH82" s="129" t="n"/>
      <c r="BI82" s="129" t="n"/>
      <c r="BJ82" s="129" t="n"/>
      <c r="BK82" s="129" t="n"/>
      <c r="BL82" s="129" t="n"/>
      <c r="BM82" s="129" t="n"/>
      <c r="BN82" s="129" t="n"/>
      <c r="BO82" s="129" t="n"/>
      <c r="BP82" s="129" t="n"/>
      <c r="BQ82" s="129" t="n"/>
      <c r="BR82" s="129" t="n"/>
      <c r="BS82" s="129" t="n"/>
      <c r="BT82" s="129" t="n"/>
      <c r="BU82" s="129" t="n"/>
      <c r="BV82" s="129" t="n"/>
      <c r="BW82" s="129" t="n"/>
      <c r="BX82" s="129" t="n"/>
      <c r="BY82" s="129" t="n"/>
      <c r="BZ82" s="129" t="n"/>
      <c r="CA82" s="129" t="n"/>
      <c r="CB82" s="129" t="n"/>
      <c r="CC82" s="129" t="n"/>
      <c r="CD82" s="129" t="n"/>
      <c r="CE82" s="129" t="n"/>
      <c r="CF82" s="129" t="n"/>
      <c r="CG82" s="129" t="n"/>
      <c r="CH82" s="129" t="n"/>
      <c r="CI82" s="129" t="n"/>
      <c r="CJ82" s="129" t="n"/>
      <c r="CK82" s="129" t="n"/>
      <c r="CL82" s="129" t="n"/>
      <c r="CM82" s="129" t="n"/>
      <c r="CN82" s="129" t="n"/>
      <c r="CO82" s="129" t="n"/>
      <c r="CP82" s="129" t="n"/>
      <c r="CQ82" s="129" t="n"/>
      <c r="CR82" s="129" t="n"/>
      <c r="CS82" s="129" t="n"/>
      <c r="CT82" s="129" t="n"/>
      <c r="CU82" s="129" t="n"/>
      <c r="CV82" s="129" t="n"/>
      <c r="CW82" s="129" t="n"/>
      <c r="CX82" s="129" t="n"/>
      <c r="CY82" s="129" t="n"/>
      <c r="CZ82" s="129" t="n"/>
      <c r="DA82" s="129" t="n"/>
      <c r="DB82" s="129" t="n"/>
      <c r="DC82" s="129" t="n"/>
      <c r="DD82" s="129" t="n"/>
      <c r="DE82" s="129" t="n"/>
      <c r="DF82" s="129" t="n"/>
      <c r="DG82" s="129" t="n"/>
      <c r="DH82" s="129" t="n"/>
      <c r="DI82" s="129" t="n"/>
      <c r="DJ82" s="129" t="n"/>
      <c r="DK82" s="129" t="n"/>
      <c r="DL82" s="129" t="n"/>
      <c r="DM82" s="129" t="n"/>
      <c r="DN82" s="129" t="n"/>
      <c r="DO82" s="129" t="n"/>
      <c r="DP82" s="129" t="n"/>
      <c r="DQ82" s="129" t="n"/>
      <c r="DR82" s="129" t="n"/>
      <c r="DS82" s="129" t="n"/>
      <c r="DT82" s="129" t="n"/>
      <c r="DU82" s="129" t="n"/>
      <c r="DV82" s="129" t="n"/>
      <c r="DW82" s="129" t="n"/>
      <c r="DX82" s="129" t="n"/>
      <c r="DY82" s="129" t="n"/>
      <c r="DZ82" s="129" t="n"/>
      <c r="EA82" s="129" t="n"/>
      <c r="EB82" s="129" t="n"/>
      <c r="EC82" s="129" t="n"/>
      <c r="ED82" s="129" t="n"/>
      <c r="EE82" s="129" t="n"/>
      <c r="EF82" s="129" t="n"/>
      <c r="EG82" s="129" t="n"/>
      <c r="EH82" s="129" t="n"/>
      <c r="EI82" s="129" t="n"/>
      <c r="EJ82" s="129" t="n"/>
      <c r="EK82" s="129" t="n"/>
      <c r="EL82" s="129" t="n"/>
      <c r="EM82" s="129" t="n"/>
      <c r="EN82" s="129" t="n"/>
      <c r="EO82" s="129" t="n"/>
      <c r="EP82" s="129" t="n"/>
      <c r="EQ82" s="129" t="n"/>
      <c r="ER82" s="129" t="n"/>
      <c r="ES82" s="129" t="n"/>
      <c r="ET82" s="129" t="n"/>
      <c r="EU82" s="129" t="n"/>
      <c r="EV82" s="129" t="n"/>
      <c r="EW82" s="129" t="n"/>
      <c r="EX82" s="129" t="n"/>
      <c r="EY82" s="129" t="n"/>
      <c r="EZ82" s="129" t="n"/>
      <c r="FA82" s="129" t="n"/>
      <c r="FB82" s="129" t="n"/>
      <c r="FC82" s="129" t="n"/>
      <c r="FD82" s="129" t="n"/>
      <c r="FE82" s="129" t="n"/>
      <c r="FF82" s="129" t="n"/>
      <c r="FG82" s="129" t="n"/>
      <c r="FH82" s="129" t="n"/>
      <c r="FI82" s="129" t="n"/>
      <c r="FJ82" s="129" t="n"/>
      <c r="FK82" s="129" t="n"/>
      <c r="FL82" s="129" t="n"/>
      <c r="FM82" s="129" t="n"/>
    </row>
    <row r="83" s="135">
      <c r="A83" s="90" t="n">
        <v>35216</v>
      </c>
      <c r="B83" s="91" t="n">
        <v>0.131</v>
      </c>
      <c r="C83" s="79" t="n"/>
      <c r="D83" s="129" t="n"/>
      <c r="E83" s="129" t="n"/>
      <c r="F83" s="129" t="n"/>
      <c r="G83" s="129" t="n"/>
      <c r="H83" s="129" t="n"/>
      <c r="I83" s="129" t="n"/>
      <c r="J83" s="129" t="n"/>
      <c r="K83" s="129" t="n"/>
      <c r="L83" s="129" t="n"/>
      <c r="M83" s="129" t="n"/>
      <c r="N83" s="129" t="n"/>
      <c r="O83" s="129" t="n"/>
      <c r="P83" s="129" t="n"/>
      <c r="Q83" s="129" t="n"/>
      <c r="R83" s="129" t="n"/>
      <c r="S83" s="129" t="n"/>
      <c r="T83" s="129" t="n"/>
      <c r="U83" s="129" t="n"/>
      <c r="V83" s="129" t="n"/>
      <c r="W83" s="129" t="n"/>
      <c r="X83" s="129" t="n"/>
      <c r="Y83" s="129" t="n"/>
      <c r="Z83" s="129" t="n"/>
      <c r="AA83" s="129" t="n"/>
      <c r="AB83" s="129" t="n"/>
      <c r="AC83" s="129" t="n"/>
      <c r="AD83" s="129" t="n"/>
      <c r="AE83" s="129" t="n"/>
      <c r="AF83" s="129" t="n"/>
      <c r="AG83" s="129" t="n"/>
      <c r="AH83" s="129" t="n"/>
      <c r="AI83" s="129" t="n"/>
      <c r="AJ83" s="129" t="n"/>
      <c r="AK83" s="129" t="n"/>
      <c r="AL83" s="129" t="n"/>
      <c r="AM83" s="129" t="n"/>
      <c r="AN83" s="129" t="n"/>
      <c r="AO83" s="129" t="n"/>
      <c r="AP83" s="129" t="n"/>
      <c r="AQ83" s="129" t="n"/>
      <c r="AR83" s="129" t="n"/>
      <c r="AS83" s="129" t="n"/>
      <c r="AT83" s="129" t="n"/>
      <c r="AU83" s="129" t="n"/>
      <c r="AV83" s="129" t="n"/>
      <c r="AW83" s="129" t="n"/>
      <c r="AX83" s="129" t="n"/>
      <c r="AY83" s="129" t="n"/>
      <c r="AZ83" s="129" t="n"/>
      <c r="BA83" s="129" t="n"/>
      <c r="BB83" s="129" t="n"/>
      <c r="BC83" s="129" t="n"/>
      <c r="BD83" s="129" t="n"/>
      <c r="BE83" s="129" t="n"/>
      <c r="BF83" s="129" t="n"/>
      <c r="BG83" s="129" t="n"/>
      <c r="BH83" s="129" t="n"/>
      <c r="BI83" s="129" t="n"/>
      <c r="BJ83" s="129" t="n"/>
      <c r="BK83" s="129" t="n"/>
      <c r="BL83" s="129" t="n"/>
      <c r="BM83" s="129" t="n"/>
      <c r="BN83" s="129" t="n"/>
      <c r="BO83" s="129" t="n"/>
      <c r="BP83" s="129" t="n"/>
      <c r="BQ83" s="129" t="n"/>
      <c r="BR83" s="129" t="n"/>
      <c r="BS83" s="129" t="n"/>
      <c r="BT83" s="129" t="n"/>
      <c r="BU83" s="129" t="n"/>
      <c r="BV83" s="129" t="n"/>
      <c r="BW83" s="129" t="n"/>
      <c r="BX83" s="129" t="n"/>
      <c r="BY83" s="129" t="n"/>
      <c r="BZ83" s="129" t="n"/>
      <c r="CA83" s="129" t="n"/>
      <c r="CB83" s="129" t="n"/>
      <c r="CC83" s="129" t="n"/>
      <c r="CD83" s="129" t="n"/>
      <c r="CE83" s="129" t="n"/>
      <c r="CF83" s="129" t="n"/>
      <c r="CG83" s="129" t="n"/>
      <c r="CH83" s="129" t="n"/>
      <c r="CI83" s="129" t="n"/>
      <c r="CJ83" s="129" t="n"/>
      <c r="CK83" s="129" t="n"/>
      <c r="CL83" s="129" t="n"/>
      <c r="CM83" s="129" t="n"/>
      <c r="CN83" s="129" t="n"/>
      <c r="CO83" s="129" t="n"/>
      <c r="CP83" s="129" t="n"/>
      <c r="CQ83" s="129" t="n"/>
      <c r="CR83" s="129" t="n"/>
      <c r="CS83" s="129" t="n"/>
      <c r="CT83" s="129" t="n"/>
      <c r="CU83" s="129" t="n"/>
      <c r="CV83" s="129" t="n"/>
      <c r="CW83" s="129" t="n"/>
      <c r="CX83" s="129" t="n"/>
      <c r="CY83" s="129" t="n"/>
      <c r="CZ83" s="129" t="n"/>
      <c r="DA83" s="129" t="n"/>
      <c r="DB83" s="129" t="n"/>
      <c r="DC83" s="129" t="n"/>
      <c r="DD83" s="129" t="n"/>
      <c r="DE83" s="129" t="n"/>
      <c r="DF83" s="129" t="n"/>
      <c r="DG83" s="129" t="n"/>
      <c r="DH83" s="129" t="n"/>
      <c r="DI83" s="129" t="n"/>
      <c r="DJ83" s="129" t="n"/>
      <c r="DK83" s="129" t="n"/>
      <c r="DL83" s="129" t="n"/>
      <c r="DM83" s="129" t="n"/>
      <c r="DN83" s="129" t="n"/>
      <c r="DO83" s="129" t="n"/>
      <c r="DP83" s="129" t="n"/>
      <c r="DQ83" s="129" t="n"/>
      <c r="DR83" s="129" t="n"/>
      <c r="DS83" s="129" t="n"/>
      <c r="DT83" s="129" t="n"/>
      <c r="DU83" s="129" t="n"/>
      <c r="DV83" s="129" t="n"/>
      <c r="DW83" s="129" t="n"/>
      <c r="DX83" s="129" t="n"/>
      <c r="DY83" s="129" t="n"/>
      <c r="DZ83" s="129" t="n"/>
      <c r="EA83" s="129" t="n"/>
      <c r="EB83" s="129" t="n"/>
      <c r="EC83" s="129" t="n"/>
      <c r="ED83" s="129" t="n"/>
      <c r="EE83" s="129" t="n"/>
      <c r="EF83" s="129" t="n"/>
      <c r="EG83" s="129" t="n"/>
      <c r="EH83" s="129" t="n"/>
      <c r="EI83" s="129" t="n"/>
      <c r="EJ83" s="129" t="n"/>
      <c r="EK83" s="129" t="n"/>
      <c r="EL83" s="129" t="n"/>
      <c r="EM83" s="129" t="n"/>
      <c r="EN83" s="129" t="n"/>
      <c r="EO83" s="129" t="n"/>
      <c r="EP83" s="129" t="n"/>
      <c r="EQ83" s="129" t="n"/>
      <c r="ER83" s="129" t="n"/>
      <c r="ES83" s="129" t="n"/>
      <c r="ET83" s="129" t="n"/>
      <c r="EU83" s="129" t="n"/>
      <c r="EV83" s="129" t="n"/>
      <c r="EW83" s="129" t="n"/>
      <c r="EX83" s="129" t="n"/>
      <c r="EY83" s="129" t="n"/>
      <c r="EZ83" s="129" t="n"/>
      <c r="FA83" s="129" t="n"/>
      <c r="FB83" s="129" t="n"/>
      <c r="FC83" s="129" t="n"/>
      <c r="FD83" s="129" t="n"/>
      <c r="FE83" s="129" t="n"/>
      <c r="FF83" s="129" t="n"/>
      <c r="FG83" s="129" t="n"/>
      <c r="FH83" s="129" t="n"/>
      <c r="FI83" s="129" t="n"/>
      <c r="FJ83" s="129" t="n"/>
      <c r="FK83" s="129" t="n"/>
      <c r="FL83" s="129" t="n"/>
      <c r="FM83" s="129" t="n"/>
    </row>
    <row r="84" s="135">
      <c r="A84" s="92" t="n">
        <v>35246</v>
      </c>
      <c r="B84" s="93" t="n">
        <v>0.138</v>
      </c>
      <c r="C84" s="79" t="n"/>
      <c r="D84" s="129" t="n"/>
      <c r="E84" s="129" t="n"/>
      <c r="F84" s="129" t="n"/>
      <c r="G84" s="129" t="n"/>
      <c r="H84" s="129" t="n"/>
      <c r="I84" s="129" t="n"/>
      <c r="J84" s="129" t="n"/>
      <c r="K84" s="129" t="n"/>
      <c r="L84" s="129" t="n"/>
      <c r="M84" s="129" t="n"/>
      <c r="N84" s="129" t="n"/>
      <c r="O84" s="129" t="n"/>
      <c r="P84" s="129" t="n"/>
      <c r="Q84" s="129" t="n"/>
      <c r="R84" s="129" t="n"/>
      <c r="S84" s="129" t="n"/>
      <c r="T84" s="129" t="n"/>
      <c r="U84" s="129" t="n"/>
      <c r="V84" s="129" t="n"/>
      <c r="W84" s="129" t="n"/>
      <c r="X84" s="129" t="n"/>
      <c r="Y84" s="129" t="n"/>
      <c r="Z84" s="129" t="n"/>
      <c r="AA84" s="129" t="n"/>
      <c r="AB84" s="129" t="n"/>
      <c r="AC84" s="129" t="n"/>
      <c r="AD84" s="129" t="n"/>
      <c r="AE84" s="129" t="n"/>
      <c r="AF84" s="129" t="n"/>
      <c r="AG84" s="129" t="n"/>
      <c r="AH84" s="129" t="n"/>
      <c r="AI84" s="129" t="n"/>
      <c r="AJ84" s="129" t="n"/>
      <c r="AK84" s="129" t="n"/>
      <c r="AL84" s="129" t="n"/>
      <c r="AM84" s="129" t="n"/>
      <c r="AN84" s="129" t="n"/>
      <c r="AO84" s="129" t="n"/>
      <c r="AP84" s="129" t="n"/>
      <c r="AQ84" s="129" t="n"/>
      <c r="AR84" s="129" t="n"/>
      <c r="AS84" s="129" t="n"/>
      <c r="AT84" s="129" t="n"/>
      <c r="AU84" s="129" t="n"/>
      <c r="AV84" s="129" t="n"/>
      <c r="AW84" s="129" t="n"/>
      <c r="AX84" s="129" t="n"/>
      <c r="AY84" s="129" t="n"/>
      <c r="AZ84" s="129" t="n"/>
      <c r="BA84" s="129" t="n"/>
      <c r="BB84" s="129" t="n"/>
      <c r="BC84" s="129" t="n"/>
      <c r="BD84" s="129" t="n"/>
      <c r="BE84" s="129" t="n"/>
      <c r="BF84" s="129" t="n"/>
      <c r="BG84" s="129" t="n"/>
      <c r="BH84" s="129" t="n"/>
      <c r="BI84" s="129" t="n"/>
      <c r="BJ84" s="129" t="n"/>
      <c r="BK84" s="129" t="n"/>
      <c r="BL84" s="129" t="n"/>
      <c r="BM84" s="129" t="n"/>
      <c r="BN84" s="129" t="n"/>
      <c r="BO84" s="129" t="n"/>
      <c r="BP84" s="129" t="n"/>
      <c r="BQ84" s="129" t="n"/>
      <c r="BR84" s="129" t="n"/>
      <c r="BS84" s="129" t="n"/>
      <c r="BT84" s="129" t="n"/>
      <c r="BU84" s="129" t="n"/>
      <c r="BV84" s="129" t="n"/>
      <c r="BW84" s="129" t="n"/>
      <c r="BX84" s="129" t="n"/>
      <c r="BY84" s="129" t="n"/>
      <c r="BZ84" s="129" t="n"/>
      <c r="CA84" s="129" t="n"/>
      <c r="CB84" s="129" t="n"/>
      <c r="CC84" s="129" t="n"/>
      <c r="CD84" s="129" t="n"/>
      <c r="CE84" s="129" t="n"/>
      <c r="CF84" s="129" t="n"/>
      <c r="CG84" s="129" t="n"/>
      <c r="CH84" s="129" t="n"/>
      <c r="CI84" s="129" t="n"/>
      <c r="CJ84" s="129" t="n"/>
      <c r="CK84" s="129" t="n"/>
      <c r="CL84" s="129" t="n"/>
      <c r="CM84" s="129" t="n"/>
      <c r="CN84" s="129" t="n"/>
      <c r="CO84" s="129" t="n"/>
      <c r="CP84" s="129" t="n"/>
      <c r="CQ84" s="129" t="n"/>
      <c r="CR84" s="129" t="n"/>
      <c r="CS84" s="129" t="n"/>
      <c r="CT84" s="129" t="n"/>
      <c r="CU84" s="129" t="n"/>
      <c r="CV84" s="129" t="n"/>
      <c r="CW84" s="129" t="n"/>
      <c r="CX84" s="129" t="n"/>
      <c r="CY84" s="129" t="n"/>
      <c r="CZ84" s="129" t="n"/>
      <c r="DA84" s="129" t="n"/>
      <c r="DB84" s="129" t="n"/>
      <c r="DC84" s="129" t="n"/>
      <c r="DD84" s="129" t="n"/>
      <c r="DE84" s="129" t="n"/>
      <c r="DF84" s="129" t="n"/>
      <c r="DG84" s="129" t="n"/>
      <c r="DH84" s="129" t="n"/>
      <c r="DI84" s="129" t="n"/>
      <c r="DJ84" s="129" t="n"/>
      <c r="DK84" s="129" t="n"/>
      <c r="DL84" s="129" t="n"/>
      <c r="DM84" s="129" t="n"/>
      <c r="DN84" s="129" t="n"/>
      <c r="DO84" s="129" t="n"/>
      <c r="DP84" s="129" t="n"/>
      <c r="DQ84" s="129" t="n"/>
      <c r="DR84" s="129" t="n"/>
      <c r="DS84" s="129" t="n"/>
      <c r="DT84" s="129" t="n"/>
      <c r="DU84" s="129" t="n"/>
      <c r="DV84" s="129" t="n"/>
      <c r="DW84" s="129" t="n"/>
      <c r="DX84" s="129" t="n"/>
      <c r="DY84" s="129" t="n"/>
      <c r="DZ84" s="129" t="n"/>
      <c r="EA84" s="129" t="n"/>
      <c r="EB84" s="129" t="n"/>
      <c r="EC84" s="129" t="n"/>
      <c r="ED84" s="129" t="n"/>
      <c r="EE84" s="129" t="n"/>
      <c r="EF84" s="129" t="n"/>
      <c r="EG84" s="129" t="n"/>
      <c r="EH84" s="129" t="n"/>
      <c r="EI84" s="129" t="n"/>
      <c r="EJ84" s="129" t="n"/>
      <c r="EK84" s="129" t="n"/>
      <c r="EL84" s="129" t="n"/>
      <c r="EM84" s="129" t="n"/>
      <c r="EN84" s="129" t="n"/>
      <c r="EO84" s="129" t="n"/>
      <c r="EP84" s="129" t="n"/>
      <c r="EQ84" s="129" t="n"/>
      <c r="ER84" s="129" t="n"/>
      <c r="ES84" s="129" t="n"/>
      <c r="ET84" s="129" t="n"/>
      <c r="EU84" s="129" t="n"/>
      <c r="EV84" s="129" t="n"/>
      <c r="EW84" s="129" t="n"/>
      <c r="EX84" s="129" t="n"/>
      <c r="EY84" s="129" t="n"/>
      <c r="EZ84" s="129" t="n"/>
      <c r="FA84" s="129" t="n"/>
      <c r="FB84" s="129" t="n"/>
      <c r="FC84" s="129" t="n"/>
      <c r="FD84" s="129" t="n"/>
      <c r="FE84" s="129" t="n"/>
      <c r="FF84" s="129" t="n"/>
      <c r="FG84" s="129" t="n"/>
      <c r="FH84" s="129" t="n"/>
      <c r="FI84" s="129" t="n"/>
      <c r="FJ84" s="129" t="n"/>
      <c r="FK84" s="129" t="n"/>
      <c r="FL84" s="129" t="n"/>
      <c r="FM84" s="129" t="n"/>
    </row>
    <row r="85" s="135">
      <c r="A85" s="90" t="n">
        <v>35277</v>
      </c>
      <c r="B85" s="91" t="n">
        <v>0.122</v>
      </c>
      <c r="C85" s="79" t="n"/>
      <c r="D85" s="129" t="n"/>
      <c r="E85" s="129" t="n"/>
      <c r="F85" s="129" t="n"/>
      <c r="G85" s="129" t="n"/>
      <c r="H85" s="129" t="n"/>
      <c r="I85" s="129" t="n"/>
      <c r="J85" s="129" t="n"/>
      <c r="K85" s="129" t="n"/>
      <c r="L85" s="129" t="n"/>
      <c r="M85" s="129" t="n"/>
      <c r="N85" s="129" t="n"/>
      <c r="O85" s="129" t="n"/>
      <c r="P85" s="129" t="n"/>
      <c r="Q85" s="129" t="n"/>
      <c r="R85" s="129" t="n"/>
      <c r="S85" s="129" t="n"/>
      <c r="T85" s="129" t="n"/>
      <c r="U85" s="129" t="n"/>
      <c r="V85" s="129" t="n"/>
      <c r="W85" s="129" t="n"/>
      <c r="X85" s="129" t="n"/>
      <c r="Y85" s="129" t="n"/>
      <c r="Z85" s="129" t="n"/>
      <c r="AA85" s="129" t="n"/>
      <c r="AB85" s="129" t="n"/>
      <c r="AC85" s="129" t="n"/>
      <c r="AD85" s="129" t="n"/>
      <c r="AE85" s="129" t="n"/>
      <c r="AF85" s="129" t="n"/>
      <c r="AG85" s="129" t="n"/>
      <c r="AH85" s="129" t="n"/>
      <c r="AI85" s="129" t="n"/>
      <c r="AJ85" s="129" t="n"/>
      <c r="AK85" s="129" t="n"/>
      <c r="AL85" s="129" t="n"/>
      <c r="AM85" s="129" t="n"/>
      <c r="AN85" s="129" t="n"/>
      <c r="AO85" s="129" t="n"/>
      <c r="AP85" s="129" t="n"/>
      <c r="AQ85" s="129" t="n"/>
      <c r="AR85" s="129" t="n"/>
      <c r="AS85" s="129" t="n"/>
      <c r="AT85" s="129" t="n"/>
      <c r="AU85" s="129" t="n"/>
      <c r="AV85" s="129" t="n"/>
      <c r="AW85" s="129" t="n"/>
      <c r="AX85" s="129" t="n"/>
      <c r="AY85" s="129" t="n"/>
      <c r="AZ85" s="129" t="n"/>
      <c r="BA85" s="129" t="n"/>
      <c r="BB85" s="129" t="n"/>
      <c r="BC85" s="129" t="n"/>
      <c r="BD85" s="129" t="n"/>
      <c r="BE85" s="129" t="n"/>
      <c r="BF85" s="129" t="n"/>
      <c r="BG85" s="129" t="n"/>
      <c r="BH85" s="129" t="n"/>
      <c r="BI85" s="129" t="n"/>
      <c r="BJ85" s="129" t="n"/>
      <c r="BK85" s="129" t="n"/>
      <c r="BL85" s="129" t="n"/>
      <c r="BM85" s="129" t="n"/>
      <c r="BN85" s="129" t="n"/>
      <c r="BO85" s="129" t="n"/>
      <c r="BP85" s="129" t="n"/>
      <c r="BQ85" s="129" t="n"/>
      <c r="BR85" s="129" t="n"/>
      <c r="BS85" s="129" t="n"/>
      <c r="BT85" s="129" t="n"/>
      <c r="BU85" s="129" t="n"/>
      <c r="BV85" s="129" t="n"/>
      <c r="BW85" s="129" t="n"/>
      <c r="BX85" s="129" t="n"/>
      <c r="BY85" s="129" t="n"/>
      <c r="BZ85" s="129" t="n"/>
      <c r="CA85" s="129" t="n"/>
      <c r="CB85" s="129" t="n"/>
      <c r="CC85" s="129" t="n"/>
      <c r="CD85" s="129" t="n"/>
      <c r="CE85" s="129" t="n"/>
      <c r="CF85" s="129" t="n"/>
      <c r="CG85" s="129" t="n"/>
      <c r="CH85" s="129" t="n"/>
      <c r="CI85" s="129" t="n"/>
      <c r="CJ85" s="129" t="n"/>
      <c r="CK85" s="129" t="n"/>
      <c r="CL85" s="129" t="n"/>
      <c r="CM85" s="129" t="n"/>
      <c r="CN85" s="129" t="n"/>
      <c r="CO85" s="129" t="n"/>
      <c r="CP85" s="129" t="n"/>
      <c r="CQ85" s="129" t="n"/>
      <c r="CR85" s="129" t="n"/>
      <c r="CS85" s="129" t="n"/>
      <c r="CT85" s="129" t="n"/>
      <c r="CU85" s="129" t="n"/>
      <c r="CV85" s="129" t="n"/>
      <c r="CW85" s="129" t="n"/>
      <c r="CX85" s="129" t="n"/>
      <c r="CY85" s="129" t="n"/>
      <c r="CZ85" s="129" t="n"/>
      <c r="DA85" s="129" t="n"/>
      <c r="DB85" s="129" t="n"/>
      <c r="DC85" s="129" t="n"/>
      <c r="DD85" s="129" t="n"/>
      <c r="DE85" s="129" t="n"/>
      <c r="DF85" s="129" t="n"/>
      <c r="DG85" s="129" t="n"/>
      <c r="DH85" s="129" t="n"/>
      <c r="DI85" s="129" t="n"/>
      <c r="DJ85" s="129" t="n"/>
      <c r="DK85" s="129" t="n"/>
      <c r="DL85" s="129" t="n"/>
      <c r="DM85" s="129" t="n"/>
      <c r="DN85" s="129" t="n"/>
      <c r="DO85" s="129" t="n"/>
      <c r="DP85" s="129" t="n"/>
      <c r="DQ85" s="129" t="n"/>
      <c r="DR85" s="129" t="n"/>
      <c r="DS85" s="129" t="n"/>
      <c r="DT85" s="129" t="n"/>
      <c r="DU85" s="129" t="n"/>
      <c r="DV85" s="129" t="n"/>
      <c r="DW85" s="129" t="n"/>
      <c r="DX85" s="129" t="n"/>
      <c r="DY85" s="129" t="n"/>
      <c r="DZ85" s="129" t="n"/>
      <c r="EA85" s="129" t="n"/>
      <c r="EB85" s="129" t="n"/>
      <c r="EC85" s="129" t="n"/>
      <c r="ED85" s="129" t="n"/>
      <c r="EE85" s="129" t="n"/>
      <c r="EF85" s="129" t="n"/>
      <c r="EG85" s="129" t="n"/>
      <c r="EH85" s="129" t="n"/>
      <c r="EI85" s="129" t="n"/>
      <c r="EJ85" s="129" t="n"/>
      <c r="EK85" s="129" t="n"/>
      <c r="EL85" s="129" t="n"/>
      <c r="EM85" s="129" t="n"/>
      <c r="EN85" s="129" t="n"/>
      <c r="EO85" s="129" t="n"/>
      <c r="EP85" s="129" t="n"/>
      <c r="EQ85" s="129" t="n"/>
      <c r="ER85" s="129" t="n"/>
      <c r="ES85" s="129" t="n"/>
      <c r="ET85" s="129" t="n"/>
      <c r="EU85" s="129" t="n"/>
      <c r="EV85" s="129" t="n"/>
      <c r="EW85" s="129" t="n"/>
      <c r="EX85" s="129" t="n"/>
      <c r="EY85" s="129" t="n"/>
      <c r="EZ85" s="129" t="n"/>
      <c r="FA85" s="129" t="n"/>
      <c r="FB85" s="129" t="n"/>
      <c r="FC85" s="129" t="n"/>
      <c r="FD85" s="129" t="n"/>
      <c r="FE85" s="129" t="n"/>
      <c r="FF85" s="129" t="n"/>
      <c r="FG85" s="129" t="n"/>
      <c r="FH85" s="129" t="n"/>
      <c r="FI85" s="129" t="n"/>
      <c r="FJ85" s="129" t="n"/>
      <c r="FK85" s="129" t="n"/>
      <c r="FL85" s="129" t="n"/>
      <c r="FM85" s="129" t="n"/>
    </row>
    <row r="86" s="135">
      <c r="A86" s="92" t="n">
        <v>35308</v>
      </c>
      <c r="B86" s="93" t="n">
        <v>0.106</v>
      </c>
      <c r="C86" s="79" t="n"/>
      <c r="D86" s="129" t="n"/>
      <c r="E86" s="129" t="n"/>
      <c r="F86" s="129" t="n"/>
      <c r="G86" s="129" t="n"/>
      <c r="H86" s="129" t="n"/>
      <c r="I86" s="129" t="n"/>
      <c r="J86" s="129" t="n"/>
      <c r="K86" s="129" t="n"/>
      <c r="L86" s="129" t="n"/>
      <c r="M86" s="129" t="n"/>
      <c r="N86" s="129" t="n"/>
      <c r="O86" s="129" t="n"/>
      <c r="P86" s="129" t="n"/>
      <c r="Q86" s="129" t="n"/>
      <c r="R86" s="129" t="n"/>
      <c r="S86" s="129" t="n"/>
      <c r="T86" s="129" t="n"/>
      <c r="U86" s="129" t="n"/>
      <c r="V86" s="129" t="n"/>
      <c r="W86" s="129" t="n"/>
      <c r="X86" s="129" t="n"/>
      <c r="Y86" s="129" t="n"/>
      <c r="Z86" s="129" t="n"/>
      <c r="AA86" s="129" t="n"/>
      <c r="AB86" s="129" t="n"/>
      <c r="AC86" s="129" t="n"/>
      <c r="AD86" s="129" t="n"/>
      <c r="AE86" s="129" t="n"/>
      <c r="AF86" s="129" t="n"/>
      <c r="AG86" s="129" t="n"/>
      <c r="AH86" s="129" t="n"/>
      <c r="AI86" s="129" t="n"/>
      <c r="AJ86" s="129" t="n"/>
      <c r="AK86" s="129" t="n"/>
      <c r="AL86" s="129" t="n"/>
      <c r="AM86" s="129" t="n"/>
      <c r="AN86" s="129" t="n"/>
      <c r="AO86" s="129" t="n"/>
      <c r="AP86" s="129" t="n"/>
      <c r="AQ86" s="129" t="n"/>
      <c r="AR86" s="129" t="n"/>
      <c r="AS86" s="129" t="n"/>
      <c r="AT86" s="129" t="n"/>
      <c r="AU86" s="129" t="n"/>
      <c r="AV86" s="129" t="n"/>
      <c r="AW86" s="129" t="n"/>
      <c r="AX86" s="129" t="n"/>
      <c r="AY86" s="129" t="n"/>
      <c r="AZ86" s="129" t="n"/>
      <c r="BA86" s="129" t="n"/>
      <c r="BB86" s="129" t="n"/>
      <c r="BC86" s="129" t="n"/>
      <c r="BD86" s="129" t="n"/>
      <c r="BE86" s="129" t="n"/>
      <c r="BF86" s="129" t="n"/>
      <c r="BG86" s="129" t="n"/>
      <c r="BH86" s="129" t="n"/>
      <c r="BI86" s="129" t="n"/>
      <c r="BJ86" s="129" t="n"/>
      <c r="BK86" s="129" t="n"/>
      <c r="BL86" s="129" t="n"/>
      <c r="BM86" s="129" t="n"/>
      <c r="BN86" s="129" t="n"/>
      <c r="BO86" s="129" t="n"/>
      <c r="BP86" s="129" t="n"/>
      <c r="BQ86" s="129" t="n"/>
      <c r="BR86" s="129" t="n"/>
      <c r="BS86" s="129" t="n"/>
      <c r="BT86" s="129" t="n"/>
      <c r="BU86" s="129" t="n"/>
      <c r="BV86" s="129" t="n"/>
      <c r="BW86" s="129" t="n"/>
      <c r="BX86" s="129" t="n"/>
      <c r="BY86" s="129" t="n"/>
      <c r="BZ86" s="129" t="n"/>
      <c r="CA86" s="129" t="n"/>
      <c r="CB86" s="129" t="n"/>
      <c r="CC86" s="129" t="n"/>
      <c r="CD86" s="129" t="n"/>
      <c r="CE86" s="129" t="n"/>
      <c r="CF86" s="129" t="n"/>
      <c r="CG86" s="129" t="n"/>
      <c r="CH86" s="129" t="n"/>
      <c r="CI86" s="129" t="n"/>
      <c r="CJ86" s="129" t="n"/>
      <c r="CK86" s="129" t="n"/>
      <c r="CL86" s="129" t="n"/>
      <c r="CM86" s="129" t="n"/>
      <c r="CN86" s="129" t="n"/>
      <c r="CO86" s="129" t="n"/>
      <c r="CP86" s="129" t="n"/>
      <c r="CQ86" s="129" t="n"/>
      <c r="CR86" s="129" t="n"/>
      <c r="CS86" s="129" t="n"/>
      <c r="CT86" s="129" t="n"/>
      <c r="CU86" s="129" t="n"/>
      <c r="CV86" s="129" t="n"/>
      <c r="CW86" s="129" t="n"/>
      <c r="CX86" s="129" t="n"/>
      <c r="CY86" s="129" t="n"/>
      <c r="CZ86" s="129" t="n"/>
      <c r="DA86" s="129" t="n"/>
      <c r="DB86" s="129" t="n"/>
      <c r="DC86" s="129" t="n"/>
      <c r="DD86" s="129" t="n"/>
      <c r="DE86" s="129" t="n"/>
      <c r="DF86" s="129" t="n"/>
      <c r="DG86" s="129" t="n"/>
      <c r="DH86" s="129" t="n"/>
      <c r="DI86" s="129" t="n"/>
      <c r="DJ86" s="129" t="n"/>
      <c r="DK86" s="129" t="n"/>
      <c r="DL86" s="129" t="n"/>
      <c r="DM86" s="129" t="n"/>
      <c r="DN86" s="129" t="n"/>
      <c r="DO86" s="129" t="n"/>
      <c r="DP86" s="129" t="n"/>
      <c r="DQ86" s="129" t="n"/>
      <c r="DR86" s="129" t="n"/>
      <c r="DS86" s="129" t="n"/>
      <c r="DT86" s="129" t="n"/>
      <c r="DU86" s="129" t="n"/>
      <c r="DV86" s="129" t="n"/>
      <c r="DW86" s="129" t="n"/>
      <c r="DX86" s="129" t="n"/>
      <c r="DY86" s="129" t="n"/>
      <c r="DZ86" s="129" t="n"/>
      <c r="EA86" s="129" t="n"/>
      <c r="EB86" s="129" t="n"/>
      <c r="EC86" s="129" t="n"/>
      <c r="ED86" s="129" t="n"/>
      <c r="EE86" s="129" t="n"/>
      <c r="EF86" s="129" t="n"/>
      <c r="EG86" s="129" t="n"/>
      <c r="EH86" s="129" t="n"/>
      <c r="EI86" s="129" t="n"/>
      <c r="EJ86" s="129" t="n"/>
      <c r="EK86" s="129" t="n"/>
      <c r="EL86" s="129" t="n"/>
      <c r="EM86" s="129" t="n"/>
      <c r="EN86" s="129" t="n"/>
      <c r="EO86" s="129" t="n"/>
      <c r="EP86" s="129" t="n"/>
      <c r="EQ86" s="129" t="n"/>
      <c r="ER86" s="129" t="n"/>
      <c r="ES86" s="129" t="n"/>
      <c r="ET86" s="129" t="n"/>
      <c r="EU86" s="129" t="n"/>
      <c r="EV86" s="129" t="n"/>
      <c r="EW86" s="129" t="n"/>
      <c r="EX86" s="129" t="n"/>
      <c r="EY86" s="129" t="n"/>
      <c r="EZ86" s="129" t="n"/>
      <c r="FA86" s="129" t="n"/>
      <c r="FB86" s="129" t="n"/>
      <c r="FC86" s="129" t="n"/>
      <c r="FD86" s="129" t="n"/>
      <c r="FE86" s="129" t="n"/>
      <c r="FF86" s="129" t="n"/>
      <c r="FG86" s="129" t="n"/>
      <c r="FH86" s="129" t="n"/>
      <c r="FI86" s="129" t="n"/>
      <c r="FJ86" s="129" t="n"/>
      <c r="FK86" s="129" t="n"/>
      <c r="FL86" s="129" t="n"/>
      <c r="FM86" s="129" t="n"/>
    </row>
    <row r="87" s="135">
      <c r="A87" s="90" t="n">
        <v>35338</v>
      </c>
      <c r="B87" s="91" t="n">
        <v>0.137</v>
      </c>
      <c r="C87" s="79" t="n"/>
      <c r="D87" s="129" t="n"/>
      <c r="E87" s="129" t="n"/>
      <c r="F87" s="129" t="n"/>
      <c r="G87" s="129" t="n"/>
      <c r="H87" s="129" t="n"/>
      <c r="I87" s="129" t="n"/>
      <c r="J87" s="129" t="n"/>
      <c r="K87" s="129" t="n"/>
      <c r="L87" s="129" t="n"/>
      <c r="M87" s="129" t="n"/>
      <c r="N87" s="129" t="n"/>
      <c r="O87" s="129" t="n"/>
      <c r="P87" s="129" t="n"/>
      <c r="Q87" s="129" t="n"/>
      <c r="R87" s="129" t="n"/>
      <c r="S87" s="129" t="n"/>
      <c r="T87" s="129" t="n"/>
      <c r="U87" s="129" t="n"/>
      <c r="V87" s="129" t="n"/>
      <c r="W87" s="129" t="n"/>
      <c r="X87" s="129" t="n"/>
      <c r="Y87" s="129" t="n"/>
      <c r="Z87" s="129" t="n"/>
      <c r="AA87" s="129" t="n"/>
      <c r="AB87" s="129" t="n"/>
      <c r="AC87" s="129" t="n"/>
      <c r="AD87" s="129" t="n"/>
      <c r="AE87" s="129" t="n"/>
      <c r="AF87" s="129" t="n"/>
      <c r="AG87" s="129" t="n"/>
      <c r="AH87" s="129" t="n"/>
      <c r="AI87" s="129" t="n"/>
      <c r="AJ87" s="129" t="n"/>
      <c r="AK87" s="129" t="n"/>
      <c r="AL87" s="129" t="n"/>
      <c r="AM87" s="129" t="n"/>
      <c r="AN87" s="129" t="n"/>
      <c r="AO87" s="129" t="n"/>
      <c r="AP87" s="129" t="n"/>
      <c r="AQ87" s="129" t="n"/>
      <c r="AR87" s="129" t="n"/>
      <c r="AS87" s="129" t="n"/>
      <c r="AT87" s="129" t="n"/>
      <c r="AU87" s="129" t="n"/>
      <c r="AV87" s="129" t="n"/>
      <c r="AW87" s="129" t="n"/>
      <c r="AX87" s="129" t="n"/>
      <c r="AY87" s="129" t="n"/>
      <c r="AZ87" s="129" t="n"/>
      <c r="BA87" s="129" t="n"/>
      <c r="BB87" s="129" t="n"/>
      <c r="BC87" s="129" t="n"/>
      <c r="BD87" s="129" t="n"/>
      <c r="BE87" s="129" t="n"/>
      <c r="BF87" s="129" t="n"/>
      <c r="BG87" s="129" t="n"/>
      <c r="BH87" s="129" t="n"/>
      <c r="BI87" s="129" t="n"/>
      <c r="BJ87" s="129" t="n"/>
      <c r="BK87" s="129" t="n"/>
      <c r="BL87" s="129" t="n"/>
      <c r="BM87" s="129" t="n"/>
      <c r="BN87" s="129" t="n"/>
      <c r="BO87" s="129" t="n"/>
      <c r="BP87" s="129" t="n"/>
      <c r="BQ87" s="129" t="n"/>
      <c r="BR87" s="129" t="n"/>
      <c r="BS87" s="129" t="n"/>
      <c r="BT87" s="129" t="n"/>
      <c r="BU87" s="129" t="n"/>
      <c r="BV87" s="129" t="n"/>
      <c r="BW87" s="129" t="n"/>
      <c r="BX87" s="129" t="n"/>
      <c r="BY87" s="129" t="n"/>
      <c r="BZ87" s="129" t="n"/>
      <c r="CA87" s="129" t="n"/>
      <c r="CB87" s="129" t="n"/>
      <c r="CC87" s="129" t="n"/>
      <c r="CD87" s="129" t="n"/>
      <c r="CE87" s="129" t="n"/>
      <c r="CF87" s="129" t="n"/>
      <c r="CG87" s="129" t="n"/>
      <c r="CH87" s="129" t="n"/>
      <c r="CI87" s="129" t="n"/>
      <c r="CJ87" s="129" t="n"/>
      <c r="CK87" s="129" t="n"/>
      <c r="CL87" s="129" t="n"/>
      <c r="CM87" s="129" t="n"/>
      <c r="CN87" s="129" t="n"/>
      <c r="CO87" s="129" t="n"/>
      <c r="CP87" s="129" t="n"/>
      <c r="CQ87" s="129" t="n"/>
      <c r="CR87" s="129" t="n"/>
      <c r="CS87" s="129" t="n"/>
      <c r="CT87" s="129" t="n"/>
      <c r="CU87" s="129" t="n"/>
      <c r="CV87" s="129" t="n"/>
      <c r="CW87" s="129" t="n"/>
      <c r="CX87" s="129" t="n"/>
      <c r="CY87" s="129" t="n"/>
      <c r="CZ87" s="129" t="n"/>
      <c r="DA87" s="129" t="n"/>
      <c r="DB87" s="129" t="n"/>
      <c r="DC87" s="129" t="n"/>
      <c r="DD87" s="129" t="n"/>
      <c r="DE87" s="129" t="n"/>
      <c r="DF87" s="129" t="n"/>
      <c r="DG87" s="129" t="n"/>
      <c r="DH87" s="129" t="n"/>
      <c r="DI87" s="129" t="n"/>
      <c r="DJ87" s="129" t="n"/>
      <c r="DK87" s="129" t="n"/>
      <c r="DL87" s="129" t="n"/>
      <c r="DM87" s="129" t="n"/>
      <c r="DN87" s="129" t="n"/>
      <c r="DO87" s="129" t="n"/>
      <c r="DP87" s="129" t="n"/>
      <c r="DQ87" s="129" t="n"/>
      <c r="DR87" s="129" t="n"/>
      <c r="DS87" s="129" t="n"/>
      <c r="DT87" s="129" t="n"/>
      <c r="DU87" s="129" t="n"/>
      <c r="DV87" s="129" t="n"/>
      <c r="DW87" s="129" t="n"/>
      <c r="DX87" s="129" t="n"/>
      <c r="DY87" s="129" t="n"/>
      <c r="DZ87" s="129" t="n"/>
      <c r="EA87" s="129" t="n"/>
      <c r="EB87" s="129" t="n"/>
      <c r="EC87" s="129" t="n"/>
      <c r="ED87" s="129" t="n"/>
      <c r="EE87" s="129" t="n"/>
      <c r="EF87" s="129" t="n"/>
      <c r="EG87" s="129" t="n"/>
      <c r="EH87" s="129" t="n"/>
      <c r="EI87" s="129" t="n"/>
      <c r="EJ87" s="129" t="n"/>
      <c r="EK87" s="129" t="n"/>
      <c r="EL87" s="129" t="n"/>
      <c r="EM87" s="129" t="n"/>
      <c r="EN87" s="129" t="n"/>
      <c r="EO87" s="129" t="n"/>
      <c r="EP87" s="129" t="n"/>
      <c r="EQ87" s="129" t="n"/>
      <c r="ER87" s="129" t="n"/>
      <c r="ES87" s="129" t="n"/>
      <c r="ET87" s="129" t="n"/>
      <c r="EU87" s="129" t="n"/>
      <c r="EV87" s="129" t="n"/>
      <c r="EW87" s="129" t="n"/>
      <c r="EX87" s="129" t="n"/>
      <c r="EY87" s="129" t="n"/>
      <c r="EZ87" s="129" t="n"/>
      <c r="FA87" s="129" t="n"/>
      <c r="FB87" s="129" t="n"/>
      <c r="FC87" s="129" t="n"/>
      <c r="FD87" s="129" t="n"/>
      <c r="FE87" s="129" t="n"/>
      <c r="FF87" s="129" t="n"/>
      <c r="FG87" s="129" t="n"/>
      <c r="FH87" s="129" t="n"/>
      <c r="FI87" s="129" t="n"/>
      <c r="FJ87" s="129" t="n"/>
      <c r="FK87" s="129" t="n"/>
      <c r="FL87" s="129" t="n"/>
      <c r="FM87" s="129" t="n"/>
    </row>
    <row r="88" s="135">
      <c r="A88" s="92" t="n">
        <v>35369</v>
      </c>
      <c r="B88" s="93" t="n">
        <v>0.133</v>
      </c>
      <c r="C88" s="79" t="n"/>
      <c r="D88" s="129" t="n"/>
      <c r="E88" s="129" t="n"/>
      <c r="F88" s="129" t="n"/>
      <c r="G88" s="129" t="n"/>
      <c r="H88" s="129" t="n"/>
      <c r="I88" s="129" t="n"/>
      <c r="J88" s="129" t="n"/>
      <c r="K88" s="129" t="n"/>
      <c r="L88" s="129" t="n"/>
      <c r="M88" s="129" t="n"/>
      <c r="N88" s="129" t="n"/>
      <c r="O88" s="129" t="n"/>
      <c r="P88" s="129" t="n"/>
      <c r="Q88" s="129" t="n"/>
      <c r="R88" s="129" t="n"/>
      <c r="S88" s="129" t="n"/>
      <c r="T88" s="129" t="n"/>
      <c r="U88" s="129" t="n"/>
      <c r="V88" s="129" t="n"/>
      <c r="W88" s="129" t="n"/>
      <c r="X88" s="129" t="n"/>
      <c r="Y88" s="129" t="n"/>
      <c r="Z88" s="129" t="n"/>
      <c r="AA88" s="129" t="n"/>
      <c r="AB88" s="129" t="n"/>
      <c r="AC88" s="129" t="n"/>
      <c r="AD88" s="129" t="n"/>
      <c r="AE88" s="129" t="n"/>
      <c r="AF88" s="129" t="n"/>
      <c r="AG88" s="129" t="n"/>
      <c r="AH88" s="129" t="n"/>
      <c r="AI88" s="129" t="n"/>
      <c r="AJ88" s="129" t="n"/>
      <c r="AK88" s="129" t="n"/>
      <c r="AL88" s="129" t="n"/>
      <c r="AM88" s="129" t="n"/>
      <c r="AN88" s="129" t="n"/>
      <c r="AO88" s="129" t="n"/>
      <c r="AP88" s="129" t="n"/>
      <c r="AQ88" s="129" t="n"/>
      <c r="AR88" s="129" t="n"/>
      <c r="AS88" s="129" t="n"/>
      <c r="AT88" s="129" t="n"/>
      <c r="AU88" s="129" t="n"/>
      <c r="AV88" s="129" t="n"/>
      <c r="AW88" s="129" t="n"/>
      <c r="AX88" s="129" t="n"/>
      <c r="AY88" s="129" t="n"/>
      <c r="AZ88" s="129" t="n"/>
      <c r="BA88" s="129" t="n"/>
      <c r="BB88" s="129" t="n"/>
      <c r="BC88" s="129" t="n"/>
      <c r="BD88" s="129" t="n"/>
      <c r="BE88" s="129" t="n"/>
      <c r="BF88" s="129" t="n"/>
      <c r="BG88" s="129" t="n"/>
      <c r="BH88" s="129" t="n"/>
      <c r="BI88" s="129" t="n"/>
      <c r="BJ88" s="129" t="n"/>
      <c r="BK88" s="129" t="n"/>
      <c r="BL88" s="129" t="n"/>
      <c r="BM88" s="129" t="n"/>
      <c r="BN88" s="129" t="n"/>
      <c r="BO88" s="129" t="n"/>
      <c r="BP88" s="129" t="n"/>
      <c r="BQ88" s="129" t="n"/>
      <c r="BR88" s="129" t="n"/>
      <c r="BS88" s="129" t="n"/>
      <c r="BT88" s="129" t="n"/>
      <c r="BU88" s="129" t="n"/>
      <c r="BV88" s="129" t="n"/>
      <c r="BW88" s="129" t="n"/>
      <c r="BX88" s="129" t="n"/>
      <c r="BY88" s="129" t="n"/>
      <c r="BZ88" s="129" t="n"/>
      <c r="CA88" s="129" t="n"/>
      <c r="CB88" s="129" t="n"/>
      <c r="CC88" s="129" t="n"/>
      <c r="CD88" s="129" t="n"/>
      <c r="CE88" s="129" t="n"/>
      <c r="CF88" s="129" t="n"/>
      <c r="CG88" s="129" t="n"/>
      <c r="CH88" s="129" t="n"/>
      <c r="CI88" s="129" t="n"/>
      <c r="CJ88" s="129" t="n"/>
      <c r="CK88" s="129" t="n"/>
      <c r="CL88" s="129" t="n"/>
      <c r="CM88" s="129" t="n"/>
      <c r="CN88" s="129" t="n"/>
      <c r="CO88" s="129" t="n"/>
      <c r="CP88" s="129" t="n"/>
      <c r="CQ88" s="129" t="n"/>
      <c r="CR88" s="129" t="n"/>
      <c r="CS88" s="129" t="n"/>
      <c r="CT88" s="129" t="n"/>
      <c r="CU88" s="129" t="n"/>
      <c r="CV88" s="129" t="n"/>
      <c r="CW88" s="129" t="n"/>
      <c r="CX88" s="129" t="n"/>
      <c r="CY88" s="129" t="n"/>
      <c r="CZ88" s="129" t="n"/>
      <c r="DA88" s="129" t="n"/>
      <c r="DB88" s="129" t="n"/>
      <c r="DC88" s="129" t="n"/>
      <c r="DD88" s="129" t="n"/>
      <c r="DE88" s="129" t="n"/>
      <c r="DF88" s="129" t="n"/>
      <c r="DG88" s="129" t="n"/>
      <c r="DH88" s="129" t="n"/>
      <c r="DI88" s="129" t="n"/>
      <c r="DJ88" s="129" t="n"/>
      <c r="DK88" s="129" t="n"/>
      <c r="DL88" s="129" t="n"/>
      <c r="DM88" s="129" t="n"/>
      <c r="DN88" s="129" t="n"/>
      <c r="DO88" s="129" t="n"/>
      <c r="DP88" s="129" t="n"/>
      <c r="DQ88" s="129" t="n"/>
      <c r="DR88" s="129" t="n"/>
      <c r="DS88" s="129" t="n"/>
      <c r="DT88" s="129" t="n"/>
      <c r="DU88" s="129" t="n"/>
      <c r="DV88" s="129" t="n"/>
      <c r="DW88" s="129" t="n"/>
      <c r="DX88" s="129" t="n"/>
      <c r="DY88" s="129" t="n"/>
      <c r="DZ88" s="129" t="n"/>
      <c r="EA88" s="129" t="n"/>
      <c r="EB88" s="129" t="n"/>
      <c r="EC88" s="129" t="n"/>
      <c r="ED88" s="129" t="n"/>
      <c r="EE88" s="129" t="n"/>
      <c r="EF88" s="129" t="n"/>
      <c r="EG88" s="129" t="n"/>
      <c r="EH88" s="129" t="n"/>
      <c r="EI88" s="129" t="n"/>
      <c r="EJ88" s="129" t="n"/>
      <c r="EK88" s="129" t="n"/>
      <c r="EL88" s="129" t="n"/>
      <c r="EM88" s="129" t="n"/>
      <c r="EN88" s="129" t="n"/>
      <c r="EO88" s="129" t="n"/>
      <c r="EP88" s="129" t="n"/>
      <c r="EQ88" s="129" t="n"/>
      <c r="ER88" s="129" t="n"/>
      <c r="ES88" s="129" t="n"/>
      <c r="ET88" s="129" t="n"/>
      <c r="EU88" s="129" t="n"/>
      <c r="EV88" s="129" t="n"/>
      <c r="EW88" s="129" t="n"/>
      <c r="EX88" s="129" t="n"/>
      <c r="EY88" s="129" t="n"/>
      <c r="EZ88" s="129" t="n"/>
      <c r="FA88" s="129" t="n"/>
      <c r="FB88" s="129" t="n"/>
      <c r="FC88" s="129" t="n"/>
      <c r="FD88" s="129" t="n"/>
      <c r="FE88" s="129" t="n"/>
      <c r="FF88" s="129" t="n"/>
      <c r="FG88" s="129" t="n"/>
      <c r="FH88" s="129" t="n"/>
      <c r="FI88" s="129" t="n"/>
      <c r="FJ88" s="129" t="n"/>
      <c r="FK88" s="129" t="n"/>
      <c r="FL88" s="129" t="n"/>
      <c r="FM88" s="129" t="n"/>
    </row>
    <row r="89" s="135">
      <c r="A89" s="90" t="n">
        <v>35399</v>
      </c>
      <c r="B89" s="91" t="n">
        <v>0.134</v>
      </c>
      <c r="C89" s="79" t="n"/>
      <c r="D89" s="129" t="n"/>
      <c r="E89" s="129" t="n"/>
      <c r="F89" s="129" t="n"/>
      <c r="G89" s="129" t="n"/>
      <c r="H89" s="129" t="n"/>
      <c r="I89" s="129" t="n"/>
      <c r="J89" s="129" t="n"/>
      <c r="K89" s="129" t="n"/>
      <c r="L89" s="129" t="n"/>
      <c r="M89" s="129" t="n"/>
      <c r="N89" s="129" t="n"/>
      <c r="O89" s="129" t="n"/>
      <c r="P89" s="129" t="n"/>
      <c r="Q89" s="129" t="n"/>
      <c r="R89" s="129" t="n"/>
      <c r="S89" s="129" t="n"/>
      <c r="T89" s="129" t="n"/>
      <c r="U89" s="129" t="n"/>
      <c r="V89" s="129" t="n"/>
      <c r="W89" s="129" t="n"/>
      <c r="X89" s="129" t="n"/>
      <c r="Y89" s="129" t="n"/>
      <c r="Z89" s="129" t="n"/>
      <c r="AA89" s="129" t="n"/>
      <c r="AB89" s="129" t="n"/>
      <c r="AC89" s="129" t="n"/>
      <c r="AD89" s="129" t="n"/>
      <c r="AE89" s="129" t="n"/>
      <c r="AF89" s="129" t="n"/>
      <c r="AG89" s="129" t="n"/>
      <c r="AH89" s="129" t="n"/>
      <c r="AI89" s="129" t="n"/>
      <c r="AJ89" s="129" t="n"/>
      <c r="AK89" s="129" t="n"/>
      <c r="AL89" s="129" t="n"/>
      <c r="AM89" s="129" t="n"/>
      <c r="AN89" s="129" t="n"/>
      <c r="AO89" s="129" t="n"/>
      <c r="AP89" s="129" t="n"/>
      <c r="AQ89" s="129" t="n"/>
      <c r="AR89" s="129" t="n"/>
      <c r="AS89" s="129" t="n"/>
      <c r="AT89" s="129" t="n"/>
      <c r="AU89" s="129" t="n"/>
      <c r="AV89" s="129" t="n"/>
      <c r="AW89" s="129" t="n"/>
      <c r="AX89" s="129" t="n"/>
      <c r="AY89" s="129" t="n"/>
      <c r="AZ89" s="129" t="n"/>
      <c r="BA89" s="129" t="n"/>
      <c r="BB89" s="129" t="n"/>
      <c r="BC89" s="129" t="n"/>
      <c r="BD89" s="129" t="n"/>
      <c r="BE89" s="129" t="n"/>
      <c r="BF89" s="129" t="n"/>
      <c r="BG89" s="129" t="n"/>
      <c r="BH89" s="129" t="n"/>
      <c r="BI89" s="129" t="n"/>
      <c r="BJ89" s="129" t="n"/>
      <c r="BK89" s="129" t="n"/>
      <c r="BL89" s="129" t="n"/>
      <c r="BM89" s="129" t="n"/>
      <c r="BN89" s="129" t="n"/>
      <c r="BO89" s="129" t="n"/>
      <c r="BP89" s="129" t="n"/>
      <c r="BQ89" s="129" t="n"/>
      <c r="BR89" s="129" t="n"/>
      <c r="BS89" s="129" t="n"/>
      <c r="BT89" s="129" t="n"/>
      <c r="BU89" s="129" t="n"/>
      <c r="BV89" s="129" t="n"/>
      <c r="BW89" s="129" t="n"/>
      <c r="BX89" s="129" t="n"/>
      <c r="BY89" s="129" t="n"/>
      <c r="BZ89" s="129" t="n"/>
      <c r="CA89" s="129" t="n"/>
      <c r="CB89" s="129" t="n"/>
      <c r="CC89" s="129" t="n"/>
      <c r="CD89" s="129" t="n"/>
      <c r="CE89" s="129" t="n"/>
      <c r="CF89" s="129" t="n"/>
      <c r="CG89" s="129" t="n"/>
      <c r="CH89" s="129" t="n"/>
      <c r="CI89" s="129" t="n"/>
      <c r="CJ89" s="129" t="n"/>
      <c r="CK89" s="129" t="n"/>
      <c r="CL89" s="129" t="n"/>
      <c r="CM89" s="129" t="n"/>
      <c r="CN89" s="129" t="n"/>
      <c r="CO89" s="129" t="n"/>
      <c r="CP89" s="129" t="n"/>
      <c r="CQ89" s="129" t="n"/>
      <c r="CR89" s="129" t="n"/>
      <c r="CS89" s="129" t="n"/>
      <c r="CT89" s="129" t="n"/>
      <c r="CU89" s="129" t="n"/>
      <c r="CV89" s="129" t="n"/>
      <c r="CW89" s="129" t="n"/>
      <c r="CX89" s="129" t="n"/>
      <c r="CY89" s="129" t="n"/>
      <c r="CZ89" s="129" t="n"/>
      <c r="DA89" s="129" t="n"/>
      <c r="DB89" s="129" t="n"/>
      <c r="DC89" s="129" t="n"/>
      <c r="DD89" s="129" t="n"/>
      <c r="DE89" s="129" t="n"/>
      <c r="DF89" s="129" t="n"/>
      <c r="DG89" s="129" t="n"/>
      <c r="DH89" s="129" t="n"/>
      <c r="DI89" s="129" t="n"/>
      <c r="DJ89" s="129" t="n"/>
      <c r="DK89" s="129" t="n"/>
      <c r="DL89" s="129" t="n"/>
      <c r="DM89" s="129" t="n"/>
      <c r="DN89" s="129" t="n"/>
      <c r="DO89" s="129" t="n"/>
      <c r="DP89" s="129" t="n"/>
      <c r="DQ89" s="129" t="n"/>
      <c r="DR89" s="129" t="n"/>
      <c r="DS89" s="129" t="n"/>
      <c r="DT89" s="129" t="n"/>
      <c r="DU89" s="129" t="n"/>
      <c r="DV89" s="129" t="n"/>
      <c r="DW89" s="129" t="n"/>
      <c r="DX89" s="129" t="n"/>
      <c r="DY89" s="129" t="n"/>
      <c r="DZ89" s="129" t="n"/>
      <c r="EA89" s="129" t="n"/>
      <c r="EB89" s="129" t="n"/>
      <c r="EC89" s="129" t="n"/>
      <c r="ED89" s="129" t="n"/>
      <c r="EE89" s="129" t="n"/>
      <c r="EF89" s="129" t="n"/>
      <c r="EG89" s="129" t="n"/>
      <c r="EH89" s="129" t="n"/>
      <c r="EI89" s="129" t="n"/>
      <c r="EJ89" s="129" t="n"/>
      <c r="EK89" s="129" t="n"/>
      <c r="EL89" s="129" t="n"/>
      <c r="EM89" s="129" t="n"/>
      <c r="EN89" s="129" t="n"/>
      <c r="EO89" s="129" t="n"/>
      <c r="EP89" s="129" t="n"/>
      <c r="EQ89" s="129" t="n"/>
      <c r="ER89" s="129" t="n"/>
      <c r="ES89" s="129" t="n"/>
      <c r="ET89" s="129" t="n"/>
      <c r="EU89" s="129" t="n"/>
      <c r="EV89" s="129" t="n"/>
      <c r="EW89" s="129" t="n"/>
      <c r="EX89" s="129" t="n"/>
      <c r="EY89" s="129" t="n"/>
      <c r="EZ89" s="129" t="n"/>
      <c r="FA89" s="129" t="n"/>
      <c r="FB89" s="129" t="n"/>
      <c r="FC89" s="129" t="n"/>
      <c r="FD89" s="129" t="n"/>
      <c r="FE89" s="129" t="n"/>
      <c r="FF89" s="129" t="n"/>
      <c r="FG89" s="129" t="n"/>
      <c r="FH89" s="129" t="n"/>
      <c r="FI89" s="129" t="n"/>
      <c r="FJ89" s="129" t="n"/>
      <c r="FK89" s="129" t="n"/>
      <c r="FL89" s="129" t="n"/>
      <c r="FM89" s="129" t="n"/>
    </row>
    <row r="90" s="135">
      <c r="A90" s="92" t="n">
        <v>35430</v>
      </c>
      <c r="B90" s="93" t="n">
        <v>0.14</v>
      </c>
      <c r="C90" s="79" t="n"/>
      <c r="D90" s="129" t="n"/>
      <c r="E90" s="129" t="n"/>
      <c r="F90" s="129" t="n"/>
      <c r="G90" s="129" t="n"/>
      <c r="H90" s="129" t="n"/>
      <c r="I90" s="129" t="n"/>
      <c r="J90" s="129" t="n"/>
      <c r="K90" s="129" t="n"/>
      <c r="L90" s="129" t="n"/>
      <c r="M90" s="129" t="n"/>
      <c r="N90" s="129" t="n"/>
      <c r="O90" s="129" t="n"/>
      <c r="P90" s="129" t="n"/>
      <c r="Q90" s="129" t="n"/>
      <c r="R90" s="129" t="n"/>
      <c r="S90" s="129" t="n"/>
      <c r="T90" s="129" t="n"/>
      <c r="U90" s="129" t="n"/>
      <c r="V90" s="129" t="n"/>
      <c r="W90" s="129" t="n"/>
      <c r="X90" s="129" t="n"/>
      <c r="Y90" s="129" t="n"/>
      <c r="Z90" s="129" t="n"/>
      <c r="AA90" s="129" t="n"/>
      <c r="AB90" s="129" t="n"/>
      <c r="AC90" s="129" t="n"/>
      <c r="AD90" s="129" t="n"/>
      <c r="AE90" s="129" t="n"/>
      <c r="AF90" s="129" t="n"/>
      <c r="AG90" s="129" t="n"/>
      <c r="AH90" s="129" t="n"/>
      <c r="AI90" s="129" t="n"/>
      <c r="AJ90" s="129" t="n"/>
      <c r="AK90" s="129" t="n"/>
      <c r="AL90" s="129" t="n"/>
      <c r="AM90" s="129" t="n"/>
      <c r="AN90" s="129" t="n"/>
      <c r="AO90" s="129" t="n"/>
      <c r="AP90" s="129" t="n"/>
      <c r="AQ90" s="129" t="n"/>
      <c r="AR90" s="129" t="n"/>
      <c r="AS90" s="129" t="n"/>
      <c r="AT90" s="129" t="n"/>
      <c r="AU90" s="129" t="n"/>
      <c r="AV90" s="129" t="n"/>
      <c r="AW90" s="129" t="n"/>
      <c r="AX90" s="129" t="n"/>
      <c r="AY90" s="129" t="n"/>
      <c r="AZ90" s="129" t="n"/>
      <c r="BA90" s="129" t="n"/>
      <c r="BB90" s="129" t="n"/>
      <c r="BC90" s="129" t="n"/>
      <c r="BD90" s="129" t="n"/>
      <c r="BE90" s="129" t="n"/>
      <c r="BF90" s="129" t="n"/>
      <c r="BG90" s="129" t="n"/>
      <c r="BH90" s="129" t="n"/>
      <c r="BI90" s="129" t="n"/>
      <c r="BJ90" s="129" t="n"/>
      <c r="BK90" s="129" t="n"/>
      <c r="BL90" s="129" t="n"/>
      <c r="BM90" s="129" t="n"/>
      <c r="BN90" s="129" t="n"/>
      <c r="BO90" s="129" t="n"/>
      <c r="BP90" s="129" t="n"/>
      <c r="BQ90" s="129" t="n"/>
      <c r="BR90" s="129" t="n"/>
      <c r="BS90" s="129" t="n"/>
      <c r="BT90" s="129" t="n"/>
      <c r="BU90" s="129" t="n"/>
      <c r="BV90" s="129" t="n"/>
      <c r="BW90" s="129" t="n"/>
      <c r="BX90" s="129" t="n"/>
      <c r="BY90" s="129" t="n"/>
      <c r="BZ90" s="129" t="n"/>
      <c r="CA90" s="129" t="n"/>
      <c r="CB90" s="129" t="n"/>
      <c r="CC90" s="129" t="n"/>
      <c r="CD90" s="129" t="n"/>
      <c r="CE90" s="129" t="n"/>
      <c r="CF90" s="129" t="n"/>
      <c r="CG90" s="129" t="n"/>
      <c r="CH90" s="129" t="n"/>
      <c r="CI90" s="129" t="n"/>
      <c r="CJ90" s="129" t="n"/>
      <c r="CK90" s="129" t="n"/>
      <c r="CL90" s="129" t="n"/>
      <c r="CM90" s="129" t="n"/>
      <c r="CN90" s="129" t="n"/>
      <c r="CO90" s="129" t="n"/>
      <c r="CP90" s="129" t="n"/>
      <c r="CQ90" s="129" t="n"/>
      <c r="CR90" s="129" t="n"/>
      <c r="CS90" s="129" t="n"/>
      <c r="CT90" s="129" t="n"/>
      <c r="CU90" s="129" t="n"/>
      <c r="CV90" s="129" t="n"/>
      <c r="CW90" s="129" t="n"/>
      <c r="CX90" s="129" t="n"/>
      <c r="CY90" s="129" t="n"/>
      <c r="CZ90" s="129" t="n"/>
      <c r="DA90" s="129" t="n"/>
      <c r="DB90" s="129" t="n"/>
      <c r="DC90" s="129" t="n"/>
      <c r="DD90" s="129" t="n"/>
      <c r="DE90" s="129" t="n"/>
      <c r="DF90" s="129" t="n"/>
      <c r="DG90" s="129" t="n"/>
      <c r="DH90" s="129" t="n"/>
      <c r="DI90" s="129" t="n"/>
      <c r="DJ90" s="129" t="n"/>
      <c r="DK90" s="129" t="n"/>
      <c r="DL90" s="129" t="n"/>
      <c r="DM90" s="129" t="n"/>
      <c r="DN90" s="129" t="n"/>
      <c r="DO90" s="129" t="n"/>
      <c r="DP90" s="129" t="n"/>
      <c r="DQ90" s="129" t="n"/>
      <c r="DR90" s="129" t="n"/>
      <c r="DS90" s="129" t="n"/>
      <c r="DT90" s="129" t="n"/>
      <c r="DU90" s="129" t="n"/>
      <c r="DV90" s="129" t="n"/>
      <c r="DW90" s="129" t="n"/>
      <c r="DX90" s="129" t="n"/>
      <c r="DY90" s="129" t="n"/>
      <c r="DZ90" s="129" t="n"/>
      <c r="EA90" s="129" t="n"/>
      <c r="EB90" s="129" t="n"/>
      <c r="EC90" s="129" t="n"/>
      <c r="ED90" s="129" t="n"/>
      <c r="EE90" s="129" t="n"/>
      <c r="EF90" s="129" t="n"/>
      <c r="EG90" s="129" t="n"/>
      <c r="EH90" s="129" t="n"/>
      <c r="EI90" s="129" t="n"/>
      <c r="EJ90" s="129" t="n"/>
      <c r="EK90" s="129" t="n"/>
      <c r="EL90" s="129" t="n"/>
      <c r="EM90" s="129" t="n"/>
      <c r="EN90" s="129" t="n"/>
      <c r="EO90" s="129" t="n"/>
      <c r="EP90" s="129" t="n"/>
      <c r="EQ90" s="129" t="n"/>
      <c r="ER90" s="129" t="n"/>
      <c r="ES90" s="129" t="n"/>
      <c r="ET90" s="129" t="n"/>
      <c r="EU90" s="129" t="n"/>
      <c r="EV90" s="129" t="n"/>
      <c r="EW90" s="129" t="n"/>
      <c r="EX90" s="129" t="n"/>
      <c r="EY90" s="129" t="n"/>
      <c r="EZ90" s="129" t="n"/>
      <c r="FA90" s="129" t="n"/>
      <c r="FB90" s="129" t="n"/>
      <c r="FC90" s="129" t="n"/>
      <c r="FD90" s="129" t="n"/>
      <c r="FE90" s="129" t="n"/>
      <c r="FF90" s="129" t="n"/>
      <c r="FG90" s="129" t="n"/>
      <c r="FH90" s="129" t="n"/>
      <c r="FI90" s="129" t="n"/>
      <c r="FJ90" s="129" t="n"/>
      <c r="FK90" s="129" t="n"/>
      <c r="FL90" s="129" t="n"/>
      <c r="FM90" s="129" t="n"/>
    </row>
    <row r="91" s="135">
      <c r="A91" s="90" t="n">
        <v>35461</v>
      </c>
      <c r="B91" s="91" t="n">
        <v>0.103</v>
      </c>
      <c r="C91" s="79" t="n"/>
      <c r="D91" s="129" t="n"/>
      <c r="E91" s="129" t="n"/>
      <c r="F91" s="129" t="n"/>
      <c r="G91" s="129" t="n"/>
      <c r="H91" s="129" t="n"/>
      <c r="I91" s="129" t="n"/>
      <c r="J91" s="129" t="n"/>
      <c r="K91" s="129" t="n"/>
      <c r="L91" s="129" t="n"/>
      <c r="M91" s="129" t="n"/>
      <c r="N91" s="129" t="n"/>
      <c r="O91" s="129" t="n"/>
      <c r="P91" s="129" t="n"/>
      <c r="Q91" s="129" t="n"/>
      <c r="R91" s="129" t="n"/>
      <c r="S91" s="129" t="n"/>
      <c r="T91" s="129" t="n"/>
      <c r="U91" s="129" t="n"/>
      <c r="V91" s="129" t="n"/>
      <c r="W91" s="129" t="n"/>
      <c r="X91" s="129" t="n"/>
      <c r="Y91" s="129" t="n"/>
      <c r="Z91" s="129" t="n"/>
      <c r="AA91" s="129" t="n"/>
      <c r="AB91" s="129" t="n"/>
      <c r="AC91" s="129" t="n"/>
      <c r="AD91" s="129" t="n"/>
      <c r="AE91" s="129" t="n"/>
      <c r="AF91" s="129" t="n"/>
      <c r="AG91" s="129" t="n"/>
      <c r="AH91" s="129" t="n"/>
      <c r="AI91" s="129" t="n"/>
      <c r="AJ91" s="129" t="n"/>
      <c r="AK91" s="129" t="n"/>
      <c r="AL91" s="129" t="n"/>
      <c r="AM91" s="129" t="n"/>
      <c r="AN91" s="129" t="n"/>
      <c r="AO91" s="129" t="n"/>
      <c r="AP91" s="129" t="n"/>
      <c r="AQ91" s="129" t="n"/>
      <c r="AR91" s="129" t="n"/>
      <c r="AS91" s="129" t="n"/>
      <c r="AT91" s="129" t="n"/>
      <c r="AU91" s="129" t="n"/>
      <c r="AV91" s="129" t="n"/>
      <c r="AW91" s="129" t="n"/>
      <c r="AX91" s="129" t="n"/>
      <c r="AY91" s="129" t="n"/>
      <c r="AZ91" s="129" t="n"/>
      <c r="BA91" s="129" t="n"/>
      <c r="BB91" s="129" t="n"/>
      <c r="BC91" s="129" t="n"/>
      <c r="BD91" s="129" t="n"/>
      <c r="BE91" s="129" t="n"/>
      <c r="BF91" s="129" t="n"/>
      <c r="BG91" s="129" t="n"/>
      <c r="BH91" s="129" t="n"/>
      <c r="BI91" s="129" t="n"/>
      <c r="BJ91" s="129" t="n"/>
      <c r="BK91" s="129" t="n"/>
      <c r="BL91" s="129" t="n"/>
      <c r="BM91" s="129" t="n"/>
      <c r="BN91" s="129" t="n"/>
      <c r="BO91" s="129" t="n"/>
      <c r="BP91" s="129" t="n"/>
      <c r="BQ91" s="129" t="n"/>
      <c r="BR91" s="129" t="n"/>
      <c r="BS91" s="129" t="n"/>
      <c r="BT91" s="129" t="n"/>
      <c r="BU91" s="129" t="n"/>
      <c r="BV91" s="129" t="n"/>
      <c r="BW91" s="129" t="n"/>
      <c r="BX91" s="129" t="n"/>
      <c r="BY91" s="129" t="n"/>
      <c r="BZ91" s="129" t="n"/>
      <c r="CA91" s="129" t="n"/>
      <c r="CB91" s="129" t="n"/>
      <c r="CC91" s="129" t="n"/>
      <c r="CD91" s="129" t="n"/>
      <c r="CE91" s="129" t="n"/>
      <c r="CF91" s="129" t="n"/>
      <c r="CG91" s="129" t="n"/>
      <c r="CH91" s="129" t="n"/>
      <c r="CI91" s="129" t="n"/>
      <c r="CJ91" s="129" t="n"/>
      <c r="CK91" s="129" t="n"/>
      <c r="CL91" s="129" t="n"/>
      <c r="CM91" s="129" t="n"/>
      <c r="CN91" s="129" t="n"/>
      <c r="CO91" s="129" t="n"/>
      <c r="CP91" s="129" t="n"/>
      <c r="CQ91" s="129" t="n"/>
      <c r="CR91" s="129" t="n"/>
      <c r="CS91" s="129" t="n"/>
      <c r="CT91" s="129" t="n"/>
      <c r="CU91" s="129" t="n"/>
      <c r="CV91" s="129" t="n"/>
      <c r="CW91" s="129" t="n"/>
      <c r="CX91" s="129" t="n"/>
      <c r="CY91" s="129" t="n"/>
      <c r="CZ91" s="129" t="n"/>
      <c r="DA91" s="129" t="n"/>
      <c r="DB91" s="129" t="n"/>
      <c r="DC91" s="129" t="n"/>
      <c r="DD91" s="129" t="n"/>
      <c r="DE91" s="129" t="n"/>
      <c r="DF91" s="129" t="n"/>
      <c r="DG91" s="129" t="n"/>
      <c r="DH91" s="129" t="n"/>
      <c r="DI91" s="129" t="n"/>
      <c r="DJ91" s="129" t="n"/>
      <c r="DK91" s="129" t="n"/>
      <c r="DL91" s="129" t="n"/>
      <c r="DM91" s="129" t="n"/>
      <c r="DN91" s="129" t="n"/>
      <c r="DO91" s="129" t="n"/>
      <c r="DP91" s="129" t="n"/>
      <c r="DQ91" s="129" t="n"/>
      <c r="DR91" s="129" t="n"/>
      <c r="DS91" s="129" t="n"/>
      <c r="DT91" s="129" t="n"/>
      <c r="DU91" s="129" t="n"/>
      <c r="DV91" s="129" t="n"/>
      <c r="DW91" s="129" t="n"/>
      <c r="DX91" s="129" t="n"/>
      <c r="DY91" s="129" t="n"/>
      <c r="DZ91" s="129" t="n"/>
      <c r="EA91" s="129" t="n"/>
      <c r="EB91" s="129" t="n"/>
      <c r="EC91" s="129" t="n"/>
      <c r="ED91" s="129" t="n"/>
      <c r="EE91" s="129" t="n"/>
      <c r="EF91" s="129" t="n"/>
      <c r="EG91" s="129" t="n"/>
      <c r="EH91" s="129" t="n"/>
      <c r="EI91" s="129" t="n"/>
      <c r="EJ91" s="129" t="n"/>
      <c r="EK91" s="129" t="n"/>
      <c r="EL91" s="129" t="n"/>
      <c r="EM91" s="129" t="n"/>
      <c r="EN91" s="129" t="n"/>
      <c r="EO91" s="129" t="n"/>
      <c r="EP91" s="129" t="n"/>
      <c r="EQ91" s="129" t="n"/>
      <c r="ER91" s="129" t="n"/>
      <c r="ES91" s="129" t="n"/>
      <c r="ET91" s="129" t="n"/>
      <c r="EU91" s="129" t="n"/>
      <c r="EV91" s="129" t="n"/>
      <c r="EW91" s="129" t="n"/>
      <c r="EX91" s="129" t="n"/>
      <c r="EY91" s="129" t="n"/>
      <c r="EZ91" s="129" t="n"/>
      <c r="FA91" s="129" t="n"/>
      <c r="FB91" s="129" t="n"/>
      <c r="FC91" s="129" t="n"/>
      <c r="FD91" s="129" t="n"/>
      <c r="FE91" s="129" t="n"/>
      <c r="FF91" s="129" t="n"/>
      <c r="FG91" s="129" t="n"/>
      <c r="FH91" s="129" t="n"/>
      <c r="FI91" s="129" t="n"/>
      <c r="FJ91" s="129" t="n"/>
      <c r="FK91" s="129" t="n"/>
      <c r="FL91" s="129" t="n"/>
      <c r="FM91" s="129" t="n"/>
    </row>
    <row r="92" s="135">
      <c r="A92" s="92" t="n">
        <v>35489</v>
      </c>
      <c r="B92" s="93" t="n">
        <v>0.104</v>
      </c>
      <c r="C92" s="79" t="n"/>
      <c r="D92" s="129" t="n"/>
      <c r="E92" s="129" t="n"/>
      <c r="F92" s="129" t="n"/>
      <c r="G92" s="129" t="n"/>
      <c r="H92" s="129" t="n"/>
      <c r="I92" s="129" t="n"/>
      <c r="J92" s="129" t="n"/>
      <c r="K92" s="129" t="n"/>
      <c r="L92" s="129" t="n"/>
      <c r="M92" s="129" t="n"/>
      <c r="N92" s="129" t="n"/>
      <c r="O92" s="129" t="n"/>
      <c r="P92" s="129" t="n"/>
      <c r="Q92" s="129" t="n"/>
      <c r="R92" s="129" t="n"/>
      <c r="S92" s="129" t="n"/>
      <c r="T92" s="129" t="n"/>
      <c r="U92" s="129" t="n"/>
      <c r="V92" s="129" t="n"/>
      <c r="W92" s="129" t="n"/>
      <c r="X92" s="129" t="n"/>
      <c r="Y92" s="129" t="n"/>
      <c r="Z92" s="129" t="n"/>
      <c r="AA92" s="129" t="n"/>
      <c r="AB92" s="129" t="n"/>
      <c r="AC92" s="129" t="n"/>
      <c r="AD92" s="129" t="n"/>
      <c r="AE92" s="129" t="n"/>
      <c r="AF92" s="129" t="n"/>
      <c r="AG92" s="129" t="n"/>
      <c r="AH92" s="129" t="n"/>
      <c r="AI92" s="129" t="n"/>
      <c r="AJ92" s="129" t="n"/>
      <c r="AK92" s="129" t="n"/>
      <c r="AL92" s="129" t="n"/>
      <c r="AM92" s="129" t="n"/>
      <c r="AN92" s="129" t="n"/>
      <c r="AO92" s="129" t="n"/>
      <c r="AP92" s="129" t="n"/>
      <c r="AQ92" s="129" t="n"/>
      <c r="AR92" s="129" t="n"/>
      <c r="AS92" s="129" t="n"/>
      <c r="AT92" s="129" t="n"/>
      <c r="AU92" s="129" t="n"/>
      <c r="AV92" s="129" t="n"/>
      <c r="AW92" s="129" t="n"/>
      <c r="AX92" s="129" t="n"/>
      <c r="AY92" s="129" t="n"/>
      <c r="AZ92" s="129" t="n"/>
      <c r="BA92" s="129" t="n"/>
      <c r="BB92" s="129" t="n"/>
      <c r="BC92" s="129" t="n"/>
      <c r="BD92" s="129" t="n"/>
      <c r="BE92" s="129" t="n"/>
      <c r="BF92" s="129" t="n"/>
      <c r="BG92" s="129" t="n"/>
      <c r="BH92" s="129" t="n"/>
      <c r="BI92" s="129" t="n"/>
      <c r="BJ92" s="129" t="n"/>
      <c r="BK92" s="129" t="n"/>
      <c r="BL92" s="129" t="n"/>
      <c r="BM92" s="129" t="n"/>
      <c r="BN92" s="129" t="n"/>
      <c r="BO92" s="129" t="n"/>
      <c r="BP92" s="129" t="n"/>
      <c r="BQ92" s="129" t="n"/>
      <c r="BR92" s="129" t="n"/>
      <c r="BS92" s="129" t="n"/>
      <c r="BT92" s="129" t="n"/>
      <c r="BU92" s="129" t="n"/>
      <c r="BV92" s="129" t="n"/>
      <c r="BW92" s="129" t="n"/>
      <c r="BX92" s="129" t="n"/>
      <c r="BY92" s="129" t="n"/>
      <c r="BZ92" s="129" t="n"/>
      <c r="CA92" s="129" t="n"/>
      <c r="CB92" s="129" t="n"/>
      <c r="CC92" s="129" t="n"/>
      <c r="CD92" s="129" t="n"/>
      <c r="CE92" s="129" t="n"/>
      <c r="CF92" s="129" t="n"/>
      <c r="CG92" s="129" t="n"/>
      <c r="CH92" s="129" t="n"/>
      <c r="CI92" s="129" t="n"/>
      <c r="CJ92" s="129" t="n"/>
      <c r="CK92" s="129" t="n"/>
      <c r="CL92" s="129" t="n"/>
      <c r="CM92" s="129" t="n"/>
      <c r="CN92" s="129" t="n"/>
      <c r="CO92" s="129" t="n"/>
      <c r="CP92" s="129" t="n"/>
      <c r="CQ92" s="129" t="n"/>
      <c r="CR92" s="129" t="n"/>
      <c r="CS92" s="129" t="n"/>
      <c r="CT92" s="129" t="n"/>
      <c r="CU92" s="129" t="n"/>
      <c r="CV92" s="129" t="n"/>
      <c r="CW92" s="129" t="n"/>
      <c r="CX92" s="129" t="n"/>
      <c r="CY92" s="129" t="n"/>
      <c r="CZ92" s="129" t="n"/>
      <c r="DA92" s="129" t="n"/>
      <c r="DB92" s="129" t="n"/>
      <c r="DC92" s="129" t="n"/>
      <c r="DD92" s="129" t="n"/>
      <c r="DE92" s="129" t="n"/>
      <c r="DF92" s="129" t="n"/>
      <c r="DG92" s="129" t="n"/>
      <c r="DH92" s="129" t="n"/>
      <c r="DI92" s="129" t="n"/>
      <c r="DJ92" s="129" t="n"/>
      <c r="DK92" s="129" t="n"/>
      <c r="DL92" s="129" t="n"/>
      <c r="DM92" s="129" t="n"/>
      <c r="DN92" s="129" t="n"/>
      <c r="DO92" s="129" t="n"/>
      <c r="DP92" s="129" t="n"/>
      <c r="DQ92" s="129" t="n"/>
      <c r="DR92" s="129" t="n"/>
      <c r="DS92" s="129" t="n"/>
      <c r="DT92" s="129" t="n"/>
      <c r="DU92" s="129" t="n"/>
      <c r="DV92" s="129" t="n"/>
      <c r="DW92" s="129" t="n"/>
      <c r="DX92" s="129" t="n"/>
      <c r="DY92" s="129" t="n"/>
      <c r="DZ92" s="129" t="n"/>
      <c r="EA92" s="129" t="n"/>
      <c r="EB92" s="129" t="n"/>
      <c r="EC92" s="129" t="n"/>
      <c r="ED92" s="129" t="n"/>
      <c r="EE92" s="129" t="n"/>
      <c r="EF92" s="129" t="n"/>
      <c r="EG92" s="129" t="n"/>
      <c r="EH92" s="129" t="n"/>
      <c r="EI92" s="129" t="n"/>
      <c r="EJ92" s="129" t="n"/>
      <c r="EK92" s="129" t="n"/>
      <c r="EL92" s="129" t="n"/>
      <c r="EM92" s="129" t="n"/>
      <c r="EN92" s="129" t="n"/>
      <c r="EO92" s="129" t="n"/>
      <c r="EP92" s="129" t="n"/>
      <c r="EQ92" s="129" t="n"/>
      <c r="ER92" s="129" t="n"/>
      <c r="ES92" s="129" t="n"/>
      <c r="ET92" s="129" t="n"/>
      <c r="EU92" s="129" t="n"/>
      <c r="EV92" s="129" t="n"/>
      <c r="EW92" s="129" t="n"/>
      <c r="EX92" s="129" t="n"/>
      <c r="EY92" s="129" t="n"/>
      <c r="EZ92" s="129" t="n"/>
      <c r="FA92" s="129" t="n"/>
      <c r="FB92" s="129" t="n"/>
      <c r="FC92" s="129" t="n"/>
      <c r="FD92" s="129" t="n"/>
      <c r="FE92" s="129" t="n"/>
      <c r="FF92" s="129" t="n"/>
      <c r="FG92" s="129" t="n"/>
      <c r="FH92" s="129" t="n"/>
      <c r="FI92" s="129" t="n"/>
      <c r="FJ92" s="129" t="n"/>
      <c r="FK92" s="129" t="n"/>
      <c r="FL92" s="129" t="n"/>
      <c r="FM92" s="129" t="n"/>
    </row>
    <row r="93" s="135">
      <c r="A93" s="90" t="n">
        <v>35520</v>
      </c>
      <c r="B93" s="91" t="n">
        <v>0.135</v>
      </c>
      <c r="C93" s="79" t="n"/>
      <c r="D93" s="129" t="n"/>
      <c r="E93" s="129" t="n"/>
      <c r="F93" s="129" t="n"/>
      <c r="G93" s="129" t="n"/>
      <c r="H93" s="129" t="n"/>
      <c r="I93" s="129" t="n"/>
      <c r="J93" s="129" t="n"/>
      <c r="K93" s="129" t="n"/>
      <c r="L93" s="129" t="n"/>
      <c r="M93" s="129" t="n"/>
      <c r="N93" s="129" t="n"/>
      <c r="O93" s="129" t="n"/>
      <c r="P93" s="129" t="n"/>
      <c r="Q93" s="129" t="n"/>
      <c r="R93" s="129" t="n"/>
      <c r="S93" s="129" t="n"/>
      <c r="T93" s="129" t="n"/>
      <c r="U93" s="129" t="n"/>
      <c r="V93" s="129" t="n"/>
      <c r="W93" s="129" t="n"/>
      <c r="X93" s="129" t="n"/>
      <c r="Y93" s="129" t="n"/>
      <c r="Z93" s="129" t="n"/>
      <c r="AA93" s="129" t="n"/>
      <c r="AB93" s="129" t="n"/>
      <c r="AC93" s="129" t="n"/>
      <c r="AD93" s="129" t="n"/>
      <c r="AE93" s="129" t="n"/>
      <c r="AF93" s="129" t="n"/>
      <c r="AG93" s="129" t="n"/>
      <c r="AH93" s="129" t="n"/>
      <c r="AI93" s="129" t="n"/>
      <c r="AJ93" s="129" t="n"/>
      <c r="AK93" s="129" t="n"/>
      <c r="AL93" s="129" t="n"/>
      <c r="AM93" s="129" t="n"/>
      <c r="AN93" s="129" t="n"/>
      <c r="AO93" s="129" t="n"/>
      <c r="AP93" s="129" t="n"/>
      <c r="AQ93" s="129" t="n"/>
      <c r="AR93" s="129" t="n"/>
      <c r="AS93" s="129" t="n"/>
      <c r="AT93" s="129" t="n"/>
      <c r="AU93" s="129" t="n"/>
      <c r="AV93" s="129" t="n"/>
      <c r="AW93" s="129" t="n"/>
      <c r="AX93" s="129" t="n"/>
      <c r="AY93" s="129" t="n"/>
      <c r="AZ93" s="129" t="n"/>
      <c r="BA93" s="129" t="n"/>
      <c r="BB93" s="129" t="n"/>
      <c r="BC93" s="129" t="n"/>
      <c r="BD93" s="129" t="n"/>
      <c r="BE93" s="129" t="n"/>
      <c r="BF93" s="129" t="n"/>
      <c r="BG93" s="129" t="n"/>
      <c r="BH93" s="129" t="n"/>
      <c r="BI93" s="129" t="n"/>
      <c r="BJ93" s="129" t="n"/>
      <c r="BK93" s="129" t="n"/>
      <c r="BL93" s="129" t="n"/>
      <c r="BM93" s="129" t="n"/>
      <c r="BN93" s="129" t="n"/>
      <c r="BO93" s="129" t="n"/>
      <c r="BP93" s="129" t="n"/>
      <c r="BQ93" s="129" t="n"/>
      <c r="BR93" s="129" t="n"/>
      <c r="BS93" s="129" t="n"/>
      <c r="BT93" s="129" t="n"/>
      <c r="BU93" s="129" t="n"/>
      <c r="BV93" s="129" t="n"/>
      <c r="BW93" s="129" t="n"/>
      <c r="BX93" s="129" t="n"/>
      <c r="BY93" s="129" t="n"/>
      <c r="BZ93" s="129" t="n"/>
      <c r="CA93" s="129" t="n"/>
      <c r="CB93" s="129" t="n"/>
      <c r="CC93" s="129" t="n"/>
      <c r="CD93" s="129" t="n"/>
      <c r="CE93" s="129" t="n"/>
      <c r="CF93" s="129" t="n"/>
      <c r="CG93" s="129" t="n"/>
      <c r="CH93" s="129" t="n"/>
      <c r="CI93" s="129" t="n"/>
      <c r="CJ93" s="129" t="n"/>
      <c r="CK93" s="129" t="n"/>
      <c r="CL93" s="129" t="n"/>
      <c r="CM93" s="129" t="n"/>
      <c r="CN93" s="129" t="n"/>
      <c r="CO93" s="129" t="n"/>
      <c r="CP93" s="129" t="n"/>
      <c r="CQ93" s="129" t="n"/>
      <c r="CR93" s="129" t="n"/>
      <c r="CS93" s="129" t="n"/>
      <c r="CT93" s="129" t="n"/>
      <c r="CU93" s="129" t="n"/>
      <c r="CV93" s="129" t="n"/>
      <c r="CW93" s="129" t="n"/>
      <c r="CX93" s="129" t="n"/>
      <c r="CY93" s="129" t="n"/>
      <c r="CZ93" s="129" t="n"/>
      <c r="DA93" s="129" t="n"/>
      <c r="DB93" s="129" t="n"/>
      <c r="DC93" s="129" t="n"/>
      <c r="DD93" s="129" t="n"/>
      <c r="DE93" s="129" t="n"/>
      <c r="DF93" s="129" t="n"/>
      <c r="DG93" s="129" t="n"/>
      <c r="DH93" s="129" t="n"/>
      <c r="DI93" s="129" t="n"/>
      <c r="DJ93" s="129" t="n"/>
      <c r="DK93" s="129" t="n"/>
      <c r="DL93" s="129" t="n"/>
      <c r="DM93" s="129" t="n"/>
      <c r="DN93" s="129" t="n"/>
      <c r="DO93" s="129" t="n"/>
      <c r="DP93" s="129" t="n"/>
      <c r="DQ93" s="129" t="n"/>
      <c r="DR93" s="129" t="n"/>
      <c r="DS93" s="129" t="n"/>
      <c r="DT93" s="129" t="n"/>
      <c r="DU93" s="129" t="n"/>
      <c r="DV93" s="129" t="n"/>
      <c r="DW93" s="129" t="n"/>
      <c r="DX93" s="129" t="n"/>
      <c r="DY93" s="129" t="n"/>
      <c r="DZ93" s="129" t="n"/>
      <c r="EA93" s="129" t="n"/>
      <c r="EB93" s="129" t="n"/>
      <c r="EC93" s="129" t="n"/>
      <c r="ED93" s="129" t="n"/>
      <c r="EE93" s="129" t="n"/>
      <c r="EF93" s="129" t="n"/>
      <c r="EG93" s="129" t="n"/>
      <c r="EH93" s="129" t="n"/>
      <c r="EI93" s="129" t="n"/>
      <c r="EJ93" s="129" t="n"/>
      <c r="EK93" s="129" t="n"/>
      <c r="EL93" s="129" t="n"/>
      <c r="EM93" s="129" t="n"/>
      <c r="EN93" s="129" t="n"/>
      <c r="EO93" s="129" t="n"/>
      <c r="EP93" s="129" t="n"/>
      <c r="EQ93" s="129" t="n"/>
      <c r="ER93" s="129" t="n"/>
      <c r="ES93" s="129" t="n"/>
      <c r="ET93" s="129" t="n"/>
      <c r="EU93" s="129" t="n"/>
      <c r="EV93" s="129" t="n"/>
      <c r="EW93" s="129" t="n"/>
      <c r="EX93" s="129" t="n"/>
      <c r="EY93" s="129" t="n"/>
      <c r="EZ93" s="129" t="n"/>
      <c r="FA93" s="129" t="n"/>
      <c r="FB93" s="129" t="n"/>
      <c r="FC93" s="129" t="n"/>
      <c r="FD93" s="129" t="n"/>
      <c r="FE93" s="129" t="n"/>
      <c r="FF93" s="129" t="n"/>
      <c r="FG93" s="129" t="n"/>
      <c r="FH93" s="129" t="n"/>
      <c r="FI93" s="129" t="n"/>
      <c r="FJ93" s="129" t="n"/>
      <c r="FK93" s="129" t="n"/>
      <c r="FL93" s="129" t="n"/>
      <c r="FM93" s="129" t="n"/>
    </row>
    <row r="94" s="135">
      <c r="A94" s="92" t="n">
        <v>35550</v>
      </c>
      <c r="B94" s="93" t="n">
        <v>0.119</v>
      </c>
      <c r="C94" s="79" t="n"/>
      <c r="D94" s="129" t="n"/>
      <c r="E94" s="129" t="n"/>
      <c r="F94" s="129" t="n"/>
      <c r="G94" s="129" t="n"/>
      <c r="H94" s="129" t="n"/>
      <c r="I94" s="129" t="n"/>
      <c r="J94" s="129" t="n"/>
      <c r="K94" s="129" t="n"/>
      <c r="L94" s="129" t="n"/>
      <c r="M94" s="129" t="n"/>
      <c r="N94" s="129" t="n"/>
      <c r="O94" s="129" t="n"/>
      <c r="P94" s="129" t="n"/>
      <c r="Q94" s="129" t="n"/>
      <c r="R94" s="129" t="n"/>
      <c r="S94" s="129" t="n"/>
      <c r="T94" s="129" t="n"/>
      <c r="U94" s="129" t="n"/>
      <c r="V94" s="129" t="n"/>
      <c r="W94" s="129" t="n"/>
      <c r="X94" s="129" t="n"/>
      <c r="Y94" s="129" t="n"/>
      <c r="Z94" s="129" t="n"/>
      <c r="AA94" s="129" t="n"/>
      <c r="AB94" s="129" t="n"/>
      <c r="AC94" s="129" t="n"/>
      <c r="AD94" s="129" t="n"/>
      <c r="AE94" s="129" t="n"/>
      <c r="AF94" s="129" t="n"/>
      <c r="AG94" s="129" t="n"/>
      <c r="AH94" s="129" t="n"/>
      <c r="AI94" s="129" t="n"/>
      <c r="AJ94" s="129" t="n"/>
      <c r="AK94" s="129" t="n"/>
      <c r="AL94" s="129" t="n"/>
      <c r="AM94" s="129" t="n"/>
      <c r="AN94" s="129" t="n"/>
      <c r="AO94" s="129" t="n"/>
      <c r="AP94" s="129" t="n"/>
      <c r="AQ94" s="129" t="n"/>
      <c r="AR94" s="129" t="n"/>
      <c r="AS94" s="129" t="n"/>
      <c r="AT94" s="129" t="n"/>
      <c r="AU94" s="129" t="n"/>
      <c r="AV94" s="129" t="n"/>
      <c r="AW94" s="129" t="n"/>
      <c r="AX94" s="129" t="n"/>
      <c r="AY94" s="129" t="n"/>
      <c r="AZ94" s="129" t="n"/>
      <c r="BA94" s="129" t="n"/>
      <c r="BB94" s="129" t="n"/>
      <c r="BC94" s="129" t="n"/>
      <c r="BD94" s="129" t="n"/>
      <c r="BE94" s="129" t="n"/>
      <c r="BF94" s="129" t="n"/>
      <c r="BG94" s="129" t="n"/>
      <c r="BH94" s="129" t="n"/>
      <c r="BI94" s="129" t="n"/>
      <c r="BJ94" s="129" t="n"/>
      <c r="BK94" s="129" t="n"/>
      <c r="BL94" s="129" t="n"/>
      <c r="BM94" s="129" t="n"/>
      <c r="BN94" s="129" t="n"/>
      <c r="BO94" s="129" t="n"/>
      <c r="BP94" s="129" t="n"/>
      <c r="BQ94" s="129" t="n"/>
      <c r="BR94" s="129" t="n"/>
      <c r="BS94" s="129" t="n"/>
      <c r="BT94" s="129" t="n"/>
      <c r="BU94" s="129" t="n"/>
      <c r="BV94" s="129" t="n"/>
      <c r="BW94" s="129" t="n"/>
      <c r="BX94" s="129" t="n"/>
      <c r="BY94" s="129" t="n"/>
      <c r="BZ94" s="129" t="n"/>
      <c r="CA94" s="129" t="n"/>
      <c r="CB94" s="129" t="n"/>
      <c r="CC94" s="129" t="n"/>
      <c r="CD94" s="129" t="n"/>
      <c r="CE94" s="129" t="n"/>
      <c r="CF94" s="129" t="n"/>
      <c r="CG94" s="129" t="n"/>
      <c r="CH94" s="129" t="n"/>
      <c r="CI94" s="129" t="n"/>
      <c r="CJ94" s="129" t="n"/>
      <c r="CK94" s="129" t="n"/>
      <c r="CL94" s="129" t="n"/>
      <c r="CM94" s="129" t="n"/>
      <c r="CN94" s="129" t="n"/>
      <c r="CO94" s="129" t="n"/>
      <c r="CP94" s="129" t="n"/>
      <c r="CQ94" s="129" t="n"/>
      <c r="CR94" s="129" t="n"/>
      <c r="CS94" s="129" t="n"/>
      <c r="CT94" s="129" t="n"/>
      <c r="CU94" s="129" t="n"/>
      <c r="CV94" s="129" t="n"/>
      <c r="CW94" s="129" t="n"/>
      <c r="CX94" s="129" t="n"/>
      <c r="CY94" s="129" t="n"/>
      <c r="CZ94" s="129" t="n"/>
      <c r="DA94" s="129" t="n"/>
      <c r="DB94" s="129" t="n"/>
      <c r="DC94" s="129" t="n"/>
      <c r="DD94" s="129" t="n"/>
      <c r="DE94" s="129" t="n"/>
      <c r="DF94" s="129" t="n"/>
      <c r="DG94" s="129" t="n"/>
      <c r="DH94" s="129" t="n"/>
      <c r="DI94" s="129" t="n"/>
      <c r="DJ94" s="129" t="n"/>
      <c r="DK94" s="129" t="n"/>
      <c r="DL94" s="129" t="n"/>
      <c r="DM94" s="129" t="n"/>
      <c r="DN94" s="129" t="n"/>
      <c r="DO94" s="129" t="n"/>
      <c r="DP94" s="129" t="n"/>
      <c r="DQ94" s="129" t="n"/>
      <c r="DR94" s="129" t="n"/>
      <c r="DS94" s="129" t="n"/>
      <c r="DT94" s="129" t="n"/>
      <c r="DU94" s="129" t="n"/>
      <c r="DV94" s="129" t="n"/>
      <c r="DW94" s="129" t="n"/>
      <c r="DX94" s="129" t="n"/>
      <c r="DY94" s="129" t="n"/>
      <c r="DZ94" s="129" t="n"/>
      <c r="EA94" s="129" t="n"/>
      <c r="EB94" s="129" t="n"/>
      <c r="EC94" s="129" t="n"/>
      <c r="ED94" s="129" t="n"/>
      <c r="EE94" s="129" t="n"/>
      <c r="EF94" s="129" t="n"/>
      <c r="EG94" s="129" t="n"/>
      <c r="EH94" s="129" t="n"/>
      <c r="EI94" s="129" t="n"/>
      <c r="EJ94" s="129" t="n"/>
      <c r="EK94" s="129" t="n"/>
      <c r="EL94" s="129" t="n"/>
      <c r="EM94" s="129" t="n"/>
      <c r="EN94" s="129" t="n"/>
      <c r="EO94" s="129" t="n"/>
      <c r="EP94" s="129" t="n"/>
      <c r="EQ94" s="129" t="n"/>
      <c r="ER94" s="129" t="n"/>
      <c r="ES94" s="129" t="n"/>
      <c r="ET94" s="129" t="n"/>
      <c r="EU94" s="129" t="n"/>
      <c r="EV94" s="129" t="n"/>
      <c r="EW94" s="129" t="n"/>
      <c r="EX94" s="129" t="n"/>
      <c r="EY94" s="129" t="n"/>
      <c r="EZ94" s="129" t="n"/>
      <c r="FA94" s="129" t="n"/>
      <c r="FB94" s="129" t="n"/>
      <c r="FC94" s="129" t="n"/>
      <c r="FD94" s="129" t="n"/>
      <c r="FE94" s="129" t="n"/>
      <c r="FF94" s="129" t="n"/>
      <c r="FG94" s="129" t="n"/>
      <c r="FH94" s="129" t="n"/>
      <c r="FI94" s="129" t="n"/>
      <c r="FJ94" s="129" t="n"/>
      <c r="FK94" s="129" t="n"/>
      <c r="FL94" s="129" t="n"/>
      <c r="FM94" s="129" t="n"/>
    </row>
    <row r="95" s="135">
      <c r="A95" s="90" t="n">
        <v>35581</v>
      </c>
      <c r="B95" s="91" t="n">
        <v>0.119</v>
      </c>
      <c r="C95" s="79" t="n"/>
      <c r="D95" s="129" t="n"/>
      <c r="E95" s="129" t="n"/>
      <c r="F95" s="129" t="n"/>
      <c r="G95" s="129" t="n"/>
      <c r="H95" s="129" t="n"/>
      <c r="I95" s="129" t="n"/>
      <c r="J95" s="129" t="n"/>
      <c r="K95" s="129" t="n"/>
      <c r="L95" s="129" t="n"/>
      <c r="M95" s="129" t="n"/>
      <c r="N95" s="129" t="n"/>
      <c r="O95" s="129" t="n"/>
      <c r="P95" s="129" t="n"/>
      <c r="Q95" s="129" t="n"/>
      <c r="R95" s="129" t="n"/>
      <c r="S95" s="129" t="n"/>
      <c r="T95" s="129" t="n"/>
      <c r="U95" s="129" t="n"/>
      <c r="V95" s="129" t="n"/>
      <c r="W95" s="129" t="n"/>
      <c r="X95" s="129" t="n"/>
      <c r="Y95" s="129" t="n"/>
      <c r="Z95" s="129" t="n"/>
      <c r="AA95" s="129" t="n"/>
      <c r="AB95" s="129" t="n"/>
      <c r="AC95" s="129" t="n"/>
      <c r="AD95" s="129" t="n"/>
      <c r="AE95" s="129" t="n"/>
      <c r="AF95" s="129" t="n"/>
      <c r="AG95" s="129" t="n"/>
      <c r="AH95" s="129" t="n"/>
      <c r="AI95" s="129" t="n"/>
      <c r="AJ95" s="129" t="n"/>
      <c r="AK95" s="129" t="n"/>
      <c r="AL95" s="129" t="n"/>
      <c r="AM95" s="129" t="n"/>
      <c r="AN95" s="129" t="n"/>
      <c r="AO95" s="129" t="n"/>
      <c r="AP95" s="129" t="n"/>
      <c r="AQ95" s="129" t="n"/>
      <c r="AR95" s="129" t="n"/>
      <c r="AS95" s="129" t="n"/>
      <c r="AT95" s="129" t="n"/>
      <c r="AU95" s="129" t="n"/>
      <c r="AV95" s="129" t="n"/>
      <c r="AW95" s="129" t="n"/>
      <c r="AX95" s="129" t="n"/>
      <c r="AY95" s="129" t="n"/>
      <c r="AZ95" s="129" t="n"/>
      <c r="BA95" s="129" t="n"/>
      <c r="BB95" s="129" t="n"/>
      <c r="BC95" s="129" t="n"/>
      <c r="BD95" s="129" t="n"/>
      <c r="BE95" s="129" t="n"/>
      <c r="BF95" s="129" t="n"/>
      <c r="BG95" s="129" t="n"/>
      <c r="BH95" s="129" t="n"/>
      <c r="BI95" s="129" t="n"/>
      <c r="BJ95" s="129" t="n"/>
      <c r="BK95" s="129" t="n"/>
      <c r="BL95" s="129" t="n"/>
      <c r="BM95" s="129" t="n"/>
      <c r="BN95" s="129" t="n"/>
      <c r="BO95" s="129" t="n"/>
      <c r="BP95" s="129" t="n"/>
      <c r="BQ95" s="129" t="n"/>
      <c r="BR95" s="129" t="n"/>
      <c r="BS95" s="129" t="n"/>
      <c r="BT95" s="129" t="n"/>
      <c r="BU95" s="129" t="n"/>
      <c r="BV95" s="129" t="n"/>
      <c r="BW95" s="129" t="n"/>
      <c r="BX95" s="129" t="n"/>
      <c r="BY95" s="129" t="n"/>
      <c r="BZ95" s="129" t="n"/>
      <c r="CA95" s="129" t="n"/>
      <c r="CB95" s="129" t="n"/>
      <c r="CC95" s="129" t="n"/>
      <c r="CD95" s="129" t="n"/>
      <c r="CE95" s="129" t="n"/>
      <c r="CF95" s="129" t="n"/>
      <c r="CG95" s="129" t="n"/>
      <c r="CH95" s="129" t="n"/>
      <c r="CI95" s="129" t="n"/>
      <c r="CJ95" s="129" t="n"/>
      <c r="CK95" s="129" t="n"/>
      <c r="CL95" s="129" t="n"/>
      <c r="CM95" s="129" t="n"/>
      <c r="CN95" s="129" t="n"/>
      <c r="CO95" s="129" t="n"/>
      <c r="CP95" s="129" t="n"/>
      <c r="CQ95" s="129" t="n"/>
      <c r="CR95" s="129" t="n"/>
      <c r="CS95" s="129" t="n"/>
      <c r="CT95" s="129" t="n"/>
      <c r="CU95" s="129" t="n"/>
      <c r="CV95" s="129" t="n"/>
      <c r="CW95" s="129" t="n"/>
      <c r="CX95" s="129" t="n"/>
      <c r="CY95" s="129" t="n"/>
      <c r="CZ95" s="129" t="n"/>
      <c r="DA95" s="129" t="n"/>
      <c r="DB95" s="129" t="n"/>
      <c r="DC95" s="129" t="n"/>
      <c r="DD95" s="129" t="n"/>
      <c r="DE95" s="129" t="n"/>
      <c r="DF95" s="129" t="n"/>
      <c r="DG95" s="129" t="n"/>
      <c r="DH95" s="129" t="n"/>
      <c r="DI95" s="129" t="n"/>
      <c r="DJ95" s="129" t="n"/>
      <c r="DK95" s="129" t="n"/>
      <c r="DL95" s="129" t="n"/>
      <c r="DM95" s="129" t="n"/>
      <c r="DN95" s="129" t="n"/>
      <c r="DO95" s="129" t="n"/>
      <c r="DP95" s="129" t="n"/>
      <c r="DQ95" s="129" t="n"/>
      <c r="DR95" s="129" t="n"/>
      <c r="DS95" s="129" t="n"/>
      <c r="DT95" s="129" t="n"/>
      <c r="DU95" s="129" t="n"/>
      <c r="DV95" s="129" t="n"/>
      <c r="DW95" s="129" t="n"/>
      <c r="DX95" s="129" t="n"/>
      <c r="DY95" s="129" t="n"/>
      <c r="DZ95" s="129" t="n"/>
      <c r="EA95" s="129" t="n"/>
      <c r="EB95" s="129" t="n"/>
      <c r="EC95" s="129" t="n"/>
      <c r="ED95" s="129" t="n"/>
      <c r="EE95" s="129" t="n"/>
      <c r="EF95" s="129" t="n"/>
      <c r="EG95" s="129" t="n"/>
      <c r="EH95" s="129" t="n"/>
      <c r="EI95" s="129" t="n"/>
      <c r="EJ95" s="129" t="n"/>
      <c r="EK95" s="129" t="n"/>
      <c r="EL95" s="129" t="n"/>
      <c r="EM95" s="129" t="n"/>
      <c r="EN95" s="129" t="n"/>
      <c r="EO95" s="129" t="n"/>
      <c r="EP95" s="129" t="n"/>
      <c r="EQ95" s="129" t="n"/>
      <c r="ER95" s="129" t="n"/>
      <c r="ES95" s="129" t="n"/>
      <c r="ET95" s="129" t="n"/>
      <c r="EU95" s="129" t="n"/>
      <c r="EV95" s="129" t="n"/>
      <c r="EW95" s="129" t="n"/>
      <c r="EX95" s="129" t="n"/>
      <c r="EY95" s="129" t="n"/>
      <c r="EZ95" s="129" t="n"/>
      <c r="FA95" s="129" t="n"/>
      <c r="FB95" s="129" t="n"/>
      <c r="FC95" s="129" t="n"/>
      <c r="FD95" s="129" t="n"/>
      <c r="FE95" s="129" t="n"/>
      <c r="FF95" s="129" t="n"/>
      <c r="FG95" s="129" t="n"/>
      <c r="FH95" s="129" t="n"/>
      <c r="FI95" s="129" t="n"/>
      <c r="FJ95" s="129" t="n"/>
      <c r="FK95" s="129" t="n"/>
      <c r="FL95" s="129" t="n"/>
      <c r="FM95" s="129" t="n"/>
    </row>
    <row r="96" s="135">
      <c r="A96" s="92" t="n">
        <v>35611</v>
      </c>
      <c r="B96" s="93" t="n">
        <v>0.121</v>
      </c>
      <c r="C96" s="79" t="n"/>
      <c r="D96" s="129" t="n"/>
      <c r="E96" s="129" t="n"/>
      <c r="F96" s="129" t="n"/>
      <c r="G96" s="129" t="n"/>
      <c r="H96" s="129" t="n"/>
      <c r="I96" s="129" t="n"/>
      <c r="J96" s="129" t="n"/>
      <c r="K96" s="129" t="n"/>
      <c r="L96" s="129" t="n"/>
      <c r="M96" s="129" t="n"/>
      <c r="N96" s="129" t="n"/>
      <c r="O96" s="129" t="n"/>
      <c r="P96" s="129" t="n"/>
      <c r="Q96" s="129" t="n"/>
      <c r="R96" s="129" t="n"/>
      <c r="S96" s="129" t="n"/>
      <c r="T96" s="129" t="n"/>
      <c r="U96" s="129" t="n"/>
      <c r="V96" s="129" t="n"/>
      <c r="W96" s="129" t="n"/>
      <c r="X96" s="129" t="n"/>
      <c r="Y96" s="129" t="n"/>
      <c r="Z96" s="129" t="n"/>
      <c r="AA96" s="129" t="n"/>
      <c r="AB96" s="129" t="n"/>
      <c r="AC96" s="129" t="n"/>
      <c r="AD96" s="129" t="n"/>
      <c r="AE96" s="129" t="n"/>
      <c r="AF96" s="129" t="n"/>
      <c r="AG96" s="129" t="n"/>
      <c r="AH96" s="129" t="n"/>
      <c r="AI96" s="129" t="n"/>
      <c r="AJ96" s="129" t="n"/>
      <c r="AK96" s="129" t="n"/>
      <c r="AL96" s="129" t="n"/>
      <c r="AM96" s="129" t="n"/>
      <c r="AN96" s="129" t="n"/>
      <c r="AO96" s="129" t="n"/>
      <c r="AP96" s="129" t="n"/>
      <c r="AQ96" s="129" t="n"/>
      <c r="AR96" s="129" t="n"/>
      <c r="AS96" s="129" t="n"/>
      <c r="AT96" s="129" t="n"/>
      <c r="AU96" s="129" t="n"/>
      <c r="AV96" s="129" t="n"/>
      <c r="AW96" s="129" t="n"/>
      <c r="AX96" s="129" t="n"/>
      <c r="AY96" s="129" t="n"/>
      <c r="AZ96" s="129" t="n"/>
      <c r="BA96" s="129" t="n"/>
      <c r="BB96" s="129" t="n"/>
      <c r="BC96" s="129" t="n"/>
      <c r="BD96" s="129" t="n"/>
      <c r="BE96" s="129" t="n"/>
      <c r="BF96" s="129" t="n"/>
      <c r="BG96" s="129" t="n"/>
      <c r="BH96" s="129" t="n"/>
      <c r="BI96" s="129" t="n"/>
      <c r="BJ96" s="129" t="n"/>
      <c r="BK96" s="129" t="n"/>
      <c r="BL96" s="129" t="n"/>
      <c r="BM96" s="129" t="n"/>
      <c r="BN96" s="129" t="n"/>
      <c r="BO96" s="129" t="n"/>
      <c r="BP96" s="129" t="n"/>
      <c r="BQ96" s="129" t="n"/>
      <c r="BR96" s="129" t="n"/>
      <c r="BS96" s="129" t="n"/>
      <c r="BT96" s="129" t="n"/>
      <c r="BU96" s="129" t="n"/>
      <c r="BV96" s="129" t="n"/>
      <c r="BW96" s="129" t="n"/>
      <c r="BX96" s="129" t="n"/>
      <c r="BY96" s="129" t="n"/>
      <c r="BZ96" s="129" t="n"/>
      <c r="CA96" s="129" t="n"/>
      <c r="CB96" s="129" t="n"/>
      <c r="CC96" s="129" t="n"/>
      <c r="CD96" s="129" t="n"/>
      <c r="CE96" s="129" t="n"/>
      <c r="CF96" s="129" t="n"/>
      <c r="CG96" s="129" t="n"/>
      <c r="CH96" s="129" t="n"/>
      <c r="CI96" s="129" t="n"/>
      <c r="CJ96" s="129" t="n"/>
      <c r="CK96" s="129" t="n"/>
      <c r="CL96" s="129" t="n"/>
      <c r="CM96" s="129" t="n"/>
      <c r="CN96" s="129" t="n"/>
      <c r="CO96" s="129" t="n"/>
      <c r="CP96" s="129" t="n"/>
      <c r="CQ96" s="129" t="n"/>
      <c r="CR96" s="129" t="n"/>
      <c r="CS96" s="129" t="n"/>
      <c r="CT96" s="129" t="n"/>
      <c r="CU96" s="129" t="n"/>
      <c r="CV96" s="129" t="n"/>
      <c r="CW96" s="129" t="n"/>
      <c r="CX96" s="129" t="n"/>
      <c r="CY96" s="129" t="n"/>
      <c r="CZ96" s="129" t="n"/>
      <c r="DA96" s="129" t="n"/>
      <c r="DB96" s="129" t="n"/>
      <c r="DC96" s="129" t="n"/>
      <c r="DD96" s="129" t="n"/>
      <c r="DE96" s="129" t="n"/>
      <c r="DF96" s="129" t="n"/>
      <c r="DG96" s="129" t="n"/>
      <c r="DH96" s="129" t="n"/>
      <c r="DI96" s="129" t="n"/>
      <c r="DJ96" s="129" t="n"/>
      <c r="DK96" s="129" t="n"/>
      <c r="DL96" s="129" t="n"/>
      <c r="DM96" s="129" t="n"/>
      <c r="DN96" s="129" t="n"/>
      <c r="DO96" s="129" t="n"/>
      <c r="DP96" s="129" t="n"/>
      <c r="DQ96" s="129" t="n"/>
      <c r="DR96" s="129" t="n"/>
      <c r="DS96" s="129" t="n"/>
      <c r="DT96" s="129" t="n"/>
      <c r="DU96" s="129" t="n"/>
      <c r="DV96" s="129" t="n"/>
      <c r="DW96" s="129" t="n"/>
      <c r="DX96" s="129" t="n"/>
      <c r="DY96" s="129" t="n"/>
      <c r="DZ96" s="129" t="n"/>
      <c r="EA96" s="129" t="n"/>
      <c r="EB96" s="129" t="n"/>
      <c r="EC96" s="129" t="n"/>
      <c r="ED96" s="129" t="n"/>
      <c r="EE96" s="129" t="n"/>
      <c r="EF96" s="129" t="n"/>
      <c r="EG96" s="129" t="n"/>
      <c r="EH96" s="129" t="n"/>
      <c r="EI96" s="129" t="n"/>
      <c r="EJ96" s="129" t="n"/>
      <c r="EK96" s="129" t="n"/>
      <c r="EL96" s="129" t="n"/>
      <c r="EM96" s="129" t="n"/>
      <c r="EN96" s="129" t="n"/>
      <c r="EO96" s="129" t="n"/>
      <c r="EP96" s="129" t="n"/>
      <c r="EQ96" s="129" t="n"/>
      <c r="ER96" s="129" t="n"/>
      <c r="ES96" s="129" t="n"/>
      <c r="ET96" s="129" t="n"/>
      <c r="EU96" s="129" t="n"/>
      <c r="EV96" s="129" t="n"/>
      <c r="EW96" s="129" t="n"/>
      <c r="EX96" s="129" t="n"/>
      <c r="EY96" s="129" t="n"/>
      <c r="EZ96" s="129" t="n"/>
      <c r="FA96" s="129" t="n"/>
      <c r="FB96" s="129" t="n"/>
      <c r="FC96" s="129" t="n"/>
      <c r="FD96" s="129" t="n"/>
      <c r="FE96" s="129" t="n"/>
      <c r="FF96" s="129" t="n"/>
      <c r="FG96" s="129" t="n"/>
      <c r="FH96" s="129" t="n"/>
      <c r="FI96" s="129" t="n"/>
      <c r="FJ96" s="129" t="n"/>
      <c r="FK96" s="129" t="n"/>
      <c r="FL96" s="129" t="n"/>
      <c r="FM96" s="129" t="n"/>
    </row>
    <row r="97" s="135">
      <c r="A97" s="90" t="n">
        <v>35642</v>
      </c>
      <c r="B97" s="91" t="n">
        <v>0.08400000000000001</v>
      </c>
      <c r="C97" s="79" t="n"/>
      <c r="D97" s="129" t="n"/>
      <c r="E97" s="129" t="n"/>
      <c r="F97" s="129" t="n"/>
      <c r="G97" s="129" t="n"/>
      <c r="H97" s="129" t="n"/>
      <c r="I97" s="129" t="n"/>
      <c r="J97" s="129" t="n"/>
      <c r="K97" s="129" t="n"/>
      <c r="L97" s="129" t="n"/>
      <c r="M97" s="129" t="n"/>
      <c r="N97" s="129" t="n"/>
      <c r="O97" s="129" t="n"/>
      <c r="P97" s="129" t="n"/>
      <c r="Q97" s="129" t="n"/>
      <c r="R97" s="129" t="n"/>
      <c r="S97" s="129" t="n"/>
      <c r="T97" s="129" t="n"/>
      <c r="U97" s="129" t="n"/>
      <c r="V97" s="129" t="n"/>
      <c r="W97" s="129" t="n"/>
      <c r="X97" s="129" t="n"/>
      <c r="Y97" s="129" t="n"/>
      <c r="Z97" s="129" t="n"/>
      <c r="AA97" s="129" t="n"/>
      <c r="AB97" s="129" t="n"/>
      <c r="AC97" s="129" t="n"/>
      <c r="AD97" s="129" t="n"/>
      <c r="AE97" s="129" t="n"/>
      <c r="AF97" s="129" t="n"/>
      <c r="AG97" s="129" t="n"/>
      <c r="AH97" s="129" t="n"/>
      <c r="AI97" s="129" t="n"/>
      <c r="AJ97" s="129" t="n"/>
      <c r="AK97" s="129" t="n"/>
      <c r="AL97" s="129" t="n"/>
      <c r="AM97" s="129" t="n"/>
      <c r="AN97" s="129" t="n"/>
      <c r="AO97" s="129" t="n"/>
      <c r="AP97" s="129" t="n"/>
      <c r="AQ97" s="129" t="n"/>
      <c r="AR97" s="129" t="n"/>
      <c r="AS97" s="129" t="n"/>
      <c r="AT97" s="129" t="n"/>
      <c r="AU97" s="129" t="n"/>
      <c r="AV97" s="129" t="n"/>
      <c r="AW97" s="129" t="n"/>
      <c r="AX97" s="129" t="n"/>
      <c r="AY97" s="129" t="n"/>
      <c r="AZ97" s="129" t="n"/>
      <c r="BA97" s="129" t="n"/>
      <c r="BB97" s="129" t="n"/>
      <c r="BC97" s="129" t="n"/>
      <c r="BD97" s="129" t="n"/>
      <c r="BE97" s="129" t="n"/>
      <c r="BF97" s="129" t="n"/>
      <c r="BG97" s="129" t="n"/>
      <c r="BH97" s="129" t="n"/>
      <c r="BI97" s="129" t="n"/>
      <c r="BJ97" s="129" t="n"/>
      <c r="BK97" s="129" t="n"/>
      <c r="BL97" s="129" t="n"/>
      <c r="BM97" s="129" t="n"/>
      <c r="BN97" s="129" t="n"/>
      <c r="BO97" s="129" t="n"/>
      <c r="BP97" s="129" t="n"/>
      <c r="BQ97" s="129" t="n"/>
      <c r="BR97" s="129" t="n"/>
      <c r="BS97" s="129" t="n"/>
      <c r="BT97" s="129" t="n"/>
      <c r="BU97" s="129" t="n"/>
      <c r="BV97" s="129" t="n"/>
      <c r="BW97" s="129" t="n"/>
      <c r="BX97" s="129" t="n"/>
      <c r="BY97" s="129" t="n"/>
      <c r="BZ97" s="129" t="n"/>
      <c r="CA97" s="129" t="n"/>
      <c r="CB97" s="129" t="n"/>
      <c r="CC97" s="129" t="n"/>
      <c r="CD97" s="129" t="n"/>
      <c r="CE97" s="129" t="n"/>
      <c r="CF97" s="129" t="n"/>
      <c r="CG97" s="129" t="n"/>
      <c r="CH97" s="129" t="n"/>
      <c r="CI97" s="129" t="n"/>
      <c r="CJ97" s="129" t="n"/>
      <c r="CK97" s="129" t="n"/>
      <c r="CL97" s="129" t="n"/>
      <c r="CM97" s="129" t="n"/>
      <c r="CN97" s="129" t="n"/>
      <c r="CO97" s="129" t="n"/>
      <c r="CP97" s="129" t="n"/>
      <c r="CQ97" s="129" t="n"/>
      <c r="CR97" s="129" t="n"/>
      <c r="CS97" s="129" t="n"/>
      <c r="CT97" s="129" t="n"/>
      <c r="CU97" s="129" t="n"/>
      <c r="CV97" s="129" t="n"/>
      <c r="CW97" s="129" t="n"/>
      <c r="CX97" s="129" t="n"/>
      <c r="CY97" s="129" t="n"/>
      <c r="CZ97" s="129" t="n"/>
      <c r="DA97" s="129" t="n"/>
      <c r="DB97" s="129" t="n"/>
      <c r="DC97" s="129" t="n"/>
      <c r="DD97" s="129" t="n"/>
      <c r="DE97" s="129" t="n"/>
      <c r="DF97" s="129" t="n"/>
      <c r="DG97" s="129" t="n"/>
      <c r="DH97" s="129" t="n"/>
      <c r="DI97" s="129" t="n"/>
      <c r="DJ97" s="129" t="n"/>
      <c r="DK97" s="129" t="n"/>
      <c r="DL97" s="129" t="n"/>
      <c r="DM97" s="129" t="n"/>
      <c r="DN97" s="129" t="n"/>
      <c r="DO97" s="129" t="n"/>
      <c r="DP97" s="129" t="n"/>
      <c r="DQ97" s="129" t="n"/>
      <c r="DR97" s="129" t="n"/>
      <c r="DS97" s="129" t="n"/>
      <c r="DT97" s="129" t="n"/>
      <c r="DU97" s="129" t="n"/>
      <c r="DV97" s="129" t="n"/>
      <c r="DW97" s="129" t="n"/>
      <c r="DX97" s="129" t="n"/>
      <c r="DY97" s="129" t="n"/>
      <c r="DZ97" s="129" t="n"/>
      <c r="EA97" s="129" t="n"/>
      <c r="EB97" s="129" t="n"/>
      <c r="EC97" s="129" t="n"/>
      <c r="ED97" s="129" t="n"/>
      <c r="EE97" s="129" t="n"/>
      <c r="EF97" s="129" t="n"/>
      <c r="EG97" s="129" t="n"/>
      <c r="EH97" s="129" t="n"/>
      <c r="EI97" s="129" t="n"/>
      <c r="EJ97" s="129" t="n"/>
      <c r="EK97" s="129" t="n"/>
      <c r="EL97" s="129" t="n"/>
      <c r="EM97" s="129" t="n"/>
      <c r="EN97" s="129" t="n"/>
      <c r="EO97" s="129" t="n"/>
      <c r="EP97" s="129" t="n"/>
      <c r="EQ97" s="129" t="n"/>
      <c r="ER97" s="129" t="n"/>
      <c r="ES97" s="129" t="n"/>
      <c r="ET97" s="129" t="n"/>
      <c r="EU97" s="129" t="n"/>
      <c r="EV97" s="129" t="n"/>
      <c r="EW97" s="129" t="n"/>
      <c r="EX97" s="129" t="n"/>
      <c r="EY97" s="129" t="n"/>
      <c r="EZ97" s="129" t="n"/>
      <c r="FA97" s="129" t="n"/>
      <c r="FB97" s="129" t="n"/>
      <c r="FC97" s="129" t="n"/>
      <c r="FD97" s="129" t="n"/>
      <c r="FE97" s="129" t="n"/>
      <c r="FF97" s="129" t="n"/>
      <c r="FG97" s="129" t="n"/>
      <c r="FH97" s="129" t="n"/>
      <c r="FI97" s="129" t="n"/>
      <c r="FJ97" s="129" t="n"/>
      <c r="FK97" s="129" t="n"/>
      <c r="FL97" s="129" t="n"/>
      <c r="FM97" s="129" t="n"/>
    </row>
    <row r="98" s="135">
      <c r="A98" s="92" t="n">
        <v>35673</v>
      </c>
      <c r="B98" s="93" t="n">
        <v>0.109</v>
      </c>
      <c r="C98" s="79" t="n"/>
      <c r="D98" s="129" t="n"/>
      <c r="E98" s="129" t="n"/>
      <c r="F98" s="129" t="n"/>
      <c r="G98" s="129" t="n"/>
      <c r="H98" s="129" t="n"/>
      <c r="I98" s="129" t="n"/>
      <c r="J98" s="129" t="n"/>
      <c r="K98" s="129" t="n"/>
      <c r="L98" s="129" t="n"/>
      <c r="M98" s="129" t="n"/>
      <c r="N98" s="129" t="n"/>
      <c r="O98" s="129" t="n"/>
      <c r="P98" s="129" t="n"/>
      <c r="Q98" s="129" t="n"/>
      <c r="R98" s="129" t="n"/>
      <c r="S98" s="129" t="n"/>
      <c r="T98" s="129" t="n"/>
      <c r="U98" s="129" t="n"/>
      <c r="V98" s="129" t="n"/>
      <c r="W98" s="129" t="n"/>
      <c r="X98" s="129" t="n"/>
      <c r="Y98" s="129" t="n"/>
      <c r="Z98" s="129" t="n"/>
      <c r="AA98" s="129" t="n"/>
      <c r="AB98" s="129" t="n"/>
      <c r="AC98" s="129" t="n"/>
      <c r="AD98" s="129" t="n"/>
      <c r="AE98" s="129" t="n"/>
      <c r="AF98" s="129" t="n"/>
      <c r="AG98" s="129" t="n"/>
      <c r="AH98" s="129" t="n"/>
      <c r="AI98" s="129" t="n"/>
      <c r="AJ98" s="129" t="n"/>
      <c r="AK98" s="129" t="n"/>
      <c r="AL98" s="129" t="n"/>
      <c r="AM98" s="129" t="n"/>
      <c r="AN98" s="129" t="n"/>
      <c r="AO98" s="129" t="n"/>
      <c r="AP98" s="129" t="n"/>
      <c r="AQ98" s="129" t="n"/>
      <c r="AR98" s="129" t="n"/>
      <c r="AS98" s="129" t="n"/>
      <c r="AT98" s="129" t="n"/>
      <c r="AU98" s="129" t="n"/>
      <c r="AV98" s="129" t="n"/>
      <c r="AW98" s="129" t="n"/>
      <c r="AX98" s="129" t="n"/>
      <c r="AY98" s="129" t="n"/>
      <c r="AZ98" s="129" t="n"/>
      <c r="BA98" s="129" t="n"/>
      <c r="BB98" s="129" t="n"/>
      <c r="BC98" s="129" t="n"/>
      <c r="BD98" s="129" t="n"/>
      <c r="BE98" s="129" t="n"/>
      <c r="BF98" s="129" t="n"/>
      <c r="BG98" s="129" t="n"/>
      <c r="BH98" s="129" t="n"/>
      <c r="BI98" s="129" t="n"/>
      <c r="BJ98" s="129" t="n"/>
      <c r="BK98" s="129" t="n"/>
      <c r="BL98" s="129" t="n"/>
      <c r="BM98" s="129" t="n"/>
      <c r="BN98" s="129" t="n"/>
      <c r="BO98" s="129" t="n"/>
      <c r="BP98" s="129" t="n"/>
      <c r="BQ98" s="129" t="n"/>
      <c r="BR98" s="129" t="n"/>
      <c r="BS98" s="129" t="n"/>
      <c r="BT98" s="129" t="n"/>
      <c r="BU98" s="129" t="n"/>
      <c r="BV98" s="129" t="n"/>
      <c r="BW98" s="129" t="n"/>
      <c r="BX98" s="129" t="n"/>
      <c r="BY98" s="129" t="n"/>
      <c r="BZ98" s="129" t="n"/>
      <c r="CA98" s="129" t="n"/>
      <c r="CB98" s="129" t="n"/>
      <c r="CC98" s="129" t="n"/>
      <c r="CD98" s="129" t="n"/>
      <c r="CE98" s="129" t="n"/>
      <c r="CF98" s="129" t="n"/>
      <c r="CG98" s="129" t="n"/>
      <c r="CH98" s="129" t="n"/>
      <c r="CI98" s="129" t="n"/>
      <c r="CJ98" s="129" t="n"/>
      <c r="CK98" s="129" t="n"/>
      <c r="CL98" s="129" t="n"/>
      <c r="CM98" s="129" t="n"/>
      <c r="CN98" s="129" t="n"/>
      <c r="CO98" s="129" t="n"/>
      <c r="CP98" s="129" t="n"/>
      <c r="CQ98" s="129" t="n"/>
      <c r="CR98" s="129" t="n"/>
      <c r="CS98" s="129" t="n"/>
      <c r="CT98" s="129" t="n"/>
      <c r="CU98" s="129" t="n"/>
      <c r="CV98" s="129" t="n"/>
      <c r="CW98" s="129" t="n"/>
      <c r="CX98" s="129" t="n"/>
      <c r="CY98" s="129" t="n"/>
      <c r="CZ98" s="129" t="n"/>
      <c r="DA98" s="129" t="n"/>
      <c r="DB98" s="129" t="n"/>
      <c r="DC98" s="129" t="n"/>
      <c r="DD98" s="129" t="n"/>
      <c r="DE98" s="129" t="n"/>
      <c r="DF98" s="129" t="n"/>
      <c r="DG98" s="129" t="n"/>
      <c r="DH98" s="129" t="n"/>
      <c r="DI98" s="129" t="n"/>
      <c r="DJ98" s="129" t="n"/>
      <c r="DK98" s="129" t="n"/>
      <c r="DL98" s="129" t="n"/>
      <c r="DM98" s="129" t="n"/>
      <c r="DN98" s="129" t="n"/>
      <c r="DO98" s="129" t="n"/>
      <c r="DP98" s="129" t="n"/>
      <c r="DQ98" s="129" t="n"/>
      <c r="DR98" s="129" t="n"/>
      <c r="DS98" s="129" t="n"/>
      <c r="DT98" s="129" t="n"/>
      <c r="DU98" s="129" t="n"/>
      <c r="DV98" s="129" t="n"/>
      <c r="DW98" s="129" t="n"/>
      <c r="DX98" s="129" t="n"/>
      <c r="DY98" s="129" t="n"/>
      <c r="DZ98" s="129" t="n"/>
      <c r="EA98" s="129" t="n"/>
      <c r="EB98" s="129" t="n"/>
      <c r="EC98" s="129" t="n"/>
      <c r="ED98" s="129" t="n"/>
      <c r="EE98" s="129" t="n"/>
      <c r="EF98" s="129" t="n"/>
      <c r="EG98" s="129" t="n"/>
      <c r="EH98" s="129" t="n"/>
      <c r="EI98" s="129" t="n"/>
      <c r="EJ98" s="129" t="n"/>
      <c r="EK98" s="129" t="n"/>
      <c r="EL98" s="129" t="n"/>
      <c r="EM98" s="129" t="n"/>
      <c r="EN98" s="129" t="n"/>
      <c r="EO98" s="129" t="n"/>
      <c r="EP98" s="129" t="n"/>
      <c r="EQ98" s="129" t="n"/>
      <c r="ER98" s="129" t="n"/>
      <c r="ES98" s="129" t="n"/>
      <c r="ET98" s="129" t="n"/>
      <c r="EU98" s="129" t="n"/>
      <c r="EV98" s="129" t="n"/>
      <c r="EW98" s="129" t="n"/>
      <c r="EX98" s="129" t="n"/>
      <c r="EY98" s="129" t="n"/>
      <c r="EZ98" s="129" t="n"/>
      <c r="FA98" s="129" t="n"/>
      <c r="FB98" s="129" t="n"/>
      <c r="FC98" s="129" t="n"/>
      <c r="FD98" s="129" t="n"/>
      <c r="FE98" s="129" t="n"/>
      <c r="FF98" s="129" t="n"/>
      <c r="FG98" s="129" t="n"/>
      <c r="FH98" s="129" t="n"/>
      <c r="FI98" s="129" t="n"/>
      <c r="FJ98" s="129" t="n"/>
      <c r="FK98" s="129" t="n"/>
      <c r="FL98" s="129" t="n"/>
      <c r="FM98" s="129" t="n"/>
    </row>
    <row r="99" s="135">
      <c r="A99" s="90" t="n">
        <v>35703</v>
      </c>
      <c r="B99" s="91" t="n">
        <v>0.111</v>
      </c>
      <c r="C99" s="79" t="n"/>
      <c r="D99" s="129" t="n"/>
      <c r="E99" s="129" t="n"/>
      <c r="F99" s="129" t="n"/>
      <c r="G99" s="129" t="n"/>
      <c r="H99" s="129" t="n"/>
      <c r="I99" s="129" t="n"/>
      <c r="J99" s="129" t="n"/>
      <c r="K99" s="129" t="n"/>
      <c r="L99" s="129" t="n"/>
      <c r="M99" s="129" t="n"/>
      <c r="N99" s="129" t="n"/>
      <c r="O99" s="129" t="n"/>
      <c r="P99" s="129" t="n"/>
      <c r="Q99" s="129" t="n"/>
      <c r="R99" s="129" t="n"/>
      <c r="S99" s="129" t="n"/>
      <c r="T99" s="129" t="n"/>
      <c r="U99" s="129" t="n"/>
      <c r="V99" s="129" t="n"/>
      <c r="W99" s="129" t="n"/>
      <c r="X99" s="129" t="n"/>
      <c r="Y99" s="129" t="n"/>
      <c r="Z99" s="129" t="n"/>
      <c r="AA99" s="129" t="n"/>
      <c r="AB99" s="129" t="n"/>
      <c r="AC99" s="129" t="n"/>
      <c r="AD99" s="129" t="n"/>
      <c r="AE99" s="129" t="n"/>
      <c r="AF99" s="129" t="n"/>
      <c r="AG99" s="129" t="n"/>
      <c r="AH99" s="129" t="n"/>
      <c r="AI99" s="129" t="n"/>
      <c r="AJ99" s="129" t="n"/>
      <c r="AK99" s="129" t="n"/>
      <c r="AL99" s="129" t="n"/>
      <c r="AM99" s="129" t="n"/>
      <c r="AN99" s="129" t="n"/>
      <c r="AO99" s="129" t="n"/>
      <c r="AP99" s="129" t="n"/>
      <c r="AQ99" s="129" t="n"/>
      <c r="AR99" s="129" t="n"/>
      <c r="AS99" s="129" t="n"/>
      <c r="AT99" s="129" t="n"/>
      <c r="AU99" s="129" t="n"/>
      <c r="AV99" s="129" t="n"/>
      <c r="AW99" s="129" t="n"/>
      <c r="AX99" s="129" t="n"/>
      <c r="AY99" s="129" t="n"/>
      <c r="AZ99" s="129" t="n"/>
      <c r="BA99" s="129" t="n"/>
      <c r="BB99" s="129" t="n"/>
      <c r="BC99" s="129" t="n"/>
      <c r="BD99" s="129" t="n"/>
      <c r="BE99" s="129" t="n"/>
      <c r="BF99" s="129" t="n"/>
      <c r="BG99" s="129" t="n"/>
      <c r="BH99" s="129" t="n"/>
      <c r="BI99" s="129" t="n"/>
      <c r="BJ99" s="129" t="n"/>
      <c r="BK99" s="129" t="n"/>
      <c r="BL99" s="129" t="n"/>
      <c r="BM99" s="129" t="n"/>
      <c r="BN99" s="129" t="n"/>
      <c r="BO99" s="129" t="n"/>
      <c r="BP99" s="129" t="n"/>
      <c r="BQ99" s="129" t="n"/>
      <c r="BR99" s="129" t="n"/>
      <c r="BS99" s="129" t="n"/>
      <c r="BT99" s="129" t="n"/>
      <c r="BU99" s="129" t="n"/>
      <c r="BV99" s="129" t="n"/>
      <c r="BW99" s="129" t="n"/>
      <c r="BX99" s="129" t="n"/>
      <c r="BY99" s="129" t="n"/>
      <c r="BZ99" s="129" t="n"/>
      <c r="CA99" s="129" t="n"/>
      <c r="CB99" s="129" t="n"/>
      <c r="CC99" s="129" t="n"/>
      <c r="CD99" s="129" t="n"/>
      <c r="CE99" s="129" t="n"/>
      <c r="CF99" s="129" t="n"/>
      <c r="CG99" s="129" t="n"/>
      <c r="CH99" s="129" t="n"/>
      <c r="CI99" s="129" t="n"/>
      <c r="CJ99" s="129" t="n"/>
      <c r="CK99" s="129" t="n"/>
      <c r="CL99" s="129" t="n"/>
      <c r="CM99" s="129" t="n"/>
      <c r="CN99" s="129" t="n"/>
      <c r="CO99" s="129" t="n"/>
      <c r="CP99" s="129" t="n"/>
      <c r="CQ99" s="129" t="n"/>
      <c r="CR99" s="129" t="n"/>
      <c r="CS99" s="129" t="n"/>
      <c r="CT99" s="129" t="n"/>
      <c r="CU99" s="129" t="n"/>
      <c r="CV99" s="129" t="n"/>
      <c r="CW99" s="129" t="n"/>
      <c r="CX99" s="129" t="n"/>
      <c r="CY99" s="129" t="n"/>
      <c r="CZ99" s="129" t="n"/>
      <c r="DA99" s="129" t="n"/>
      <c r="DB99" s="129" t="n"/>
      <c r="DC99" s="129" t="n"/>
      <c r="DD99" s="129" t="n"/>
      <c r="DE99" s="129" t="n"/>
      <c r="DF99" s="129" t="n"/>
      <c r="DG99" s="129" t="n"/>
      <c r="DH99" s="129" t="n"/>
      <c r="DI99" s="129" t="n"/>
      <c r="DJ99" s="129" t="n"/>
      <c r="DK99" s="129" t="n"/>
      <c r="DL99" s="129" t="n"/>
      <c r="DM99" s="129" t="n"/>
      <c r="DN99" s="129" t="n"/>
      <c r="DO99" s="129" t="n"/>
      <c r="DP99" s="129" t="n"/>
      <c r="DQ99" s="129" t="n"/>
      <c r="DR99" s="129" t="n"/>
      <c r="DS99" s="129" t="n"/>
      <c r="DT99" s="129" t="n"/>
      <c r="DU99" s="129" t="n"/>
      <c r="DV99" s="129" t="n"/>
      <c r="DW99" s="129" t="n"/>
      <c r="DX99" s="129" t="n"/>
      <c r="DY99" s="129" t="n"/>
      <c r="DZ99" s="129" t="n"/>
      <c r="EA99" s="129" t="n"/>
      <c r="EB99" s="129" t="n"/>
      <c r="EC99" s="129" t="n"/>
      <c r="ED99" s="129" t="n"/>
      <c r="EE99" s="129" t="n"/>
      <c r="EF99" s="129" t="n"/>
      <c r="EG99" s="129" t="n"/>
      <c r="EH99" s="129" t="n"/>
      <c r="EI99" s="129" t="n"/>
      <c r="EJ99" s="129" t="n"/>
      <c r="EK99" s="129" t="n"/>
      <c r="EL99" s="129" t="n"/>
      <c r="EM99" s="129" t="n"/>
      <c r="EN99" s="129" t="n"/>
      <c r="EO99" s="129" t="n"/>
      <c r="EP99" s="129" t="n"/>
      <c r="EQ99" s="129" t="n"/>
      <c r="ER99" s="129" t="n"/>
      <c r="ES99" s="129" t="n"/>
      <c r="ET99" s="129" t="n"/>
      <c r="EU99" s="129" t="n"/>
      <c r="EV99" s="129" t="n"/>
      <c r="EW99" s="129" t="n"/>
      <c r="EX99" s="129" t="n"/>
      <c r="EY99" s="129" t="n"/>
      <c r="EZ99" s="129" t="n"/>
      <c r="FA99" s="129" t="n"/>
      <c r="FB99" s="129" t="n"/>
      <c r="FC99" s="129" t="n"/>
      <c r="FD99" s="129" t="n"/>
      <c r="FE99" s="129" t="n"/>
      <c r="FF99" s="129" t="n"/>
      <c r="FG99" s="129" t="n"/>
      <c r="FH99" s="129" t="n"/>
      <c r="FI99" s="129" t="n"/>
      <c r="FJ99" s="129" t="n"/>
      <c r="FK99" s="129" t="n"/>
      <c r="FL99" s="129" t="n"/>
      <c r="FM99" s="129" t="n"/>
    </row>
    <row r="100" s="135">
      <c r="A100" s="92" t="n">
        <v>35734</v>
      </c>
      <c r="B100" s="93" t="n">
        <v>0.118</v>
      </c>
      <c r="C100" s="79" t="n"/>
      <c r="D100" s="129" t="n"/>
      <c r="E100" s="129" t="n"/>
      <c r="F100" s="129" t="n"/>
      <c r="G100" s="129" t="n"/>
      <c r="H100" s="129" t="n"/>
      <c r="I100" s="129" t="n"/>
      <c r="J100" s="129" t="n"/>
      <c r="K100" s="129" t="n"/>
      <c r="L100" s="129" t="n"/>
      <c r="M100" s="129" t="n"/>
      <c r="N100" s="129" t="n"/>
      <c r="O100" s="129" t="n"/>
      <c r="P100" s="129" t="n"/>
      <c r="Q100" s="129" t="n"/>
      <c r="R100" s="129" t="n"/>
      <c r="S100" s="129" t="n"/>
      <c r="T100" s="129" t="n"/>
      <c r="U100" s="129" t="n"/>
      <c r="V100" s="129" t="n"/>
      <c r="W100" s="129" t="n"/>
      <c r="X100" s="129" t="n"/>
      <c r="Y100" s="129" t="n"/>
      <c r="Z100" s="129" t="n"/>
      <c r="AA100" s="129" t="n"/>
      <c r="AB100" s="129" t="n"/>
      <c r="AC100" s="129" t="n"/>
      <c r="AD100" s="129" t="n"/>
      <c r="AE100" s="129" t="n"/>
      <c r="AF100" s="129" t="n"/>
      <c r="AG100" s="129" t="n"/>
      <c r="AH100" s="129" t="n"/>
      <c r="AI100" s="129" t="n"/>
      <c r="AJ100" s="129" t="n"/>
      <c r="AK100" s="129" t="n"/>
      <c r="AL100" s="129" t="n"/>
      <c r="AM100" s="129" t="n"/>
      <c r="AN100" s="129" t="n"/>
      <c r="AO100" s="129" t="n"/>
      <c r="AP100" s="129" t="n"/>
      <c r="AQ100" s="129" t="n"/>
      <c r="AR100" s="129" t="n"/>
      <c r="AS100" s="129" t="n"/>
      <c r="AT100" s="129" t="n"/>
      <c r="AU100" s="129" t="n"/>
      <c r="AV100" s="129" t="n"/>
      <c r="AW100" s="129" t="n"/>
      <c r="AX100" s="129" t="n"/>
      <c r="AY100" s="129" t="n"/>
      <c r="AZ100" s="129" t="n"/>
      <c r="BA100" s="129" t="n"/>
      <c r="BB100" s="129" t="n"/>
      <c r="BC100" s="129" t="n"/>
      <c r="BD100" s="129" t="n"/>
      <c r="BE100" s="129" t="n"/>
      <c r="BF100" s="129" t="n"/>
      <c r="BG100" s="129" t="n"/>
      <c r="BH100" s="129" t="n"/>
      <c r="BI100" s="129" t="n"/>
      <c r="BJ100" s="129" t="n"/>
      <c r="BK100" s="129" t="n"/>
      <c r="BL100" s="129" t="n"/>
      <c r="BM100" s="129" t="n"/>
      <c r="BN100" s="129" t="n"/>
      <c r="BO100" s="129" t="n"/>
      <c r="BP100" s="129" t="n"/>
      <c r="BQ100" s="129" t="n"/>
      <c r="BR100" s="129" t="n"/>
      <c r="BS100" s="129" t="n"/>
      <c r="BT100" s="129" t="n"/>
      <c r="BU100" s="129" t="n"/>
      <c r="BV100" s="129" t="n"/>
      <c r="BW100" s="129" t="n"/>
      <c r="BX100" s="129" t="n"/>
      <c r="BY100" s="129" t="n"/>
      <c r="BZ100" s="129" t="n"/>
      <c r="CA100" s="129" t="n"/>
      <c r="CB100" s="129" t="n"/>
      <c r="CC100" s="129" t="n"/>
      <c r="CD100" s="129" t="n"/>
      <c r="CE100" s="129" t="n"/>
      <c r="CF100" s="129" t="n"/>
      <c r="CG100" s="129" t="n"/>
      <c r="CH100" s="129" t="n"/>
      <c r="CI100" s="129" t="n"/>
      <c r="CJ100" s="129" t="n"/>
      <c r="CK100" s="129" t="n"/>
      <c r="CL100" s="129" t="n"/>
      <c r="CM100" s="129" t="n"/>
      <c r="CN100" s="129" t="n"/>
      <c r="CO100" s="129" t="n"/>
      <c r="CP100" s="129" t="n"/>
      <c r="CQ100" s="129" t="n"/>
      <c r="CR100" s="129" t="n"/>
      <c r="CS100" s="129" t="n"/>
      <c r="CT100" s="129" t="n"/>
      <c r="CU100" s="129" t="n"/>
      <c r="CV100" s="129" t="n"/>
      <c r="CW100" s="129" t="n"/>
      <c r="CX100" s="129" t="n"/>
      <c r="CY100" s="129" t="n"/>
      <c r="CZ100" s="129" t="n"/>
      <c r="DA100" s="129" t="n"/>
      <c r="DB100" s="129" t="n"/>
      <c r="DC100" s="129" t="n"/>
      <c r="DD100" s="129" t="n"/>
      <c r="DE100" s="129" t="n"/>
      <c r="DF100" s="129" t="n"/>
      <c r="DG100" s="129" t="n"/>
      <c r="DH100" s="129" t="n"/>
      <c r="DI100" s="129" t="n"/>
      <c r="DJ100" s="129" t="n"/>
      <c r="DK100" s="129" t="n"/>
      <c r="DL100" s="129" t="n"/>
      <c r="DM100" s="129" t="n"/>
      <c r="DN100" s="129" t="n"/>
      <c r="DO100" s="129" t="n"/>
      <c r="DP100" s="129" t="n"/>
      <c r="DQ100" s="129" t="n"/>
      <c r="DR100" s="129" t="n"/>
      <c r="DS100" s="129" t="n"/>
      <c r="DT100" s="129" t="n"/>
      <c r="DU100" s="129" t="n"/>
      <c r="DV100" s="129" t="n"/>
      <c r="DW100" s="129" t="n"/>
      <c r="DX100" s="129" t="n"/>
      <c r="DY100" s="129" t="n"/>
      <c r="DZ100" s="129" t="n"/>
      <c r="EA100" s="129" t="n"/>
      <c r="EB100" s="129" t="n"/>
      <c r="EC100" s="129" t="n"/>
      <c r="ED100" s="129" t="n"/>
      <c r="EE100" s="129" t="n"/>
      <c r="EF100" s="129" t="n"/>
      <c r="EG100" s="129" t="n"/>
      <c r="EH100" s="129" t="n"/>
      <c r="EI100" s="129" t="n"/>
      <c r="EJ100" s="129" t="n"/>
      <c r="EK100" s="129" t="n"/>
      <c r="EL100" s="129" t="n"/>
      <c r="EM100" s="129" t="n"/>
      <c r="EN100" s="129" t="n"/>
      <c r="EO100" s="129" t="n"/>
      <c r="EP100" s="129" t="n"/>
      <c r="EQ100" s="129" t="n"/>
      <c r="ER100" s="129" t="n"/>
      <c r="ES100" s="129" t="n"/>
      <c r="ET100" s="129" t="n"/>
      <c r="EU100" s="129" t="n"/>
      <c r="EV100" s="129" t="n"/>
      <c r="EW100" s="129" t="n"/>
      <c r="EX100" s="129" t="n"/>
      <c r="EY100" s="129" t="n"/>
      <c r="EZ100" s="129" t="n"/>
      <c r="FA100" s="129" t="n"/>
      <c r="FB100" s="129" t="n"/>
      <c r="FC100" s="129" t="n"/>
      <c r="FD100" s="129" t="n"/>
      <c r="FE100" s="129" t="n"/>
      <c r="FF100" s="129" t="n"/>
      <c r="FG100" s="129" t="n"/>
      <c r="FH100" s="129" t="n"/>
      <c r="FI100" s="129" t="n"/>
      <c r="FJ100" s="129" t="n"/>
      <c r="FK100" s="129" t="n"/>
      <c r="FL100" s="129" t="n"/>
      <c r="FM100" s="129" t="n"/>
    </row>
    <row r="101" s="135">
      <c r="A101" s="90" t="n">
        <v>35764</v>
      </c>
      <c r="B101" s="91" t="n">
        <v>0.116</v>
      </c>
      <c r="C101" s="79" t="n"/>
      <c r="D101" s="129" t="n"/>
      <c r="E101" s="129" t="n"/>
      <c r="F101" s="129" t="n"/>
      <c r="G101" s="129" t="n"/>
      <c r="H101" s="129" t="n"/>
      <c r="I101" s="129" t="n"/>
      <c r="J101" s="129" t="n"/>
      <c r="K101" s="129" t="n"/>
      <c r="L101" s="129" t="n"/>
      <c r="M101" s="129" t="n"/>
      <c r="N101" s="129" t="n"/>
      <c r="O101" s="129" t="n"/>
      <c r="P101" s="129" t="n"/>
      <c r="Q101" s="129" t="n"/>
      <c r="R101" s="129" t="n"/>
      <c r="S101" s="129" t="n"/>
      <c r="T101" s="129" t="n"/>
      <c r="U101" s="129" t="n"/>
      <c r="V101" s="129" t="n"/>
      <c r="W101" s="129" t="n"/>
      <c r="X101" s="129" t="n"/>
      <c r="Y101" s="129" t="n"/>
      <c r="Z101" s="129" t="n"/>
      <c r="AA101" s="129" t="n"/>
      <c r="AB101" s="129" t="n"/>
      <c r="AC101" s="129" t="n"/>
      <c r="AD101" s="129" t="n"/>
      <c r="AE101" s="129" t="n"/>
      <c r="AF101" s="129" t="n"/>
      <c r="AG101" s="129" t="n"/>
      <c r="AH101" s="129" t="n"/>
      <c r="AI101" s="129" t="n"/>
      <c r="AJ101" s="129" t="n"/>
      <c r="AK101" s="129" t="n"/>
      <c r="AL101" s="129" t="n"/>
      <c r="AM101" s="129" t="n"/>
      <c r="AN101" s="129" t="n"/>
      <c r="AO101" s="129" t="n"/>
      <c r="AP101" s="129" t="n"/>
      <c r="AQ101" s="129" t="n"/>
      <c r="AR101" s="129" t="n"/>
      <c r="AS101" s="129" t="n"/>
      <c r="AT101" s="129" t="n"/>
      <c r="AU101" s="129" t="n"/>
      <c r="AV101" s="129" t="n"/>
      <c r="AW101" s="129" t="n"/>
      <c r="AX101" s="129" t="n"/>
      <c r="AY101" s="129" t="n"/>
      <c r="AZ101" s="129" t="n"/>
      <c r="BA101" s="129" t="n"/>
      <c r="BB101" s="129" t="n"/>
      <c r="BC101" s="129" t="n"/>
      <c r="BD101" s="129" t="n"/>
      <c r="BE101" s="129" t="n"/>
      <c r="BF101" s="129" t="n"/>
      <c r="BG101" s="129" t="n"/>
      <c r="BH101" s="129" t="n"/>
      <c r="BI101" s="129" t="n"/>
      <c r="BJ101" s="129" t="n"/>
      <c r="BK101" s="129" t="n"/>
      <c r="BL101" s="129" t="n"/>
      <c r="BM101" s="129" t="n"/>
      <c r="BN101" s="129" t="n"/>
      <c r="BO101" s="129" t="n"/>
      <c r="BP101" s="129" t="n"/>
      <c r="BQ101" s="129" t="n"/>
      <c r="BR101" s="129" t="n"/>
      <c r="BS101" s="129" t="n"/>
      <c r="BT101" s="129" t="n"/>
      <c r="BU101" s="129" t="n"/>
      <c r="BV101" s="129" t="n"/>
      <c r="BW101" s="129" t="n"/>
      <c r="BX101" s="129" t="n"/>
      <c r="BY101" s="129" t="n"/>
      <c r="BZ101" s="129" t="n"/>
      <c r="CA101" s="129" t="n"/>
      <c r="CB101" s="129" t="n"/>
      <c r="CC101" s="129" t="n"/>
      <c r="CD101" s="129" t="n"/>
      <c r="CE101" s="129" t="n"/>
      <c r="CF101" s="129" t="n"/>
      <c r="CG101" s="129" t="n"/>
      <c r="CH101" s="129" t="n"/>
      <c r="CI101" s="129" t="n"/>
      <c r="CJ101" s="129" t="n"/>
      <c r="CK101" s="129" t="n"/>
      <c r="CL101" s="129" t="n"/>
      <c r="CM101" s="129" t="n"/>
      <c r="CN101" s="129" t="n"/>
      <c r="CO101" s="129" t="n"/>
      <c r="CP101" s="129" t="n"/>
      <c r="CQ101" s="129" t="n"/>
      <c r="CR101" s="129" t="n"/>
      <c r="CS101" s="129" t="n"/>
      <c r="CT101" s="129" t="n"/>
      <c r="CU101" s="129" t="n"/>
      <c r="CV101" s="129" t="n"/>
      <c r="CW101" s="129" t="n"/>
      <c r="CX101" s="129" t="n"/>
      <c r="CY101" s="129" t="n"/>
      <c r="CZ101" s="129" t="n"/>
      <c r="DA101" s="129" t="n"/>
      <c r="DB101" s="129" t="n"/>
      <c r="DC101" s="129" t="n"/>
      <c r="DD101" s="129" t="n"/>
      <c r="DE101" s="129" t="n"/>
      <c r="DF101" s="129" t="n"/>
      <c r="DG101" s="129" t="n"/>
      <c r="DH101" s="129" t="n"/>
      <c r="DI101" s="129" t="n"/>
      <c r="DJ101" s="129" t="n"/>
      <c r="DK101" s="129" t="n"/>
      <c r="DL101" s="129" t="n"/>
      <c r="DM101" s="129" t="n"/>
      <c r="DN101" s="129" t="n"/>
      <c r="DO101" s="129" t="n"/>
      <c r="DP101" s="129" t="n"/>
      <c r="DQ101" s="129" t="n"/>
      <c r="DR101" s="129" t="n"/>
      <c r="DS101" s="129" t="n"/>
      <c r="DT101" s="129" t="n"/>
      <c r="DU101" s="129" t="n"/>
      <c r="DV101" s="129" t="n"/>
      <c r="DW101" s="129" t="n"/>
      <c r="DX101" s="129" t="n"/>
      <c r="DY101" s="129" t="n"/>
      <c r="DZ101" s="129" t="n"/>
      <c r="EA101" s="129" t="n"/>
      <c r="EB101" s="129" t="n"/>
      <c r="EC101" s="129" t="n"/>
      <c r="ED101" s="129" t="n"/>
      <c r="EE101" s="129" t="n"/>
      <c r="EF101" s="129" t="n"/>
      <c r="EG101" s="129" t="n"/>
      <c r="EH101" s="129" t="n"/>
      <c r="EI101" s="129" t="n"/>
      <c r="EJ101" s="129" t="n"/>
      <c r="EK101" s="129" t="n"/>
      <c r="EL101" s="129" t="n"/>
      <c r="EM101" s="129" t="n"/>
      <c r="EN101" s="129" t="n"/>
      <c r="EO101" s="129" t="n"/>
      <c r="EP101" s="129" t="n"/>
      <c r="EQ101" s="129" t="n"/>
      <c r="ER101" s="129" t="n"/>
      <c r="ES101" s="129" t="n"/>
      <c r="ET101" s="129" t="n"/>
      <c r="EU101" s="129" t="n"/>
      <c r="EV101" s="129" t="n"/>
      <c r="EW101" s="129" t="n"/>
      <c r="EX101" s="129" t="n"/>
      <c r="EY101" s="129" t="n"/>
      <c r="EZ101" s="129" t="n"/>
      <c r="FA101" s="129" t="n"/>
      <c r="FB101" s="129" t="n"/>
      <c r="FC101" s="129" t="n"/>
      <c r="FD101" s="129" t="n"/>
      <c r="FE101" s="129" t="n"/>
      <c r="FF101" s="129" t="n"/>
      <c r="FG101" s="129" t="n"/>
      <c r="FH101" s="129" t="n"/>
      <c r="FI101" s="129" t="n"/>
      <c r="FJ101" s="129" t="n"/>
      <c r="FK101" s="129" t="n"/>
      <c r="FL101" s="129" t="n"/>
      <c r="FM101" s="129" t="n"/>
    </row>
    <row r="102" s="135">
      <c r="A102" s="92" t="n">
        <v>35795</v>
      </c>
      <c r="B102" s="93" t="n">
        <v>0.092</v>
      </c>
      <c r="C102" s="79" t="n"/>
      <c r="D102" s="129" t="n"/>
      <c r="E102" s="129" t="n"/>
      <c r="F102" s="129" t="n"/>
      <c r="G102" s="129" t="n"/>
      <c r="H102" s="129" t="n"/>
      <c r="I102" s="129" t="n"/>
      <c r="J102" s="129" t="n"/>
      <c r="K102" s="129" t="n"/>
      <c r="L102" s="129" t="n"/>
      <c r="M102" s="129" t="n"/>
      <c r="N102" s="129" t="n"/>
      <c r="O102" s="129" t="n"/>
      <c r="P102" s="129" t="n"/>
      <c r="Q102" s="129" t="n"/>
      <c r="R102" s="129" t="n"/>
      <c r="S102" s="129" t="n"/>
      <c r="T102" s="129" t="n"/>
      <c r="U102" s="129" t="n"/>
      <c r="V102" s="129" t="n"/>
      <c r="W102" s="129" t="n"/>
      <c r="X102" s="129" t="n"/>
      <c r="Y102" s="129" t="n"/>
      <c r="Z102" s="129" t="n"/>
      <c r="AA102" s="129" t="n"/>
      <c r="AB102" s="129" t="n"/>
      <c r="AC102" s="129" t="n"/>
      <c r="AD102" s="129" t="n"/>
      <c r="AE102" s="129" t="n"/>
      <c r="AF102" s="129" t="n"/>
      <c r="AG102" s="129" t="n"/>
      <c r="AH102" s="129" t="n"/>
      <c r="AI102" s="129" t="n"/>
      <c r="AJ102" s="129" t="n"/>
      <c r="AK102" s="129" t="n"/>
      <c r="AL102" s="129" t="n"/>
      <c r="AM102" s="129" t="n"/>
      <c r="AN102" s="129" t="n"/>
      <c r="AO102" s="129" t="n"/>
      <c r="AP102" s="129" t="n"/>
      <c r="AQ102" s="129" t="n"/>
      <c r="AR102" s="129" t="n"/>
      <c r="AS102" s="129" t="n"/>
      <c r="AT102" s="129" t="n"/>
      <c r="AU102" s="129" t="n"/>
      <c r="AV102" s="129" t="n"/>
      <c r="AW102" s="129" t="n"/>
      <c r="AX102" s="129" t="n"/>
      <c r="AY102" s="129" t="n"/>
      <c r="AZ102" s="129" t="n"/>
      <c r="BA102" s="129" t="n"/>
      <c r="BB102" s="129" t="n"/>
      <c r="BC102" s="129" t="n"/>
      <c r="BD102" s="129" t="n"/>
      <c r="BE102" s="129" t="n"/>
      <c r="BF102" s="129" t="n"/>
      <c r="BG102" s="129" t="n"/>
      <c r="BH102" s="129" t="n"/>
      <c r="BI102" s="129" t="n"/>
      <c r="BJ102" s="129" t="n"/>
      <c r="BK102" s="129" t="n"/>
      <c r="BL102" s="129" t="n"/>
      <c r="BM102" s="129" t="n"/>
      <c r="BN102" s="129" t="n"/>
      <c r="BO102" s="129" t="n"/>
      <c r="BP102" s="129" t="n"/>
      <c r="BQ102" s="129" t="n"/>
      <c r="BR102" s="129" t="n"/>
      <c r="BS102" s="129" t="n"/>
      <c r="BT102" s="129" t="n"/>
      <c r="BU102" s="129" t="n"/>
      <c r="BV102" s="129" t="n"/>
      <c r="BW102" s="129" t="n"/>
      <c r="BX102" s="129" t="n"/>
      <c r="BY102" s="129" t="n"/>
      <c r="BZ102" s="129" t="n"/>
      <c r="CA102" s="129" t="n"/>
      <c r="CB102" s="129" t="n"/>
      <c r="CC102" s="129" t="n"/>
      <c r="CD102" s="129" t="n"/>
      <c r="CE102" s="129" t="n"/>
      <c r="CF102" s="129" t="n"/>
      <c r="CG102" s="129" t="n"/>
      <c r="CH102" s="129" t="n"/>
      <c r="CI102" s="129" t="n"/>
      <c r="CJ102" s="129" t="n"/>
      <c r="CK102" s="129" t="n"/>
      <c r="CL102" s="129" t="n"/>
      <c r="CM102" s="129" t="n"/>
      <c r="CN102" s="129" t="n"/>
      <c r="CO102" s="129" t="n"/>
      <c r="CP102" s="129" t="n"/>
      <c r="CQ102" s="129" t="n"/>
      <c r="CR102" s="129" t="n"/>
      <c r="CS102" s="129" t="n"/>
      <c r="CT102" s="129" t="n"/>
      <c r="CU102" s="129" t="n"/>
      <c r="CV102" s="129" t="n"/>
      <c r="CW102" s="129" t="n"/>
      <c r="CX102" s="129" t="n"/>
      <c r="CY102" s="129" t="n"/>
      <c r="CZ102" s="129" t="n"/>
      <c r="DA102" s="129" t="n"/>
      <c r="DB102" s="129" t="n"/>
      <c r="DC102" s="129" t="n"/>
      <c r="DD102" s="129" t="n"/>
      <c r="DE102" s="129" t="n"/>
      <c r="DF102" s="129" t="n"/>
      <c r="DG102" s="129" t="n"/>
      <c r="DH102" s="129" t="n"/>
      <c r="DI102" s="129" t="n"/>
      <c r="DJ102" s="129" t="n"/>
      <c r="DK102" s="129" t="n"/>
      <c r="DL102" s="129" t="n"/>
      <c r="DM102" s="129" t="n"/>
      <c r="DN102" s="129" t="n"/>
      <c r="DO102" s="129" t="n"/>
      <c r="DP102" s="129" t="n"/>
      <c r="DQ102" s="129" t="n"/>
      <c r="DR102" s="129" t="n"/>
      <c r="DS102" s="129" t="n"/>
      <c r="DT102" s="129" t="n"/>
      <c r="DU102" s="129" t="n"/>
      <c r="DV102" s="129" t="n"/>
      <c r="DW102" s="129" t="n"/>
      <c r="DX102" s="129" t="n"/>
      <c r="DY102" s="129" t="n"/>
      <c r="DZ102" s="129" t="n"/>
      <c r="EA102" s="129" t="n"/>
      <c r="EB102" s="129" t="n"/>
      <c r="EC102" s="129" t="n"/>
      <c r="ED102" s="129" t="n"/>
      <c r="EE102" s="129" t="n"/>
      <c r="EF102" s="129" t="n"/>
      <c r="EG102" s="129" t="n"/>
      <c r="EH102" s="129" t="n"/>
      <c r="EI102" s="129" t="n"/>
      <c r="EJ102" s="129" t="n"/>
      <c r="EK102" s="129" t="n"/>
      <c r="EL102" s="129" t="n"/>
      <c r="EM102" s="129" t="n"/>
      <c r="EN102" s="129" t="n"/>
      <c r="EO102" s="129" t="n"/>
      <c r="EP102" s="129" t="n"/>
      <c r="EQ102" s="129" t="n"/>
      <c r="ER102" s="129" t="n"/>
      <c r="ES102" s="129" t="n"/>
      <c r="ET102" s="129" t="n"/>
      <c r="EU102" s="129" t="n"/>
      <c r="EV102" s="129" t="n"/>
      <c r="EW102" s="129" t="n"/>
      <c r="EX102" s="129" t="n"/>
      <c r="EY102" s="129" t="n"/>
      <c r="EZ102" s="129" t="n"/>
      <c r="FA102" s="129" t="n"/>
      <c r="FB102" s="129" t="n"/>
      <c r="FC102" s="129" t="n"/>
      <c r="FD102" s="129" t="n"/>
      <c r="FE102" s="129" t="n"/>
      <c r="FF102" s="129" t="n"/>
      <c r="FG102" s="129" t="n"/>
      <c r="FH102" s="129" t="n"/>
      <c r="FI102" s="129" t="n"/>
      <c r="FJ102" s="129" t="n"/>
      <c r="FK102" s="129" t="n"/>
      <c r="FL102" s="129" t="n"/>
      <c r="FM102" s="129" t="n"/>
    </row>
    <row r="103" s="135">
      <c r="A103" s="90" t="n">
        <v>35826</v>
      </c>
      <c r="B103" s="91" t="n">
        <v>0.018</v>
      </c>
      <c r="C103" s="79" t="n"/>
      <c r="D103" s="129" t="n"/>
      <c r="E103" s="129" t="n"/>
      <c r="F103" s="129" t="n"/>
      <c r="G103" s="129" t="n"/>
      <c r="H103" s="129" t="n"/>
      <c r="I103" s="129" t="n"/>
      <c r="J103" s="129" t="n"/>
      <c r="K103" s="129" t="n"/>
      <c r="L103" s="129" t="n"/>
      <c r="M103" s="129" t="n"/>
      <c r="N103" s="129" t="n"/>
      <c r="O103" s="129" t="n"/>
      <c r="P103" s="129" t="n"/>
      <c r="Q103" s="129" t="n"/>
      <c r="R103" s="129" t="n"/>
      <c r="S103" s="129" t="n"/>
      <c r="T103" s="129" t="n"/>
      <c r="U103" s="129" t="n"/>
      <c r="V103" s="129" t="n"/>
      <c r="W103" s="129" t="n"/>
      <c r="X103" s="129" t="n"/>
      <c r="Y103" s="129" t="n"/>
      <c r="Z103" s="129" t="n"/>
      <c r="AA103" s="129" t="n"/>
      <c r="AB103" s="129" t="n"/>
      <c r="AC103" s="129" t="n"/>
      <c r="AD103" s="129" t="n"/>
      <c r="AE103" s="129" t="n"/>
      <c r="AF103" s="129" t="n"/>
      <c r="AG103" s="129" t="n"/>
      <c r="AH103" s="129" t="n"/>
      <c r="AI103" s="129" t="n"/>
      <c r="AJ103" s="129" t="n"/>
      <c r="AK103" s="129" t="n"/>
      <c r="AL103" s="129" t="n"/>
      <c r="AM103" s="129" t="n"/>
      <c r="AN103" s="129" t="n"/>
      <c r="AO103" s="129" t="n"/>
      <c r="AP103" s="129" t="n"/>
      <c r="AQ103" s="129" t="n"/>
      <c r="AR103" s="129" t="n"/>
      <c r="AS103" s="129" t="n"/>
      <c r="AT103" s="129" t="n"/>
      <c r="AU103" s="129" t="n"/>
      <c r="AV103" s="129" t="n"/>
      <c r="AW103" s="129" t="n"/>
      <c r="AX103" s="129" t="n"/>
      <c r="AY103" s="129" t="n"/>
      <c r="AZ103" s="129" t="n"/>
      <c r="BA103" s="129" t="n"/>
      <c r="BB103" s="129" t="n"/>
      <c r="BC103" s="129" t="n"/>
      <c r="BD103" s="129" t="n"/>
      <c r="BE103" s="129" t="n"/>
      <c r="BF103" s="129" t="n"/>
      <c r="BG103" s="129" t="n"/>
      <c r="BH103" s="129" t="n"/>
      <c r="BI103" s="129" t="n"/>
      <c r="BJ103" s="129" t="n"/>
      <c r="BK103" s="129" t="n"/>
      <c r="BL103" s="129" t="n"/>
      <c r="BM103" s="129" t="n"/>
      <c r="BN103" s="129" t="n"/>
      <c r="BO103" s="129" t="n"/>
      <c r="BP103" s="129" t="n"/>
      <c r="BQ103" s="129" t="n"/>
      <c r="BR103" s="129" t="n"/>
      <c r="BS103" s="129" t="n"/>
      <c r="BT103" s="129" t="n"/>
      <c r="BU103" s="129" t="n"/>
      <c r="BV103" s="129" t="n"/>
      <c r="BW103" s="129" t="n"/>
      <c r="BX103" s="129" t="n"/>
      <c r="BY103" s="129" t="n"/>
      <c r="BZ103" s="129" t="n"/>
      <c r="CA103" s="129" t="n"/>
      <c r="CB103" s="129" t="n"/>
      <c r="CC103" s="129" t="n"/>
      <c r="CD103" s="129" t="n"/>
      <c r="CE103" s="129" t="n"/>
      <c r="CF103" s="129" t="n"/>
      <c r="CG103" s="129" t="n"/>
      <c r="CH103" s="129" t="n"/>
      <c r="CI103" s="129" t="n"/>
      <c r="CJ103" s="129" t="n"/>
      <c r="CK103" s="129" t="n"/>
      <c r="CL103" s="129" t="n"/>
      <c r="CM103" s="129" t="n"/>
      <c r="CN103" s="129" t="n"/>
      <c r="CO103" s="129" t="n"/>
      <c r="CP103" s="129" t="n"/>
      <c r="CQ103" s="129" t="n"/>
      <c r="CR103" s="129" t="n"/>
      <c r="CS103" s="129" t="n"/>
      <c r="CT103" s="129" t="n"/>
      <c r="CU103" s="129" t="n"/>
      <c r="CV103" s="129" t="n"/>
      <c r="CW103" s="129" t="n"/>
      <c r="CX103" s="129" t="n"/>
      <c r="CY103" s="129" t="n"/>
      <c r="CZ103" s="129" t="n"/>
      <c r="DA103" s="129" t="n"/>
      <c r="DB103" s="129" t="n"/>
      <c r="DC103" s="129" t="n"/>
      <c r="DD103" s="129" t="n"/>
      <c r="DE103" s="129" t="n"/>
      <c r="DF103" s="129" t="n"/>
      <c r="DG103" s="129" t="n"/>
      <c r="DH103" s="129" t="n"/>
      <c r="DI103" s="129" t="n"/>
      <c r="DJ103" s="129" t="n"/>
      <c r="DK103" s="129" t="n"/>
      <c r="DL103" s="129" t="n"/>
      <c r="DM103" s="129" t="n"/>
      <c r="DN103" s="129" t="n"/>
      <c r="DO103" s="129" t="n"/>
      <c r="DP103" s="129" t="n"/>
      <c r="DQ103" s="129" t="n"/>
      <c r="DR103" s="129" t="n"/>
      <c r="DS103" s="129" t="n"/>
      <c r="DT103" s="129" t="n"/>
      <c r="DU103" s="129" t="n"/>
      <c r="DV103" s="129" t="n"/>
      <c r="DW103" s="129" t="n"/>
      <c r="DX103" s="129" t="n"/>
      <c r="DY103" s="129" t="n"/>
      <c r="DZ103" s="129" t="n"/>
      <c r="EA103" s="129" t="n"/>
      <c r="EB103" s="129" t="n"/>
      <c r="EC103" s="129" t="n"/>
      <c r="ED103" s="129" t="n"/>
      <c r="EE103" s="129" t="n"/>
      <c r="EF103" s="129" t="n"/>
      <c r="EG103" s="129" t="n"/>
      <c r="EH103" s="129" t="n"/>
      <c r="EI103" s="129" t="n"/>
      <c r="EJ103" s="129" t="n"/>
      <c r="EK103" s="129" t="n"/>
      <c r="EL103" s="129" t="n"/>
      <c r="EM103" s="129" t="n"/>
      <c r="EN103" s="129" t="n"/>
      <c r="EO103" s="129" t="n"/>
      <c r="EP103" s="129" t="n"/>
      <c r="EQ103" s="129" t="n"/>
      <c r="ER103" s="129" t="n"/>
      <c r="ES103" s="129" t="n"/>
      <c r="ET103" s="129" t="n"/>
      <c r="EU103" s="129" t="n"/>
      <c r="EV103" s="129" t="n"/>
      <c r="EW103" s="129" t="n"/>
      <c r="EX103" s="129" t="n"/>
      <c r="EY103" s="129" t="n"/>
      <c r="EZ103" s="129" t="n"/>
      <c r="FA103" s="129" t="n"/>
      <c r="FB103" s="129" t="n"/>
      <c r="FC103" s="129" t="n"/>
      <c r="FD103" s="129" t="n"/>
      <c r="FE103" s="129" t="n"/>
      <c r="FF103" s="129" t="n"/>
      <c r="FG103" s="129" t="n"/>
      <c r="FH103" s="129" t="n"/>
      <c r="FI103" s="129" t="n"/>
      <c r="FJ103" s="129" t="n"/>
      <c r="FK103" s="129" t="n"/>
      <c r="FL103" s="129" t="n"/>
      <c r="FM103" s="129" t="n"/>
    </row>
    <row r="104" s="135">
      <c r="A104" s="92" t="n">
        <v>35854</v>
      </c>
      <c r="B104" s="93" t="n">
        <v>0.095</v>
      </c>
      <c r="C104" s="79" t="n"/>
      <c r="D104" s="129" t="n"/>
      <c r="E104" s="129" t="n"/>
      <c r="F104" s="129" t="n"/>
      <c r="G104" s="129" t="n"/>
      <c r="H104" s="129" t="n"/>
      <c r="I104" s="129" t="n"/>
      <c r="J104" s="129" t="n"/>
      <c r="K104" s="129" t="n"/>
      <c r="L104" s="129" t="n"/>
      <c r="M104" s="129" t="n"/>
      <c r="N104" s="129" t="n"/>
      <c r="O104" s="129" t="n"/>
      <c r="P104" s="129" t="n"/>
      <c r="Q104" s="129" t="n"/>
      <c r="R104" s="129" t="n"/>
      <c r="S104" s="129" t="n"/>
      <c r="T104" s="129" t="n"/>
      <c r="U104" s="129" t="n"/>
      <c r="V104" s="129" t="n"/>
      <c r="W104" s="129" t="n"/>
      <c r="X104" s="129" t="n"/>
      <c r="Y104" s="129" t="n"/>
      <c r="Z104" s="129" t="n"/>
      <c r="AA104" s="129" t="n"/>
      <c r="AB104" s="129" t="n"/>
      <c r="AC104" s="129" t="n"/>
      <c r="AD104" s="129" t="n"/>
      <c r="AE104" s="129" t="n"/>
      <c r="AF104" s="129" t="n"/>
      <c r="AG104" s="129" t="n"/>
      <c r="AH104" s="129" t="n"/>
      <c r="AI104" s="129" t="n"/>
      <c r="AJ104" s="129" t="n"/>
      <c r="AK104" s="129" t="n"/>
      <c r="AL104" s="129" t="n"/>
      <c r="AM104" s="129" t="n"/>
      <c r="AN104" s="129" t="n"/>
      <c r="AO104" s="129" t="n"/>
      <c r="AP104" s="129" t="n"/>
      <c r="AQ104" s="129" t="n"/>
      <c r="AR104" s="129" t="n"/>
      <c r="AS104" s="129" t="n"/>
      <c r="AT104" s="129" t="n"/>
      <c r="AU104" s="129" t="n"/>
      <c r="AV104" s="129" t="n"/>
      <c r="AW104" s="129" t="n"/>
      <c r="AX104" s="129" t="n"/>
      <c r="AY104" s="129" t="n"/>
      <c r="AZ104" s="129" t="n"/>
      <c r="BA104" s="129" t="n"/>
      <c r="BB104" s="129" t="n"/>
      <c r="BC104" s="129" t="n"/>
      <c r="BD104" s="129" t="n"/>
      <c r="BE104" s="129" t="n"/>
      <c r="BF104" s="129" t="n"/>
      <c r="BG104" s="129" t="n"/>
      <c r="BH104" s="129" t="n"/>
      <c r="BI104" s="129" t="n"/>
      <c r="BJ104" s="129" t="n"/>
      <c r="BK104" s="129" t="n"/>
      <c r="BL104" s="129" t="n"/>
      <c r="BM104" s="129" t="n"/>
      <c r="BN104" s="129" t="n"/>
      <c r="BO104" s="129" t="n"/>
      <c r="BP104" s="129" t="n"/>
      <c r="BQ104" s="129" t="n"/>
      <c r="BR104" s="129" t="n"/>
      <c r="BS104" s="129" t="n"/>
      <c r="BT104" s="129" t="n"/>
      <c r="BU104" s="129" t="n"/>
      <c r="BV104" s="129" t="n"/>
      <c r="BW104" s="129" t="n"/>
      <c r="BX104" s="129" t="n"/>
      <c r="BY104" s="129" t="n"/>
      <c r="BZ104" s="129" t="n"/>
      <c r="CA104" s="129" t="n"/>
      <c r="CB104" s="129" t="n"/>
      <c r="CC104" s="129" t="n"/>
      <c r="CD104" s="129" t="n"/>
      <c r="CE104" s="129" t="n"/>
      <c r="CF104" s="129" t="n"/>
      <c r="CG104" s="129" t="n"/>
      <c r="CH104" s="129" t="n"/>
      <c r="CI104" s="129" t="n"/>
      <c r="CJ104" s="129" t="n"/>
      <c r="CK104" s="129" t="n"/>
      <c r="CL104" s="129" t="n"/>
      <c r="CM104" s="129" t="n"/>
      <c r="CN104" s="129" t="n"/>
      <c r="CO104" s="129" t="n"/>
      <c r="CP104" s="129" t="n"/>
      <c r="CQ104" s="129" t="n"/>
      <c r="CR104" s="129" t="n"/>
      <c r="CS104" s="129" t="n"/>
      <c r="CT104" s="129" t="n"/>
      <c r="CU104" s="129" t="n"/>
      <c r="CV104" s="129" t="n"/>
      <c r="CW104" s="129" t="n"/>
      <c r="CX104" s="129" t="n"/>
      <c r="CY104" s="129" t="n"/>
      <c r="CZ104" s="129" t="n"/>
      <c r="DA104" s="129" t="n"/>
      <c r="DB104" s="129" t="n"/>
      <c r="DC104" s="129" t="n"/>
      <c r="DD104" s="129" t="n"/>
      <c r="DE104" s="129" t="n"/>
      <c r="DF104" s="129" t="n"/>
      <c r="DG104" s="129" t="n"/>
      <c r="DH104" s="129" t="n"/>
      <c r="DI104" s="129" t="n"/>
      <c r="DJ104" s="129" t="n"/>
      <c r="DK104" s="129" t="n"/>
      <c r="DL104" s="129" t="n"/>
      <c r="DM104" s="129" t="n"/>
      <c r="DN104" s="129" t="n"/>
      <c r="DO104" s="129" t="n"/>
      <c r="DP104" s="129" t="n"/>
      <c r="DQ104" s="129" t="n"/>
      <c r="DR104" s="129" t="n"/>
      <c r="DS104" s="129" t="n"/>
      <c r="DT104" s="129" t="n"/>
      <c r="DU104" s="129" t="n"/>
      <c r="DV104" s="129" t="n"/>
      <c r="DW104" s="129" t="n"/>
      <c r="DX104" s="129" t="n"/>
      <c r="DY104" s="129" t="n"/>
      <c r="DZ104" s="129" t="n"/>
      <c r="EA104" s="129" t="n"/>
      <c r="EB104" s="129" t="n"/>
      <c r="EC104" s="129" t="n"/>
      <c r="ED104" s="129" t="n"/>
      <c r="EE104" s="129" t="n"/>
      <c r="EF104" s="129" t="n"/>
      <c r="EG104" s="129" t="n"/>
      <c r="EH104" s="129" t="n"/>
      <c r="EI104" s="129" t="n"/>
      <c r="EJ104" s="129" t="n"/>
      <c r="EK104" s="129" t="n"/>
      <c r="EL104" s="129" t="n"/>
      <c r="EM104" s="129" t="n"/>
      <c r="EN104" s="129" t="n"/>
      <c r="EO104" s="129" t="n"/>
      <c r="EP104" s="129" t="n"/>
      <c r="EQ104" s="129" t="n"/>
      <c r="ER104" s="129" t="n"/>
      <c r="ES104" s="129" t="n"/>
      <c r="ET104" s="129" t="n"/>
      <c r="EU104" s="129" t="n"/>
      <c r="EV104" s="129" t="n"/>
      <c r="EW104" s="129" t="n"/>
      <c r="EX104" s="129" t="n"/>
      <c r="EY104" s="129" t="n"/>
      <c r="EZ104" s="129" t="n"/>
      <c r="FA104" s="129" t="n"/>
      <c r="FB104" s="129" t="n"/>
      <c r="FC104" s="129" t="n"/>
      <c r="FD104" s="129" t="n"/>
      <c r="FE104" s="129" t="n"/>
      <c r="FF104" s="129" t="n"/>
      <c r="FG104" s="129" t="n"/>
      <c r="FH104" s="129" t="n"/>
      <c r="FI104" s="129" t="n"/>
      <c r="FJ104" s="129" t="n"/>
      <c r="FK104" s="129" t="n"/>
      <c r="FL104" s="129" t="n"/>
      <c r="FM104" s="129" t="n"/>
    </row>
    <row r="105" s="135">
      <c r="A105" s="90" t="n">
        <v>35885</v>
      </c>
      <c r="B105" s="91" t="n">
        <v>0.09</v>
      </c>
      <c r="C105" s="79" t="n"/>
      <c r="D105" s="129" t="n"/>
      <c r="E105" s="129" t="n"/>
      <c r="F105" s="129" t="n"/>
      <c r="G105" s="129" t="n"/>
      <c r="H105" s="129" t="n"/>
      <c r="I105" s="129" t="n"/>
      <c r="J105" s="129" t="n"/>
      <c r="K105" s="129" t="n"/>
      <c r="L105" s="129" t="n"/>
      <c r="M105" s="129" t="n"/>
      <c r="N105" s="129" t="n"/>
      <c r="O105" s="129" t="n"/>
      <c r="P105" s="129" t="n"/>
      <c r="Q105" s="129" t="n"/>
      <c r="R105" s="129" t="n"/>
      <c r="S105" s="129" t="n"/>
      <c r="T105" s="129" t="n"/>
      <c r="U105" s="129" t="n"/>
      <c r="V105" s="129" t="n"/>
      <c r="W105" s="129" t="n"/>
      <c r="X105" s="129" t="n"/>
      <c r="Y105" s="129" t="n"/>
      <c r="Z105" s="129" t="n"/>
      <c r="AA105" s="129" t="n"/>
      <c r="AB105" s="129" t="n"/>
      <c r="AC105" s="129" t="n"/>
      <c r="AD105" s="129" t="n"/>
      <c r="AE105" s="129" t="n"/>
      <c r="AF105" s="129" t="n"/>
      <c r="AG105" s="129" t="n"/>
      <c r="AH105" s="129" t="n"/>
      <c r="AI105" s="129" t="n"/>
      <c r="AJ105" s="129" t="n"/>
      <c r="AK105" s="129" t="n"/>
      <c r="AL105" s="129" t="n"/>
      <c r="AM105" s="129" t="n"/>
      <c r="AN105" s="129" t="n"/>
      <c r="AO105" s="129" t="n"/>
      <c r="AP105" s="129" t="n"/>
      <c r="AQ105" s="129" t="n"/>
      <c r="AR105" s="129" t="n"/>
      <c r="AS105" s="129" t="n"/>
      <c r="AT105" s="129" t="n"/>
      <c r="AU105" s="129" t="n"/>
      <c r="AV105" s="129" t="n"/>
      <c r="AW105" s="129" t="n"/>
      <c r="AX105" s="129" t="n"/>
      <c r="AY105" s="129" t="n"/>
      <c r="AZ105" s="129" t="n"/>
      <c r="BA105" s="129" t="n"/>
      <c r="BB105" s="129" t="n"/>
      <c r="BC105" s="129" t="n"/>
      <c r="BD105" s="129" t="n"/>
      <c r="BE105" s="129" t="n"/>
      <c r="BF105" s="129" t="n"/>
      <c r="BG105" s="129" t="n"/>
      <c r="BH105" s="129" t="n"/>
      <c r="BI105" s="129" t="n"/>
      <c r="BJ105" s="129" t="n"/>
      <c r="BK105" s="129" t="n"/>
      <c r="BL105" s="129" t="n"/>
      <c r="BM105" s="129" t="n"/>
      <c r="BN105" s="129" t="n"/>
      <c r="BO105" s="129" t="n"/>
      <c r="BP105" s="129" t="n"/>
      <c r="BQ105" s="129" t="n"/>
      <c r="BR105" s="129" t="n"/>
      <c r="BS105" s="129" t="n"/>
      <c r="BT105" s="129" t="n"/>
      <c r="BU105" s="129" t="n"/>
      <c r="BV105" s="129" t="n"/>
      <c r="BW105" s="129" t="n"/>
      <c r="BX105" s="129" t="n"/>
      <c r="BY105" s="129" t="n"/>
      <c r="BZ105" s="129" t="n"/>
      <c r="CA105" s="129" t="n"/>
      <c r="CB105" s="129" t="n"/>
      <c r="CC105" s="129" t="n"/>
      <c r="CD105" s="129" t="n"/>
      <c r="CE105" s="129" t="n"/>
      <c r="CF105" s="129" t="n"/>
      <c r="CG105" s="129" t="n"/>
      <c r="CH105" s="129" t="n"/>
      <c r="CI105" s="129" t="n"/>
      <c r="CJ105" s="129" t="n"/>
      <c r="CK105" s="129" t="n"/>
      <c r="CL105" s="129" t="n"/>
      <c r="CM105" s="129" t="n"/>
      <c r="CN105" s="129" t="n"/>
      <c r="CO105" s="129" t="n"/>
      <c r="CP105" s="129" t="n"/>
      <c r="CQ105" s="129" t="n"/>
      <c r="CR105" s="129" t="n"/>
      <c r="CS105" s="129" t="n"/>
      <c r="CT105" s="129" t="n"/>
      <c r="CU105" s="129" t="n"/>
      <c r="CV105" s="129" t="n"/>
      <c r="CW105" s="129" t="n"/>
      <c r="CX105" s="129" t="n"/>
      <c r="CY105" s="129" t="n"/>
      <c r="CZ105" s="129" t="n"/>
      <c r="DA105" s="129" t="n"/>
      <c r="DB105" s="129" t="n"/>
      <c r="DC105" s="129" t="n"/>
      <c r="DD105" s="129" t="n"/>
      <c r="DE105" s="129" t="n"/>
      <c r="DF105" s="129" t="n"/>
      <c r="DG105" s="129" t="n"/>
      <c r="DH105" s="129" t="n"/>
      <c r="DI105" s="129" t="n"/>
      <c r="DJ105" s="129" t="n"/>
      <c r="DK105" s="129" t="n"/>
      <c r="DL105" s="129" t="n"/>
      <c r="DM105" s="129" t="n"/>
      <c r="DN105" s="129" t="n"/>
      <c r="DO105" s="129" t="n"/>
      <c r="DP105" s="129" t="n"/>
      <c r="DQ105" s="129" t="n"/>
      <c r="DR105" s="129" t="n"/>
      <c r="DS105" s="129" t="n"/>
      <c r="DT105" s="129" t="n"/>
      <c r="DU105" s="129" t="n"/>
      <c r="DV105" s="129" t="n"/>
      <c r="DW105" s="129" t="n"/>
      <c r="DX105" s="129" t="n"/>
      <c r="DY105" s="129" t="n"/>
      <c r="DZ105" s="129" t="n"/>
      <c r="EA105" s="129" t="n"/>
      <c r="EB105" s="129" t="n"/>
      <c r="EC105" s="129" t="n"/>
      <c r="ED105" s="129" t="n"/>
      <c r="EE105" s="129" t="n"/>
      <c r="EF105" s="129" t="n"/>
      <c r="EG105" s="129" t="n"/>
      <c r="EH105" s="129" t="n"/>
      <c r="EI105" s="129" t="n"/>
      <c r="EJ105" s="129" t="n"/>
      <c r="EK105" s="129" t="n"/>
      <c r="EL105" s="129" t="n"/>
      <c r="EM105" s="129" t="n"/>
      <c r="EN105" s="129" t="n"/>
      <c r="EO105" s="129" t="n"/>
      <c r="EP105" s="129" t="n"/>
      <c r="EQ105" s="129" t="n"/>
      <c r="ER105" s="129" t="n"/>
      <c r="ES105" s="129" t="n"/>
      <c r="ET105" s="129" t="n"/>
      <c r="EU105" s="129" t="n"/>
      <c r="EV105" s="129" t="n"/>
      <c r="EW105" s="129" t="n"/>
      <c r="EX105" s="129" t="n"/>
      <c r="EY105" s="129" t="n"/>
      <c r="EZ105" s="129" t="n"/>
      <c r="FA105" s="129" t="n"/>
      <c r="FB105" s="129" t="n"/>
      <c r="FC105" s="129" t="n"/>
      <c r="FD105" s="129" t="n"/>
      <c r="FE105" s="129" t="n"/>
      <c r="FF105" s="129" t="n"/>
      <c r="FG105" s="129" t="n"/>
      <c r="FH105" s="129" t="n"/>
      <c r="FI105" s="129" t="n"/>
      <c r="FJ105" s="129" t="n"/>
      <c r="FK105" s="129" t="n"/>
      <c r="FL105" s="129" t="n"/>
      <c r="FM105" s="129" t="n"/>
    </row>
    <row r="106" s="135">
      <c r="A106" s="92" t="n">
        <v>35915</v>
      </c>
      <c r="B106" s="93" t="n">
        <v>0.07199999999999999</v>
      </c>
      <c r="C106" s="79" t="n"/>
      <c r="D106" s="129" t="n"/>
      <c r="E106" s="129" t="n"/>
      <c r="F106" s="129" t="n"/>
      <c r="G106" s="129" t="n"/>
      <c r="H106" s="129" t="n"/>
      <c r="I106" s="129" t="n"/>
      <c r="J106" s="129" t="n"/>
      <c r="K106" s="129" t="n"/>
      <c r="L106" s="129" t="n"/>
      <c r="M106" s="129" t="n"/>
      <c r="N106" s="129" t="n"/>
      <c r="O106" s="129" t="n"/>
      <c r="P106" s="129" t="n"/>
      <c r="Q106" s="129" t="n"/>
      <c r="R106" s="129" t="n"/>
      <c r="S106" s="129" t="n"/>
      <c r="T106" s="129" t="n"/>
      <c r="U106" s="129" t="n"/>
      <c r="V106" s="129" t="n"/>
      <c r="W106" s="129" t="n"/>
      <c r="X106" s="129" t="n"/>
      <c r="Y106" s="129" t="n"/>
      <c r="Z106" s="129" t="n"/>
      <c r="AA106" s="129" t="n"/>
      <c r="AB106" s="129" t="n"/>
      <c r="AC106" s="129" t="n"/>
      <c r="AD106" s="129" t="n"/>
      <c r="AE106" s="129" t="n"/>
      <c r="AF106" s="129" t="n"/>
      <c r="AG106" s="129" t="n"/>
      <c r="AH106" s="129" t="n"/>
      <c r="AI106" s="129" t="n"/>
      <c r="AJ106" s="129" t="n"/>
      <c r="AK106" s="129" t="n"/>
      <c r="AL106" s="129" t="n"/>
      <c r="AM106" s="129" t="n"/>
      <c r="AN106" s="129" t="n"/>
      <c r="AO106" s="129" t="n"/>
      <c r="AP106" s="129" t="n"/>
      <c r="AQ106" s="129" t="n"/>
      <c r="AR106" s="129" t="n"/>
      <c r="AS106" s="129" t="n"/>
      <c r="AT106" s="129" t="n"/>
      <c r="AU106" s="129" t="n"/>
      <c r="AV106" s="129" t="n"/>
      <c r="AW106" s="129" t="n"/>
      <c r="AX106" s="129" t="n"/>
      <c r="AY106" s="129" t="n"/>
      <c r="AZ106" s="129" t="n"/>
      <c r="BA106" s="129" t="n"/>
      <c r="BB106" s="129" t="n"/>
      <c r="BC106" s="129" t="n"/>
      <c r="BD106" s="129" t="n"/>
      <c r="BE106" s="129" t="n"/>
      <c r="BF106" s="129" t="n"/>
      <c r="BG106" s="129" t="n"/>
      <c r="BH106" s="129" t="n"/>
      <c r="BI106" s="129" t="n"/>
      <c r="BJ106" s="129" t="n"/>
      <c r="BK106" s="129" t="n"/>
      <c r="BL106" s="129" t="n"/>
      <c r="BM106" s="129" t="n"/>
      <c r="BN106" s="129" t="n"/>
      <c r="BO106" s="129" t="n"/>
      <c r="BP106" s="129" t="n"/>
      <c r="BQ106" s="129" t="n"/>
      <c r="BR106" s="129" t="n"/>
      <c r="BS106" s="129" t="n"/>
      <c r="BT106" s="129" t="n"/>
      <c r="BU106" s="129" t="n"/>
      <c r="BV106" s="129" t="n"/>
      <c r="BW106" s="129" t="n"/>
      <c r="BX106" s="129" t="n"/>
      <c r="BY106" s="129" t="n"/>
      <c r="BZ106" s="129" t="n"/>
      <c r="CA106" s="129" t="n"/>
      <c r="CB106" s="129" t="n"/>
      <c r="CC106" s="129" t="n"/>
      <c r="CD106" s="129" t="n"/>
      <c r="CE106" s="129" t="n"/>
      <c r="CF106" s="129" t="n"/>
      <c r="CG106" s="129" t="n"/>
      <c r="CH106" s="129" t="n"/>
      <c r="CI106" s="129" t="n"/>
      <c r="CJ106" s="129" t="n"/>
      <c r="CK106" s="129" t="n"/>
      <c r="CL106" s="129" t="n"/>
      <c r="CM106" s="129" t="n"/>
      <c r="CN106" s="129" t="n"/>
      <c r="CO106" s="129" t="n"/>
      <c r="CP106" s="129" t="n"/>
      <c r="CQ106" s="129" t="n"/>
      <c r="CR106" s="129" t="n"/>
      <c r="CS106" s="129" t="n"/>
      <c r="CT106" s="129" t="n"/>
      <c r="CU106" s="129" t="n"/>
      <c r="CV106" s="129" t="n"/>
      <c r="CW106" s="129" t="n"/>
      <c r="CX106" s="129" t="n"/>
      <c r="CY106" s="129" t="n"/>
      <c r="CZ106" s="129" t="n"/>
      <c r="DA106" s="129" t="n"/>
      <c r="DB106" s="129" t="n"/>
      <c r="DC106" s="129" t="n"/>
      <c r="DD106" s="129" t="n"/>
      <c r="DE106" s="129" t="n"/>
      <c r="DF106" s="129" t="n"/>
      <c r="DG106" s="129" t="n"/>
      <c r="DH106" s="129" t="n"/>
      <c r="DI106" s="129" t="n"/>
      <c r="DJ106" s="129" t="n"/>
      <c r="DK106" s="129" t="n"/>
      <c r="DL106" s="129" t="n"/>
      <c r="DM106" s="129" t="n"/>
      <c r="DN106" s="129" t="n"/>
      <c r="DO106" s="129" t="n"/>
      <c r="DP106" s="129" t="n"/>
      <c r="DQ106" s="129" t="n"/>
      <c r="DR106" s="129" t="n"/>
      <c r="DS106" s="129" t="n"/>
      <c r="DT106" s="129" t="n"/>
      <c r="DU106" s="129" t="n"/>
      <c r="DV106" s="129" t="n"/>
      <c r="DW106" s="129" t="n"/>
      <c r="DX106" s="129" t="n"/>
      <c r="DY106" s="129" t="n"/>
      <c r="DZ106" s="129" t="n"/>
      <c r="EA106" s="129" t="n"/>
      <c r="EB106" s="129" t="n"/>
      <c r="EC106" s="129" t="n"/>
      <c r="ED106" s="129" t="n"/>
      <c r="EE106" s="129" t="n"/>
      <c r="EF106" s="129" t="n"/>
      <c r="EG106" s="129" t="n"/>
      <c r="EH106" s="129" t="n"/>
      <c r="EI106" s="129" t="n"/>
      <c r="EJ106" s="129" t="n"/>
      <c r="EK106" s="129" t="n"/>
      <c r="EL106" s="129" t="n"/>
      <c r="EM106" s="129" t="n"/>
      <c r="EN106" s="129" t="n"/>
      <c r="EO106" s="129" t="n"/>
      <c r="EP106" s="129" t="n"/>
      <c r="EQ106" s="129" t="n"/>
      <c r="ER106" s="129" t="n"/>
      <c r="ES106" s="129" t="n"/>
      <c r="ET106" s="129" t="n"/>
      <c r="EU106" s="129" t="n"/>
      <c r="EV106" s="129" t="n"/>
      <c r="EW106" s="129" t="n"/>
      <c r="EX106" s="129" t="n"/>
      <c r="EY106" s="129" t="n"/>
      <c r="EZ106" s="129" t="n"/>
      <c r="FA106" s="129" t="n"/>
      <c r="FB106" s="129" t="n"/>
      <c r="FC106" s="129" t="n"/>
      <c r="FD106" s="129" t="n"/>
      <c r="FE106" s="129" t="n"/>
      <c r="FF106" s="129" t="n"/>
      <c r="FG106" s="129" t="n"/>
      <c r="FH106" s="129" t="n"/>
      <c r="FI106" s="129" t="n"/>
      <c r="FJ106" s="129" t="n"/>
      <c r="FK106" s="129" t="n"/>
      <c r="FL106" s="129" t="n"/>
      <c r="FM106" s="129" t="n"/>
    </row>
    <row r="107" s="135">
      <c r="A107" s="90" t="n">
        <v>35946</v>
      </c>
      <c r="B107" s="91" t="n">
        <v>0.08</v>
      </c>
      <c r="C107" s="79" t="n"/>
      <c r="D107" s="129" t="n"/>
      <c r="E107" s="129" t="n"/>
      <c r="F107" s="129" t="n"/>
      <c r="G107" s="129" t="n"/>
      <c r="H107" s="129" t="n"/>
      <c r="I107" s="129" t="n"/>
      <c r="J107" s="129" t="n"/>
      <c r="K107" s="129" t="n"/>
      <c r="L107" s="129" t="n"/>
      <c r="M107" s="129" t="n"/>
      <c r="N107" s="129" t="n"/>
      <c r="O107" s="129" t="n"/>
      <c r="P107" s="129" t="n"/>
      <c r="Q107" s="129" t="n"/>
      <c r="R107" s="129" t="n"/>
      <c r="S107" s="129" t="n"/>
      <c r="T107" s="129" t="n"/>
      <c r="U107" s="129" t="n"/>
      <c r="V107" s="129" t="n"/>
      <c r="W107" s="129" t="n"/>
      <c r="X107" s="129" t="n"/>
      <c r="Y107" s="129" t="n"/>
      <c r="Z107" s="129" t="n"/>
      <c r="AA107" s="129" t="n"/>
      <c r="AB107" s="129" t="n"/>
      <c r="AC107" s="129" t="n"/>
      <c r="AD107" s="129" t="n"/>
      <c r="AE107" s="129" t="n"/>
      <c r="AF107" s="129" t="n"/>
      <c r="AG107" s="129" t="n"/>
      <c r="AH107" s="129" t="n"/>
      <c r="AI107" s="129" t="n"/>
      <c r="AJ107" s="129" t="n"/>
      <c r="AK107" s="129" t="n"/>
      <c r="AL107" s="129" t="n"/>
      <c r="AM107" s="129" t="n"/>
      <c r="AN107" s="129" t="n"/>
      <c r="AO107" s="129" t="n"/>
      <c r="AP107" s="129" t="n"/>
      <c r="AQ107" s="129" t="n"/>
      <c r="AR107" s="129" t="n"/>
      <c r="AS107" s="129" t="n"/>
      <c r="AT107" s="129" t="n"/>
      <c r="AU107" s="129" t="n"/>
      <c r="AV107" s="129" t="n"/>
      <c r="AW107" s="129" t="n"/>
      <c r="AX107" s="129" t="n"/>
      <c r="AY107" s="129" t="n"/>
      <c r="AZ107" s="129" t="n"/>
      <c r="BA107" s="129" t="n"/>
      <c r="BB107" s="129" t="n"/>
      <c r="BC107" s="129" t="n"/>
      <c r="BD107" s="129" t="n"/>
      <c r="BE107" s="129" t="n"/>
      <c r="BF107" s="129" t="n"/>
      <c r="BG107" s="129" t="n"/>
      <c r="BH107" s="129" t="n"/>
      <c r="BI107" s="129" t="n"/>
      <c r="BJ107" s="129" t="n"/>
      <c r="BK107" s="129" t="n"/>
      <c r="BL107" s="129" t="n"/>
      <c r="BM107" s="129" t="n"/>
      <c r="BN107" s="129" t="n"/>
      <c r="BO107" s="129" t="n"/>
      <c r="BP107" s="129" t="n"/>
      <c r="BQ107" s="129" t="n"/>
      <c r="BR107" s="129" t="n"/>
      <c r="BS107" s="129" t="n"/>
      <c r="BT107" s="129" t="n"/>
      <c r="BU107" s="129" t="n"/>
      <c r="BV107" s="129" t="n"/>
      <c r="BW107" s="129" t="n"/>
      <c r="BX107" s="129" t="n"/>
      <c r="BY107" s="129" t="n"/>
      <c r="BZ107" s="129" t="n"/>
      <c r="CA107" s="129" t="n"/>
      <c r="CB107" s="129" t="n"/>
      <c r="CC107" s="129" t="n"/>
      <c r="CD107" s="129" t="n"/>
      <c r="CE107" s="129" t="n"/>
      <c r="CF107" s="129" t="n"/>
      <c r="CG107" s="129" t="n"/>
      <c r="CH107" s="129" t="n"/>
      <c r="CI107" s="129" t="n"/>
      <c r="CJ107" s="129" t="n"/>
      <c r="CK107" s="129" t="n"/>
      <c r="CL107" s="129" t="n"/>
      <c r="CM107" s="129" t="n"/>
      <c r="CN107" s="129" t="n"/>
      <c r="CO107" s="129" t="n"/>
      <c r="CP107" s="129" t="n"/>
      <c r="CQ107" s="129" t="n"/>
      <c r="CR107" s="129" t="n"/>
      <c r="CS107" s="129" t="n"/>
      <c r="CT107" s="129" t="n"/>
      <c r="CU107" s="129" t="n"/>
      <c r="CV107" s="129" t="n"/>
      <c r="CW107" s="129" t="n"/>
      <c r="CX107" s="129" t="n"/>
      <c r="CY107" s="129" t="n"/>
      <c r="CZ107" s="129" t="n"/>
      <c r="DA107" s="129" t="n"/>
      <c r="DB107" s="129" t="n"/>
      <c r="DC107" s="129" t="n"/>
      <c r="DD107" s="129" t="n"/>
      <c r="DE107" s="129" t="n"/>
      <c r="DF107" s="129" t="n"/>
      <c r="DG107" s="129" t="n"/>
      <c r="DH107" s="129" t="n"/>
      <c r="DI107" s="129" t="n"/>
      <c r="DJ107" s="129" t="n"/>
      <c r="DK107" s="129" t="n"/>
      <c r="DL107" s="129" t="n"/>
      <c r="DM107" s="129" t="n"/>
      <c r="DN107" s="129" t="n"/>
      <c r="DO107" s="129" t="n"/>
      <c r="DP107" s="129" t="n"/>
      <c r="DQ107" s="129" t="n"/>
      <c r="DR107" s="129" t="n"/>
      <c r="DS107" s="129" t="n"/>
      <c r="DT107" s="129" t="n"/>
      <c r="DU107" s="129" t="n"/>
      <c r="DV107" s="129" t="n"/>
      <c r="DW107" s="129" t="n"/>
      <c r="DX107" s="129" t="n"/>
      <c r="DY107" s="129" t="n"/>
      <c r="DZ107" s="129" t="n"/>
      <c r="EA107" s="129" t="n"/>
      <c r="EB107" s="129" t="n"/>
      <c r="EC107" s="129" t="n"/>
      <c r="ED107" s="129" t="n"/>
      <c r="EE107" s="129" t="n"/>
      <c r="EF107" s="129" t="n"/>
      <c r="EG107" s="129" t="n"/>
      <c r="EH107" s="129" t="n"/>
      <c r="EI107" s="129" t="n"/>
      <c r="EJ107" s="129" t="n"/>
      <c r="EK107" s="129" t="n"/>
      <c r="EL107" s="129" t="n"/>
      <c r="EM107" s="129" t="n"/>
      <c r="EN107" s="129" t="n"/>
      <c r="EO107" s="129" t="n"/>
      <c r="EP107" s="129" t="n"/>
      <c r="EQ107" s="129" t="n"/>
      <c r="ER107" s="129" t="n"/>
      <c r="ES107" s="129" t="n"/>
      <c r="ET107" s="129" t="n"/>
      <c r="EU107" s="129" t="n"/>
      <c r="EV107" s="129" t="n"/>
      <c r="EW107" s="129" t="n"/>
      <c r="EX107" s="129" t="n"/>
      <c r="EY107" s="129" t="n"/>
      <c r="EZ107" s="129" t="n"/>
      <c r="FA107" s="129" t="n"/>
      <c r="FB107" s="129" t="n"/>
      <c r="FC107" s="129" t="n"/>
      <c r="FD107" s="129" t="n"/>
      <c r="FE107" s="129" t="n"/>
      <c r="FF107" s="129" t="n"/>
      <c r="FG107" s="129" t="n"/>
      <c r="FH107" s="129" t="n"/>
      <c r="FI107" s="129" t="n"/>
      <c r="FJ107" s="129" t="n"/>
      <c r="FK107" s="129" t="n"/>
      <c r="FL107" s="129" t="n"/>
      <c r="FM107" s="129" t="n"/>
    </row>
    <row r="108" s="135">
      <c r="A108" s="92" t="n">
        <v>35976</v>
      </c>
      <c r="B108" s="93" t="n">
        <v>0.079</v>
      </c>
      <c r="C108" s="79" t="n"/>
      <c r="D108" s="129" t="n"/>
      <c r="E108" s="129" t="n"/>
      <c r="F108" s="129" t="n"/>
      <c r="G108" s="129" t="n"/>
      <c r="H108" s="129" t="n"/>
      <c r="I108" s="129" t="n"/>
      <c r="J108" s="129" t="n"/>
      <c r="K108" s="129" t="n"/>
      <c r="L108" s="129" t="n"/>
      <c r="M108" s="129" t="n"/>
      <c r="N108" s="129" t="n"/>
      <c r="O108" s="129" t="n"/>
      <c r="P108" s="129" t="n"/>
      <c r="Q108" s="129" t="n"/>
      <c r="R108" s="129" t="n"/>
      <c r="S108" s="129" t="n"/>
      <c r="T108" s="129" t="n"/>
      <c r="U108" s="129" t="n"/>
      <c r="V108" s="129" t="n"/>
      <c r="W108" s="129" t="n"/>
      <c r="X108" s="129" t="n"/>
      <c r="Y108" s="129" t="n"/>
      <c r="Z108" s="129" t="n"/>
      <c r="AA108" s="129" t="n"/>
      <c r="AB108" s="129" t="n"/>
      <c r="AC108" s="129" t="n"/>
      <c r="AD108" s="129" t="n"/>
      <c r="AE108" s="129" t="n"/>
      <c r="AF108" s="129" t="n"/>
      <c r="AG108" s="129" t="n"/>
      <c r="AH108" s="129" t="n"/>
      <c r="AI108" s="129" t="n"/>
      <c r="AJ108" s="129" t="n"/>
      <c r="AK108" s="129" t="n"/>
      <c r="AL108" s="129" t="n"/>
      <c r="AM108" s="129" t="n"/>
      <c r="AN108" s="129" t="n"/>
      <c r="AO108" s="129" t="n"/>
      <c r="AP108" s="129" t="n"/>
      <c r="AQ108" s="129" t="n"/>
      <c r="AR108" s="129" t="n"/>
      <c r="AS108" s="129" t="n"/>
      <c r="AT108" s="129" t="n"/>
      <c r="AU108" s="129" t="n"/>
      <c r="AV108" s="129" t="n"/>
      <c r="AW108" s="129" t="n"/>
      <c r="AX108" s="129" t="n"/>
      <c r="AY108" s="129" t="n"/>
      <c r="AZ108" s="129" t="n"/>
      <c r="BA108" s="129" t="n"/>
      <c r="BB108" s="129" t="n"/>
      <c r="BC108" s="129" t="n"/>
      <c r="BD108" s="129" t="n"/>
      <c r="BE108" s="129" t="n"/>
      <c r="BF108" s="129" t="n"/>
      <c r="BG108" s="129" t="n"/>
      <c r="BH108" s="129" t="n"/>
      <c r="BI108" s="129" t="n"/>
      <c r="BJ108" s="129" t="n"/>
      <c r="BK108" s="129" t="n"/>
      <c r="BL108" s="129" t="n"/>
      <c r="BM108" s="129" t="n"/>
      <c r="BN108" s="129" t="n"/>
      <c r="BO108" s="129" t="n"/>
      <c r="BP108" s="129" t="n"/>
      <c r="BQ108" s="129" t="n"/>
      <c r="BR108" s="129" t="n"/>
      <c r="BS108" s="129" t="n"/>
      <c r="BT108" s="129" t="n"/>
      <c r="BU108" s="129" t="n"/>
      <c r="BV108" s="129" t="n"/>
      <c r="BW108" s="129" t="n"/>
      <c r="BX108" s="129" t="n"/>
      <c r="BY108" s="129" t="n"/>
      <c r="BZ108" s="129" t="n"/>
      <c r="CA108" s="129" t="n"/>
      <c r="CB108" s="129" t="n"/>
      <c r="CC108" s="129" t="n"/>
      <c r="CD108" s="129" t="n"/>
      <c r="CE108" s="129" t="n"/>
      <c r="CF108" s="129" t="n"/>
      <c r="CG108" s="129" t="n"/>
      <c r="CH108" s="129" t="n"/>
      <c r="CI108" s="129" t="n"/>
      <c r="CJ108" s="129" t="n"/>
      <c r="CK108" s="129" t="n"/>
      <c r="CL108" s="129" t="n"/>
      <c r="CM108" s="129" t="n"/>
      <c r="CN108" s="129" t="n"/>
      <c r="CO108" s="129" t="n"/>
      <c r="CP108" s="129" t="n"/>
      <c r="CQ108" s="129" t="n"/>
      <c r="CR108" s="129" t="n"/>
      <c r="CS108" s="129" t="n"/>
      <c r="CT108" s="129" t="n"/>
      <c r="CU108" s="129" t="n"/>
      <c r="CV108" s="129" t="n"/>
      <c r="CW108" s="129" t="n"/>
      <c r="CX108" s="129" t="n"/>
      <c r="CY108" s="129" t="n"/>
      <c r="CZ108" s="129" t="n"/>
      <c r="DA108" s="129" t="n"/>
      <c r="DB108" s="129" t="n"/>
      <c r="DC108" s="129" t="n"/>
      <c r="DD108" s="129" t="n"/>
      <c r="DE108" s="129" t="n"/>
      <c r="DF108" s="129" t="n"/>
      <c r="DG108" s="129" t="n"/>
      <c r="DH108" s="129" t="n"/>
      <c r="DI108" s="129" t="n"/>
      <c r="DJ108" s="129" t="n"/>
      <c r="DK108" s="129" t="n"/>
      <c r="DL108" s="129" t="n"/>
      <c r="DM108" s="129" t="n"/>
      <c r="DN108" s="129" t="n"/>
      <c r="DO108" s="129" t="n"/>
      <c r="DP108" s="129" t="n"/>
      <c r="DQ108" s="129" t="n"/>
      <c r="DR108" s="129" t="n"/>
      <c r="DS108" s="129" t="n"/>
      <c r="DT108" s="129" t="n"/>
      <c r="DU108" s="129" t="n"/>
      <c r="DV108" s="129" t="n"/>
      <c r="DW108" s="129" t="n"/>
      <c r="DX108" s="129" t="n"/>
      <c r="DY108" s="129" t="n"/>
      <c r="DZ108" s="129" t="n"/>
      <c r="EA108" s="129" t="n"/>
      <c r="EB108" s="129" t="n"/>
      <c r="EC108" s="129" t="n"/>
      <c r="ED108" s="129" t="n"/>
      <c r="EE108" s="129" t="n"/>
      <c r="EF108" s="129" t="n"/>
      <c r="EG108" s="129" t="n"/>
      <c r="EH108" s="129" t="n"/>
      <c r="EI108" s="129" t="n"/>
      <c r="EJ108" s="129" t="n"/>
      <c r="EK108" s="129" t="n"/>
      <c r="EL108" s="129" t="n"/>
      <c r="EM108" s="129" t="n"/>
      <c r="EN108" s="129" t="n"/>
      <c r="EO108" s="129" t="n"/>
      <c r="EP108" s="129" t="n"/>
      <c r="EQ108" s="129" t="n"/>
      <c r="ER108" s="129" t="n"/>
      <c r="ES108" s="129" t="n"/>
      <c r="ET108" s="129" t="n"/>
      <c r="EU108" s="129" t="n"/>
      <c r="EV108" s="129" t="n"/>
      <c r="EW108" s="129" t="n"/>
      <c r="EX108" s="129" t="n"/>
      <c r="EY108" s="129" t="n"/>
      <c r="EZ108" s="129" t="n"/>
      <c r="FA108" s="129" t="n"/>
      <c r="FB108" s="129" t="n"/>
      <c r="FC108" s="129" t="n"/>
      <c r="FD108" s="129" t="n"/>
      <c r="FE108" s="129" t="n"/>
      <c r="FF108" s="129" t="n"/>
      <c r="FG108" s="129" t="n"/>
      <c r="FH108" s="129" t="n"/>
      <c r="FI108" s="129" t="n"/>
      <c r="FJ108" s="129" t="n"/>
      <c r="FK108" s="129" t="n"/>
      <c r="FL108" s="129" t="n"/>
      <c r="FM108" s="129" t="n"/>
    </row>
    <row r="109" s="135">
      <c r="A109" s="90" t="n">
        <v>36007</v>
      </c>
      <c r="B109" s="91" t="n">
        <v>0.076</v>
      </c>
      <c r="C109" s="79" t="n"/>
      <c r="D109" s="129" t="n"/>
      <c r="E109" s="129" t="n"/>
      <c r="F109" s="129" t="n"/>
      <c r="G109" s="129" t="n"/>
      <c r="H109" s="129" t="n"/>
      <c r="I109" s="129" t="n"/>
      <c r="J109" s="129" t="n"/>
      <c r="K109" s="129" t="n"/>
      <c r="L109" s="129" t="n"/>
      <c r="M109" s="129" t="n"/>
      <c r="N109" s="129" t="n"/>
      <c r="O109" s="129" t="n"/>
      <c r="P109" s="129" t="n"/>
      <c r="Q109" s="129" t="n"/>
      <c r="R109" s="129" t="n"/>
      <c r="S109" s="129" t="n"/>
      <c r="T109" s="129" t="n"/>
      <c r="U109" s="129" t="n"/>
      <c r="V109" s="129" t="n"/>
      <c r="W109" s="129" t="n"/>
      <c r="X109" s="129" t="n"/>
      <c r="Y109" s="129" t="n"/>
      <c r="Z109" s="129" t="n"/>
      <c r="AA109" s="129" t="n"/>
      <c r="AB109" s="129" t="n"/>
      <c r="AC109" s="129" t="n"/>
      <c r="AD109" s="129" t="n"/>
      <c r="AE109" s="129" t="n"/>
      <c r="AF109" s="129" t="n"/>
      <c r="AG109" s="129" t="n"/>
      <c r="AH109" s="129" t="n"/>
      <c r="AI109" s="129" t="n"/>
      <c r="AJ109" s="129" t="n"/>
      <c r="AK109" s="129" t="n"/>
      <c r="AL109" s="129" t="n"/>
      <c r="AM109" s="129" t="n"/>
      <c r="AN109" s="129" t="n"/>
      <c r="AO109" s="129" t="n"/>
      <c r="AP109" s="129" t="n"/>
      <c r="AQ109" s="129" t="n"/>
      <c r="AR109" s="129" t="n"/>
      <c r="AS109" s="129" t="n"/>
      <c r="AT109" s="129" t="n"/>
      <c r="AU109" s="129" t="n"/>
      <c r="AV109" s="129" t="n"/>
      <c r="AW109" s="129" t="n"/>
      <c r="AX109" s="129" t="n"/>
      <c r="AY109" s="129" t="n"/>
      <c r="AZ109" s="129" t="n"/>
      <c r="BA109" s="129" t="n"/>
      <c r="BB109" s="129" t="n"/>
      <c r="BC109" s="129" t="n"/>
      <c r="BD109" s="129" t="n"/>
      <c r="BE109" s="129" t="n"/>
      <c r="BF109" s="129" t="n"/>
      <c r="BG109" s="129" t="n"/>
      <c r="BH109" s="129" t="n"/>
      <c r="BI109" s="129" t="n"/>
      <c r="BJ109" s="129" t="n"/>
      <c r="BK109" s="129" t="n"/>
      <c r="BL109" s="129" t="n"/>
      <c r="BM109" s="129" t="n"/>
      <c r="BN109" s="129" t="n"/>
      <c r="BO109" s="129" t="n"/>
      <c r="BP109" s="129" t="n"/>
      <c r="BQ109" s="129" t="n"/>
      <c r="BR109" s="129" t="n"/>
      <c r="BS109" s="129" t="n"/>
      <c r="BT109" s="129" t="n"/>
      <c r="BU109" s="129" t="n"/>
      <c r="BV109" s="129" t="n"/>
      <c r="BW109" s="129" t="n"/>
      <c r="BX109" s="129" t="n"/>
      <c r="BY109" s="129" t="n"/>
      <c r="BZ109" s="129" t="n"/>
      <c r="CA109" s="129" t="n"/>
      <c r="CB109" s="129" t="n"/>
      <c r="CC109" s="129" t="n"/>
      <c r="CD109" s="129" t="n"/>
      <c r="CE109" s="129" t="n"/>
      <c r="CF109" s="129" t="n"/>
      <c r="CG109" s="129" t="n"/>
      <c r="CH109" s="129" t="n"/>
      <c r="CI109" s="129" t="n"/>
      <c r="CJ109" s="129" t="n"/>
      <c r="CK109" s="129" t="n"/>
      <c r="CL109" s="129" t="n"/>
      <c r="CM109" s="129" t="n"/>
      <c r="CN109" s="129" t="n"/>
      <c r="CO109" s="129" t="n"/>
      <c r="CP109" s="129" t="n"/>
      <c r="CQ109" s="129" t="n"/>
      <c r="CR109" s="129" t="n"/>
      <c r="CS109" s="129" t="n"/>
      <c r="CT109" s="129" t="n"/>
      <c r="CU109" s="129" t="n"/>
      <c r="CV109" s="129" t="n"/>
      <c r="CW109" s="129" t="n"/>
      <c r="CX109" s="129" t="n"/>
      <c r="CY109" s="129" t="n"/>
      <c r="CZ109" s="129" t="n"/>
      <c r="DA109" s="129" t="n"/>
      <c r="DB109" s="129" t="n"/>
      <c r="DC109" s="129" t="n"/>
      <c r="DD109" s="129" t="n"/>
      <c r="DE109" s="129" t="n"/>
      <c r="DF109" s="129" t="n"/>
      <c r="DG109" s="129" t="n"/>
      <c r="DH109" s="129" t="n"/>
      <c r="DI109" s="129" t="n"/>
      <c r="DJ109" s="129" t="n"/>
      <c r="DK109" s="129" t="n"/>
      <c r="DL109" s="129" t="n"/>
      <c r="DM109" s="129" t="n"/>
      <c r="DN109" s="129" t="n"/>
      <c r="DO109" s="129" t="n"/>
      <c r="DP109" s="129" t="n"/>
      <c r="DQ109" s="129" t="n"/>
      <c r="DR109" s="129" t="n"/>
      <c r="DS109" s="129" t="n"/>
      <c r="DT109" s="129" t="n"/>
      <c r="DU109" s="129" t="n"/>
      <c r="DV109" s="129" t="n"/>
      <c r="DW109" s="129" t="n"/>
      <c r="DX109" s="129" t="n"/>
      <c r="DY109" s="129" t="n"/>
      <c r="DZ109" s="129" t="n"/>
      <c r="EA109" s="129" t="n"/>
      <c r="EB109" s="129" t="n"/>
      <c r="EC109" s="129" t="n"/>
      <c r="ED109" s="129" t="n"/>
      <c r="EE109" s="129" t="n"/>
      <c r="EF109" s="129" t="n"/>
      <c r="EG109" s="129" t="n"/>
      <c r="EH109" s="129" t="n"/>
      <c r="EI109" s="129" t="n"/>
      <c r="EJ109" s="129" t="n"/>
      <c r="EK109" s="129" t="n"/>
      <c r="EL109" s="129" t="n"/>
      <c r="EM109" s="129" t="n"/>
      <c r="EN109" s="129" t="n"/>
      <c r="EO109" s="129" t="n"/>
      <c r="EP109" s="129" t="n"/>
      <c r="EQ109" s="129" t="n"/>
      <c r="ER109" s="129" t="n"/>
      <c r="ES109" s="129" t="n"/>
      <c r="ET109" s="129" t="n"/>
      <c r="EU109" s="129" t="n"/>
      <c r="EV109" s="129" t="n"/>
      <c r="EW109" s="129" t="n"/>
      <c r="EX109" s="129" t="n"/>
      <c r="EY109" s="129" t="n"/>
      <c r="EZ109" s="129" t="n"/>
      <c r="FA109" s="129" t="n"/>
      <c r="FB109" s="129" t="n"/>
      <c r="FC109" s="129" t="n"/>
      <c r="FD109" s="129" t="n"/>
      <c r="FE109" s="129" t="n"/>
      <c r="FF109" s="129" t="n"/>
      <c r="FG109" s="129" t="n"/>
      <c r="FH109" s="129" t="n"/>
      <c r="FI109" s="129" t="n"/>
      <c r="FJ109" s="129" t="n"/>
      <c r="FK109" s="129" t="n"/>
      <c r="FL109" s="129" t="n"/>
      <c r="FM109" s="129" t="n"/>
    </row>
    <row r="110" s="135">
      <c r="A110" s="92" t="n">
        <v>36038</v>
      </c>
      <c r="B110" s="93" t="n">
        <v>0.079</v>
      </c>
      <c r="C110" s="79" t="n"/>
      <c r="D110" s="129" t="n"/>
      <c r="E110" s="129" t="n"/>
      <c r="F110" s="129" t="n"/>
      <c r="G110" s="129" t="n"/>
      <c r="H110" s="129" t="n"/>
      <c r="I110" s="129" t="n"/>
      <c r="J110" s="129" t="n"/>
      <c r="K110" s="129" t="n"/>
      <c r="L110" s="129" t="n"/>
      <c r="M110" s="129" t="n"/>
      <c r="N110" s="129" t="n"/>
      <c r="O110" s="129" t="n"/>
      <c r="P110" s="129" t="n"/>
      <c r="Q110" s="129" t="n"/>
      <c r="R110" s="129" t="n"/>
      <c r="S110" s="129" t="n"/>
      <c r="T110" s="129" t="n"/>
      <c r="U110" s="129" t="n"/>
      <c r="V110" s="129" t="n"/>
      <c r="W110" s="129" t="n"/>
      <c r="X110" s="129" t="n"/>
      <c r="Y110" s="129" t="n"/>
      <c r="Z110" s="129" t="n"/>
      <c r="AA110" s="129" t="n"/>
      <c r="AB110" s="129" t="n"/>
      <c r="AC110" s="129" t="n"/>
      <c r="AD110" s="129" t="n"/>
      <c r="AE110" s="129" t="n"/>
      <c r="AF110" s="129" t="n"/>
      <c r="AG110" s="129" t="n"/>
      <c r="AH110" s="129" t="n"/>
      <c r="AI110" s="129" t="n"/>
      <c r="AJ110" s="129" t="n"/>
      <c r="AK110" s="129" t="n"/>
      <c r="AL110" s="129" t="n"/>
      <c r="AM110" s="129" t="n"/>
      <c r="AN110" s="129" t="n"/>
      <c r="AO110" s="129" t="n"/>
      <c r="AP110" s="129" t="n"/>
      <c r="AQ110" s="129" t="n"/>
      <c r="AR110" s="129" t="n"/>
      <c r="AS110" s="129" t="n"/>
      <c r="AT110" s="129" t="n"/>
      <c r="AU110" s="129" t="n"/>
      <c r="AV110" s="129" t="n"/>
      <c r="AW110" s="129" t="n"/>
      <c r="AX110" s="129" t="n"/>
      <c r="AY110" s="129" t="n"/>
      <c r="AZ110" s="129" t="n"/>
      <c r="BA110" s="129" t="n"/>
      <c r="BB110" s="129" t="n"/>
      <c r="BC110" s="129" t="n"/>
      <c r="BD110" s="129" t="n"/>
      <c r="BE110" s="129" t="n"/>
      <c r="BF110" s="129" t="n"/>
      <c r="BG110" s="129" t="n"/>
      <c r="BH110" s="129" t="n"/>
      <c r="BI110" s="129" t="n"/>
      <c r="BJ110" s="129" t="n"/>
      <c r="BK110" s="129" t="n"/>
      <c r="BL110" s="129" t="n"/>
      <c r="BM110" s="129" t="n"/>
      <c r="BN110" s="129" t="n"/>
      <c r="BO110" s="129" t="n"/>
      <c r="BP110" s="129" t="n"/>
      <c r="BQ110" s="129" t="n"/>
      <c r="BR110" s="129" t="n"/>
      <c r="BS110" s="129" t="n"/>
      <c r="BT110" s="129" t="n"/>
      <c r="BU110" s="129" t="n"/>
      <c r="BV110" s="129" t="n"/>
      <c r="BW110" s="129" t="n"/>
      <c r="BX110" s="129" t="n"/>
      <c r="BY110" s="129" t="n"/>
      <c r="BZ110" s="129" t="n"/>
      <c r="CA110" s="129" t="n"/>
      <c r="CB110" s="129" t="n"/>
      <c r="CC110" s="129" t="n"/>
      <c r="CD110" s="129" t="n"/>
      <c r="CE110" s="129" t="n"/>
      <c r="CF110" s="129" t="n"/>
      <c r="CG110" s="129" t="n"/>
      <c r="CH110" s="129" t="n"/>
      <c r="CI110" s="129" t="n"/>
      <c r="CJ110" s="129" t="n"/>
      <c r="CK110" s="129" t="n"/>
      <c r="CL110" s="129" t="n"/>
      <c r="CM110" s="129" t="n"/>
      <c r="CN110" s="129" t="n"/>
      <c r="CO110" s="129" t="n"/>
      <c r="CP110" s="129" t="n"/>
      <c r="CQ110" s="129" t="n"/>
      <c r="CR110" s="129" t="n"/>
      <c r="CS110" s="129" t="n"/>
      <c r="CT110" s="129" t="n"/>
      <c r="CU110" s="129" t="n"/>
      <c r="CV110" s="129" t="n"/>
      <c r="CW110" s="129" t="n"/>
      <c r="CX110" s="129" t="n"/>
      <c r="CY110" s="129" t="n"/>
      <c r="CZ110" s="129" t="n"/>
      <c r="DA110" s="129" t="n"/>
      <c r="DB110" s="129" t="n"/>
      <c r="DC110" s="129" t="n"/>
      <c r="DD110" s="129" t="n"/>
      <c r="DE110" s="129" t="n"/>
      <c r="DF110" s="129" t="n"/>
      <c r="DG110" s="129" t="n"/>
      <c r="DH110" s="129" t="n"/>
      <c r="DI110" s="129" t="n"/>
      <c r="DJ110" s="129" t="n"/>
      <c r="DK110" s="129" t="n"/>
      <c r="DL110" s="129" t="n"/>
      <c r="DM110" s="129" t="n"/>
      <c r="DN110" s="129" t="n"/>
      <c r="DO110" s="129" t="n"/>
      <c r="DP110" s="129" t="n"/>
      <c r="DQ110" s="129" t="n"/>
      <c r="DR110" s="129" t="n"/>
      <c r="DS110" s="129" t="n"/>
      <c r="DT110" s="129" t="n"/>
      <c r="DU110" s="129" t="n"/>
      <c r="DV110" s="129" t="n"/>
      <c r="DW110" s="129" t="n"/>
      <c r="DX110" s="129" t="n"/>
      <c r="DY110" s="129" t="n"/>
      <c r="DZ110" s="129" t="n"/>
      <c r="EA110" s="129" t="n"/>
      <c r="EB110" s="129" t="n"/>
      <c r="EC110" s="129" t="n"/>
      <c r="ED110" s="129" t="n"/>
      <c r="EE110" s="129" t="n"/>
      <c r="EF110" s="129" t="n"/>
      <c r="EG110" s="129" t="n"/>
      <c r="EH110" s="129" t="n"/>
      <c r="EI110" s="129" t="n"/>
      <c r="EJ110" s="129" t="n"/>
      <c r="EK110" s="129" t="n"/>
      <c r="EL110" s="129" t="n"/>
      <c r="EM110" s="129" t="n"/>
      <c r="EN110" s="129" t="n"/>
      <c r="EO110" s="129" t="n"/>
      <c r="EP110" s="129" t="n"/>
      <c r="EQ110" s="129" t="n"/>
      <c r="ER110" s="129" t="n"/>
      <c r="ES110" s="129" t="n"/>
      <c r="ET110" s="129" t="n"/>
      <c r="EU110" s="129" t="n"/>
      <c r="EV110" s="129" t="n"/>
      <c r="EW110" s="129" t="n"/>
      <c r="EX110" s="129" t="n"/>
      <c r="EY110" s="129" t="n"/>
      <c r="EZ110" s="129" t="n"/>
      <c r="FA110" s="129" t="n"/>
      <c r="FB110" s="129" t="n"/>
      <c r="FC110" s="129" t="n"/>
      <c r="FD110" s="129" t="n"/>
      <c r="FE110" s="129" t="n"/>
      <c r="FF110" s="129" t="n"/>
      <c r="FG110" s="129" t="n"/>
      <c r="FH110" s="129" t="n"/>
      <c r="FI110" s="129" t="n"/>
      <c r="FJ110" s="129" t="n"/>
      <c r="FK110" s="129" t="n"/>
      <c r="FL110" s="129" t="n"/>
      <c r="FM110" s="129" t="n"/>
    </row>
    <row r="111" s="135">
      <c r="A111" s="90" t="n">
        <v>36068</v>
      </c>
      <c r="B111" s="91" t="n">
        <v>0.102</v>
      </c>
      <c r="C111" s="79" t="n"/>
      <c r="D111" s="129" t="n"/>
      <c r="E111" s="129" t="n"/>
      <c r="F111" s="129" t="n"/>
      <c r="G111" s="129" t="n"/>
      <c r="H111" s="129" t="n"/>
      <c r="I111" s="129" t="n"/>
      <c r="J111" s="129" t="n"/>
      <c r="K111" s="129" t="n"/>
      <c r="L111" s="129" t="n"/>
      <c r="M111" s="129" t="n"/>
      <c r="N111" s="129" t="n"/>
      <c r="O111" s="129" t="n"/>
      <c r="P111" s="129" t="n"/>
      <c r="Q111" s="129" t="n"/>
      <c r="R111" s="129" t="n"/>
      <c r="S111" s="129" t="n"/>
      <c r="T111" s="129" t="n"/>
      <c r="U111" s="129" t="n"/>
      <c r="V111" s="129" t="n"/>
      <c r="W111" s="129" t="n"/>
      <c r="X111" s="129" t="n"/>
      <c r="Y111" s="129" t="n"/>
      <c r="Z111" s="129" t="n"/>
      <c r="AA111" s="129" t="n"/>
      <c r="AB111" s="129" t="n"/>
      <c r="AC111" s="129" t="n"/>
      <c r="AD111" s="129" t="n"/>
      <c r="AE111" s="129" t="n"/>
      <c r="AF111" s="129" t="n"/>
      <c r="AG111" s="129" t="n"/>
      <c r="AH111" s="129" t="n"/>
      <c r="AI111" s="129" t="n"/>
      <c r="AJ111" s="129" t="n"/>
      <c r="AK111" s="129" t="n"/>
      <c r="AL111" s="129" t="n"/>
      <c r="AM111" s="129" t="n"/>
      <c r="AN111" s="129" t="n"/>
      <c r="AO111" s="129" t="n"/>
      <c r="AP111" s="129" t="n"/>
      <c r="AQ111" s="129" t="n"/>
      <c r="AR111" s="129" t="n"/>
      <c r="AS111" s="129" t="n"/>
      <c r="AT111" s="129" t="n"/>
      <c r="AU111" s="129" t="n"/>
      <c r="AV111" s="129" t="n"/>
      <c r="AW111" s="129" t="n"/>
      <c r="AX111" s="129" t="n"/>
      <c r="AY111" s="129" t="n"/>
      <c r="AZ111" s="129" t="n"/>
      <c r="BA111" s="129" t="n"/>
      <c r="BB111" s="129" t="n"/>
      <c r="BC111" s="129" t="n"/>
      <c r="BD111" s="129" t="n"/>
      <c r="BE111" s="129" t="n"/>
      <c r="BF111" s="129" t="n"/>
      <c r="BG111" s="129" t="n"/>
      <c r="BH111" s="129" t="n"/>
      <c r="BI111" s="129" t="n"/>
      <c r="BJ111" s="129" t="n"/>
      <c r="BK111" s="129" t="n"/>
      <c r="BL111" s="129" t="n"/>
      <c r="BM111" s="129" t="n"/>
      <c r="BN111" s="129" t="n"/>
      <c r="BO111" s="129" t="n"/>
      <c r="BP111" s="129" t="n"/>
      <c r="BQ111" s="129" t="n"/>
      <c r="BR111" s="129" t="n"/>
      <c r="BS111" s="129" t="n"/>
      <c r="BT111" s="129" t="n"/>
      <c r="BU111" s="129" t="n"/>
      <c r="BV111" s="129" t="n"/>
      <c r="BW111" s="129" t="n"/>
      <c r="BX111" s="129" t="n"/>
      <c r="BY111" s="129" t="n"/>
      <c r="BZ111" s="129" t="n"/>
      <c r="CA111" s="129" t="n"/>
      <c r="CB111" s="129" t="n"/>
      <c r="CC111" s="129" t="n"/>
      <c r="CD111" s="129" t="n"/>
      <c r="CE111" s="129" t="n"/>
      <c r="CF111" s="129" t="n"/>
      <c r="CG111" s="129" t="n"/>
      <c r="CH111" s="129" t="n"/>
      <c r="CI111" s="129" t="n"/>
      <c r="CJ111" s="129" t="n"/>
      <c r="CK111" s="129" t="n"/>
      <c r="CL111" s="129" t="n"/>
      <c r="CM111" s="129" t="n"/>
      <c r="CN111" s="129" t="n"/>
      <c r="CO111" s="129" t="n"/>
      <c r="CP111" s="129" t="n"/>
      <c r="CQ111" s="129" t="n"/>
      <c r="CR111" s="129" t="n"/>
      <c r="CS111" s="129" t="n"/>
      <c r="CT111" s="129" t="n"/>
      <c r="CU111" s="129" t="n"/>
      <c r="CV111" s="129" t="n"/>
      <c r="CW111" s="129" t="n"/>
      <c r="CX111" s="129" t="n"/>
      <c r="CY111" s="129" t="n"/>
      <c r="CZ111" s="129" t="n"/>
      <c r="DA111" s="129" t="n"/>
      <c r="DB111" s="129" t="n"/>
      <c r="DC111" s="129" t="n"/>
      <c r="DD111" s="129" t="n"/>
      <c r="DE111" s="129" t="n"/>
      <c r="DF111" s="129" t="n"/>
      <c r="DG111" s="129" t="n"/>
      <c r="DH111" s="129" t="n"/>
      <c r="DI111" s="129" t="n"/>
      <c r="DJ111" s="129" t="n"/>
      <c r="DK111" s="129" t="n"/>
      <c r="DL111" s="129" t="n"/>
      <c r="DM111" s="129" t="n"/>
      <c r="DN111" s="129" t="n"/>
      <c r="DO111" s="129" t="n"/>
      <c r="DP111" s="129" t="n"/>
      <c r="DQ111" s="129" t="n"/>
      <c r="DR111" s="129" t="n"/>
      <c r="DS111" s="129" t="n"/>
      <c r="DT111" s="129" t="n"/>
      <c r="DU111" s="129" t="n"/>
      <c r="DV111" s="129" t="n"/>
      <c r="DW111" s="129" t="n"/>
      <c r="DX111" s="129" t="n"/>
      <c r="DY111" s="129" t="n"/>
      <c r="DZ111" s="129" t="n"/>
      <c r="EA111" s="129" t="n"/>
      <c r="EB111" s="129" t="n"/>
      <c r="EC111" s="129" t="n"/>
      <c r="ED111" s="129" t="n"/>
      <c r="EE111" s="129" t="n"/>
      <c r="EF111" s="129" t="n"/>
      <c r="EG111" s="129" t="n"/>
      <c r="EH111" s="129" t="n"/>
      <c r="EI111" s="129" t="n"/>
      <c r="EJ111" s="129" t="n"/>
      <c r="EK111" s="129" t="n"/>
      <c r="EL111" s="129" t="n"/>
      <c r="EM111" s="129" t="n"/>
      <c r="EN111" s="129" t="n"/>
      <c r="EO111" s="129" t="n"/>
      <c r="EP111" s="129" t="n"/>
      <c r="EQ111" s="129" t="n"/>
      <c r="ER111" s="129" t="n"/>
      <c r="ES111" s="129" t="n"/>
      <c r="ET111" s="129" t="n"/>
      <c r="EU111" s="129" t="n"/>
      <c r="EV111" s="129" t="n"/>
      <c r="EW111" s="129" t="n"/>
      <c r="EX111" s="129" t="n"/>
      <c r="EY111" s="129" t="n"/>
      <c r="EZ111" s="129" t="n"/>
      <c r="FA111" s="129" t="n"/>
      <c r="FB111" s="129" t="n"/>
      <c r="FC111" s="129" t="n"/>
      <c r="FD111" s="129" t="n"/>
      <c r="FE111" s="129" t="n"/>
      <c r="FF111" s="129" t="n"/>
      <c r="FG111" s="129" t="n"/>
      <c r="FH111" s="129" t="n"/>
      <c r="FI111" s="129" t="n"/>
      <c r="FJ111" s="129" t="n"/>
      <c r="FK111" s="129" t="n"/>
      <c r="FL111" s="129" t="n"/>
      <c r="FM111" s="129" t="n"/>
    </row>
    <row r="112" s="135">
      <c r="A112" s="92" t="n">
        <v>36099</v>
      </c>
      <c r="B112" s="93" t="n">
        <v>0.106</v>
      </c>
      <c r="C112" s="79" t="n"/>
      <c r="D112" s="129" t="n"/>
      <c r="E112" s="129" t="n"/>
      <c r="F112" s="129" t="n"/>
      <c r="G112" s="129" t="n"/>
      <c r="H112" s="129" t="n"/>
      <c r="I112" s="129" t="n"/>
      <c r="J112" s="129" t="n"/>
      <c r="K112" s="129" t="n"/>
      <c r="L112" s="129" t="n"/>
      <c r="M112" s="129" t="n"/>
      <c r="N112" s="129" t="n"/>
      <c r="O112" s="129" t="n"/>
      <c r="P112" s="129" t="n"/>
      <c r="Q112" s="129" t="n"/>
      <c r="R112" s="129" t="n"/>
      <c r="S112" s="129" t="n"/>
      <c r="T112" s="129" t="n"/>
      <c r="U112" s="129" t="n"/>
      <c r="V112" s="129" t="n"/>
      <c r="W112" s="129" t="n"/>
      <c r="X112" s="129" t="n"/>
      <c r="Y112" s="129" t="n"/>
      <c r="Z112" s="129" t="n"/>
      <c r="AA112" s="129" t="n"/>
      <c r="AB112" s="129" t="n"/>
      <c r="AC112" s="129" t="n"/>
      <c r="AD112" s="129" t="n"/>
      <c r="AE112" s="129" t="n"/>
      <c r="AF112" s="129" t="n"/>
      <c r="AG112" s="129" t="n"/>
      <c r="AH112" s="129" t="n"/>
      <c r="AI112" s="129" t="n"/>
      <c r="AJ112" s="129" t="n"/>
      <c r="AK112" s="129" t="n"/>
      <c r="AL112" s="129" t="n"/>
      <c r="AM112" s="129" t="n"/>
      <c r="AN112" s="129" t="n"/>
      <c r="AO112" s="129" t="n"/>
      <c r="AP112" s="129" t="n"/>
      <c r="AQ112" s="129" t="n"/>
      <c r="AR112" s="129" t="n"/>
      <c r="AS112" s="129" t="n"/>
      <c r="AT112" s="129" t="n"/>
      <c r="AU112" s="129" t="n"/>
      <c r="AV112" s="129" t="n"/>
      <c r="AW112" s="129" t="n"/>
      <c r="AX112" s="129" t="n"/>
      <c r="AY112" s="129" t="n"/>
      <c r="AZ112" s="129" t="n"/>
      <c r="BA112" s="129" t="n"/>
      <c r="BB112" s="129" t="n"/>
      <c r="BC112" s="129" t="n"/>
      <c r="BD112" s="129" t="n"/>
      <c r="BE112" s="129" t="n"/>
      <c r="BF112" s="129" t="n"/>
      <c r="BG112" s="129" t="n"/>
      <c r="BH112" s="129" t="n"/>
      <c r="BI112" s="129" t="n"/>
      <c r="BJ112" s="129" t="n"/>
      <c r="BK112" s="129" t="n"/>
      <c r="BL112" s="129" t="n"/>
      <c r="BM112" s="129" t="n"/>
      <c r="BN112" s="129" t="n"/>
      <c r="BO112" s="129" t="n"/>
      <c r="BP112" s="129" t="n"/>
      <c r="BQ112" s="129" t="n"/>
      <c r="BR112" s="129" t="n"/>
      <c r="BS112" s="129" t="n"/>
      <c r="BT112" s="129" t="n"/>
      <c r="BU112" s="129" t="n"/>
      <c r="BV112" s="129" t="n"/>
      <c r="BW112" s="129" t="n"/>
      <c r="BX112" s="129" t="n"/>
      <c r="BY112" s="129" t="n"/>
      <c r="BZ112" s="129" t="n"/>
      <c r="CA112" s="129" t="n"/>
      <c r="CB112" s="129" t="n"/>
      <c r="CC112" s="129" t="n"/>
      <c r="CD112" s="129" t="n"/>
      <c r="CE112" s="129" t="n"/>
      <c r="CF112" s="129" t="n"/>
      <c r="CG112" s="129" t="n"/>
      <c r="CH112" s="129" t="n"/>
      <c r="CI112" s="129" t="n"/>
      <c r="CJ112" s="129" t="n"/>
      <c r="CK112" s="129" t="n"/>
      <c r="CL112" s="129" t="n"/>
      <c r="CM112" s="129" t="n"/>
      <c r="CN112" s="129" t="n"/>
      <c r="CO112" s="129" t="n"/>
      <c r="CP112" s="129" t="n"/>
      <c r="CQ112" s="129" t="n"/>
      <c r="CR112" s="129" t="n"/>
      <c r="CS112" s="129" t="n"/>
      <c r="CT112" s="129" t="n"/>
      <c r="CU112" s="129" t="n"/>
      <c r="CV112" s="129" t="n"/>
      <c r="CW112" s="129" t="n"/>
      <c r="CX112" s="129" t="n"/>
      <c r="CY112" s="129" t="n"/>
      <c r="CZ112" s="129" t="n"/>
      <c r="DA112" s="129" t="n"/>
      <c r="DB112" s="129" t="n"/>
      <c r="DC112" s="129" t="n"/>
      <c r="DD112" s="129" t="n"/>
      <c r="DE112" s="129" t="n"/>
      <c r="DF112" s="129" t="n"/>
      <c r="DG112" s="129" t="n"/>
      <c r="DH112" s="129" t="n"/>
      <c r="DI112" s="129" t="n"/>
      <c r="DJ112" s="129" t="n"/>
      <c r="DK112" s="129" t="n"/>
      <c r="DL112" s="129" t="n"/>
      <c r="DM112" s="129" t="n"/>
      <c r="DN112" s="129" t="n"/>
      <c r="DO112" s="129" t="n"/>
      <c r="DP112" s="129" t="n"/>
      <c r="DQ112" s="129" t="n"/>
      <c r="DR112" s="129" t="n"/>
      <c r="DS112" s="129" t="n"/>
      <c r="DT112" s="129" t="n"/>
      <c r="DU112" s="129" t="n"/>
      <c r="DV112" s="129" t="n"/>
      <c r="DW112" s="129" t="n"/>
      <c r="DX112" s="129" t="n"/>
      <c r="DY112" s="129" t="n"/>
      <c r="DZ112" s="129" t="n"/>
      <c r="EA112" s="129" t="n"/>
      <c r="EB112" s="129" t="n"/>
      <c r="EC112" s="129" t="n"/>
      <c r="ED112" s="129" t="n"/>
      <c r="EE112" s="129" t="n"/>
      <c r="EF112" s="129" t="n"/>
      <c r="EG112" s="129" t="n"/>
      <c r="EH112" s="129" t="n"/>
      <c r="EI112" s="129" t="n"/>
      <c r="EJ112" s="129" t="n"/>
      <c r="EK112" s="129" t="n"/>
      <c r="EL112" s="129" t="n"/>
      <c r="EM112" s="129" t="n"/>
      <c r="EN112" s="129" t="n"/>
      <c r="EO112" s="129" t="n"/>
      <c r="EP112" s="129" t="n"/>
      <c r="EQ112" s="129" t="n"/>
      <c r="ER112" s="129" t="n"/>
      <c r="ES112" s="129" t="n"/>
      <c r="ET112" s="129" t="n"/>
      <c r="EU112" s="129" t="n"/>
      <c r="EV112" s="129" t="n"/>
      <c r="EW112" s="129" t="n"/>
      <c r="EX112" s="129" t="n"/>
      <c r="EY112" s="129" t="n"/>
      <c r="EZ112" s="129" t="n"/>
      <c r="FA112" s="129" t="n"/>
      <c r="FB112" s="129" t="n"/>
      <c r="FC112" s="129" t="n"/>
      <c r="FD112" s="129" t="n"/>
      <c r="FE112" s="129" t="n"/>
      <c r="FF112" s="129" t="n"/>
      <c r="FG112" s="129" t="n"/>
      <c r="FH112" s="129" t="n"/>
      <c r="FI112" s="129" t="n"/>
      <c r="FJ112" s="129" t="n"/>
      <c r="FK112" s="129" t="n"/>
      <c r="FL112" s="129" t="n"/>
      <c r="FM112" s="129" t="n"/>
    </row>
    <row r="113" s="135">
      <c r="A113" s="90" t="n">
        <v>36129</v>
      </c>
      <c r="B113" s="91" t="n">
        <v>0.11</v>
      </c>
      <c r="C113" s="79" t="n"/>
      <c r="D113" s="129" t="n"/>
      <c r="E113" s="129" t="n"/>
      <c r="F113" s="129" t="n"/>
      <c r="G113" s="129" t="n"/>
      <c r="H113" s="129" t="n"/>
      <c r="I113" s="129" t="n"/>
      <c r="J113" s="129" t="n"/>
      <c r="K113" s="129" t="n"/>
      <c r="L113" s="129" t="n"/>
      <c r="M113" s="129" t="n"/>
      <c r="N113" s="129" t="n"/>
      <c r="O113" s="129" t="n"/>
      <c r="P113" s="129" t="n"/>
      <c r="Q113" s="129" t="n"/>
      <c r="R113" s="129" t="n"/>
      <c r="S113" s="129" t="n"/>
      <c r="T113" s="129" t="n"/>
      <c r="U113" s="129" t="n"/>
      <c r="V113" s="129" t="n"/>
      <c r="W113" s="129" t="n"/>
      <c r="X113" s="129" t="n"/>
      <c r="Y113" s="129" t="n"/>
      <c r="Z113" s="129" t="n"/>
      <c r="AA113" s="129" t="n"/>
      <c r="AB113" s="129" t="n"/>
      <c r="AC113" s="129" t="n"/>
      <c r="AD113" s="129" t="n"/>
      <c r="AE113" s="129" t="n"/>
      <c r="AF113" s="129" t="n"/>
      <c r="AG113" s="129" t="n"/>
      <c r="AH113" s="129" t="n"/>
      <c r="AI113" s="129" t="n"/>
      <c r="AJ113" s="129" t="n"/>
      <c r="AK113" s="129" t="n"/>
      <c r="AL113" s="129" t="n"/>
      <c r="AM113" s="129" t="n"/>
      <c r="AN113" s="129" t="n"/>
      <c r="AO113" s="129" t="n"/>
      <c r="AP113" s="129" t="n"/>
      <c r="AQ113" s="129" t="n"/>
      <c r="AR113" s="129" t="n"/>
      <c r="AS113" s="129" t="n"/>
      <c r="AT113" s="129" t="n"/>
      <c r="AU113" s="129" t="n"/>
      <c r="AV113" s="129" t="n"/>
      <c r="AW113" s="129" t="n"/>
      <c r="AX113" s="129" t="n"/>
      <c r="AY113" s="129" t="n"/>
      <c r="AZ113" s="129" t="n"/>
      <c r="BA113" s="129" t="n"/>
      <c r="BB113" s="129" t="n"/>
      <c r="BC113" s="129" t="n"/>
      <c r="BD113" s="129" t="n"/>
      <c r="BE113" s="129" t="n"/>
      <c r="BF113" s="129" t="n"/>
      <c r="BG113" s="129" t="n"/>
      <c r="BH113" s="129" t="n"/>
      <c r="BI113" s="129" t="n"/>
      <c r="BJ113" s="129" t="n"/>
      <c r="BK113" s="129" t="n"/>
      <c r="BL113" s="129" t="n"/>
      <c r="BM113" s="129" t="n"/>
      <c r="BN113" s="129" t="n"/>
      <c r="BO113" s="129" t="n"/>
      <c r="BP113" s="129" t="n"/>
      <c r="BQ113" s="129" t="n"/>
      <c r="BR113" s="129" t="n"/>
      <c r="BS113" s="129" t="n"/>
      <c r="BT113" s="129" t="n"/>
      <c r="BU113" s="129" t="n"/>
      <c r="BV113" s="129" t="n"/>
      <c r="BW113" s="129" t="n"/>
      <c r="BX113" s="129" t="n"/>
      <c r="BY113" s="129" t="n"/>
      <c r="BZ113" s="129" t="n"/>
      <c r="CA113" s="129" t="n"/>
      <c r="CB113" s="129" t="n"/>
      <c r="CC113" s="129" t="n"/>
      <c r="CD113" s="129" t="n"/>
      <c r="CE113" s="129" t="n"/>
      <c r="CF113" s="129" t="n"/>
      <c r="CG113" s="129" t="n"/>
      <c r="CH113" s="129" t="n"/>
      <c r="CI113" s="129" t="n"/>
      <c r="CJ113" s="129" t="n"/>
      <c r="CK113" s="129" t="n"/>
      <c r="CL113" s="129" t="n"/>
      <c r="CM113" s="129" t="n"/>
      <c r="CN113" s="129" t="n"/>
      <c r="CO113" s="129" t="n"/>
      <c r="CP113" s="129" t="n"/>
      <c r="CQ113" s="129" t="n"/>
      <c r="CR113" s="129" t="n"/>
      <c r="CS113" s="129" t="n"/>
      <c r="CT113" s="129" t="n"/>
      <c r="CU113" s="129" t="n"/>
      <c r="CV113" s="129" t="n"/>
      <c r="CW113" s="129" t="n"/>
      <c r="CX113" s="129" t="n"/>
      <c r="CY113" s="129" t="n"/>
      <c r="CZ113" s="129" t="n"/>
      <c r="DA113" s="129" t="n"/>
      <c r="DB113" s="129" t="n"/>
      <c r="DC113" s="129" t="n"/>
      <c r="DD113" s="129" t="n"/>
      <c r="DE113" s="129" t="n"/>
      <c r="DF113" s="129" t="n"/>
      <c r="DG113" s="129" t="n"/>
      <c r="DH113" s="129" t="n"/>
      <c r="DI113" s="129" t="n"/>
      <c r="DJ113" s="129" t="n"/>
      <c r="DK113" s="129" t="n"/>
      <c r="DL113" s="129" t="n"/>
      <c r="DM113" s="129" t="n"/>
      <c r="DN113" s="129" t="n"/>
      <c r="DO113" s="129" t="n"/>
      <c r="DP113" s="129" t="n"/>
      <c r="DQ113" s="129" t="n"/>
      <c r="DR113" s="129" t="n"/>
      <c r="DS113" s="129" t="n"/>
      <c r="DT113" s="129" t="n"/>
      <c r="DU113" s="129" t="n"/>
      <c r="DV113" s="129" t="n"/>
      <c r="DW113" s="129" t="n"/>
      <c r="DX113" s="129" t="n"/>
      <c r="DY113" s="129" t="n"/>
      <c r="DZ113" s="129" t="n"/>
      <c r="EA113" s="129" t="n"/>
      <c r="EB113" s="129" t="n"/>
      <c r="EC113" s="129" t="n"/>
      <c r="ED113" s="129" t="n"/>
      <c r="EE113" s="129" t="n"/>
      <c r="EF113" s="129" t="n"/>
      <c r="EG113" s="129" t="n"/>
      <c r="EH113" s="129" t="n"/>
      <c r="EI113" s="129" t="n"/>
      <c r="EJ113" s="129" t="n"/>
      <c r="EK113" s="129" t="n"/>
      <c r="EL113" s="129" t="n"/>
      <c r="EM113" s="129" t="n"/>
      <c r="EN113" s="129" t="n"/>
      <c r="EO113" s="129" t="n"/>
      <c r="EP113" s="129" t="n"/>
      <c r="EQ113" s="129" t="n"/>
      <c r="ER113" s="129" t="n"/>
      <c r="ES113" s="129" t="n"/>
      <c r="ET113" s="129" t="n"/>
      <c r="EU113" s="129" t="n"/>
      <c r="EV113" s="129" t="n"/>
      <c r="EW113" s="129" t="n"/>
      <c r="EX113" s="129" t="n"/>
      <c r="EY113" s="129" t="n"/>
      <c r="EZ113" s="129" t="n"/>
      <c r="FA113" s="129" t="n"/>
      <c r="FB113" s="129" t="n"/>
      <c r="FC113" s="129" t="n"/>
      <c r="FD113" s="129" t="n"/>
      <c r="FE113" s="129" t="n"/>
      <c r="FF113" s="129" t="n"/>
      <c r="FG113" s="129" t="n"/>
      <c r="FH113" s="129" t="n"/>
      <c r="FI113" s="129" t="n"/>
      <c r="FJ113" s="129" t="n"/>
      <c r="FK113" s="129" t="n"/>
      <c r="FL113" s="129" t="n"/>
      <c r="FM113" s="129" t="n"/>
    </row>
    <row r="114" s="135">
      <c r="A114" s="92" t="n">
        <v>36160</v>
      </c>
      <c r="B114" s="93" t="n">
        <v>0.115</v>
      </c>
      <c r="C114" s="79" t="n"/>
      <c r="D114" s="129" t="n"/>
      <c r="E114" s="129" t="n"/>
      <c r="F114" s="129" t="n"/>
      <c r="G114" s="129" t="n"/>
      <c r="H114" s="129" t="n"/>
      <c r="I114" s="129" t="n"/>
      <c r="J114" s="129" t="n"/>
      <c r="K114" s="129" t="n"/>
      <c r="L114" s="129" t="n"/>
      <c r="M114" s="129" t="n"/>
      <c r="N114" s="129" t="n"/>
      <c r="O114" s="129" t="n"/>
      <c r="P114" s="129" t="n"/>
      <c r="Q114" s="129" t="n"/>
      <c r="R114" s="129" t="n"/>
      <c r="S114" s="129" t="n"/>
      <c r="T114" s="129" t="n"/>
      <c r="U114" s="129" t="n"/>
      <c r="V114" s="129" t="n"/>
      <c r="W114" s="129" t="n"/>
      <c r="X114" s="129" t="n"/>
      <c r="Y114" s="129" t="n"/>
      <c r="Z114" s="129" t="n"/>
      <c r="AA114" s="129" t="n"/>
      <c r="AB114" s="129" t="n"/>
      <c r="AC114" s="129" t="n"/>
      <c r="AD114" s="129" t="n"/>
      <c r="AE114" s="129" t="n"/>
      <c r="AF114" s="129" t="n"/>
      <c r="AG114" s="129" t="n"/>
      <c r="AH114" s="129" t="n"/>
      <c r="AI114" s="129" t="n"/>
      <c r="AJ114" s="129" t="n"/>
      <c r="AK114" s="129" t="n"/>
      <c r="AL114" s="129" t="n"/>
      <c r="AM114" s="129" t="n"/>
      <c r="AN114" s="129" t="n"/>
      <c r="AO114" s="129" t="n"/>
      <c r="AP114" s="129" t="n"/>
      <c r="AQ114" s="129" t="n"/>
      <c r="AR114" s="129" t="n"/>
      <c r="AS114" s="129" t="n"/>
      <c r="AT114" s="129" t="n"/>
      <c r="AU114" s="129" t="n"/>
      <c r="AV114" s="129" t="n"/>
      <c r="AW114" s="129" t="n"/>
      <c r="AX114" s="129" t="n"/>
      <c r="AY114" s="129" t="n"/>
      <c r="AZ114" s="129" t="n"/>
      <c r="BA114" s="129" t="n"/>
      <c r="BB114" s="129" t="n"/>
      <c r="BC114" s="129" t="n"/>
      <c r="BD114" s="129" t="n"/>
      <c r="BE114" s="129" t="n"/>
      <c r="BF114" s="129" t="n"/>
      <c r="BG114" s="129" t="n"/>
      <c r="BH114" s="129" t="n"/>
      <c r="BI114" s="129" t="n"/>
      <c r="BJ114" s="129" t="n"/>
      <c r="BK114" s="129" t="n"/>
      <c r="BL114" s="129" t="n"/>
      <c r="BM114" s="129" t="n"/>
      <c r="BN114" s="129" t="n"/>
      <c r="BO114" s="129" t="n"/>
      <c r="BP114" s="129" t="n"/>
      <c r="BQ114" s="129" t="n"/>
      <c r="BR114" s="129" t="n"/>
      <c r="BS114" s="129" t="n"/>
      <c r="BT114" s="129" t="n"/>
      <c r="BU114" s="129" t="n"/>
      <c r="BV114" s="129" t="n"/>
      <c r="BW114" s="129" t="n"/>
      <c r="BX114" s="129" t="n"/>
      <c r="BY114" s="129" t="n"/>
      <c r="BZ114" s="129" t="n"/>
      <c r="CA114" s="129" t="n"/>
      <c r="CB114" s="129" t="n"/>
      <c r="CC114" s="129" t="n"/>
      <c r="CD114" s="129" t="n"/>
      <c r="CE114" s="129" t="n"/>
      <c r="CF114" s="129" t="n"/>
      <c r="CG114" s="129" t="n"/>
      <c r="CH114" s="129" t="n"/>
      <c r="CI114" s="129" t="n"/>
      <c r="CJ114" s="129" t="n"/>
      <c r="CK114" s="129" t="n"/>
      <c r="CL114" s="129" t="n"/>
      <c r="CM114" s="129" t="n"/>
      <c r="CN114" s="129" t="n"/>
      <c r="CO114" s="129" t="n"/>
      <c r="CP114" s="129" t="n"/>
      <c r="CQ114" s="129" t="n"/>
      <c r="CR114" s="129" t="n"/>
      <c r="CS114" s="129" t="n"/>
      <c r="CT114" s="129" t="n"/>
      <c r="CU114" s="129" t="n"/>
      <c r="CV114" s="129" t="n"/>
      <c r="CW114" s="129" t="n"/>
      <c r="CX114" s="129" t="n"/>
      <c r="CY114" s="129" t="n"/>
      <c r="CZ114" s="129" t="n"/>
      <c r="DA114" s="129" t="n"/>
      <c r="DB114" s="129" t="n"/>
      <c r="DC114" s="129" t="n"/>
      <c r="DD114" s="129" t="n"/>
      <c r="DE114" s="129" t="n"/>
      <c r="DF114" s="129" t="n"/>
      <c r="DG114" s="129" t="n"/>
      <c r="DH114" s="129" t="n"/>
      <c r="DI114" s="129" t="n"/>
      <c r="DJ114" s="129" t="n"/>
      <c r="DK114" s="129" t="n"/>
      <c r="DL114" s="129" t="n"/>
      <c r="DM114" s="129" t="n"/>
      <c r="DN114" s="129" t="n"/>
      <c r="DO114" s="129" t="n"/>
      <c r="DP114" s="129" t="n"/>
      <c r="DQ114" s="129" t="n"/>
      <c r="DR114" s="129" t="n"/>
      <c r="DS114" s="129" t="n"/>
      <c r="DT114" s="129" t="n"/>
      <c r="DU114" s="129" t="n"/>
      <c r="DV114" s="129" t="n"/>
      <c r="DW114" s="129" t="n"/>
      <c r="DX114" s="129" t="n"/>
      <c r="DY114" s="129" t="n"/>
      <c r="DZ114" s="129" t="n"/>
      <c r="EA114" s="129" t="n"/>
      <c r="EB114" s="129" t="n"/>
      <c r="EC114" s="129" t="n"/>
      <c r="ED114" s="129" t="n"/>
      <c r="EE114" s="129" t="n"/>
      <c r="EF114" s="129" t="n"/>
      <c r="EG114" s="129" t="n"/>
      <c r="EH114" s="129" t="n"/>
      <c r="EI114" s="129" t="n"/>
      <c r="EJ114" s="129" t="n"/>
      <c r="EK114" s="129" t="n"/>
      <c r="EL114" s="129" t="n"/>
      <c r="EM114" s="129" t="n"/>
      <c r="EN114" s="129" t="n"/>
      <c r="EO114" s="129" t="n"/>
      <c r="EP114" s="129" t="n"/>
      <c r="EQ114" s="129" t="n"/>
      <c r="ER114" s="129" t="n"/>
      <c r="ES114" s="129" t="n"/>
      <c r="ET114" s="129" t="n"/>
      <c r="EU114" s="129" t="n"/>
      <c r="EV114" s="129" t="n"/>
      <c r="EW114" s="129" t="n"/>
      <c r="EX114" s="129" t="n"/>
      <c r="EY114" s="129" t="n"/>
      <c r="EZ114" s="129" t="n"/>
      <c r="FA114" s="129" t="n"/>
      <c r="FB114" s="129" t="n"/>
      <c r="FC114" s="129" t="n"/>
      <c r="FD114" s="129" t="n"/>
      <c r="FE114" s="129" t="n"/>
      <c r="FF114" s="129" t="n"/>
      <c r="FG114" s="129" t="n"/>
      <c r="FH114" s="129" t="n"/>
      <c r="FI114" s="129" t="n"/>
      <c r="FJ114" s="129" t="n"/>
      <c r="FK114" s="129" t="n"/>
      <c r="FL114" s="129" t="n"/>
      <c r="FM114" s="129" t="n"/>
    </row>
    <row r="115" s="135">
      <c r="A115" s="90" t="n">
        <v>36191</v>
      </c>
      <c r="B115" s="91" t="n">
        <v>0.179</v>
      </c>
      <c r="C115" s="79" t="n"/>
      <c r="D115" s="129" t="n"/>
      <c r="E115" s="129" t="n"/>
      <c r="F115" s="129" t="n"/>
      <c r="G115" s="129" t="n"/>
      <c r="H115" s="129" t="n"/>
      <c r="I115" s="129" t="n"/>
      <c r="J115" s="129" t="n"/>
      <c r="K115" s="129" t="n"/>
      <c r="L115" s="129" t="n"/>
      <c r="M115" s="129" t="n"/>
      <c r="N115" s="129" t="n"/>
      <c r="O115" s="129" t="n"/>
      <c r="P115" s="129" t="n"/>
      <c r="Q115" s="129" t="n"/>
      <c r="R115" s="129" t="n"/>
      <c r="S115" s="129" t="n"/>
      <c r="T115" s="129" t="n"/>
      <c r="U115" s="129" t="n"/>
      <c r="V115" s="129" t="n"/>
      <c r="W115" s="129" t="n"/>
      <c r="X115" s="129" t="n"/>
      <c r="Y115" s="129" t="n"/>
      <c r="Z115" s="129" t="n"/>
      <c r="AA115" s="129" t="n"/>
      <c r="AB115" s="129" t="n"/>
      <c r="AC115" s="129" t="n"/>
      <c r="AD115" s="129" t="n"/>
      <c r="AE115" s="129" t="n"/>
      <c r="AF115" s="129" t="n"/>
      <c r="AG115" s="129" t="n"/>
      <c r="AH115" s="129" t="n"/>
      <c r="AI115" s="129" t="n"/>
      <c r="AJ115" s="129" t="n"/>
      <c r="AK115" s="129" t="n"/>
      <c r="AL115" s="129" t="n"/>
      <c r="AM115" s="129" t="n"/>
      <c r="AN115" s="129" t="n"/>
      <c r="AO115" s="129" t="n"/>
      <c r="AP115" s="129" t="n"/>
      <c r="AQ115" s="129" t="n"/>
      <c r="AR115" s="129" t="n"/>
      <c r="AS115" s="129" t="n"/>
      <c r="AT115" s="129" t="n"/>
      <c r="AU115" s="129" t="n"/>
      <c r="AV115" s="129" t="n"/>
      <c r="AW115" s="129" t="n"/>
      <c r="AX115" s="129" t="n"/>
      <c r="AY115" s="129" t="n"/>
      <c r="AZ115" s="129" t="n"/>
      <c r="BA115" s="129" t="n"/>
      <c r="BB115" s="129" t="n"/>
      <c r="BC115" s="129" t="n"/>
      <c r="BD115" s="129" t="n"/>
      <c r="BE115" s="129" t="n"/>
      <c r="BF115" s="129" t="n"/>
      <c r="BG115" s="129" t="n"/>
      <c r="BH115" s="129" t="n"/>
      <c r="BI115" s="129" t="n"/>
      <c r="BJ115" s="129" t="n"/>
      <c r="BK115" s="129" t="n"/>
      <c r="BL115" s="129" t="n"/>
      <c r="BM115" s="129" t="n"/>
      <c r="BN115" s="129" t="n"/>
      <c r="BO115" s="129" t="n"/>
      <c r="BP115" s="129" t="n"/>
      <c r="BQ115" s="129" t="n"/>
      <c r="BR115" s="129" t="n"/>
      <c r="BS115" s="129" t="n"/>
      <c r="BT115" s="129" t="n"/>
      <c r="BU115" s="129" t="n"/>
      <c r="BV115" s="129" t="n"/>
      <c r="BW115" s="129" t="n"/>
      <c r="BX115" s="129" t="n"/>
      <c r="BY115" s="129" t="n"/>
      <c r="BZ115" s="129" t="n"/>
      <c r="CA115" s="129" t="n"/>
      <c r="CB115" s="129" t="n"/>
      <c r="CC115" s="129" t="n"/>
      <c r="CD115" s="129" t="n"/>
      <c r="CE115" s="129" t="n"/>
      <c r="CF115" s="129" t="n"/>
      <c r="CG115" s="129" t="n"/>
      <c r="CH115" s="129" t="n"/>
      <c r="CI115" s="129" t="n"/>
      <c r="CJ115" s="129" t="n"/>
      <c r="CK115" s="129" t="n"/>
      <c r="CL115" s="129" t="n"/>
      <c r="CM115" s="129" t="n"/>
      <c r="CN115" s="129" t="n"/>
      <c r="CO115" s="129" t="n"/>
      <c r="CP115" s="129" t="n"/>
      <c r="CQ115" s="129" t="n"/>
      <c r="CR115" s="129" t="n"/>
      <c r="CS115" s="129" t="n"/>
      <c r="CT115" s="129" t="n"/>
      <c r="CU115" s="129" t="n"/>
      <c r="CV115" s="129" t="n"/>
      <c r="CW115" s="129" t="n"/>
      <c r="CX115" s="129" t="n"/>
      <c r="CY115" s="129" t="n"/>
      <c r="CZ115" s="129" t="n"/>
      <c r="DA115" s="129" t="n"/>
      <c r="DB115" s="129" t="n"/>
      <c r="DC115" s="129" t="n"/>
      <c r="DD115" s="129" t="n"/>
      <c r="DE115" s="129" t="n"/>
      <c r="DF115" s="129" t="n"/>
      <c r="DG115" s="129" t="n"/>
      <c r="DH115" s="129" t="n"/>
      <c r="DI115" s="129" t="n"/>
      <c r="DJ115" s="129" t="n"/>
      <c r="DK115" s="129" t="n"/>
      <c r="DL115" s="129" t="n"/>
      <c r="DM115" s="129" t="n"/>
      <c r="DN115" s="129" t="n"/>
      <c r="DO115" s="129" t="n"/>
      <c r="DP115" s="129" t="n"/>
      <c r="DQ115" s="129" t="n"/>
      <c r="DR115" s="129" t="n"/>
      <c r="DS115" s="129" t="n"/>
      <c r="DT115" s="129" t="n"/>
      <c r="DU115" s="129" t="n"/>
      <c r="DV115" s="129" t="n"/>
      <c r="DW115" s="129" t="n"/>
      <c r="DX115" s="129" t="n"/>
      <c r="DY115" s="129" t="n"/>
      <c r="DZ115" s="129" t="n"/>
      <c r="EA115" s="129" t="n"/>
      <c r="EB115" s="129" t="n"/>
      <c r="EC115" s="129" t="n"/>
      <c r="ED115" s="129" t="n"/>
      <c r="EE115" s="129" t="n"/>
      <c r="EF115" s="129" t="n"/>
      <c r="EG115" s="129" t="n"/>
      <c r="EH115" s="129" t="n"/>
      <c r="EI115" s="129" t="n"/>
      <c r="EJ115" s="129" t="n"/>
      <c r="EK115" s="129" t="n"/>
      <c r="EL115" s="129" t="n"/>
      <c r="EM115" s="129" t="n"/>
      <c r="EN115" s="129" t="n"/>
      <c r="EO115" s="129" t="n"/>
      <c r="EP115" s="129" t="n"/>
      <c r="EQ115" s="129" t="n"/>
      <c r="ER115" s="129" t="n"/>
      <c r="ES115" s="129" t="n"/>
      <c r="ET115" s="129" t="n"/>
      <c r="EU115" s="129" t="n"/>
      <c r="EV115" s="129" t="n"/>
      <c r="EW115" s="129" t="n"/>
      <c r="EX115" s="129" t="n"/>
      <c r="EY115" s="129" t="n"/>
      <c r="EZ115" s="129" t="n"/>
      <c r="FA115" s="129" t="n"/>
      <c r="FB115" s="129" t="n"/>
      <c r="FC115" s="129" t="n"/>
      <c r="FD115" s="129" t="n"/>
      <c r="FE115" s="129" t="n"/>
      <c r="FF115" s="129" t="n"/>
      <c r="FG115" s="129" t="n"/>
      <c r="FH115" s="129" t="n"/>
      <c r="FI115" s="129" t="n"/>
      <c r="FJ115" s="129" t="n"/>
      <c r="FK115" s="129" t="n"/>
      <c r="FL115" s="129" t="n"/>
      <c r="FM115" s="129" t="n"/>
    </row>
    <row r="116" s="135">
      <c r="A116" s="92" t="n">
        <v>36219</v>
      </c>
      <c r="B116" s="93" t="n">
        <v>0.021</v>
      </c>
      <c r="C116" s="79" t="n"/>
      <c r="D116" s="129" t="n"/>
      <c r="E116" s="129" t="n"/>
      <c r="F116" s="129" t="n"/>
      <c r="G116" s="129" t="n"/>
      <c r="H116" s="129" t="n"/>
      <c r="I116" s="129" t="n"/>
      <c r="J116" s="129" t="n"/>
      <c r="K116" s="129" t="n"/>
      <c r="L116" s="129" t="n"/>
      <c r="M116" s="129" t="n"/>
      <c r="N116" s="129" t="n"/>
      <c r="O116" s="129" t="n"/>
      <c r="P116" s="129" t="n"/>
      <c r="Q116" s="129" t="n"/>
      <c r="R116" s="129" t="n"/>
      <c r="S116" s="129" t="n"/>
      <c r="T116" s="129" t="n"/>
      <c r="U116" s="129" t="n"/>
      <c r="V116" s="129" t="n"/>
      <c r="W116" s="129" t="n"/>
      <c r="X116" s="129" t="n"/>
      <c r="Y116" s="129" t="n"/>
      <c r="Z116" s="129" t="n"/>
      <c r="AA116" s="129" t="n"/>
      <c r="AB116" s="129" t="n"/>
      <c r="AC116" s="129" t="n"/>
      <c r="AD116" s="129" t="n"/>
      <c r="AE116" s="129" t="n"/>
      <c r="AF116" s="129" t="n"/>
      <c r="AG116" s="129" t="n"/>
      <c r="AH116" s="129" t="n"/>
      <c r="AI116" s="129" t="n"/>
      <c r="AJ116" s="129" t="n"/>
      <c r="AK116" s="129" t="n"/>
      <c r="AL116" s="129" t="n"/>
      <c r="AM116" s="129" t="n"/>
      <c r="AN116" s="129" t="n"/>
      <c r="AO116" s="129" t="n"/>
      <c r="AP116" s="129" t="n"/>
      <c r="AQ116" s="129" t="n"/>
      <c r="AR116" s="129" t="n"/>
      <c r="AS116" s="129" t="n"/>
      <c r="AT116" s="129" t="n"/>
      <c r="AU116" s="129" t="n"/>
      <c r="AV116" s="129" t="n"/>
      <c r="AW116" s="129" t="n"/>
      <c r="AX116" s="129" t="n"/>
      <c r="AY116" s="129" t="n"/>
      <c r="AZ116" s="129" t="n"/>
      <c r="BA116" s="129" t="n"/>
      <c r="BB116" s="129" t="n"/>
      <c r="BC116" s="129" t="n"/>
      <c r="BD116" s="129" t="n"/>
      <c r="BE116" s="129" t="n"/>
      <c r="BF116" s="129" t="n"/>
      <c r="BG116" s="129" t="n"/>
      <c r="BH116" s="129" t="n"/>
      <c r="BI116" s="129" t="n"/>
      <c r="BJ116" s="129" t="n"/>
      <c r="BK116" s="129" t="n"/>
      <c r="BL116" s="129" t="n"/>
      <c r="BM116" s="129" t="n"/>
      <c r="BN116" s="129" t="n"/>
      <c r="BO116" s="129" t="n"/>
      <c r="BP116" s="129" t="n"/>
      <c r="BQ116" s="129" t="n"/>
      <c r="BR116" s="129" t="n"/>
      <c r="BS116" s="129" t="n"/>
      <c r="BT116" s="129" t="n"/>
      <c r="BU116" s="129" t="n"/>
      <c r="BV116" s="129" t="n"/>
      <c r="BW116" s="129" t="n"/>
      <c r="BX116" s="129" t="n"/>
      <c r="BY116" s="129" t="n"/>
      <c r="BZ116" s="129" t="n"/>
      <c r="CA116" s="129" t="n"/>
      <c r="CB116" s="129" t="n"/>
      <c r="CC116" s="129" t="n"/>
      <c r="CD116" s="129" t="n"/>
      <c r="CE116" s="129" t="n"/>
      <c r="CF116" s="129" t="n"/>
      <c r="CG116" s="129" t="n"/>
      <c r="CH116" s="129" t="n"/>
      <c r="CI116" s="129" t="n"/>
      <c r="CJ116" s="129" t="n"/>
      <c r="CK116" s="129" t="n"/>
      <c r="CL116" s="129" t="n"/>
      <c r="CM116" s="129" t="n"/>
      <c r="CN116" s="129" t="n"/>
      <c r="CO116" s="129" t="n"/>
      <c r="CP116" s="129" t="n"/>
      <c r="CQ116" s="129" t="n"/>
      <c r="CR116" s="129" t="n"/>
      <c r="CS116" s="129" t="n"/>
      <c r="CT116" s="129" t="n"/>
      <c r="CU116" s="129" t="n"/>
      <c r="CV116" s="129" t="n"/>
      <c r="CW116" s="129" t="n"/>
      <c r="CX116" s="129" t="n"/>
      <c r="CY116" s="129" t="n"/>
      <c r="CZ116" s="129" t="n"/>
      <c r="DA116" s="129" t="n"/>
      <c r="DB116" s="129" t="n"/>
      <c r="DC116" s="129" t="n"/>
      <c r="DD116" s="129" t="n"/>
      <c r="DE116" s="129" t="n"/>
      <c r="DF116" s="129" t="n"/>
      <c r="DG116" s="129" t="n"/>
      <c r="DH116" s="129" t="n"/>
      <c r="DI116" s="129" t="n"/>
      <c r="DJ116" s="129" t="n"/>
      <c r="DK116" s="129" t="n"/>
      <c r="DL116" s="129" t="n"/>
      <c r="DM116" s="129" t="n"/>
      <c r="DN116" s="129" t="n"/>
      <c r="DO116" s="129" t="n"/>
      <c r="DP116" s="129" t="n"/>
      <c r="DQ116" s="129" t="n"/>
      <c r="DR116" s="129" t="n"/>
      <c r="DS116" s="129" t="n"/>
      <c r="DT116" s="129" t="n"/>
      <c r="DU116" s="129" t="n"/>
      <c r="DV116" s="129" t="n"/>
      <c r="DW116" s="129" t="n"/>
      <c r="DX116" s="129" t="n"/>
      <c r="DY116" s="129" t="n"/>
      <c r="DZ116" s="129" t="n"/>
      <c r="EA116" s="129" t="n"/>
      <c r="EB116" s="129" t="n"/>
      <c r="EC116" s="129" t="n"/>
      <c r="ED116" s="129" t="n"/>
      <c r="EE116" s="129" t="n"/>
      <c r="EF116" s="129" t="n"/>
      <c r="EG116" s="129" t="n"/>
      <c r="EH116" s="129" t="n"/>
      <c r="EI116" s="129" t="n"/>
      <c r="EJ116" s="129" t="n"/>
      <c r="EK116" s="129" t="n"/>
      <c r="EL116" s="129" t="n"/>
      <c r="EM116" s="129" t="n"/>
      <c r="EN116" s="129" t="n"/>
      <c r="EO116" s="129" t="n"/>
      <c r="EP116" s="129" t="n"/>
      <c r="EQ116" s="129" t="n"/>
      <c r="ER116" s="129" t="n"/>
      <c r="ES116" s="129" t="n"/>
      <c r="ET116" s="129" t="n"/>
      <c r="EU116" s="129" t="n"/>
      <c r="EV116" s="129" t="n"/>
      <c r="EW116" s="129" t="n"/>
      <c r="EX116" s="129" t="n"/>
      <c r="EY116" s="129" t="n"/>
      <c r="EZ116" s="129" t="n"/>
      <c r="FA116" s="129" t="n"/>
      <c r="FB116" s="129" t="n"/>
      <c r="FC116" s="129" t="n"/>
      <c r="FD116" s="129" t="n"/>
      <c r="FE116" s="129" t="n"/>
      <c r="FF116" s="129" t="n"/>
      <c r="FG116" s="129" t="n"/>
      <c r="FH116" s="129" t="n"/>
      <c r="FI116" s="129" t="n"/>
      <c r="FJ116" s="129" t="n"/>
      <c r="FK116" s="129" t="n"/>
      <c r="FL116" s="129" t="n"/>
      <c r="FM116" s="129" t="n"/>
    </row>
    <row r="117" s="135">
      <c r="A117" s="90" t="n">
        <v>36250</v>
      </c>
      <c r="B117" s="91" t="n">
        <v>0.09</v>
      </c>
      <c r="C117" s="79" t="n"/>
      <c r="D117" s="129" t="n"/>
      <c r="E117" s="129" t="n"/>
      <c r="F117" s="129" t="n"/>
      <c r="G117" s="129" t="n"/>
      <c r="H117" s="129" t="n"/>
      <c r="I117" s="129" t="n"/>
      <c r="J117" s="129" t="n"/>
      <c r="K117" s="129" t="n"/>
      <c r="L117" s="129" t="n"/>
      <c r="M117" s="129" t="n"/>
      <c r="N117" s="129" t="n"/>
      <c r="O117" s="129" t="n"/>
      <c r="P117" s="129" t="n"/>
      <c r="Q117" s="129" t="n"/>
      <c r="R117" s="129" t="n"/>
      <c r="S117" s="129" t="n"/>
      <c r="T117" s="129" t="n"/>
      <c r="U117" s="129" t="n"/>
      <c r="V117" s="129" t="n"/>
      <c r="W117" s="129" t="n"/>
      <c r="X117" s="129" t="n"/>
      <c r="Y117" s="129" t="n"/>
      <c r="Z117" s="129" t="n"/>
      <c r="AA117" s="129" t="n"/>
      <c r="AB117" s="129" t="n"/>
      <c r="AC117" s="129" t="n"/>
      <c r="AD117" s="129" t="n"/>
      <c r="AE117" s="129" t="n"/>
      <c r="AF117" s="129" t="n"/>
      <c r="AG117" s="129" t="n"/>
      <c r="AH117" s="129" t="n"/>
      <c r="AI117" s="129" t="n"/>
      <c r="AJ117" s="129" t="n"/>
      <c r="AK117" s="129" t="n"/>
      <c r="AL117" s="129" t="n"/>
      <c r="AM117" s="129" t="n"/>
      <c r="AN117" s="129" t="n"/>
      <c r="AO117" s="129" t="n"/>
      <c r="AP117" s="129" t="n"/>
      <c r="AQ117" s="129" t="n"/>
      <c r="AR117" s="129" t="n"/>
      <c r="AS117" s="129" t="n"/>
      <c r="AT117" s="129" t="n"/>
      <c r="AU117" s="129" t="n"/>
      <c r="AV117" s="129" t="n"/>
      <c r="AW117" s="129" t="n"/>
      <c r="AX117" s="129" t="n"/>
      <c r="AY117" s="129" t="n"/>
      <c r="AZ117" s="129" t="n"/>
      <c r="BA117" s="129" t="n"/>
      <c r="BB117" s="129" t="n"/>
      <c r="BC117" s="129" t="n"/>
      <c r="BD117" s="129" t="n"/>
      <c r="BE117" s="129" t="n"/>
      <c r="BF117" s="129" t="n"/>
      <c r="BG117" s="129" t="n"/>
      <c r="BH117" s="129" t="n"/>
      <c r="BI117" s="129" t="n"/>
      <c r="BJ117" s="129" t="n"/>
      <c r="BK117" s="129" t="n"/>
      <c r="BL117" s="129" t="n"/>
      <c r="BM117" s="129" t="n"/>
      <c r="BN117" s="129" t="n"/>
      <c r="BO117" s="129" t="n"/>
      <c r="BP117" s="129" t="n"/>
      <c r="BQ117" s="129" t="n"/>
      <c r="BR117" s="129" t="n"/>
      <c r="BS117" s="129" t="n"/>
      <c r="BT117" s="129" t="n"/>
      <c r="BU117" s="129" t="n"/>
      <c r="BV117" s="129" t="n"/>
      <c r="BW117" s="129" t="n"/>
      <c r="BX117" s="129" t="n"/>
      <c r="BY117" s="129" t="n"/>
      <c r="BZ117" s="129" t="n"/>
      <c r="CA117" s="129" t="n"/>
      <c r="CB117" s="129" t="n"/>
      <c r="CC117" s="129" t="n"/>
      <c r="CD117" s="129" t="n"/>
      <c r="CE117" s="129" t="n"/>
      <c r="CF117" s="129" t="n"/>
      <c r="CG117" s="129" t="n"/>
      <c r="CH117" s="129" t="n"/>
      <c r="CI117" s="129" t="n"/>
      <c r="CJ117" s="129" t="n"/>
      <c r="CK117" s="129" t="n"/>
      <c r="CL117" s="129" t="n"/>
      <c r="CM117" s="129" t="n"/>
      <c r="CN117" s="129" t="n"/>
      <c r="CO117" s="129" t="n"/>
      <c r="CP117" s="129" t="n"/>
      <c r="CQ117" s="129" t="n"/>
      <c r="CR117" s="129" t="n"/>
      <c r="CS117" s="129" t="n"/>
      <c r="CT117" s="129" t="n"/>
      <c r="CU117" s="129" t="n"/>
      <c r="CV117" s="129" t="n"/>
      <c r="CW117" s="129" t="n"/>
      <c r="CX117" s="129" t="n"/>
      <c r="CY117" s="129" t="n"/>
      <c r="CZ117" s="129" t="n"/>
      <c r="DA117" s="129" t="n"/>
      <c r="DB117" s="129" t="n"/>
      <c r="DC117" s="129" t="n"/>
      <c r="DD117" s="129" t="n"/>
      <c r="DE117" s="129" t="n"/>
      <c r="DF117" s="129" t="n"/>
      <c r="DG117" s="129" t="n"/>
      <c r="DH117" s="129" t="n"/>
      <c r="DI117" s="129" t="n"/>
      <c r="DJ117" s="129" t="n"/>
      <c r="DK117" s="129" t="n"/>
      <c r="DL117" s="129" t="n"/>
      <c r="DM117" s="129" t="n"/>
      <c r="DN117" s="129" t="n"/>
      <c r="DO117" s="129" t="n"/>
      <c r="DP117" s="129" t="n"/>
      <c r="DQ117" s="129" t="n"/>
      <c r="DR117" s="129" t="n"/>
      <c r="DS117" s="129" t="n"/>
      <c r="DT117" s="129" t="n"/>
      <c r="DU117" s="129" t="n"/>
      <c r="DV117" s="129" t="n"/>
      <c r="DW117" s="129" t="n"/>
      <c r="DX117" s="129" t="n"/>
      <c r="DY117" s="129" t="n"/>
      <c r="DZ117" s="129" t="n"/>
      <c r="EA117" s="129" t="n"/>
      <c r="EB117" s="129" t="n"/>
      <c r="EC117" s="129" t="n"/>
      <c r="ED117" s="129" t="n"/>
      <c r="EE117" s="129" t="n"/>
      <c r="EF117" s="129" t="n"/>
      <c r="EG117" s="129" t="n"/>
      <c r="EH117" s="129" t="n"/>
      <c r="EI117" s="129" t="n"/>
      <c r="EJ117" s="129" t="n"/>
      <c r="EK117" s="129" t="n"/>
      <c r="EL117" s="129" t="n"/>
      <c r="EM117" s="129" t="n"/>
      <c r="EN117" s="129" t="n"/>
      <c r="EO117" s="129" t="n"/>
      <c r="EP117" s="129" t="n"/>
      <c r="EQ117" s="129" t="n"/>
      <c r="ER117" s="129" t="n"/>
      <c r="ES117" s="129" t="n"/>
      <c r="ET117" s="129" t="n"/>
      <c r="EU117" s="129" t="n"/>
      <c r="EV117" s="129" t="n"/>
      <c r="EW117" s="129" t="n"/>
      <c r="EX117" s="129" t="n"/>
      <c r="EY117" s="129" t="n"/>
      <c r="EZ117" s="129" t="n"/>
      <c r="FA117" s="129" t="n"/>
      <c r="FB117" s="129" t="n"/>
      <c r="FC117" s="129" t="n"/>
      <c r="FD117" s="129" t="n"/>
      <c r="FE117" s="129" t="n"/>
      <c r="FF117" s="129" t="n"/>
      <c r="FG117" s="129" t="n"/>
      <c r="FH117" s="129" t="n"/>
      <c r="FI117" s="129" t="n"/>
      <c r="FJ117" s="129" t="n"/>
      <c r="FK117" s="129" t="n"/>
      <c r="FL117" s="129" t="n"/>
      <c r="FM117" s="129" t="n"/>
    </row>
    <row r="118" s="135">
      <c r="A118" s="92" t="n">
        <v>36280</v>
      </c>
      <c r="B118" s="93" t="n">
        <v>0.091</v>
      </c>
      <c r="C118" s="79" t="n"/>
      <c r="D118" s="129" t="n"/>
      <c r="E118" s="129" t="n"/>
      <c r="F118" s="129" t="n"/>
      <c r="G118" s="129" t="n"/>
      <c r="H118" s="129" t="n"/>
      <c r="I118" s="129" t="n"/>
      <c r="J118" s="129" t="n"/>
      <c r="K118" s="129" t="n"/>
      <c r="L118" s="129" t="n"/>
      <c r="M118" s="129" t="n"/>
      <c r="N118" s="129" t="n"/>
      <c r="O118" s="129" t="n"/>
      <c r="P118" s="129" t="n"/>
      <c r="Q118" s="129" t="n"/>
      <c r="R118" s="129" t="n"/>
      <c r="S118" s="129" t="n"/>
      <c r="T118" s="129" t="n"/>
      <c r="U118" s="129" t="n"/>
      <c r="V118" s="129" t="n"/>
      <c r="W118" s="129" t="n"/>
      <c r="X118" s="129" t="n"/>
      <c r="Y118" s="129" t="n"/>
      <c r="Z118" s="129" t="n"/>
      <c r="AA118" s="129" t="n"/>
      <c r="AB118" s="129" t="n"/>
      <c r="AC118" s="129" t="n"/>
      <c r="AD118" s="129" t="n"/>
      <c r="AE118" s="129" t="n"/>
      <c r="AF118" s="129" t="n"/>
      <c r="AG118" s="129" t="n"/>
      <c r="AH118" s="129" t="n"/>
      <c r="AI118" s="129" t="n"/>
      <c r="AJ118" s="129" t="n"/>
      <c r="AK118" s="129" t="n"/>
      <c r="AL118" s="129" t="n"/>
      <c r="AM118" s="129" t="n"/>
      <c r="AN118" s="129" t="n"/>
      <c r="AO118" s="129" t="n"/>
      <c r="AP118" s="129" t="n"/>
      <c r="AQ118" s="129" t="n"/>
      <c r="AR118" s="129" t="n"/>
      <c r="AS118" s="129" t="n"/>
      <c r="AT118" s="129" t="n"/>
      <c r="AU118" s="129" t="n"/>
      <c r="AV118" s="129" t="n"/>
      <c r="AW118" s="129" t="n"/>
      <c r="AX118" s="129" t="n"/>
      <c r="AY118" s="129" t="n"/>
      <c r="AZ118" s="129" t="n"/>
      <c r="BA118" s="129" t="n"/>
      <c r="BB118" s="129" t="n"/>
      <c r="BC118" s="129" t="n"/>
      <c r="BD118" s="129" t="n"/>
      <c r="BE118" s="129" t="n"/>
      <c r="BF118" s="129" t="n"/>
      <c r="BG118" s="129" t="n"/>
      <c r="BH118" s="129" t="n"/>
      <c r="BI118" s="129" t="n"/>
      <c r="BJ118" s="129" t="n"/>
      <c r="BK118" s="129" t="n"/>
      <c r="BL118" s="129" t="n"/>
      <c r="BM118" s="129" t="n"/>
      <c r="BN118" s="129" t="n"/>
      <c r="BO118" s="129" t="n"/>
      <c r="BP118" s="129" t="n"/>
      <c r="BQ118" s="129" t="n"/>
      <c r="BR118" s="129" t="n"/>
      <c r="BS118" s="129" t="n"/>
      <c r="BT118" s="129" t="n"/>
      <c r="BU118" s="129" t="n"/>
      <c r="BV118" s="129" t="n"/>
      <c r="BW118" s="129" t="n"/>
      <c r="BX118" s="129" t="n"/>
      <c r="BY118" s="129" t="n"/>
      <c r="BZ118" s="129" t="n"/>
      <c r="CA118" s="129" t="n"/>
      <c r="CB118" s="129" t="n"/>
      <c r="CC118" s="129" t="n"/>
      <c r="CD118" s="129" t="n"/>
      <c r="CE118" s="129" t="n"/>
      <c r="CF118" s="129" t="n"/>
      <c r="CG118" s="129" t="n"/>
      <c r="CH118" s="129" t="n"/>
      <c r="CI118" s="129" t="n"/>
      <c r="CJ118" s="129" t="n"/>
      <c r="CK118" s="129" t="n"/>
      <c r="CL118" s="129" t="n"/>
      <c r="CM118" s="129" t="n"/>
      <c r="CN118" s="129" t="n"/>
      <c r="CO118" s="129" t="n"/>
      <c r="CP118" s="129" t="n"/>
      <c r="CQ118" s="129" t="n"/>
      <c r="CR118" s="129" t="n"/>
      <c r="CS118" s="129" t="n"/>
      <c r="CT118" s="129" t="n"/>
      <c r="CU118" s="129" t="n"/>
      <c r="CV118" s="129" t="n"/>
      <c r="CW118" s="129" t="n"/>
      <c r="CX118" s="129" t="n"/>
      <c r="CY118" s="129" t="n"/>
      <c r="CZ118" s="129" t="n"/>
      <c r="DA118" s="129" t="n"/>
      <c r="DB118" s="129" t="n"/>
      <c r="DC118" s="129" t="n"/>
      <c r="DD118" s="129" t="n"/>
      <c r="DE118" s="129" t="n"/>
      <c r="DF118" s="129" t="n"/>
      <c r="DG118" s="129" t="n"/>
      <c r="DH118" s="129" t="n"/>
      <c r="DI118" s="129" t="n"/>
      <c r="DJ118" s="129" t="n"/>
      <c r="DK118" s="129" t="n"/>
      <c r="DL118" s="129" t="n"/>
      <c r="DM118" s="129" t="n"/>
      <c r="DN118" s="129" t="n"/>
      <c r="DO118" s="129" t="n"/>
      <c r="DP118" s="129" t="n"/>
      <c r="DQ118" s="129" t="n"/>
      <c r="DR118" s="129" t="n"/>
      <c r="DS118" s="129" t="n"/>
      <c r="DT118" s="129" t="n"/>
      <c r="DU118" s="129" t="n"/>
      <c r="DV118" s="129" t="n"/>
      <c r="DW118" s="129" t="n"/>
      <c r="DX118" s="129" t="n"/>
      <c r="DY118" s="129" t="n"/>
      <c r="DZ118" s="129" t="n"/>
      <c r="EA118" s="129" t="n"/>
      <c r="EB118" s="129" t="n"/>
      <c r="EC118" s="129" t="n"/>
      <c r="ED118" s="129" t="n"/>
      <c r="EE118" s="129" t="n"/>
      <c r="EF118" s="129" t="n"/>
      <c r="EG118" s="129" t="n"/>
      <c r="EH118" s="129" t="n"/>
      <c r="EI118" s="129" t="n"/>
      <c r="EJ118" s="129" t="n"/>
      <c r="EK118" s="129" t="n"/>
      <c r="EL118" s="129" t="n"/>
      <c r="EM118" s="129" t="n"/>
      <c r="EN118" s="129" t="n"/>
      <c r="EO118" s="129" t="n"/>
      <c r="EP118" s="129" t="n"/>
      <c r="EQ118" s="129" t="n"/>
      <c r="ER118" s="129" t="n"/>
      <c r="ES118" s="129" t="n"/>
      <c r="ET118" s="129" t="n"/>
      <c r="EU118" s="129" t="n"/>
      <c r="EV118" s="129" t="n"/>
      <c r="EW118" s="129" t="n"/>
      <c r="EX118" s="129" t="n"/>
      <c r="EY118" s="129" t="n"/>
      <c r="EZ118" s="129" t="n"/>
      <c r="FA118" s="129" t="n"/>
      <c r="FB118" s="129" t="n"/>
      <c r="FC118" s="129" t="n"/>
      <c r="FD118" s="129" t="n"/>
      <c r="FE118" s="129" t="n"/>
      <c r="FF118" s="129" t="n"/>
      <c r="FG118" s="129" t="n"/>
      <c r="FH118" s="129" t="n"/>
      <c r="FI118" s="129" t="n"/>
      <c r="FJ118" s="129" t="n"/>
      <c r="FK118" s="129" t="n"/>
      <c r="FL118" s="129" t="n"/>
      <c r="FM118" s="129" t="n"/>
    </row>
    <row r="119" s="135">
      <c r="A119" s="90" t="n">
        <v>36311</v>
      </c>
      <c r="B119" s="91" t="n">
        <v>0.089</v>
      </c>
      <c r="C119" s="79" t="n"/>
      <c r="D119" s="129" t="n"/>
      <c r="E119" s="129" t="n"/>
      <c r="F119" s="129" t="n"/>
      <c r="G119" s="129" t="n"/>
      <c r="H119" s="129" t="n"/>
      <c r="I119" s="129" t="n"/>
      <c r="J119" s="129" t="n"/>
      <c r="K119" s="129" t="n"/>
      <c r="L119" s="129" t="n"/>
      <c r="M119" s="129" t="n"/>
      <c r="N119" s="129" t="n"/>
      <c r="O119" s="129" t="n"/>
      <c r="P119" s="129" t="n"/>
      <c r="Q119" s="129" t="n"/>
      <c r="R119" s="129" t="n"/>
      <c r="S119" s="129" t="n"/>
      <c r="T119" s="129" t="n"/>
      <c r="U119" s="129" t="n"/>
      <c r="V119" s="129" t="n"/>
      <c r="W119" s="129" t="n"/>
      <c r="X119" s="129" t="n"/>
      <c r="Y119" s="129" t="n"/>
      <c r="Z119" s="129" t="n"/>
      <c r="AA119" s="129" t="n"/>
      <c r="AB119" s="129" t="n"/>
      <c r="AC119" s="129" t="n"/>
      <c r="AD119" s="129" t="n"/>
      <c r="AE119" s="129" t="n"/>
      <c r="AF119" s="129" t="n"/>
      <c r="AG119" s="129" t="n"/>
      <c r="AH119" s="129" t="n"/>
      <c r="AI119" s="129" t="n"/>
      <c r="AJ119" s="129" t="n"/>
      <c r="AK119" s="129" t="n"/>
      <c r="AL119" s="129" t="n"/>
      <c r="AM119" s="129" t="n"/>
      <c r="AN119" s="129" t="n"/>
      <c r="AO119" s="129" t="n"/>
      <c r="AP119" s="129" t="n"/>
      <c r="AQ119" s="129" t="n"/>
      <c r="AR119" s="129" t="n"/>
      <c r="AS119" s="129" t="n"/>
      <c r="AT119" s="129" t="n"/>
      <c r="AU119" s="129" t="n"/>
      <c r="AV119" s="129" t="n"/>
      <c r="AW119" s="129" t="n"/>
      <c r="AX119" s="129" t="n"/>
      <c r="AY119" s="129" t="n"/>
      <c r="AZ119" s="129" t="n"/>
      <c r="BA119" s="129" t="n"/>
      <c r="BB119" s="129" t="n"/>
      <c r="BC119" s="129" t="n"/>
      <c r="BD119" s="129" t="n"/>
      <c r="BE119" s="129" t="n"/>
      <c r="BF119" s="129" t="n"/>
      <c r="BG119" s="129" t="n"/>
      <c r="BH119" s="129" t="n"/>
      <c r="BI119" s="129" t="n"/>
      <c r="BJ119" s="129" t="n"/>
      <c r="BK119" s="129" t="n"/>
      <c r="BL119" s="129" t="n"/>
      <c r="BM119" s="129" t="n"/>
      <c r="BN119" s="129" t="n"/>
      <c r="BO119" s="129" t="n"/>
      <c r="BP119" s="129" t="n"/>
      <c r="BQ119" s="129" t="n"/>
      <c r="BR119" s="129" t="n"/>
      <c r="BS119" s="129" t="n"/>
      <c r="BT119" s="129" t="n"/>
      <c r="BU119" s="129" t="n"/>
      <c r="BV119" s="129" t="n"/>
      <c r="BW119" s="129" t="n"/>
      <c r="BX119" s="129" t="n"/>
      <c r="BY119" s="129" t="n"/>
      <c r="BZ119" s="129" t="n"/>
      <c r="CA119" s="129" t="n"/>
      <c r="CB119" s="129" t="n"/>
      <c r="CC119" s="129" t="n"/>
      <c r="CD119" s="129" t="n"/>
      <c r="CE119" s="129" t="n"/>
      <c r="CF119" s="129" t="n"/>
      <c r="CG119" s="129" t="n"/>
      <c r="CH119" s="129" t="n"/>
      <c r="CI119" s="129" t="n"/>
      <c r="CJ119" s="129" t="n"/>
      <c r="CK119" s="129" t="n"/>
      <c r="CL119" s="129" t="n"/>
      <c r="CM119" s="129" t="n"/>
      <c r="CN119" s="129" t="n"/>
      <c r="CO119" s="129" t="n"/>
      <c r="CP119" s="129" t="n"/>
      <c r="CQ119" s="129" t="n"/>
      <c r="CR119" s="129" t="n"/>
      <c r="CS119" s="129" t="n"/>
      <c r="CT119" s="129" t="n"/>
      <c r="CU119" s="129" t="n"/>
      <c r="CV119" s="129" t="n"/>
      <c r="CW119" s="129" t="n"/>
      <c r="CX119" s="129" t="n"/>
      <c r="CY119" s="129" t="n"/>
      <c r="CZ119" s="129" t="n"/>
      <c r="DA119" s="129" t="n"/>
      <c r="DB119" s="129" t="n"/>
      <c r="DC119" s="129" t="n"/>
      <c r="DD119" s="129" t="n"/>
      <c r="DE119" s="129" t="n"/>
      <c r="DF119" s="129" t="n"/>
      <c r="DG119" s="129" t="n"/>
      <c r="DH119" s="129" t="n"/>
      <c r="DI119" s="129" t="n"/>
      <c r="DJ119" s="129" t="n"/>
      <c r="DK119" s="129" t="n"/>
      <c r="DL119" s="129" t="n"/>
      <c r="DM119" s="129" t="n"/>
      <c r="DN119" s="129" t="n"/>
      <c r="DO119" s="129" t="n"/>
      <c r="DP119" s="129" t="n"/>
      <c r="DQ119" s="129" t="n"/>
      <c r="DR119" s="129" t="n"/>
      <c r="DS119" s="129" t="n"/>
      <c r="DT119" s="129" t="n"/>
      <c r="DU119" s="129" t="n"/>
      <c r="DV119" s="129" t="n"/>
      <c r="DW119" s="129" t="n"/>
      <c r="DX119" s="129" t="n"/>
      <c r="DY119" s="129" t="n"/>
      <c r="DZ119" s="129" t="n"/>
      <c r="EA119" s="129" t="n"/>
      <c r="EB119" s="129" t="n"/>
      <c r="EC119" s="129" t="n"/>
      <c r="ED119" s="129" t="n"/>
      <c r="EE119" s="129" t="n"/>
      <c r="EF119" s="129" t="n"/>
      <c r="EG119" s="129" t="n"/>
      <c r="EH119" s="129" t="n"/>
      <c r="EI119" s="129" t="n"/>
      <c r="EJ119" s="129" t="n"/>
      <c r="EK119" s="129" t="n"/>
      <c r="EL119" s="129" t="n"/>
      <c r="EM119" s="129" t="n"/>
      <c r="EN119" s="129" t="n"/>
      <c r="EO119" s="129" t="n"/>
      <c r="EP119" s="129" t="n"/>
      <c r="EQ119" s="129" t="n"/>
      <c r="ER119" s="129" t="n"/>
      <c r="ES119" s="129" t="n"/>
      <c r="ET119" s="129" t="n"/>
      <c r="EU119" s="129" t="n"/>
      <c r="EV119" s="129" t="n"/>
      <c r="EW119" s="129" t="n"/>
      <c r="EX119" s="129" t="n"/>
      <c r="EY119" s="129" t="n"/>
      <c r="EZ119" s="129" t="n"/>
      <c r="FA119" s="129" t="n"/>
      <c r="FB119" s="129" t="n"/>
      <c r="FC119" s="129" t="n"/>
      <c r="FD119" s="129" t="n"/>
      <c r="FE119" s="129" t="n"/>
      <c r="FF119" s="129" t="n"/>
      <c r="FG119" s="129" t="n"/>
      <c r="FH119" s="129" t="n"/>
      <c r="FI119" s="129" t="n"/>
      <c r="FJ119" s="129" t="n"/>
      <c r="FK119" s="129" t="n"/>
      <c r="FL119" s="129" t="n"/>
      <c r="FM119" s="129" t="n"/>
    </row>
    <row r="120" s="135">
      <c r="A120" s="92" t="n">
        <v>36341</v>
      </c>
      <c r="B120" s="93" t="n">
        <v>0.091</v>
      </c>
      <c r="C120" s="79" t="n"/>
      <c r="D120" s="129" t="n"/>
      <c r="E120" s="129" t="n"/>
      <c r="F120" s="129" t="n"/>
      <c r="G120" s="129" t="n"/>
      <c r="H120" s="129" t="n"/>
      <c r="I120" s="129" t="n"/>
      <c r="J120" s="129" t="n"/>
      <c r="K120" s="129" t="n"/>
      <c r="L120" s="129" t="n"/>
      <c r="M120" s="129" t="n"/>
      <c r="N120" s="129" t="n"/>
      <c r="O120" s="129" t="n"/>
      <c r="P120" s="129" t="n"/>
      <c r="Q120" s="129" t="n"/>
      <c r="R120" s="129" t="n"/>
      <c r="S120" s="129" t="n"/>
      <c r="T120" s="129" t="n"/>
      <c r="U120" s="129" t="n"/>
      <c r="V120" s="129" t="n"/>
      <c r="W120" s="129" t="n"/>
      <c r="X120" s="129" t="n"/>
      <c r="Y120" s="129" t="n"/>
      <c r="Z120" s="129" t="n"/>
      <c r="AA120" s="129" t="n"/>
      <c r="AB120" s="129" t="n"/>
      <c r="AC120" s="129" t="n"/>
      <c r="AD120" s="129" t="n"/>
      <c r="AE120" s="129" t="n"/>
      <c r="AF120" s="129" t="n"/>
      <c r="AG120" s="129" t="n"/>
      <c r="AH120" s="129" t="n"/>
      <c r="AI120" s="129" t="n"/>
      <c r="AJ120" s="129" t="n"/>
      <c r="AK120" s="129" t="n"/>
      <c r="AL120" s="129" t="n"/>
      <c r="AM120" s="129" t="n"/>
      <c r="AN120" s="129" t="n"/>
      <c r="AO120" s="129" t="n"/>
      <c r="AP120" s="129" t="n"/>
      <c r="AQ120" s="129" t="n"/>
      <c r="AR120" s="129" t="n"/>
      <c r="AS120" s="129" t="n"/>
      <c r="AT120" s="129" t="n"/>
      <c r="AU120" s="129" t="n"/>
      <c r="AV120" s="129" t="n"/>
      <c r="AW120" s="129" t="n"/>
      <c r="AX120" s="129" t="n"/>
      <c r="AY120" s="129" t="n"/>
      <c r="AZ120" s="129" t="n"/>
      <c r="BA120" s="129" t="n"/>
      <c r="BB120" s="129" t="n"/>
      <c r="BC120" s="129" t="n"/>
      <c r="BD120" s="129" t="n"/>
      <c r="BE120" s="129" t="n"/>
      <c r="BF120" s="129" t="n"/>
      <c r="BG120" s="129" t="n"/>
      <c r="BH120" s="129" t="n"/>
      <c r="BI120" s="129" t="n"/>
      <c r="BJ120" s="129" t="n"/>
      <c r="BK120" s="129" t="n"/>
      <c r="BL120" s="129" t="n"/>
      <c r="BM120" s="129" t="n"/>
      <c r="BN120" s="129" t="n"/>
      <c r="BO120" s="129" t="n"/>
      <c r="BP120" s="129" t="n"/>
      <c r="BQ120" s="129" t="n"/>
      <c r="BR120" s="129" t="n"/>
      <c r="BS120" s="129" t="n"/>
      <c r="BT120" s="129" t="n"/>
      <c r="BU120" s="129" t="n"/>
      <c r="BV120" s="129" t="n"/>
      <c r="BW120" s="129" t="n"/>
      <c r="BX120" s="129" t="n"/>
      <c r="BY120" s="129" t="n"/>
      <c r="BZ120" s="129" t="n"/>
      <c r="CA120" s="129" t="n"/>
      <c r="CB120" s="129" t="n"/>
      <c r="CC120" s="129" t="n"/>
      <c r="CD120" s="129" t="n"/>
      <c r="CE120" s="129" t="n"/>
      <c r="CF120" s="129" t="n"/>
      <c r="CG120" s="129" t="n"/>
      <c r="CH120" s="129" t="n"/>
      <c r="CI120" s="129" t="n"/>
      <c r="CJ120" s="129" t="n"/>
      <c r="CK120" s="129" t="n"/>
      <c r="CL120" s="129" t="n"/>
      <c r="CM120" s="129" t="n"/>
      <c r="CN120" s="129" t="n"/>
      <c r="CO120" s="129" t="n"/>
      <c r="CP120" s="129" t="n"/>
      <c r="CQ120" s="129" t="n"/>
      <c r="CR120" s="129" t="n"/>
      <c r="CS120" s="129" t="n"/>
      <c r="CT120" s="129" t="n"/>
      <c r="CU120" s="129" t="n"/>
      <c r="CV120" s="129" t="n"/>
      <c r="CW120" s="129" t="n"/>
      <c r="CX120" s="129" t="n"/>
      <c r="CY120" s="129" t="n"/>
      <c r="CZ120" s="129" t="n"/>
      <c r="DA120" s="129" t="n"/>
      <c r="DB120" s="129" t="n"/>
      <c r="DC120" s="129" t="n"/>
      <c r="DD120" s="129" t="n"/>
      <c r="DE120" s="129" t="n"/>
      <c r="DF120" s="129" t="n"/>
      <c r="DG120" s="129" t="n"/>
      <c r="DH120" s="129" t="n"/>
      <c r="DI120" s="129" t="n"/>
      <c r="DJ120" s="129" t="n"/>
      <c r="DK120" s="129" t="n"/>
      <c r="DL120" s="129" t="n"/>
      <c r="DM120" s="129" t="n"/>
      <c r="DN120" s="129" t="n"/>
      <c r="DO120" s="129" t="n"/>
      <c r="DP120" s="129" t="n"/>
      <c r="DQ120" s="129" t="n"/>
      <c r="DR120" s="129" t="n"/>
      <c r="DS120" s="129" t="n"/>
      <c r="DT120" s="129" t="n"/>
      <c r="DU120" s="129" t="n"/>
      <c r="DV120" s="129" t="n"/>
      <c r="DW120" s="129" t="n"/>
      <c r="DX120" s="129" t="n"/>
      <c r="DY120" s="129" t="n"/>
      <c r="DZ120" s="129" t="n"/>
      <c r="EA120" s="129" t="n"/>
      <c r="EB120" s="129" t="n"/>
      <c r="EC120" s="129" t="n"/>
      <c r="ED120" s="129" t="n"/>
      <c r="EE120" s="129" t="n"/>
      <c r="EF120" s="129" t="n"/>
      <c r="EG120" s="129" t="n"/>
      <c r="EH120" s="129" t="n"/>
      <c r="EI120" s="129" t="n"/>
      <c r="EJ120" s="129" t="n"/>
      <c r="EK120" s="129" t="n"/>
      <c r="EL120" s="129" t="n"/>
      <c r="EM120" s="129" t="n"/>
      <c r="EN120" s="129" t="n"/>
      <c r="EO120" s="129" t="n"/>
      <c r="EP120" s="129" t="n"/>
      <c r="EQ120" s="129" t="n"/>
      <c r="ER120" s="129" t="n"/>
      <c r="ES120" s="129" t="n"/>
      <c r="ET120" s="129" t="n"/>
      <c r="EU120" s="129" t="n"/>
      <c r="EV120" s="129" t="n"/>
      <c r="EW120" s="129" t="n"/>
      <c r="EX120" s="129" t="n"/>
      <c r="EY120" s="129" t="n"/>
      <c r="EZ120" s="129" t="n"/>
      <c r="FA120" s="129" t="n"/>
      <c r="FB120" s="129" t="n"/>
      <c r="FC120" s="129" t="n"/>
      <c r="FD120" s="129" t="n"/>
      <c r="FE120" s="129" t="n"/>
      <c r="FF120" s="129" t="n"/>
      <c r="FG120" s="129" t="n"/>
      <c r="FH120" s="129" t="n"/>
      <c r="FI120" s="129" t="n"/>
      <c r="FJ120" s="129" t="n"/>
      <c r="FK120" s="129" t="n"/>
      <c r="FL120" s="129" t="n"/>
      <c r="FM120" s="129" t="n"/>
    </row>
    <row r="121" s="135">
      <c r="A121" s="90" t="n">
        <v>36372</v>
      </c>
      <c r="B121" s="91" t="n">
        <v>0.093</v>
      </c>
      <c r="C121" s="79" t="n"/>
      <c r="D121" s="129" t="n"/>
      <c r="E121" s="129" t="n"/>
      <c r="F121" s="129" t="n"/>
      <c r="G121" s="129" t="n"/>
      <c r="H121" s="129" t="n"/>
      <c r="I121" s="129" t="n"/>
      <c r="J121" s="129" t="n"/>
      <c r="K121" s="129" t="n"/>
      <c r="L121" s="129" t="n"/>
      <c r="M121" s="129" t="n"/>
      <c r="N121" s="129" t="n"/>
      <c r="O121" s="129" t="n"/>
      <c r="P121" s="129" t="n"/>
      <c r="Q121" s="129" t="n"/>
      <c r="R121" s="129" t="n"/>
      <c r="S121" s="129" t="n"/>
      <c r="T121" s="129" t="n"/>
      <c r="U121" s="129" t="n"/>
      <c r="V121" s="129" t="n"/>
      <c r="W121" s="129" t="n"/>
      <c r="X121" s="129" t="n"/>
      <c r="Y121" s="129" t="n"/>
      <c r="Z121" s="129" t="n"/>
      <c r="AA121" s="129" t="n"/>
      <c r="AB121" s="129" t="n"/>
      <c r="AC121" s="129" t="n"/>
      <c r="AD121" s="129" t="n"/>
      <c r="AE121" s="129" t="n"/>
      <c r="AF121" s="129" t="n"/>
      <c r="AG121" s="129" t="n"/>
      <c r="AH121" s="129" t="n"/>
      <c r="AI121" s="129" t="n"/>
      <c r="AJ121" s="129" t="n"/>
      <c r="AK121" s="129" t="n"/>
      <c r="AL121" s="129" t="n"/>
      <c r="AM121" s="129" t="n"/>
      <c r="AN121" s="129" t="n"/>
      <c r="AO121" s="129" t="n"/>
      <c r="AP121" s="129" t="n"/>
      <c r="AQ121" s="129" t="n"/>
      <c r="AR121" s="129" t="n"/>
      <c r="AS121" s="129" t="n"/>
      <c r="AT121" s="129" t="n"/>
      <c r="AU121" s="129" t="n"/>
      <c r="AV121" s="129" t="n"/>
      <c r="AW121" s="129" t="n"/>
      <c r="AX121" s="129" t="n"/>
      <c r="AY121" s="129" t="n"/>
      <c r="AZ121" s="129" t="n"/>
      <c r="BA121" s="129" t="n"/>
      <c r="BB121" s="129" t="n"/>
      <c r="BC121" s="129" t="n"/>
      <c r="BD121" s="129" t="n"/>
      <c r="BE121" s="129" t="n"/>
      <c r="BF121" s="129" t="n"/>
      <c r="BG121" s="129" t="n"/>
      <c r="BH121" s="129" t="n"/>
      <c r="BI121" s="129" t="n"/>
      <c r="BJ121" s="129" t="n"/>
      <c r="BK121" s="129" t="n"/>
      <c r="BL121" s="129" t="n"/>
      <c r="BM121" s="129" t="n"/>
      <c r="BN121" s="129" t="n"/>
      <c r="BO121" s="129" t="n"/>
      <c r="BP121" s="129" t="n"/>
      <c r="BQ121" s="129" t="n"/>
      <c r="BR121" s="129" t="n"/>
      <c r="BS121" s="129" t="n"/>
      <c r="BT121" s="129" t="n"/>
      <c r="BU121" s="129" t="n"/>
      <c r="BV121" s="129" t="n"/>
      <c r="BW121" s="129" t="n"/>
      <c r="BX121" s="129" t="n"/>
      <c r="BY121" s="129" t="n"/>
      <c r="BZ121" s="129" t="n"/>
      <c r="CA121" s="129" t="n"/>
      <c r="CB121" s="129" t="n"/>
      <c r="CC121" s="129" t="n"/>
      <c r="CD121" s="129" t="n"/>
      <c r="CE121" s="129" t="n"/>
      <c r="CF121" s="129" t="n"/>
      <c r="CG121" s="129" t="n"/>
      <c r="CH121" s="129" t="n"/>
      <c r="CI121" s="129" t="n"/>
      <c r="CJ121" s="129" t="n"/>
      <c r="CK121" s="129" t="n"/>
      <c r="CL121" s="129" t="n"/>
      <c r="CM121" s="129" t="n"/>
      <c r="CN121" s="129" t="n"/>
      <c r="CO121" s="129" t="n"/>
      <c r="CP121" s="129" t="n"/>
      <c r="CQ121" s="129" t="n"/>
      <c r="CR121" s="129" t="n"/>
      <c r="CS121" s="129" t="n"/>
      <c r="CT121" s="129" t="n"/>
      <c r="CU121" s="129" t="n"/>
      <c r="CV121" s="129" t="n"/>
      <c r="CW121" s="129" t="n"/>
      <c r="CX121" s="129" t="n"/>
      <c r="CY121" s="129" t="n"/>
      <c r="CZ121" s="129" t="n"/>
      <c r="DA121" s="129" t="n"/>
      <c r="DB121" s="129" t="n"/>
      <c r="DC121" s="129" t="n"/>
      <c r="DD121" s="129" t="n"/>
      <c r="DE121" s="129" t="n"/>
      <c r="DF121" s="129" t="n"/>
      <c r="DG121" s="129" t="n"/>
      <c r="DH121" s="129" t="n"/>
      <c r="DI121" s="129" t="n"/>
      <c r="DJ121" s="129" t="n"/>
      <c r="DK121" s="129" t="n"/>
      <c r="DL121" s="129" t="n"/>
      <c r="DM121" s="129" t="n"/>
      <c r="DN121" s="129" t="n"/>
      <c r="DO121" s="129" t="n"/>
      <c r="DP121" s="129" t="n"/>
      <c r="DQ121" s="129" t="n"/>
      <c r="DR121" s="129" t="n"/>
      <c r="DS121" s="129" t="n"/>
      <c r="DT121" s="129" t="n"/>
      <c r="DU121" s="129" t="n"/>
      <c r="DV121" s="129" t="n"/>
      <c r="DW121" s="129" t="n"/>
      <c r="DX121" s="129" t="n"/>
      <c r="DY121" s="129" t="n"/>
      <c r="DZ121" s="129" t="n"/>
      <c r="EA121" s="129" t="n"/>
      <c r="EB121" s="129" t="n"/>
      <c r="EC121" s="129" t="n"/>
      <c r="ED121" s="129" t="n"/>
      <c r="EE121" s="129" t="n"/>
      <c r="EF121" s="129" t="n"/>
      <c r="EG121" s="129" t="n"/>
      <c r="EH121" s="129" t="n"/>
      <c r="EI121" s="129" t="n"/>
      <c r="EJ121" s="129" t="n"/>
      <c r="EK121" s="129" t="n"/>
      <c r="EL121" s="129" t="n"/>
      <c r="EM121" s="129" t="n"/>
      <c r="EN121" s="129" t="n"/>
      <c r="EO121" s="129" t="n"/>
      <c r="EP121" s="129" t="n"/>
      <c r="EQ121" s="129" t="n"/>
      <c r="ER121" s="129" t="n"/>
      <c r="ES121" s="129" t="n"/>
      <c r="ET121" s="129" t="n"/>
      <c r="EU121" s="129" t="n"/>
      <c r="EV121" s="129" t="n"/>
      <c r="EW121" s="129" t="n"/>
      <c r="EX121" s="129" t="n"/>
      <c r="EY121" s="129" t="n"/>
      <c r="EZ121" s="129" t="n"/>
      <c r="FA121" s="129" t="n"/>
      <c r="FB121" s="129" t="n"/>
      <c r="FC121" s="129" t="n"/>
      <c r="FD121" s="129" t="n"/>
      <c r="FE121" s="129" t="n"/>
      <c r="FF121" s="129" t="n"/>
      <c r="FG121" s="129" t="n"/>
      <c r="FH121" s="129" t="n"/>
      <c r="FI121" s="129" t="n"/>
      <c r="FJ121" s="129" t="n"/>
      <c r="FK121" s="129" t="n"/>
      <c r="FL121" s="129" t="n"/>
      <c r="FM121" s="129" t="n"/>
    </row>
    <row r="122" s="135">
      <c r="A122" s="92" t="n">
        <v>36403</v>
      </c>
      <c r="B122" s="93" t="n">
        <v>0.095</v>
      </c>
      <c r="C122" s="79" t="n"/>
      <c r="D122" s="129" t="n"/>
      <c r="E122" s="129" t="n"/>
      <c r="F122" s="129" t="n"/>
      <c r="G122" s="129" t="n"/>
      <c r="H122" s="129" t="n"/>
      <c r="I122" s="129" t="n"/>
      <c r="J122" s="129" t="n"/>
      <c r="K122" s="129" t="n"/>
      <c r="L122" s="129" t="n"/>
      <c r="M122" s="129" t="n"/>
      <c r="N122" s="129" t="n"/>
      <c r="O122" s="129" t="n"/>
      <c r="P122" s="129" t="n"/>
      <c r="Q122" s="129" t="n"/>
      <c r="R122" s="129" t="n"/>
      <c r="S122" s="129" t="n"/>
      <c r="T122" s="129" t="n"/>
      <c r="U122" s="129" t="n"/>
      <c r="V122" s="129" t="n"/>
      <c r="W122" s="129" t="n"/>
      <c r="X122" s="129" t="n"/>
      <c r="Y122" s="129" t="n"/>
      <c r="Z122" s="129" t="n"/>
      <c r="AA122" s="129" t="n"/>
      <c r="AB122" s="129" t="n"/>
      <c r="AC122" s="129" t="n"/>
      <c r="AD122" s="129" t="n"/>
      <c r="AE122" s="129" t="n"/>
      <c r="AF122" s="129" t="n"/>
      <c r="AG122" s="129" t="n"/>
      <c r="AH122" s="129" t="n"/>
      <c r="AI122" s="129" t="n"/>
      <c r="AJ122" s="129" t="n"/>
      <c r="AK122" s="129" t="n"/>
      <c r="AL122" s="129" t="n"/>
      <c r="AM122" s="129" t="n"/>
      <c r="AN122" s="129" t="n"/>
      <c r="AO122" s="129" t="n"/>
      <c r="AP122" s="129" t="n"/>
      <c r="AQ122" s="129" t="n"/>
      <c r="AR122" s="129" t="n"/>
      <c r="AS122" s="129" t="n"/>
      <c r="AT122" s="129" t="n"/>
      <c r="AU122" s="129" t="n"/>
      <c r="AV122" s="129" t="n"/>
      <c r="AW122" s="129" t="n"/>
      <c r="AX122" s="129" t="n"/>
      <c r="AY122" s="129" t="n"/>
      <c r="AZ122" s="129" t="n"/>
      <c r="BA122" s="129" t="n"/>
      <c r="BB122" s="129" t="n"/>
      <c r="BC122" s="129" t="n"/>
      <c r="BD122" s="129" t="n"/>
      <c r="BE122" s="129" t="n"/>
      <c r="BF122" s="129" t="n"/>
      <c r="BG122" s="129" t="n"/>
      <c r="BH122" s="129" t="n"/>
      <c r="BI122" s="129" t="n"/>
      <c r="BJ122" s="129" t="n"/>
      <c r="BK122" s="129" t="n"/>
      <c r="BL122" s="129" t="n"/>
      <c r="BM122" s="129" t="n"/>
      <c r="BN122" s="129" t="n"/>
      <c r="BO122" s="129" t="n"/>
      <c r="BP122" s="129" t="n"/>
      <c r="BQ122" s="129" t="n"/>
      <c r="BR122" s="129" t="n"/>
      <c r="BS122" s="129" t="n"/>
      <c r="BT122" s="129" t="n"/>
      <c r="BU122" s="129" t="n"/>
      <c r="BV122" s="129" t="n"/>
      <c r="BW122" s="129" t="n"/>
      <c r="BX122" s="129" t="n"/>
      <c r="BY122" s="129" t="n"/>
      <c r="BZ122" s="129" t="n"/>
      <c r="CA122" s="129" t="n"/>
      <c r="CB122" s="129" t="n"/>
      <c r="CC122" s="129" t="n"/>
      <c r="CD122" s="129" t="n"/>
      <c r="CE122" s="129" t="n"/>
      <c r="CF122" s="129" t="n"/>
      <c r="CG122" s="129" t="n"/>
      <c r="CH122" s="129" t="n"/>
      <c r="CI122" s="129" t="n"/>
      <c r="CJ122" s="129" t="n"/>
      <c r="CK122" s="129" t="n"/>
      <c r="CL122" s="129" t="n"/>
      <c r="CM122" s="129" t="n"/>
      <c r="CN122" s="129" t="n"/>
      <c r="CO122" s="129" t="n"/>
      <c r="CP122" s="129" t="n"/>
      <c r="CQ122" s="129" t="n"/>
      <c r="CR122" s="129" t="n"/>
      <c r="CS122" s="129" t="n"/>
      <c r="CT122" s="129" t="n"/>
      <c r="CU122" s="129" t="n"/>
      <c r="CV122" s="129" t="n"/>
      <c r="CW122" s="129" t="n"/>
      <c r="CX122" s="129" t="n"/>
      <c r="CY122" s="129" t="n"/>
      <c r="CZ122" s="129" t="n"/>
      <c r="DA122" s="129" t="n"/>
      <c r="DB122" s="129" t="n"/>
      <c r="DC122" s="129" t="n"/>
      <c r="DD122" s="129" t="n"/>
      <c r="DE122" s="129" t="n"/>
      <c r="DF122" s="129" t="n"/>
      <c r="DG122" s="129" t="n"/>
      <c r="DH122" s="129" t="n"/>
      <c r="DI122" s="129" t="n"/>
      <c r="DJ122" s="129" t="n"/>
      <c r="DK122" s="129" t="n"/>
      <c r="DL122" s="129" t="n"/>
      <c r="DM122" s="129" t="n"/>
      <c r="DN122" s="129" t="n"/>
      <c r="DO122" s="129" t="n"/>
      <c r="DP122" s="129" t="n"/>
      <c r="DQ122" s="129" t="n"/>
      <c r="DR122" s="129" t="n"/>
      <c r="DS122" s="129" t="n"/>
      <c r="DT122" s="129" t="n"/>
      <c r="DU122" s="129" t="n"/>
      <c r="DV122" s="129" t="n"/>
      <c r="DW122" s="129" t="n"/>
      <c r="DX122" s="129" t="n"/>
      <c r="DY122" s="129" t="n"/>
      <c r="DZ122" s="129" t="n"/>
      <c r="EA122" s="129" t="n"/>
      <c r="EB122" s="129" t="n"/>
      <c r="EC122" s="129" t="n"/>
      <c r="ED122" s="129" t="n"/>
      <c r="EE122" s="129" t="n"/>
      <c r="EF122" s="129" t="n"/>
      <c r="EG122" s="129" t="n"/>
      <c r="EH122" s="129" t="n"/>
      <c r="EI122" s="129" t="n"/>
      <c r="EJ122" s="129" t="n"/>
      <c r="EK122" s="129" t="n"/>
      <c r="EL122" s="129" t="n"/>
      <c r="EM122" s="129" t="n"/>
      <c r="EN122" s="129" t="n"/>
      <c r="EO122" s="129" t="n"/>
      <c r="EP122" s="129" t="n"/>
      <c r="EQ122" s="129" t="n"/>
      <c r="ER122" s="129" t="n"/>
      <c r="ES122" s="129" t="n"/>
      <c r="ET122" s="129" t="n"/>
      <c r="EU122" s="129" t="n"/>
      <c r="EV122" s="129" t="n"/>
      <c r="EW122" s="129" t="n"/>
      <c r="EX122" s="129" t="n"/>
      <c r="EY122" s="129" t="n"/>
      <c r="EZ122" s="129" t="n"/>
      <c r="FA122" s="129" t="n"/>
      <c r="FB122" s="129" t="n"/>
      <c r="FC122" s="129" t="n"/>
      <c r="FD122" s="129" t="n"/>
      <c r="FE122" s="129" t="n"/>
      <c r="FF122" s="129" t="n"/>
      <c r="FG122" s="129" t="n"/>
      <c r="FH122" s="129" t="n"/>
      <c r="FI122" s="129" t="n"/>
      <c r="FJ122" s="129" t="n"/>
      <c r="FK122" s="129" t="n"/>
      <c r="FL122" s="129" t="n"/>
      <c r="FM122" s="129" t="n"/>
    </row>
    <row r="123" s="135">
      <c r="A123" s="90" t="n">
        <v>36433</v>
      </c>
      <c r="B123" s="91" t="n">
        <v>0.082</v>
      </c>
      <c r="C123" s="79" t="n"/>
      <c r="D123" s="129" t="n"/>
      <c r="E123" s="129" t="n"/>
      <c r="F123" s="129" t="n"/>
      <c r="G123" s="129" t="n"/>
      <c r="H123" s="129" t="n"/>
      <c r="I123" s="129" t="n"/>
      <c r="J123" s="129" t="n"/>
      <c r="K123" s="129" t="n"/>
      <c r="L123" s="129" t="n"/>
      <c r="M123" s="129" t="n"/>
      <c r="N123" s="129" t="n"/>
      <c r="O123" s="129" t="n"/>
      <c r="P123" s="129" t="n"/>
      <c r="Q123" s="129" t="n"/>
      <c r="R123" s="129" t="n"/>
      <c r="S123" s="129" t="n"/>
      <c r="T123" s="129" t="n"/>
      <c r="U123" s="129" t="n"/>
      <c r="V123" s="129" t="n"/>
      <c r="W123" s="129" t="n"/>
      <c r="X123" s="129" t="n"/>
      <c r="Y123" s="129" t="n"/>
      <c r="Z123" s="129" t="n"/>
      <c r="AA123" s="129" t="n"/>
      <c r="AB123" s="129" t="n"/>
      <c r="AC123" s="129" t="n"/>
      <c r="AD123" s="129" t="n"/>
      <c r="AE123" s="129" t="n"/>
      <c r="AF123" s="129" t="n"/>
      <c r="AG123" s="129" t="n"/>
      <c r="AH123" s="129" t="n"/>
      <c r="AI123" s="129" t="n"/>
      <c r="AJ123" s="129" t="n"/>
      <c r="AK123" s="129" t="n"/>
      <c r="AL123" s="129" t="n"/>
      <c r="AM123" s="129" t="n"/>
      <c r="AN123" s="129" t="n"/>
      <c r="AO123" s="129" t="n"/>
      <c r="AP123" s="129" t="n"/>
      <c r="AQ123" s="129" t="n"/>
      <c r="AR123" s="129" t="n"/>
      <c r="AS123" s="129" t="n"/>
      <c r="AT123" s="129" t="n"/>
      <c r="AU123" s="129" t="n"/>
      <c r="AV123" s="129" t="n"/>
      <c r="AW123" s="129" t="n"/>
      <c r="AX123" s="129" t="n"/>
      <c r="AY123" s="129" t="n"/>
      <c r="AZ123" s="129" t="n"/>
      <c r="BA123" s="129" t="n"/>
      <c r="BB123" s="129" t="n"/>
      <c r="BC123" s="129" t="n"/>
      <c r="BD123" s="129" t="n"/>
      <c r="BE123" s="129" t="n"/>
      <c r="BF123" s="129" t="n"/>
      <c r="BG123" s="129" t="n"/>
      <c r="BH123" s="129" t="n"/>
      <c r="BI123" s="129" t="n"/>
      <c r="BJ123" s="129" t="n"/>
      <c r="BK123" s="129" t="n"/>
      <c r="BL123" s="129" t="n"/>
      <c r="BM123" s="129" t="n"/>
      <c r="BN123" s="129" t="n"/>
      <c r="BO123" s="129" t="n"/>
      <c r="BP123" s="129" t="n"/>
      <c r="BQ123" s="129" t="n"/>
      <c r="BR123" s="129" t="n"/>
      <c r="BS123" s="129" t="n"/>
      <c r="BT123" s="129" t="n"/>
      <c r="BU123" s="129" t="n"/>
      <c r="BV123" s="129" t="n"/>
      <c r="BW123" s="129" t="n"/>
      <c r="BX123" s="129" t="n"/>
      <c r="BY123" s="129" t="n"/>
      <c r="BZ123" s="129" t="n"/>
      <c r="CA123" s="129" t="n"/>
      <c r="CB123" s="129" t="n"/>
      <c r="CC123" s="129" t="n"/>
      <c r="CD123" s="129" t="n"/>
      <c r="CE123" s="129" t="n"/>
      <c r="CF123" s="129" t="n"/>
      <c r="CG123" s="129" t="n"/>
      <c r="CH123" s="129" t="n"/>
      <c r="CI123" s="129" t="n"/>
      <c r="CJ123" s="129" t="n"/>
      <c r="CK123" s="129" t="n"/>
      <c r="CL123" s="129" t="n"/>
      <c r="CM123" s="129" t="n"/>
      <c r="CN123" s="129" t="n"/>
      <c r="CO123" s="129" t="n"/>
      <c r="CP123" s="129" t="n"/>
      <c r="CQ123" s="129" t="n"/>
      <c r="CR123" s="129" t="n"/>
      <c r="CS123" s="129" t="n"/>
      <c r="CT123" s="129" t="n"/>
      <c r="CU123" s="129" t="n"/>
      <c r="CV123" s="129" t="n"/>
      <c r="CW123" s="129" t="n"/>
      <c r="CX123" s="129" t="n"/>
      <c r="CY123" s="129" t="n"/>
      <c r="CZ123" s="129" t="n"/>
      <c r="DA123" s="129" t="n"/>
      <c r="DB123" s="129" t="n"/>
      <c r="DC123" s="129" t="n"/>
      <c r="DD123" s="129" t="n"/>
      <c r="DE123" s="129" t="n"/>
      <c r="DF123" s="129" t="n"/>
      <c r="DG123" s="129" t="n"/>
      <c r="DH123" s="129" t="n"/>
      <c r="DI123" s="129" t="n"/>
      <c r="DJ123" s="129" t="n"/>
      <c r="DK123" s="129" t="n"/>
      <c r="DL123" s="129" t="n"/>
      <c r="DM123" s="129" t="n"/>
      <c r="DN123" s="129" t="n"/>
      <c r="DO123" s="129" t="n"/>
      <c r="DP123" s="129" t="n"/>
      <c r="DQ123" s="129" t="n"/>
      <c r="DR123" s="129" t="n"/>
      <c r="DS123" s="129" t="n"/>
      <c r="DT123" s="129" t="n"/>
      <c r="DU123" s="129" t="n"/>
      <c r="DV123" s="129" t="n"/>
      <c r="DW123" s="129" t="n"/>
      <c r="DX123" s="129" t="n"/>
      <c r="DY123" s="129" t="n"/>
      <c r="DZ123" s="129" t="n"/>
      <c r="EA123" s="129" t="n"/>
      <c r="EB123" s="129" t="n"/>
      <c r="EC123" s="129" t="n"/>
      <c r="ED123" s="129" t="n"/>
      <c r="EE123" s="129" t="n"/>
      <c r="EF123" s="129" t="n"/>
      <c r="EG123" s="129" t="n"/>
      <c r="EH123" s="129" t="n"/>
      <c r="EI123" s="129" t="n"/>
      <c r="EJ123" s="129" t="n"/>
      <c r="EK123" s="129" t="n"/>
      <c r="EL123" s="129" t="n"/>
      <c r="EM123" s="129" t="n"/>
      <c r="EN123" s="129" t="n"/>
      <c r="EO123" s="129" t="n"/>
      <c r="EP123" s="129" t="n"/>
      <c r="EQ123" s="129" t="n"/>
      <c r="ER123" s="129" t="n"/>
      <c r="ES123" s="129" t="n"/>
      <c r="ET123" s="129" t="n"/>
      <c r="EU123" s="129" t="n"/>
      <c r="EV123" s="129" t="n"/>
      <c r="EW123" s="129" t="n"/>
      <c r="EX123" s="129" t="n"/>
      <c r="EY123" s="129" t="n"/>
      <c r="EZ123" s="129" t="n"/>
      <c r="FA123" s="129" t="n"/>
      <c r="FB123" s="129" t="n"/>
      <c r="FC123" s="129" t="n"/>
      <c r="FD123" s="129" t="n"/>
      <c r="FE123" s="129" t="n"/>
      <c r="FF123" s="129" t="n"/>
      <c r="FG123" s="129" t="n"/>
      <c r="FH123" s="129" t="n"/>
      <c r="FI123" s="129" t="n"/>
      <c r="FJ123" s="129" t="n"/>
      <c r="FK123" s="129" t="n"/>
      <c r="FL123" s="129" t="n"/>
      <c r="FM123" s="129" t="n"/>
    </row>
    <row r="124" s="135">
      <c r="A124" s="92" t="n">
        <v>36464</v>
      </c>
      <c r="B124" s="93" t="n">
        <v>0.07000000000000001</v>
      </c>
      <c r="C124" s="79" t="n"/>
      <c r="D124" s="129" t="n"/>
      <c r="E124" s="129" t="n"/>
      <c r="F124" s="129" t="n"/>
      <c r="G124" s="129" t="n"/>
      <c r="H124" s="129" t="n"/>
      <c r="I124" s="129" t="n"/>
      <c r="J124" s="129" t="n"/>
      <c r="K124" s="129" t="n"/>
      <c r="L124" s="129" t="n"/>
      <c r="M124" s="129" t="n"/>
      <c r="N124" s="129" t="n"/>
      <c r="O124" s="129" t="n"/>
      <c r="P124" s="129" t="n"/>
      <c r="Q124" s="129" t="n"/>
      <c r="R124" s="129" t="n"/>
      <c r="S124" s="129" t="n"/>
      <c r="T124" s="129" t="n"/>
      <c r="U124" s="129" t="n"/>
      <c r="V124" s="129" t="n"/>
      <c r="W124" s="129" t="n"/>
      <c r="X124" s="129" t="n"/>
      <c r="Y124" s="129" t="n"/>
      <c r="Z124" s="129" t="n"/>
      <c r="AA124" s="129" t="n"/>
      <c r="AB124" s="129" t="n"/>
      <c r="AC124" s="129" t="n"/>
      <c r="AD124" s="129" t="n"/>
      <c r="AE124" s="129" t="n"/>
      <c r="AF124" s="129" t="n"/>
      <c r="AG124" s="129" t="n"/>
      <c r="AH124" s="129" t="n"/>
      <c r="AI124" s="129" t="n"/>
      <c r="AJ124" s="129" t="n"/>
      <c r="AK124" s="129" t="n"/>
      <c r="AL124" s="129" t="n"/>
      <c r="AM124" s="129" t="n"/>
      <c r="AN124" s="129" t="n"/>
      <c r="AO124" s="129" t="n"/>
      <c r="AP124" s="129" t="n"/>
      <c r="AQ124" s="129" t="n"/>
      <c r="AR124" s="129" t="n"/>
      <c r="AS124" s="129" t="n"/>
      <c r="AT124" s="129" t="n"/>
      <c r="AU124" s="129" t="n"/>
      <c r="AV124" s="129" t="n"/>
      <c r="AW124" s="129" t="n"/>
      <c r="AX124" s="129" t="n"/>
      <c r="AY124" s="129" t="n"/>
      <c r="AZ124" s="129" t="n"/>
      <c r="BA124" s="129" t="n"/>
      <c r="BB124" s="129" t="n"/>
      <c r="BC124" s="129" t="n"/>
      <c r="BD124" s="129" t="n"/>
      <c r="BE124" s="129" t="n"/>
      <c r="BF124" s="129" t="n"/>
      <c r="BG124" s="129" t="n"/>
      <c r="BH124" s="129" t="n"/>
      <c r="BI124" s="129" t="n"/>
      <c r="BJ124" s="129" t="n"/>
      <c r="BK124" s="129" t="n"/>
      <c r="BL124" s="129" t="n"/>
      <c r="BM124" s="129" t="n"/>
      <c r="BN124" s="129" t="n"/>
      <c r="BO124" s="129" t="n"/>
      <c r="BP124" s="129" t="n"/>
      <c r="BQ124" s="129" t="n"/>
      <c r="BR124" s="129" t="n"/>
      <c r="BS124" s="129" t="n"/>
      <c r="BT124" s="129" t="n"/>
      <c r="BU124" s="129" t="n"/>
      <c r="BV124" s="129" t="n"/>
      <c r="BW124" s="129" t="n"/>
      <c r="BX124" s="129" t="n"/>
      <c r="BY124" s="129" t="n"/>
      <c r="BZ124" s="129" t="n"/>
      <c r="CA124" s="129" t="n"/>
      <c r="CB124" s="129" t="n"/>
      <c r="CC124" s="129" t="n"/>
      <c r="CD124" s="129" t="n"/>
      <c r="CE124" s="129" t="n"/>
      <c r="CF124" s="129" t="n"/>
      <c r="CG124" s="129" t="n"/>
      <c r="CH124" s="129" t="n"/>
      <c r="CI124" s="129" t="n"/>
      <c r="CJ124" s="129" t="n"/>
      <c r="CK124" s="129" t="n"/>
      <c r="CL124" s="129" t="n"/>
      <c r="CM124" s="129" t="n"/>
      <c r="CN124" s="129" t="n"/>
      <c r="CO124" s="129" t="n"/>
      <c r="CP124" s="129" t="n"/>
      <c r="CQ124" s="129" t="n"/>
      <c r="CR124" s="129" t="n"/>
      <c r="CS124" s="129" t="n"/>
      <c r="CT124" s="129" t="n"/>
      <c r="CU124" s="129" t="n"/>
      <c r="CV124" s="129" t="n"/>
      <c r="CW124" s="129" t="n"/>
      <c r="CX124" s="129" t="n"/>
      <c r="CY124" s="129" t="n"/>
      <c r="CZ124" s="129" t="n"/>
      <c r="DA124" s="129" t="n"/>
      <c r="DB124" s="129" t="n"/>
      <c r="DC124" s="129" t="n"/>
      <c r="DD124" s="129" t="n"/>
      <c r="DE124" s="129" t="n"/>
      <c r="DF124" s="129" t="n"/>
      <c r="DG124" s="129" t="n"/>
      <c r="DH124" s="129" t="n"/>
      <c r="DI124" s="129" t="n"/>
      <c r="DJ124" s="129" t="n"/>
      <c r="DK124" s="129" t="n"/>
      <c r="DL124" s="129" t="n"/>
      <c r="DM124" s="129" t="n"/>
      <c r="DN124" s="129" t="n"/>
      <c r="DO124" s="129" t="n"/>
      <c r="DP124" s="129" t="n"/>
      <c r="DQ124" s="129" t="n"/>
      <c r="DR124" s="129" t="n"/>
      <c r="DS124" s="129" t="n"/>
      <c r="DT124" s="129" t="n"/>
      <c r="DU124" s="129" t="n"/>
      <c r="DV124" s="129" t="n"/>
      <c r="DW124" s="129" t="n"/>
      <c r="DX124" s="129" t="n"/>
      <c r="DY124" s="129" t="n"/>
      <c r="DZ124" s="129" t="n"/>
      <c r="EA124" s="129" t="n"/>
      <c r="EB124" s="129" t="n"/>
      <c r="EC124" s="129" t="n"/>
      <c r="ED124" s="129" t="n"/>
      <c r="EE124" s="129" t="n"/>
      <c r="EF124" s="129" t="n"/>
      <c r="EG124" s="129" t="n"/>
      <c r="EH124" s="129" t="n"/>
      <c r="EI124" s="129" t="n"/>
      <c r="EJ124" s="129" t="n"/>
      <c r="EK124" s="129" t="n"/>
      <c r="EL124" s="129" t="n"/>
      <c r="EM124" s="129" t="n"/>
      <c r="EN124" s="129" t="n"/>
      <c r="EO124" s="129" t="n"/>
      <c r="EP124" s="129" t="n"/>
      <c r="EQ124" s="129" t="n"/>
      <c r="ER124" s="129" t="n"/>
      <c r="ES124" s="129" t="n"/>
      <c r="ET124" s="129" t="n"/>
      <c r="EU124" s="129" t="n"/>
      <c r="EV124" s="129" t="n"/>
      <c r="EW124" s="129" t="n"/>
      <c r="EX124" s="129" t="n"/>
      <c r="EY124" s="129" t="n"/>
      <c r="EZ124" s="129" t="n"/>
      <c r="FA124" s="129" t="n"/>
      <c r="FB124" s="129" t="n"/>
      <c r="FC124" s="129" t="n"/>
      <c r="FD124" s="129" t="n"/>
      <c r="FE124" s="129" t="n"/>
      <c r="FF124" s="129" t="n"/>
      <c r="FG124" s="129" t="n"/>
      <c r="FH124" s="129" t="n"/>
      <c r="FI124" s="129" t="n"/>
      <c r="FJ124" s="129" t="n"/>
      <c r="FK124" s="129" t="n"/>
      <c r="FL124" s="129" t="n"/>
      <c r="FM124" s="129" t="n"/>
    </row>
    <row r="125" s="135">
      <c r="A125" s="90" t="n">
        <v>36494</v>
      </c>
      <c r="B125" s="91" t="n">
        <v>0.076</v>
      </c>
      <c r="C125" s="79" t="n"/>
      <c r="D125" s="129" t="n"/>
      <c r="E125" s="129" t="n"/>
      <c r="F125" s="129" t="n"/>
      <c r="G125" s="129" t="n"/>
      <c r="H125" s="129" t="n"/>
      <c r="I125" s="129" t="n"/>
      <c r="J125" s="129" t="n"/>
      <c r="K125" s="129" t="n"/>
      <c r="L125" s="129" t="n"/>
      <c r="M125" s="129" t="n"/>
      <c r="N125" s="129" t="n"/>
      <c r="O125" s="129" t="n"/>
      <c r="P125" s="129" t="n"/>
      <c r="Q125" s="129" t="n"/>
      <c r="R125" s="129" t="n"/>
      <c r="S125" s="129" t="n"/>
      <c r="T125" s="129" t="n"/>
      <c r="U125" s="129" t="n"/>
      <c r="V125" s="129" t="n"/>
      <c r="W125" s="129" t="n"/>
      <c r="X125" s="129" t="n"/>
      <c r="Y125" s="129" t="n"/>
      <c r="Z125" s="129" t="n"/>
      <c r="AA125" s="129" t="n"/>
      <c r="AB125" s="129" t="n"/>
      <c r="AC125" s="129" t="n"/>
      <c r="AD125" s="129" t="n"/>
      <c r="AE125" s="129" t="n"/>
      <c r="AF125" s="129" t="n"/>
      <c r="AG125" s="129" t="n"/>
      <c r="AH125" s="129" t="n"/>
      <c r="AI125" s="129" t="n"/>
      <c r="AJ125" s="129" t="n"/>
      <c r="AK125" s="129" t="n"/>
      <c r="AL125" s="129" t="n"/>
      <c r="AM125" s="129" t="n"/>
      <c r="AN125" s="129" t="n"/>
      <c r="AO125" s="129" t="n"/>
      <c r="AP125" s="129" t="n"/>
      <c r="AQ125" s="129" t="n"/>
      <c r="AR125" s="129" t="n"/>
      <c r="AS125" s="129" t="n"/>
      <c r="AT125" s="129" t="n"/>
      <c r="AU125" s="129" t="n"/>
      <c r="AV125" s="129" t="n"/>
      <c r="AW125" s="129" t="n"/>
      <c r="AX125" s="129" t="n"/>
      <c r="AY125" s="129" t="n"/>
      <c r="AZ125" s="129" t="n"/>
      <c r="BA125" s="129" t="n"/>
      <c r="BB125" s="129" t="n"/>
      <c r="BC125" s="129" t="n"/>
      <c r="BD125" s="129" t="n"/>
      <c r="BE125" s="129" t="n"/>
      <c r="BF125" s="129" t="n"/>
      <c r="BG125" s="129" t="n"/>
      <c r="BH125" s="129" t="n"/>
      <c r="BI125" s="129" t="n"/>
      <c r="BJ125" s="129" t="n"/>
      <c r="BK125" s="129" t="n"/>
      <c r="BL125" s="129" t="n"/>
      <c r="BM125" s="129" t="n"/>
      <c r="BN125" s="129" t="n"/>
      <c r="BO125" s="129" t="n"/>
      <c r="BP125" s="129" t="n"/>
      <c r="BQ125" s="129" t="n"/>
      <c r="BR125" s="129" t="n"/>
      <c r="BS125" s="129" t="n"/>
      <c r="BT125" s="129" t="n"/>
      <c r="BU125" s="129" t="n"/>
      <c r="BV125" s="129" t="n"/>
      <c r="BW125" s="129" t="n"/>
      <c r="BX125" s="129" t="n"/>
      <c r="BY125" s="129" t="n"/>
      <c r="BZ125" s="129" t="n"/>
      <c r="CA125" s="129" t="n"/>
      <c r="CB125" s="129" t="n"/>
      <c r="CC125" s="129" t="n"/>
      <c r="CD125" s="129" t="n"/>
      <c r="CE125" s="129" t="n"/>
      <c r="CF125" s="129" t="n"/>
      <c r="CG125" s="129" t="n"/>
      <c r="CH125" s="129" t="n"/>
      <c r="CI125" s="129" t="n"/>
      <c r="CJ125" s="129" t="n"/>
      <c r="CK125" s="129" t="n"/>
      <c r="CL125" s="129" t="n"/>
      <c r="CM125" s="129" t="n"/>
      <c r="CN125" s="129" t="n"/>
      <c r="CO125" s="129" t="n"/>
      <c r="CP125" s="129" t="n"/>
      <c r="CQ125" s="129" t="n"/>
      <c r="CR125" s="129" t="n"/>
      <c r="CS125" s="129" t="n"/>
      <c r="CT125" s="129" t="n"/>
      <c r="CU125" s="129" t="n"/>
      <c r="CV125" s="129" t="n"/>
      <c r="CW125" s="129" t="n"/>
      <c r="CX125" s="129" t="n"/>
      <c r="CY125" s="129" t="n"/>
      <c r="CZ125" s="129" t="n"/>
      <c r="DA125" s="129" t="n"/>
      <c r="DB125" s="129" t="n"/>
      <c r="DC125" s="129" t="n"/>
      <c r="DD125" s="129" t="n"/>
      <c r="DE125" s="129" t="n"/>
      <c r="DF125" s="129" t="n"/>
      <c r="DG125" s="129" t="n"/>
      <c r="DH125" s="129" t="n"/>
      <c r="DI125" s="129" t="n"/>
      <c r="DJ125" s="129" t="n"/>
      <c r="DK125" s="129" t="n"/>
      <c r="DL125" s="129" t="n"/>
      <c r="DM125" s="129" t="n"/>
      <c r="DN125" s="129" t="n"/>
      <c r="DO125" s="129" t="n"/>
      <c r="DP125" s="129" t="n"/>
      <c r="DQ125" s="129" t="n"/>
      <c r="DR125" s="129" t="n"/>
      <c r="DS125" s="129" t="n"/>
      <c r="DT125" s="129" t="n"/>
      <c r="DU125" s="129" t="n"/>
      <c r="DV125" s="129" t="n"/>
      <c r="DW125" s="129" t="n"/>
      <c r="DX125" s="129" t="n"/>
      <c r="DY125" s="129" t="n"/>
      <c r="DZ125" s="129" t="n"/>
      <c r="EA125" s="129" t="n"/>
      <c r="EB125" s="129" t="n"/>
      <c r="EC125" s="129" t="n"/>
      <c r="ED125" s="129" t="n"/>
      <c r="EE125" s="129" t="n"/>
      <c r="EF125" s="129" t="n"/>
      <c r="EG125" s="129" t="n"/>
      <c r="EH125" s="129" t="n"/>
      <c r="EI125" s="129" t="n"/>
      <c r="EJ125" s="129" t="n"/>
      <c r="EK125" s="129" t="n"/>
      <c r="EL125" s="129" t="n"/>
      <c r="EM125" s="129" t="n"/>
      <c r="EN125" s="129" t="n"/>
      <c r="EO125" s="129" t="n"/>
      <c r="EP125" s="129" t="n"/>
      <c r="EQ125" s="129" t="n"/>
      <c r="ER125" s="129" t="n"/>
      <c r="ES125" s="129" t="n"/>
      <c r="ET125" s="129" t="n"/>
      <c r="EU125" s="129" t="n"/>
      <c r="EV125" s="129" t="n"/>
      <c r="EW125" s="129" t="n"/>
      <c r="EX125" s="129" t="n"/>
      <c r="EY125" s="129" t="n"/>
      <c r="EZ125" s="129" t="n"/>
      <c r="FA125" s="129" t="n"/>
      <c r="FB125" s="129" t="n"/>
      <c r="FC125" s="129" t="n"/>
      <c r="FD125" s="129" t="n"/>
      <c r="FE125" s="129" t="n"/>
      <c r="FF125" s="129" t="n"/>
      <c r="FG125" s="129" t="n"/>
      <c r="FH125" s="129" t="n"/>
      <c r="FI125" s="129" t="n"/>
      <c r="FJ125" s="129" t="n"/>
      <c r="FK125" s="129" t="n"/>
      <c r="FL125" s="129" t="n"/>
      <c r="FM125" s="129" t="n"/>
    </row>
    <row r="126" s="135">
      <c r="A126" s="92" t="n">
        <v>36525</v>
      </c>
      <c r="B126" s="93" t="n">
        <v>0.074</v>
      </c>
      <c r="C126" s="79" t="n"/>
      <c r="D126" s="129" t="n"/>
      <c r="E126" s="129" t="n"/>
      <c r="F126" s="129" t="n"/>
      <c r="G126" s="129" t="n"/>
      <c r="H126" s="129" t="n"/>
      <c r="I126" s="129" t="n"/>
      <c r="J126" s="129" t="n"/>
      <c r="K126" s="129" t="n"/>
      <c r="L126" s="129" t="n"/>
      <c r="M126" s="129" t="n"/>
      <c r="N126" s="129" t="n"/>
      <c r="O126" s="129" t="n"/>
      <c r="P126" s="129" t="n"/>
      <c r="Q126" s="129" t="n"/>
      <c r="R126" s="129" t="n"/>
      <c r="S126" s="129" t="n"/>
      <c r="T126" s="129" t="n"/>
      <c r="U126" s="129" t="n"/>
      <c r="V126" s="129" t="n"/>
      <c r="W126" s="129" t="n"/>
      <c r="X126" s="129" t="n"/>
      <c r="Y126" s="129" t="n"/>
      <c r="Z126" s="129" t="n"/>
      <c r="AA126" s="129" t="n"/>
      <c r="AB126" s="129" t="n"/>
      <c r="AC126" s="129" t="n"/>
      <c r="AD126" s="129" t="n"/>
      <c r="AE126" s="129" t="n"/>
      <c r="AF126" s="129" t="n"/>
      <c r="AG126" s="129" t="n"/>
      <c r="AH126" s="129" t="n"/>
      <c r="AI126" s="129" t="n"/>
      <c r="AJ126" s="129" t="n"/>
      <c r="AK126" s="129" t="n"/>
      <c r="AL126" s="129" t="n"/>
      <c r="AM126" s="129" t="n"/>
      <c r="AN126" s="129" t="n"/>
      <c r="AO126" s="129" t="n"/>
      <c r="AP126" s="129" t="n"/>
      <c r="AQ126" s="129" t="n"/>
      <c r="AR126" s="129" t="n"/>
      <c r="AS126" s="129" t="n"/>
      <c r="AT126" s="129" t="n"/>
      <c r="AU126" s="129" t="n"/>
      <c r="AV126" s="129" t="n"/>
      <c r="AW126" s="129" t="n"/>
      <c r="AX126" s="129" t="n"/>
      <c r="AY126" s="129" t="n"/>
      <c r="AZ126" s="129" t="n"/>
      <c r="BA126" s="129" t="n"/>
      <c r="BB126" s="129" t="n"/>
      <c r="BC126" s="129" t="n"/>
      <c r="BD126" s="129" t="n"/>
      <c r="BE126" s="129" t="n"/>
      <c r="BF126" s="129" t="n"/>
      <c r="BG126" s="129" t="n"/>
      <c r="BH126" s="129" t="n"/>
      <c r="BI126" s="129" t="n"/>
      <c r="BJ126" s="129" t="n"/>
      <c r="BK126" s="129" t="n"/>
      <c r="BL126" s="129" t="n"/>
      <c r="BM126" s="129" t="n"/>
      <c r="BN126" s="129" t="n"/>
      <c r="BO126" s="129" t="n"/>
      <c r="BP126" s="129" t="n"/>
      <c r="BQ126" s="129" t="n"/>
      <c r="BR126" s="129" t="n"/>
      <c r="BS126" s="129" t="n"/>
      <c r="BT126" s="129" t="n"/>
      <c r="BU126" s="129" t="n"/>
      <c r="BV126" s="129" t="n"/>
      <c r="BW126" s="129" t="n"/>
      <c r="BX126" s="129" t="n"/>
      <c r="BY126" s="129" t="n"/>
      <c r="BZ126" s="129" t="n"/>
      <c r="CA126" s="129" t="n"/>
      <c r="CB126" s="129" t="n"/>
      <c r="CC126" s="129" t="n"/>
      <c r="CD126" s="129" t="n"/>
      <c r="CE126" s="129" t="n"/>
      <c r="CF126" s="129" t="n"/>
      <c r="CG126" s="129" t="n"/>
      <c r="CH126" s="129" t="n"/>
      <c r="CI126" s="129" t="n"/>
      <c r="CJ126" s="129" t="n"/>
      <c r="CK126" s="129" t="n"/>
      <c r="CL126" s="129" t="n"/>
      <c r="CM126" s="129" t="n"/>
      <c r="CN126" s="129" t="n"/>
      <c r="CO126" s="129" t="n"/>
      <c r="CP126" s="129" t="n"/>
      <c r="CQ126" s="129" t="n"/>
      <c r="CR126" s="129" t="n"/>
      <c r="CS126" s="129" t="n"/>
      <c r="CT126" s="129" t="n"/>
      <c r="CU126" s="129" t="n"/>
      <c r="CV126" s="129" t="n"/>
      <c r="CW126" s="129" t="n"/>
      <c r="CX126" s="129" t="n"/>
      <c r="CY126" s="129" t="n"/>
      <c r="CZ126" s="129" t="n"/>
      <c r="DA126" s="129" t="n"/>
      <c r="DB126" s="129" t="n"/>
      <c r="DC126" s="129" t="n"/>
      <c r="DD126" s="129" t="n"/>
      <c r="DE126" s="129" t="n"/>
      <c r="DF126" s="129" t="n"/>
      <c r="DG126" s="129" t="n"/>
      <c r="DH126" s="129" t="n"/>
      <c r="DI126" s="129" t="n"/>
      <c r="DJ126" s="129" t="n"/>
      <c r="DK126" s="129" t="n"/>
      <c r="DL126" s="129" t="n"/>
      <c r="DM126" s="129" t="n"/>
      <c r="DN126" s="129" t="n"/>
      <c r="DO126" s="129" t="n"/>
      <c r="DP126" s="129" t="n"/>
      <c r="DQ126" s="129" t="n"/>
      <c r="DR126" s="129" t="n"/>
      <c r="DS126" s="129" t="n"/>
      <c r="DT126" s="129" t="n"/>
      <c r="DU126" s="129" t="n"/>
      <c r="DV126" s="129" t="n"/>
      <c r="DW126" s="129" t="n"/>
      <c r="DX126" s="129" t="n"/>
      <c r="DY126" s="129" t="n"/>
      <c r="DZ126" s="129" t="n"/>
      <c r="EA126" s="129" t="n"/>
      <c r="EB126" s="129" t="n"/>
      <c r="EC126" s="129" t="n"/>
      <c r="ED126" s="129" t="n"/>
      <c r="EE126" s="129" t="n"/>
      <c r="EF126" s="129" t="n"/>
      <c r="EG126" s="129" t="n"/>
      <c r="EH126" s="129" t="n"/>
      <c r="EI126" s="129" t="n"/>
      <c r="EJ126" s="129" t="n"/>
      <c r="EK126" s="129" t="n"/>
      <c r="EL126" s="129" t="n"/>
      <c r="EM126" s="129" t="n"/>
      <c r="EN126" s="129" t="n"/>
      <c r="EO126" s="129" t="n"/>
      <c r="EP126" s="129" t="n"/>
      <c r="EQ126" s="129" t="n"/>
      <c r="ER126" s="129" t="n"/>
      <c r="ES126" s="129" t="n"/>
      <c r="ET126" s="129" t="n"/>
      <c r="EU126" s="129" t="n"/>
      <c r="EV126" s="129" t="n"/>
      <c r="EW126" s="129" t="n"/>
      <c r="EX126" s="129" t="n"/>
      <c r="EY126" s="129" t="n"/>
      <c r="EZ126" s="129" t="n"/>
      <c r="FA126" s="129" t="n"/>
      <c r="FB126" s="129" t="n"/>
      <c r="FC126" s="129" t="n"/>
      <c r="FD126" s="129" t="n"/>
      <c r="FE126" s="129" t="n"/>
      <c r="FF126" s="129" t="n"/>
      <c r="FG126" s="129" t="n"/>
      <c r="FH126" s="129" t="n"/>
      <c r="FI126" s="129" t="n"/>
      <c r="FJ126" s="129" t="n"/>
      <c r="FK126" s="129" t="n"/>
      <c r="FL126" s="129" t="n"/>
      <c r="FM126" s="129" t="n"/>
    </row>
    <row r="127" s="135">
      <c r="A127" s="90" t="n">
        <v>36556</v>
      </c>
      <c r="B127" s="91" t="n">
        <v>0.089</v>
      </c>
      <c r="C127" s="79" t="n"/>
      <c r="D127" s="129" t="n"/>
      <c r="E127" s="129" t="n"/>
      <c r="F127" s="129" t="n"/>
      <c r="G127" s="129" t="n"/>
      <c r="H127" s="129" t="n"/>
      <c r="I127" s="129" t="n"/>
      <c r="J127" s="129" t="n"/>
      <c r="K127" s="129" t="n"/>
      <c r="L127" s="129" t="n"/>
      <c r="M127" s="129" t="n"/>
      <c r="N127" s="129" t="n"/>
      <c r="O127" s="129" t="n"/>
      <c r="P127" s="129" t="n"/>
      <c r="Q127" s="129" t="n"/>
      <c r="R127" s="129" t="n"/>
      <c r="S127" s="129" t="n"/>
      <c r="T127" s="129" t="n"/>
      <c r="U127" s="129" t="n"/>
      <c r="V127" s="129" t="n"/>
      <c r="W127" s="129" t="n"/>
      <c r="X127" s="129" t="n"/>
      <c r="Y127" s="129" t="n"/>
      <c r="Z127" s="129" t="n"/>
      <c r="AA127" s="129" t="n"/>
      <c r="AB127" s="129" t="n"/>
      <c r="AC127" s="129" t="n"/>
      <c r="AD127" s="129" t="n"/>
      <c r="AE127" s="129" t="n"/>
      <c r="AF127" s="129" t="n"/>
      <c r="AG127" s="129" t="n"/>
      <c r="AH127" s="129" t="n"/>
      <c r="AI127" s="129" t="n"/>
      <c r="AJ127" s="129" t="n"/>
      <c r="AK127" s="129" t="n"/>
      <c r="AL127" s="129" t="n"/>
      <c r="AM127" s="129" t="n"/>
      <c r="AN127" s="129" t="n"/>
      <c r="AO127" s="129" t="n"/>
      <c r="AP127" s="129" t="n"/>
      <c r="AQ127" s="129" t="n"/>
      <c r="AR127" s="129" t="n"/>
      <c r="AS127" s="129" t="n"/>
      <c r="AT127" s="129" t="n"/>
      <c r="AU127" s="129" t="n"/>
      <c r="AV127" s="129" t="n"/>
      <c r="AW127" s="129" t="n"/>
      <c r="AX127" s="129" t="n"/>
      <c r="AY127" s="129" t="n"/>
      <c r="AZ127" s="129" t="n"/>
      <c r="BA127" s="129" t="n"/>
      <c r="BB127" s="129" t="n"/>
      <c r="BC127" s="129" t="n"/>
      <c r="BD127" s="129" t="n"/>
      <c r="BE127" s="129" t="n"/>
      <c r="BF127" s="129" t="n"/>
      <c r="BG127" s="129" t="n"/>
      <c r="BH127" s="129" t="n"/>
      <c r="BI127" s="129" t="n"/>
      <c r="BJ127" s="129" t="n"/>
      <c r="BK127" s="129" t="n"/>
      <c r="BL127" s="129" t="n"/>
      <c r="BM127" s="129" t="n"/>
      <c r="BN127" s="129" t="n"/>
      <c r="BO127" s="129" t="n"/>
      <c r="BP127" s="129" t="n"/>
      <c r="BQ127" s="129" t="n"/>
      <c r="BR127" s="129" t="n"/>
      <c r="BS127" s="129" t="n"/>
      <c r="BT127" s="129" t="n"/>
      <c r="BU127" s="129" t="n"/>
      <c r="BV127" s="129" t="n"/>
      <c r="BW127" s="129" t="n"/>
      <c r="BX127" s="129" t="n"/>
      <c r="BY127" s="129" t="n"/>
      <c r="BZ127" s="129" t="n"/>
      <c r="CA127" s="129" t="n"/>
      <c r="CB127" s="129" t="n"/>
      <c r="CC127" s="129" t="n"/>
      <c r="CD127" s="129" t="n"/>
      <c r="CE127" s="129" t="n"/>
      <c r="CF127" s="129" t="n"/>
      <c r="CG127" s="129" t="n"/>
      <c r="CH127" s="129" t="n"/>
      <c r="CI127" s="129" t="n"/>
      <c r="CJ127" s="129" t="n"/>
      <c r="CK127" s="129" t="n"/>
      <c r="CL127" s="129" t="n"/>
      <c r="CM127" s="129" t="n"/>
      <c r="CN127" s="129" t="n"/>
      <c r="CO127" s="129" t="n"/>
      <c r="CP127" s="129" t="n"/>
      <c r="CQ127" s="129" t="n"/>
      <c r="CR127" s="129" t="n"/>
      <c r="CS127" s="129" t="n"/>
      <c r="CT127" s="129" t="n"/>
      <c r="CU127" s="129" t="n"/>
      <c r="CV127" s="129" t="n"/>
      <c r="CW127" s="129" t="n"/>
      <c r="CX127" s="129" t="n"/>
      <c r="CY127" s="129" t="n"/>
      <c r="CZ127" s="129" t="n"/>
      <c r="DA127" s="129" t="n"/>
      <c r="DB127" s="129" t="n"/>
      <c r="DC127" s="129" t="n"/>
      <c r="DD127" s="129" t="n"/>
      <c r="DE127" s="129" t="n"/>
      <c r="DF127" s="129" t="n"/>
      <c r="DG127" s="129" t="n"/>
      <c r="DH127" s="129" t="n"/>
      <c r="DI127" s="129" t="n"/>
      <c r="DJ127" s="129" t="n"/>
      <c r="DK127" s="129" t="n"/>
      <c r="DL127" s="129" t="n"/>
      <c r="DM127" s="129" t="n"/>
      <c r="DN127" s="129" t="n"/>
      <c r="DO127" s="129" t="n"/>
      <c r="DP127" s="129" t="n"/>
      <c r="DQ127" s="129" t="n"/>
      <c r="DR127" s="129" t="n"/>
      <c r="DS127" s="129" t="n"/>
      <c r="DT127" s="129" t="n"/>
      <c r="DU127" s="129" t="n"/>
      <c r="DV127" s="129" t="n"/>
      <c r="DW127" s="129" t="n"/>
      <c r="DX127" s="129" t="n"/>
      <c r="DY127" s="129" t="n"/>
      <c r="DZ127" s="129" t="n"/>
      <c r="EA127" s="129" t="n"/>
      <c r="EB127" s="129" t="n"/>
      <c r="EC127" s="129" t="n"/>
      <c r="ED127" s="129" t="n"/>
      <c r="EE127" s="129" t="n"/>
      <c r="EF127" s="129" t="n"/>
      <c r="EG127" s="129" t="n"/>
      <c r="EH127" s="129" t="n"/>
      <c r="EI127" s="129" t="n"/>
      <c r="EJ127" s="129" t="n"/>
      <c r="EK127" s="129" t="n"/>
      <c r="EL127" s="129" t="n"/>
      <c r="EM127" s="129" t="n"/>
      <c r="EN127" s="129" t="n"/>
      <c r="EO127" s="129" t="n"/>
      <c r="EP127" s="129" t="n"/>
      <c r="EQ127" s="129" t="n"/>
      <c r="ER127" s="129" t="n"/>
      <c r="ES127" s="129" t="n"/>
      <c r="ET127" s="129" t="n"/>
      <c r="EU127" s="129" t="n"/>
      <c r="EV127" s="129" t="n"/>
      <c r="EW127" s="129" t="n"/>
      <c r="EX127" s="129" t="n"/>
      <c r="EY127" s="129" t="n"/>
      <c r="EZ127" s="129" t="n"/>
      <c r="FA127" s="129" t="n"/>
      <c r="FB127" s="129" t="n"/>
      <c r="FC127" s="129" t="n"/>
      <c r="FD127" s="129" t="n"/>
      <c r="FE127" s="129" t="n"/>
      <c r="FF127" s="129" t="n"/>
      <c r="FG127" s="129" t="n"/>
      <c r="FH127" s="129" t="n"/>
      <c r="FI127" s="129" t="n"/>
      <c r="FJ127" s="129" t="n"/>
      <c r="FK127" s="129" t="n"/>
      <c r="FL127" s="129" t="n"/>
      <c r="FM127" s="129" t="n"/>
    </row>
    <row r="128" s="135">
      <c r="A128" s="92" t="n">
        <v>36585</v>
      </c>
      <c r="B128" s="93" t="n">
        <v>0.12</v>
      </c>
      <c r="C128" s="79" t="n"/>
      <c r="D128" s="129" t="n"/>
      <c r="E128" s="129" t="n"/>
      <c r="F128" s="129" t="n"/>
      <c r="G128" s="129" t="n"/>
      <c r="H128" s="129" t="n"/>
      <c r="I128" s="129" t="n"/>
      <c r="J128" s="129" t="n"/>
      <c r="K128" s="129" t="n"/>
      <c r="L128" s="129" t="n"/>
      <c r="M128" s="129" t="n"/>
      <c r="N128" s="129" t="n"/>
      <c r="O128" s="129" t="n"/>
      <c r="P128" s="129" t="n"/>
      <c r="Q128" s="129" t="n"/>
      <c r="R128" s="129" t="n"/>
      <c r="S128" s="129" t="n"/>
      <c r="T128" s="129" t="n"/>
      <c r="U128" s="129" t="n"/>
      <c r="V128" s="129" t="n"/>
      <c r="W128" s="129" t="n"/>
      <c r="X128" s="129" t="n"/>
      <c r="Y128" s="129" t="n"/>
      <c r="Z128" s="129" t="n"/>
      <c r="AA128" s="129" t="n"/>
      <c r="AB128" s="129" t="n"/>
      <c r="AC128" s="129" t="n"/>
      <c r="AD128" s="129" t="n"/>
      <c r="AE128" s="129" t="n"/>
      <c r="AF128" s="129" t="n"/>
      <c r="AG128" s="129" t="n"/>
      <c r="AH128" s="129" t="n"/>
      <c r="AI128" s="129" t="n"/>
      <c r="AJ128" s="129" t="n"/>
      <c r="AK128" s="129" t="n"/>
      <c r="AL128" s="129" t="n"/>
      <c r="AM128" s="129" t="n"/>
      <c r="AN128" s="129" t="n"/>
      <c r="AO128" s="129" t="n"/>
      <c r="AP128" s="129" t="n"/>
      <c r="AQ128" s="129" t="n"/>
      <c r="AR128" s="129" t="n"/>
      <c r="AS128" s="129" t="n"/>
      <c r="AT128" s="129" t="n"/>
      <c r="AU128" s="129" t="n"/>
      <c r="AV128" s="129" t="n"/>
      <c r="AW128" s="129" t="n"/>
      <c r="AX128" s="129" t="n"/>
      <c r="AY128" s="129" t="n"/>
      <c r="AZ128" s="129" t="n"/>
      <c r="BA128" s="129" t="n"/>
      <c r="BB128" s="129" t="n"/>
      <c r="BC128" s="129" t="n"/>
      <c r="BD128" s="129" t="n"/>
      <c r="BE128" s="129" t="n"/>
      <c r="BF128" s="129" t="n"/>
      <c r="BG128" s="129" t="n"/>
      <c r="BH128" s="129" t="n"/>
      <c r="BI128" s="129" t="n"/>
      <c r="BJ128" s="129" t="n"/>
      <c r="BK128" s="129" t="n"/>
      <c r="BL128" s="129" t="n"/>
      <c r="BM128" s="129" t="n"/>
      <c r="BN128" s="129" t="n"/>
      <c r="BO128" s="129" t="n"/>
      <c r="BP128" s="129" t="n"/>
      <c r="BQ128" s="129" t="n"/>
      <c r="BR128" s="129" t="n"/>
      <c r="BS128" s="129" t="n"/>
      <c r="BT128" s="129" t="n"/>
      <c r="BU128" s="129" t="n"/>
      <c r="BV128" s="129" t="n"/>
      <c r="BW128" s="129" t="n"/>
      <c r="BX128" s="129" t="n"/>
      <c r="BY128" s="129" t="n"/>
      <c r="BZ128" s="129" t="n"/>
      <c r="CA128" s="129" t="n"/>
      <c r="CB128" s="129" t="n"/>
      <c r="CC128" s="129" t="n"/>
      <c r="CD128" s="129" t="n"/>
      <c r="CE128" s="129" t="n"/>
      <c r="CF128" s="129" t="n"/>
      <c r="CG128" s="129" t="n"/>
      <c r="CH128" s="129" t="n"/>
      <c r="CI128" s="129" t="n"/>
      <c r="CJ128" s="129" t="n"/>
      <c r="CK128" s="129" t="n"/>
      <c r="CL128" s="129" t="n"/>
      <c r="CM128" s="129" t="n"/>
      <c r="CN128" s="129" t="n"/>
      <c r="CO128" s="129" t="n"/>
      <c r="CP128" s="129" t="n"/>
      <c r="CQ128" s="129" t="n"/>
      <c r="CR128" s="129" t="n"/>
      <c r="CS128" s="129" t="n"/>
      <c r="CT128" s="129" t="n"/>
      <c r="CU128" s="129" t="n"/>
      <c r="CV128" s="129" t="n"/>
      <c r="CW128" s="129" t="n"/>
      <c r="CX128" s="129" t="n"/>
      <c r="CY128" s="129" t="n"/>
      <c r="CZ128" s="129" t="n"/>
      <c r="DA128" s="129" t="n"/>
      <c r="DB128" s="129" t="n"/>
      <c r="DC128" s="129" t="n"/>
      <c r="DD128" s="129" t="n"/>
      <c r="DE128" s="129" t="n"/>
      <c r="DF128" s="129" t="n"/>
      <c r="DG128" s="129" t="n"/>
      <c r="DH128" s="129" t="n"/>
      <c r="DI128" s="129" t="n"/>
      <c r="DJ128" s="129" t="n"/>
      <c r="DK128" s="129" t="n"/>
      <c r="DL128" s="129" t="n"/>
      <c r="DM128" s="129" t="n"/>
      <c r="DN128" s="129" t="n"/>
      <c r="DO128" s="129" t="n"/>
      <c r="DP128" s="129" t="n"/>
      <c r="DQ128" s="129" t="n"/>
      <c r="DR128" s="129" t="n"/>
      <c r="DS128" s="129" t="n"/>
      <c r="DT128" s="129" t="n"/>
      <c r="DU128" s="129" t="n"/>
      <c r="DV128" s="129" t="n"/>
      <c r="DW128" s="129" t="n"/>
      <c r="DX128" s="129" t="n"/>
      <c r="DY128" s="129" t="n"/>
      <c r="DZ128" s="129" t="n"/>
      <c r="EA128" s="129" t="n"/>
      <c r="EB128" s="129" t="n"/>
      <c r="EC128" s="129" t="n"/>
      <c r="ED128" s="129" t="n"/>
      <c r="EE128" s="129" t="n"/>
      <c r="EF128" s="129" t="n"/>
      <c r="EG128" s="129" t="n"/>
      <c r="EH128" s="129" t="n"/>
      <c r="EI128" s="129" t="n"/>
      <c r="EJ128" s="129" t="n"/>
      <c r="EK128" s="129" t="n"/>
      <c r="EL128" s="129" t="n"/>
      <c r="EM128" s="129" t="n"/>
      <c r="EN128" s="129" t="n"/>
      <c r="EO128" s="129" t="n"/>
      <c r="EP128" s="129" t="n"/>
      <c r="EQ128" s="129" t="n"/>
      <c r="ER128" s="129" t="n"/>
      <c r="ES128" s="129" t="n"/>
      <c r="ET128" s="129" t="n"/>
      <c r="EU128" s="129" t="n"/>
      <c r="EV128" s="129" t="n"/>
      <c r="EW128" s="129" t="n"/>
      <c r="EX128" s="129" t="n"/>
      <c r="EY128" s="129" t="n"/>
      <c r="EZ128" s="129" t="n"/>
      <c r="FA128" s="129" t="n"/>
      <c r="FB128" s="129" t="n"/>
      <c r="FC128" s="129" t="n"/>
      <c r="FD128" s="129" t="n"/>
      <c r="FE128" s="129" t="n"/>
      <c r="FF128" s="129" t="n"/>
      <c r="FG128" s="129" t="n"/>
      <c r="FH128" s="129" t="n"/>
      <c r="FI128" s="129" t="n"/>
      <c r="FJ128" s="129" t="n"/>
      <c r="FK128" s="129" t="n"/>
      <c r="FL128" s="129" t="n"/>
      <c r="FM128" s="129" t="n"/>
    </row>
    <row r="129" s="135">
      <c r="A129" s="90" t="n">
        <v>36616</v>
      </c>
      <c r="B129" s="91" t="n">
        <v>0.119</v>
      </c>
      <c r="C129" s="79" t="n"/>
      <c r="D129" s="129" t="n"/>
      <c r="E129" s="129" t="n"/>
      <c r="F129" s="129" t="n"/>
      <c r="G129" s="129" t="n"/>
      <c r="H129" s="129" t="n"/>
      <c r="I129" s="129" t="n"/>
      <c r="J129" s="129" t="n"/>
      <c r="K129" s="129" t="n"/>
      <c r="L129" s="129" t="n"/>
      <c r="M129" s="129" t="n"/>
      <c r="N129" s="129" t="n"/>
      <c r="O129" s="129" t="n"/>
      <c r="P129" s="129" t="n"/>
      <c r="Q129" s="129" t="n"/>
      <c r="R129" s="129" t="n"/>
      <c r="S129" s="129" t="n"/>
      <c r="T129" s="129" t="n"/>
      <c r="U129" s="129" t="n"/>
      <c r="V129" s="129" t="n"/>
      <c r="W129" s="129" t="n"/>
      <c r="X129" s="129" t="n"/>
      <c r="Y129" s="129" t="n"/>
      <c r="Z129" s="129" t="n"/>
      <c r="AA129" s="129" t="n"/>
      <c r="AB129" s="129" t="n"/>
      <c r="AC129" s="129" t="n"/>
      <c r="AD129" s="129" t="n"/>
      <c r="AE129" s="129" t="n"/>
      <c r="AF129" s="129" t="n"/>
      <c r="AG129" s="129" t="n"/>
      <c r="AH129" s="129" t="n"/>
      <c r="AI129" s="129" t="n"/>
      <c r="AJ129" s="129" t="n"/>
      <c r="AK129" s="129" t="n"/>
      <c r="AL129" s="129" t="n"/>
      <c r="AM129" s="129" t="n"/>
      <c r="AN129" s="129" t="n"/>
      <c r="AO129" s="129" t="n"/>
      <c r="AP129" s="129" t="n"/>
      <c r="AQ129" s="129" t="n"/>
      <c r="AR129" s="129" t="n"/>
      <c r="AS129" s="129" t="n"/>
      <c r="AT129" s="129" t="n"/>
      <c r="AU129" s="129" t="n"/>
      <c r="AV129" s="129" t="n"/>
      <c r="AW129" s="129" t="n"/>
      <c r="AX129" s="129" t="n"/>
      <c r="AY129" s="129" t="n"/>
      <c r="AZ129" s="129" t="n"/>
      <c r="BA129" s="129" t="n"/>
      <c r="BB129" s="129" t="n"/>
      <c r="BC129" s="129" t="n"/>
      <c r="BD129" s="129" t="n"/>
      <c r="BE129" s="129" t="n"/>
      <c r="BF129" s="129" t="n"/>
      <c r="BG129" s="129" t="n"/>
      <c r="BH129" s="129" t="n"/>
      <c r="BI129" s="129" t="n"/>
      <c r="BJ129" s="129" t="n"/>
      <c r="BK129" s="129" t="n"/>
      <c r="BL129" s="129" t="n"/>
      <c r="BM129" s="129" t="n"/>
      <c r="BN129" s="129" t="n"/>
      <c r="BO129" s="129" t="n"/>
      <c r="BP129" s="129" t="n"/>
      <c r="BQ129" s="129" t="n"/>
      <c r="BR129" s="129" t="n"/>
      <c r="BS129" s="129" t="n"/>
      <c r="BT129" s="129" t="n"/>
      <c r="BU129" s="129" t="n"/>
      <c r="BV129" s="129" t="n"/>
      <c r="BW129" s="129" t="n"/>
      <c r="BX129" s="129" t="n"/>
      <c r="BY129" s="129" t="n"/>
      <c r="BZ129" s="129" t="n"/>
      <c r="CA129" s="129" t="n"/>
      <c r="CB129" s="129" t="n"/>
      <c r="CC129" s="129" t="n"/>
      <c r="CD129" s="129" t="n"/>
      <c r="CE129" s="129" t="n"/>
      <c r="CF129" s="129" t="n"/>
      <c r="CG129" s="129" t="n"/>
      <c r="CH129" s="129" t="n"/>
      <c r="CI129" s="129" t="n"/>
      <c r="CJ129" s="129" t="n"/>
      <c r="CK129" s="129" t="n"/>
      <c r="CL129" s="129" t="n"/>
      <c r="CM129" s="129" t="n"/>
      <c r="CN129" s="129" t="n"/>
      <c r="CO129" s="129" t="n"/>
      <c r="CP129" s="129" t="n"/>
      <c r="CQ129" s="129" t="n"/>
      <c r="CR129" s="129" t="n"/>
      <c r="CS129" s="129" t="n"/>
      <c r="CT129" s="129" t="n"/>
      <c r="CU129" s="129" t="n"/>
      <c r="CV129" s="129" t="n"/>
      <c r="CW129" s="129" t="n"/>
      <c r="CX129" s="129" t="n"/>
      <c r="CY129" s="129" t="n"/>
      <c r="CZ129" s="129" t="n"/>
      <c r="DA129" s="129" t="n"/>
      <c r="DB129" s="129" t="n"/>
      <c r="DC129" s="129" t="n"/>
      <c r="DD129" s="129" t="n"/>
      <c r="DE129" s="129" t="n"/>
      <c r="DF129" s="129" t="n"/>
      <c r="DG129" s="129" t="n"/>
      <c r="DH129" s="129" t="n"/>
      <c r="DI129" s="129" t="n"/>
      <c r="DJ129" s="129" t="n"/>
      <c r="DK129" s="129" t="n"/>
      <c r="DL129" s="129" t="n"/>
      <c r="DM129" s="129" t="n"/>
      <c r="DN129" s="129" t="n"/>
      <c r="DO129" s="129" t="n"/>
      <c r="DP129" s="129" t="n"/>
      <c r="DQ129" s="129" t="n"/>
      <c r="DR129" s="129" t="n"/>
      <c r="DS129" s="129" t="n"/>
      <c r="DT129" s="129" t="n"/>
      <c r="DU129" s="129" t="n"/>
      <c r="DV129" s="129" t="n"/>
      <c r="DW129" s="129" t="n"/>
      <c r="DX129" s="129" t="n"/>
      <c r="DY129" s="129" t="n"/>
      <c r="DZ129" s="129" t="n"/>
      <c r="EA129" s="129" t="n"/>
      <c r="EB129" s="129" t="n"/>
      <c r="EC129" s="129" t="n"/>
      <c r="ED129" s="129" t="n"/>
      <c r="EE129" s="129" t="n"/>
      <c r="EF129" s="129" t="n"/>
      <c r="EG129" s="129" t="n"/>
      <c r="EH129" s="129" t="n"/>
      <c r="EI129" s="129" t="n"/>
      <c r="EJ129" s="129" t="n"/>
      <c r="EK129" s="129" t="n"/>
      <c r="EL129" s="129" t="n"/>
      <c r="EM129" s="129" t="n"/>
      <c r="EN129" s="129" t="n"/>
      <c r="EO129" s="129" t="n"/>
      <c r="EP129" s="129" t="n"/>
      <c r="EQ129" s="129" t="n"/>
      <c r="ER129" s="129" t="n"/>
      <c r="ES129" s="129" t="n"/>
      <c r="ET129" s="129" t="n"/>
      <c r="EU129" s="129" t="n"/>
      <c r="EV129" s="129" t="n"/>
      <c r="EW129" s="129" t="n"/>
      <c r="EX129" s="129" t="n"/>
      <c r="EY129" s="129" t="n"/>
      <c r="EZ129" s="129" t="n"/>
      <c r="FA129" s="129" t="n"/>
      <c r="FB129" s="129" t="n"/>
      <c r="FC129" s="129" t="n"/>
      <c r="FD129" s="129" t="n"/>
      <c r="FE129" s="129" t="n"/>
      <c r="FF129" s="129" t="n"/>
      <c r="FG129" s="129" t="n"/>
      <c r="FH129" s="129" t="n"/>
      <c r="FI129" s="129" t="n"/>
      <c r="FJ129" s="129" t="n"/>
      <c r="FK129" s="129" t="n"/>
      <c r="FL129" s="129" t="n"/>
      <c r="FM129" s="129" t="n"/>
    </row>
    <row r="130" s="135">
      <c r="A130" s="92" t="n">
        <v>36646</v>
      </c>
      <c r="B130" s="93" t="n">
        <v>0.114</v>
      </c>
      <c r="C130" s="79" t="n"/>
      <c r="D130" s="129" t="n"/>
      <c r="E130" s="129" t="n"/>
      <c r="F130" s="129" t="n"/>
      <c r="G130" s="129" t="n"/>
      <c r="H130" s="129" t="n"/>
      <c r="I130" s="129" t="n"/>
      <c r="J130" s="129" t="n"/>
      <c r="K130" s="129" t="n"/>
      <c r="L130" s="129" t="n"/>
      <c r="M130" s="129" t="n"/>
      <c r="N130" s="129" t="n"/>
      <c r="O130" s="129" t="n"/>
      <c r="P130" s="129" t="n"/>
      <c r="Q130" s="129" t="n"/>
      <c r="R130" s="129" t="n"/>
      <c r="S130" s="129" t="n"/>
      <c r="T130" s="129" t="n"/>
      <c r="U130" s="129" t="n"/>
      <c r="V130" s="129" t="n"/>
      <c r="W130" s="129" t="n"/>
      <c r="X130" s="129" t="n"/>
      <c r="Y130" s="129" t="n"/>
      <c r="Z130" s="129" t="n"/>
      <c r="AA130" s="129" t="n"/>
      <c r="AB130" s="129" t="n"/>
      <c r="AC130" s="129" t="n"/>
      <c r="AD130" s="129" t="n"/>
      <c r="AE130" s="129" t="n"/>
      <c r="AF130" s="129" t="n"/>
      <c r="AG130" s="129" t="n"/>
      <c r="AH130" s="129" t="n"/>
      <c r="AI130" s="129" t="n"/>
      <c r="AJ130" s="129" t="n"/>
      <c r="AK130" s="129" t="n"/>
      <c r="AL130" s="129" t="n"/>
      <c r="AM130" s="129" t="n"/>
      <c r="AN130" s="129" t="n"/>
      <c r="AO130" s="129" t="n"/>
      <c r="AP130" s="129" t="n"/>
      <c r="AQ130" s="129" t="n"/>
      <c r="AR130" s="129" t="n"/>
      <c r="AS130" s="129" t="n"/>
      <c r="AT130" s="129" t="n"/>
      <c r="AU130" s="129" t="n"/>
      <c r="AV130" s="129" t="n"/>
      <c r="AW130" s="129" t="n"/>
      <c r="AX130" s="129" t="n"/>
      <c r="AY130" s="129" t="n"/>
      <c r="AZ130" s="129" t="n"/>
      <c r="BA130" s="129" t="n"/>
      <c r="BB130" s="129" t="n"/>
      <c r="BC130" s="129" t="n"/>
      <c r="BD130" s="129" t="n"/>
      <c r="BE130" s="129" t="n"/>
      <c r="BF130" s="129" t="n"/>
      <c r="BG130" s="129" t="n"/>
      <c r="BH130" s="129" t="n"/>
      <c r="BI130" s="129" t="n"/>
      <c r="BJ130" s="129" t="n"/>
      <c r="BK130" s="129" t="n"/>
      <c r="BL130" s="129" t="n"/>
      <c r="BM130" s="129" t="n"/>
      <c r="BN130" s="129" t="n"/>
      <c r="BO130" s="129" t="n"/>
      <c r="BP130" s="129" t="n"/>
      <c r="BQ130" s="129" t="n"/>
      <c r="BR130" s="129" t="n"/>
      <c r="BS130" s="129" t="n"/>
      <c r="BT130" s="129" t="n"/>
      <c r="BU130" s="129" t="n"/>
      <c r="BV130" s="129" t="n"/>
      <c r="BW130" s="129" t="n"/>
      <c r="BX130" s="129" t="n"/>
      <c r="BY130" s="129" t="n"/>
      <c r="BZ130" s="129" t="n"/>
      <c r="CA130" s="129" t="n"/>
      <c r="CB130" s="129" t="n"/>
      <c r="CC130" s="129" t="n"/>
      <c r="CD130" s="129" t="n"/>
      <c r="CE130" s="129" t="n"/>
      <c r="CF130" s="129" t="n"/>
      <c r="CG130" s="129" t="n"/>
      <c r="CH130" s="129" t="n"/>
      <c r="CI130" s="129" t="n"/>
      <c r="CJ130" s="129" t="n"/>
      <c r="CK130" s="129" t="n"/>
      <c r="CL130" s="129" t="n"/>
      <c r="CM130" s="129" t="n"/>
      <c r="CN130" s="129" t="n"/>
      <c r="CO130" s="129" t="n"/>
      <c r="CP130" s="129" t="n"/>
      <c r="CQ130" s="129" t="n"/>
      <c r="CR130" s="129" t="n"/>
      <c r="CS130" s="129" t="n"/>
      <c r="CT130" s="129" t="n"/>
      <c r="CU130" s="129" t="n"/>
      <c r="CV130" s="129" t="n"/>
      <c r="CW130" s="129" t="n"/>
      <c r="CX130" s="129" t="n"/>
      <c r="CY130" s="129" t="n"/>
      <c r="CZ130" s="129" t="n"/>
      <c r="DA130" s="129" t="n"/>
      <c r="DB130" s="129" t="n"/>
      <c r="DC130" s="129" t="n"/>
      <c r="DD130" s="129" t="n"/>
      <c r="DE130" s="129" t="n"/>
      <c r="DF130" s="129" t="n"/>
      <c r="DG130" s="129" t="n"/>
      <c r="DH130" s="129" t="n"/>
      <c r="DI130" s="129" t="n"/>
      <c r="DJ130" s="129" t="n"/>
      <c r="DK130" s="129" t="n"/>
      <c r="DL130" s="129" t="n"/>
      <c r="DM130" s="129" t="n"/>
      <c r="DN130" s="129" t="n"/>
      <c r="DO130" s="129" t="n"/>
      <c r="DP130" s="129" t="n"/>
      <c r="DQ130" s="129" t="n"/>
      <c r="DR130" s="129" t="n"/>
      <c r="DS130" s="129" t="n"/>
      <c r="DT130" s="129" t="n"/>
      <c r="DU130" s="129" t="n"/>
      <c r="DV130" s="129" t="n"/>
      <c r="DW130" s="129" t="n"/>
      <c r="DX130" s="129" t="n"/>
      <c r="DY130" s="129" t="n"/>
      <c r="DZ130" s="129" t="n"/>
      <c r="EA130" s="129" t="n"/>
      <c r="EB130" s="129" t="n"/>
      <c r="EC130" s="129" t="n"/>
      <c r="ED130" s="129" t="n"/>
      <c r="EE130" s="129" t="n"/>
      <c r="EF130" s="129" t="n"/>
      <c r="EG130" s="129" t="n"/>
      <c r="EH130" s="129" t="n"/>
      <c r="EI130" s="129" t="n"/>
      <c r="EJ130" s="129" t="n"/>
      <c r="EK130" s="129" t="n"/>
      <c r="EL130" s="129" t="n"/>
      <c r="EM130" s="129" t="n"/>
      <c r="EN130" s="129" t="n"/>
      <c r="EO130" s="129" t="n"/>
      <c r="EP130" s="129" t="n"/>
      <c r="EQ130" s="129" t="n"/>
      <c r="ER130" s="129" t="n"/>
      <c r="ES130" s="129" t="n"/>
      <c r="ET130" s="129" t="n"/>
      <c r="EU130" s="129" t="n"/>
      <c r="EV130" s="129" t="n"/>
      <c r="EW130" s="129" t="n"/>
      <c r="EX130" s="129" t="n"/>
      <c r="EY130" s="129" t="n"/>
      <c r="EZ130" s="129" t="n"/>
      <c r="FA130" s="129" t="n"/>
      <c r="FB130" s="129" t="n"/>
      <c r="FC130" s="129" t="n"/>
      <c r="FD130" s="129" t="n"/>
      <c r="FE130" s="129" t="n"/>
      <c r="FF130" s="129" t="n"/>
      <c r="FG130" s="129" t="n"/>
      <c r="FH130" s="129" t="n"/>
      <c r="FI130" s="129" t="n"/>
      <c r="FJ130" s="129" t="n"/>
      <c r="FK130" s="129" t="n"/>
      <c r="FL130" s="129" t="n"/>
      <c r="FM130" s="129" t="n"/>
    </row>
    <row r="131" s="135">
      <c r="A131" s="90" t="n">
        <v>36677</v>
      </c>
      <c r="B131" s="91" t="n">
        <v>0.115</v>
      </c>
      <c r="C131" s="79" t="n"/>
      <c r="D131" s="129" t="n"/>
      <c r="E131" s="129" t="n"/>
      <c r="F131" s="129" t="n"/>
      <c r="G131" s="129" t="n"/>
      <c r="H131" s="129" t="n"/>
      <c r="I131" s="129" t="n"/>
      <c r="J131" s="129" t="n"/>
      <c r="K131" s="129" t="n"/>
      <c r="L131" s="129" t="n"/>
      <c r="M131" s="129" t="n"/>
      <c r="N131" s="129" t="n"/>
      <c r="O131" s="129" t="n"/>
      <c r="P131" s="129" t="n"/>
      <c r="Q131" s="129" t="n"/>
      <c r="R131" s="129" t="n"/>
      <c r="S131" s="129" t="n"/>
      <c r="T131" s="129" t="n"/>
      <c r="U131" s="129" t="n"/>
      <c r="V131" s="129" t="n"/>
      <c r="W131" s="129" t="n"/>
      <c r="X131" s="129" t="n"/>
      <c r="Y131" s="129" t="n"/>
      <c r="Z131" s="129" t="n"/>
      <c r="AA131" s="129" t="n"/>
      <c r="AB131" s="129" t="n"/>
      <c r="AC131" s="129" t="n"/>
      <c r="AD131" s="129" t="n"/>
      <c r="AE131" s="129" t="n"/>
      <c r="AF131" s="129" t="n"/>
      <c r="AG131" s="129" t="n"/>
      <c r="AH131" s="129" t="n"/>
      <c r="AI131" s="129" t="n"/>
      <c r="AJ131" s="129" t="n"/>
      <c r="AK131" s="129" t="n"/>
      <c r="AL131" s="129" t="n"/>
      <c r="AM131" s="129" t="n"/>
      <c r="AN131" s="129" t="n"/>
      <c r="AO131" s="129" t="n"/>
      <c r="AP131" s="129" t="n"/>
      <c r="AQ131" s="129" t="n"/>
      <c r="AR131" s="129" t="n"/>
      <c r="AS131" s="129" t="n"/>
      <c r="AT131" s="129" t="n"/>
      <c r="AU131" s="129" t="n"/>
      <c r="AV131" s="129" t="n"/>
      <c r="AW131" s="129" t="n"/>
      <c r="AX131" s="129" t="n"/>
      <c r="AY131" s="129" t="n"/>
      <c r="AZ131" s="129" t="n"/>
      <c r="BA131" s="129" t="n"/>
      <c r="BB131" s="129" t="n"/>
      <c r="BC131" s="129" t="n"/>
      <c r="BD131" s="129" t="n"/>
      <c r="BE131" s="129" t="n"/>
      <c r="BF131" s="129" t="n"/>
      <c r="BG131" s="129" t="n"/>
      <c r="BH131" s="129" t="n"/>
      <c r="BI131" s="129" t="n"/>
      <c r="BJ131" s="129" t="n"/>
      <c r="BK131" s="129" t="n"/>
      <c r="BL131" s="129" t="n"/>
      <c r="BM131" s="129" t="n"/>
      <c r="BN131" s="129" t="n"/>
      <c r="BO131" s="129" t="n"/>
      <c r="BP131" s="129" t="n"/>
      <c r="BQ131" s="129" t="n"/>
      <c r="BR131" s="129" t="n"/>
      <c r="BS131" s="129" t="n"/>
      <c r="BT131" s="129" t="n"/>
      <c r="BU131" s="129" t="n"/>
      <c r="BV131" s="129" t="n"/>
      <c r="BW131" s="129" t="n"/>
      <c r="BX131" s="129" t="n"/>
      <c r="BY131" s="129" t="n"/>
      <c r="BZ131" s="129" t="n"/>
      <c r="CA131" s="129" t="n"/>
      <c r="CB131" s="129" t="n"/>
      <c r="CC131" s="129" t="n"/>
      <c r="CD131" s="129" t="n"/>
      <c r="CE131" s="129" t="n"/>
      <c r="CF131" s="129" t="n"/>
      <c r="CG131" s="129" t="n"/>
      <c r="CH131" s="129" t="n"/>
      <c r="CI131" s="129" t="n"/>
      <c r="CJ131" s="129" t="n"/>
      <c r="CK131" s="129" t="n"/>
      <c r="CL131" s="129" t="n"/>
      <c r="CM131" s="129" t="n"/>
      <c r="CN131" s="129" t="n"/>
      <c r="CO131" s="129" t="n"/>
      <c r="CP131" s="129" t="n"/>
      <c r="CQ131" s="129" t="n"/>
      <c r="CR131" s="129" t="n"/>
      <c r="CS131" s="129" t="n"/>
      <c r="CT131" s="129" t="n"/>
      <c r="CU131" s="129" t="n"/>
      <c r="CV131" s="129" t="n"/>
      <c r="CW131" s="129" t="n"/>
      <c r="CX131" s="129" t="n"/>
      <c r="CY131" s="129" t="n"/>
      <c r="CZ131" s="129" t="n"/>
      <c r="DA131" s="129" t="n"/>
      <c r="DB131" s="129" t="n"/>
      <c r="DC131" s="129" t="n"/>
      <c r="DD131" s="129" t="n"/>
      <c r="DE131" s="129" t="n"/>
      <c r="DF131" s="129" t="n"/>
      <c r="DG131" s="129" t="n"/>
      <c r="DH131" s="129" t="n"/>
      <c r="DI131" s="129" t="n"/>
      <c r="DJ131" s="129" t="n"/>
      <c r="DK131" s="129" t="n"/>
      <c r="DL131" s="129" t="n"/>
      <c r="DM131" s="129" t="n"/>
      <c r="DN131" s="129" t="n"/>
      <c r="DO131" s="129" t="n"/>
      <c r="DP131" s="129" t="n"/>
      <c r="DQ131" s="129" t="n"/>
      <c r="DR131" s="129" t="n"/>
      <c r="DS131" s="129" t="n"/>
      <c r="DT131" s="129" t="n"/>
      <c r="DU131" s="129" t="n"/>
      <c r="DV131" s="129" t="n"/>
      <c r="DW131" s="129" t="n"/>
      <c r="DX131" s="129" t="n"/>
      <c r="DY131" s="129" t="n"/>
      <c r="DZ131" s="129" t="n"/>
      <c r="EA131" s="129" t="n"/>
      <c r="EB131" s="129" t="n"/>
      <c r="EC131" s="129" t="n"/>
      <c r="ED131" s="129" t="n"/>
      <c r="EE131" s="129" t="n"/>
      <c r="EF131" s="129" t="n"/>
      <c r="EG131" s="129" t="n"/>
      <c r="EH131" s="129" t="n"/>
      <c r="EI131" s="129" t="n"/>
      <c r="EJ131" s="129" t="n"/>
      <c r="EK131" s="129" t="n"/>
      <c r="EL131" s="129" t="n"/>
      <c r="EM131" s="129" t="n"/>
      <c r="EN131" s="129" t="n"/>
      <c r="EO131" s="129" t="n"/>
      <c r="EP131" s="129" t="n"/>
      <c r="EQ131" s="129" t="n"/>
      <c r="ER131" s="129" t="n"/>
      <c r="ES131" s="129" t="n"/>
      <c r="ET131" s="129" t="n"/>
      <c r="EU131" s="129" t="n"/>
      <c r="EV131" s="129" t="n"/>
      <c r="EW131" s="129" t="n"/>
      <c r="EX131" s="129" t="n"/>
      <c r="EY131" s="129" t="n"/>
      <c r="EZ131" s="129" t="n"/>
      <c r="FA131" s="129" t="n"/>
      <c r="FB131" s="129" t="n"/>
      <c r="FC131" s="129" t="n"/>
      <c r="FD131" s="129" t="n"/>
      <c r="FE131" s="129" t="n"/>
      <c r="FF131" s="129" t="n"/>
      <c r="FG131" s="129" t="n"/>
      <c r="FH131" s="129" t="n"/>
      <c r="FI131" s="129" t="n"/>
      <c r="FJ131" s="129" t="n"/>
      <c r="FK131" s="129" t="n"/>
      <c r="FL131" s="129" t="n"/>
      <c r="FM131" s="129" t="n"/>
    </row>
    <row r="132" s="135">
      <c r="A132" s="92" t="n">
        <v>36707</v>
      </c>
      <c r="B132" s="93" t="n">
        <v>0.122</v>
      </c>
      <c r="C132" s="79" t="n"/>
      <c r="D132" s="129" t="n"/>
      <c r="E132" s="129" t="n"/>
      <c r="F132" s="129" t="n"/>
      <c r="G132" s="129" t="n"/>
      <c r="H132" s="129" t="n"/>
      <c r="I132" s="129" t="n"/>
      <c r="J132" s="129" t="n"/>
      <c r="K132" s="129" t="n"/>
      <c r="L132" s="129" t="n"/>
      <c r="M132" s="129" t="n"/>
      <c r="N132" s="129" t="n"/>
      <c r="O132" s="129" t="n"/>
      <c r="P132" s="129" t="n"/>
      <c r="Q132" s="129" t="n"/>
      <c r="R132" s="129" t="n"/>
      <c r="S132" s="129" t="n"/>
      <c r="T132" s="129" t="n"/>
      <c r="U132" s="129" t="n"/>
      <c r="V132" s="129" t="n"/>
      <c r="W132" s="129" t="n"/>
      <c r="X132" s="129" t="n"/>
      <c r="Y132" s="129" t="n"/>
      <c r="Z132" s="129" t="n"/>
      <c r="AA132" s="129" t="n"/>
      <c r="AB132" s="129" t="n"/>
      <c r="AC132" s="129" t="n"/>
      <c r="AD132" s="129" t="n"/>
      <c r="AE132" s="129" t="n"/>
      <c r="AF132" s="129" t="n"/>
      <c r="AG132" s="129" t="n"/>
      <c r="AH132" s="129" t="n"/>
      <c r="AI132" s="129" t="n"/>
      <c r="AJ132" s="129" t="n"/>
      <c r="AK132" s="129" t="n"/>
      <c r="AL132" s="129" t="n"/>
      <c r="AM132" s="129" t="n"/>
      <c r="AN132" s="129" t="n"/>
      <c r="AO132" s="129" t="n"/>
      <c r="AP132" s="129" t="n"/>
      <c r="AQ132" s="129" t="n"/>
      <c r="AR132" s="129" t="n"/>
      <c r="AS132" s="129" t="n"/>
      <c r="AT132" s="129" t="n"/>
      <c r="AU132" s="129" t="n"/>
      <c r="AV132" s="129" t="n"/>
      <c r="AW132" s="129" t="n"/>
      <c r="AX132" s="129" t="n"/>
      <c r="AY132" s="129" t="n"/>
      <c r="AZ132" s="129" t="n"/>
      <c r="BA132" s="129" t="n"/>
      <c r="BB132" s="129" t="n"/>
      <c r="BC132" s="129" t="n"/>
      <c r="BD132" s="129" t="n"/>
      <c r="BE132" s="129" t="n"/>
      <c r="BF132" s="129" t="n"/>
      <c r="BG132" s="129" t="n"/>
      <c r="BH132" s="129" t="n"/>
      <c r="BI132" s="129" t="n"/>
      <c r="BJ132" s="129" t="n"/>
      <c r="BK132" s="129" t="n"/>
      <c r="BL132" s="129" t="n"/>
      <c r="BM132" s="129" t="n"/>
      <c r="BN132" s="129" t="n"/>
      <c r="BO132" s="129" t="n"/>
      <c r="BP132" s="129" t="n"/>
      <c r="BQ132" s="129" t="n"/>
      <c r="BR132" s="129" t="n"/>
      <c r="BS132" s="129" t="n"/>
      <c r="BT132" s="129" t="n"/>
      <c r="BU132" s="129" t="n"/>
      <c r="BV132" s="129" t="n"/>
      <c r="BW132" s="129" t="n"/>
      <c r="BX132" s="129" t="n"/>
      <c r="BY132" s="129" t="n"/>
      <c r="BZ132" s="129" t="n"/>
      <c r="CA132" s="129" t="n"/>
      <c r="CB132" s="129" t="n"/>
      <c r="CC132" s="129" t="n"/>
      <c r="CD132" s="129" t="n"/>
      <c r="CE132" s="129" t="n"/>
      <c r="CF132" s="129" t="n"/>
      <c r="CG132" s="129" t="n"/>
      <c r="CH132" s="129" t="n"/>
      <c r="CI132" s="129" t="n"/>
      <c r="CJ132" s="129" t="n"/>
      <c r="CK132" s="129" t="n"/>
      <c r="CL132" s="129" t="n"/>
      <c r="CM132" s="129" t="n"/>
      <c r="CN132" s="129" t="n"/>
      <c r="CO132" s="129" t="n"/>
      <c r="CP132" s="129" t="n"/>
      <c r="CQ132" s="129" t="n"/>
      <c r="CR132" s="129" t="n"/>
      <c r="CS132" s="129" t="n"/>
      <c r="CT132" s="129" t="n"/>
      <c r="CU132" s="129" t="n"/>
      <c r="CV132" s="129" t="n"/>
      <c r="CW132" s="129" t="n"/>
      <c r="CX132" s="129" t="n"/>
      <c r="CY132" s="129" t="n"/>
      <c r="CZ132" s="129" t="n"/>
      <c r="DA132" s="129" t="n"/>
      <c r="DB132" s="129" t="n"/>
      <c r="DC132" s="129" t="n"/>
      <c r="DD132" s="129" t="n"/>
      <c r="DE132" s="129" t="n"/>
      <c r="DF132" s="129" t="n"/>
      <c r="DG132" s="129" t="n"/>
      <c r="DH132" s="129" t="n"/>
      <c r="DI132" s="129" t="n"/>
      <c r="DJ132" s="129" t="n"/>
      <c r="DK132" s="129" t="n"/>
      <c r="DL132" s="129" t="n"/>
      <c r="DM132" s="129" t="n"/>
      <c r="DN132" s="129" t="n"/>
      <c r="DO132" s="129" t="n"/>
      <c r="DP132" s="129" t="n"/>
      <c r="DQ132" s="129" t="n"/>
      <c r="DR132" s="129" t="n"/>
      <c r="DS132" s="129" t="n"/>
      <c r="DT132" s="129" t="n"/>
      <c r="DU132" s="129" t="n"/>
      <c r="DV132" s="129" t="n"/>
      <c r="DW132" s="129" t="n"/>
      <c r="DX132" s="129" t="n"/>
      <c r="DY132" s="129" t="n"/>
      <c r="DZ132" s="129" t="n"/>
      <c r="EA132" s="129" t="n"/>
      <c r="EB132" s="129" t="n"/>
      <c r="EC132" s="129" t="n"/>
      <c r="ED132" s="129" t="n"/>
      <c r="EE132" s="129" t="n"/>
      <c r="EF132" s="129" t="n"/>
      <c r="EG132" s="129" t="n"/>
      <c r="EH132" s="129" t="n"/>
      <c r="EI132" s="129" t="n"/>
      <c r="EJ132" s="129" t="n"/>
      <c r="EK132" s="129" t="n"/>
      <c r="EL132" s="129" t="n"/>
      <c r="EM132" s="129" t="n"/>
      <c r="EN132" s="129" t="n"/>
      <c r="EO132" s="129" t="n"/>
      <c r="EP132" s="129" t="n"/>
      <c r="EQ132" s="129" t="n"/>
      <c r="ER132" s="129" t="n"/>
      <c r="ES132" s="129" t="n"/>
      <c r="ET132" s="129" t="n"/>
      <c r="EU132" s="129" t="n"/>
      <c r="EV132" s="129" t="n"/>
      <c r="EW132" s="129" t="n"/>
      <c r="EX132" s="129" t="n"/>
      <c r="EY132" s="129" t="n"/>
      <c r="EZ132" s="129" t="n"/>
      <c r="FA132" s="129" t="n"/>
      <c r="FB132" s="129" t="n"/>
      <c r="FC132" s="129" t="n"/>
      <c r="FD132" s="129" t="n"/>
      <c r="FE132" s="129" t="n"/>
      <c r="FF132" s="129" t="n"/>
      <c r="FG132" s="129" t="n"/>
      <c r="FH132" s="129" t="n"/>
      <c r="FI132" s="129" t="n"/>
      <c r="FJ132" s="129" t="n"/>
      <c r="FK132" s="129" t="n"/>
      <c r="FL132" s="129" t="n"/>
      <c r="FM132" s="129" t="n"/>
    </row>
    <row r="133" s="135">
      <c r="A133" s="90" t="n">
        <v>36738</v>
      </c>
      <c r="B133" s="91" t="n">
        <v>0.128</v>
      </c>
      <c r="C133" s="79" t="n"/>
      <c r="D133" s="129" t="n"/>
      <c r="E133" s="129" t="n"/>
      <c r="F133" s="129" t="n"/>
      <c r="G133" s="129" t="n"/>
      <c r="H133" s="129" t="n"/>
      <c r="I133" s="129" t="n"/>
      <c r="J133" s="129" t="n"/>
      <c r="K133" s="129" t="n"/>
      <c r="L133" s="129" t="n"/>
      <c r="M133" s="129" t="n"/>
      <c r="N133" s="129" t="n"/>
      <c r="O133" s="129" t="n"/>
      <c r="P133" s="129" t="n"/>
      <c r="Q133" s="129" t="n"/>
      <c r="R133" s="129" t="n"/>
      <c r="S133" s="129" t="n"/>
      <c r="T133" s="129" t="n"/>
      <c r="U133" s="129" t="n"/>
      <c r="V133" s="129" t="n"/>
      <c r="W133" s="129" t="n"/>
      <c r="X133" s="129" t="n"/>
      <c r="Y133" s="129" t="n"/>
      <c r="Z133" s="129" t="n"/>
      <c r="AA133" s="129" t="n"/>
      <c r="AB133" s="129" t="n"/>
      <c r="AC133" s="129" t="n"/>
      <c r="AD133" s="129" t="n"/>
      <c r="AE133" s="129" t="n"/>
      <c r="AF133" s="129" t="n"/>
      <c r="AG133" s="129" t="n"/>
      <c r="AH133" s="129" t="n"/>
      <c r="AI133" s="129" t="n"/>
      <c r="AJ133" s="129" t="n"/>
      <c r="AK133" s="129" t="n"/>
      <c r="AL133" s="129" t="n"/>
      <c r="AM133" s="129" t="n"/>
      <c r="AN133" s="129" t="n"/>
      <c r="AO133" s="129" t="n"/>
      <c r="AP133" s="129" t="n"/>
      <c r="AQ133" s="129" t="n"/>
      <c r="AR133" s="129" t="n"/>
      <c r="AS133" s="129" t="n"/>
      <c r="AT133" s="129" t="n"/>
      <c r="AU133" s="129" t="n"/>
      <c r="AV133" s="129" t="n"/>
      <c r="AW133" s="129" t="n"/>
      <c r="AX133" s="129" t="n"/>
      <c r="AY133" s="129" t="n"/>
      <c r="AZ133" s="129" t="n"/>
      <c r="BA133" s="129" t="n"/>
      <c r="BB133" s="129" t="n"/>
      <c r="BC133" s="129" t="n"/>
      <c r="BD133" s="129" t="n"/>
      <c r="BE133" s="129" t="n"/>
      <c r="BF133" s="129" t="n"/>
      <c r="BG133" s="129" t="n"/>
      <c r="BH133" s="129" t="n"/>
      <c r="BI133" s="129" t="n"/>
      <c r="BJ133" s="129" t="n"/>
      <c r="BK133" s="129" t="n"/>
      <c r="BL133" s="129" t="n"/>
      <c r="BM133" s="129" t="n"/>
      <c r="BN133" s="129" t="n"/>
      <c r="BO133" s="129" t="n"/>
      <c r="BP133" s="129" t="n"/>
      <c r="BQ133" s="129" t="n"/>
      <c r="BR133" s="129" t="n"/>
      <c r="BS133" s="129" t="n"/>
      <c r="BT133" s="129" t="n"/>
      <c r="BU133" s="129" t="n"/>
      <c r="BV133" s="129" t="n"/>
      <c r="BW133" s="129" t="n"/>
      <c r="BX133" s="129" t="n"/>
      <c r="BY133" s="129" t="n"/>
      <c r="BZ133" s="129" t="n"/>
      <c r="CA133" s="129" t="n"/>
      <c r="CB133" s="129" t="n"/>
      <c r="CC133" s="129" t="n"/>
      <c r="CD133" s="129" t="n"/>
      <c r="CE133" s="129" t="n"/>
      <c r="CF133" s="129" t="n"/>
      <c r="CG133" s="129" t="n"/>
      <c r="CH133" s="129" t="n"/>
      <c r="CI133" s="129" t="n"/>
      <c r="CJ133" s="129" t="n"/>
      <c r="CK133" s="129" t="n"/>
      <c r="CL133" s="129" t="n"/>
      <c r="CM133" s="129" t="n"/>
      <c r="CN133" s="129" t="n"/>
      <c r="CO133" s="129" t="n"/>
      <c r="CP133" s="129" t="n"/>
      <c r="CQ133" s="129" t="n"/>
      <c r="CR133" s="129" t="n"/>
      <c r="CS133" s="129" t="n"/>
      <c r="CT133" s="129" t="n"/>
      <c r="CU133" s="129" t="n"/>
      <c r="CV133" s="129" t="n"/>
      <c r="CW133" s="129" t="n"/>
      <c r="CX133" s="129" t="n"/>
      <c r="CY133" s="129" t="n"/>
      <c r="CZ133" s="129" t="n"/>
      <c r="DA133" s="129" t="n"/>
      <c r="DB133" s="129" t="n"/>
      <c r="DC133" s="129" t="n"/>
      <c r="DD133" s="129" t="n"/>
      <c r="DE133" s="129" t="n"/>
      <c r="DF133" s="129" t="n"/>
      <c r="DG133" s="129" t="n"/>
      <c r="DH133" s="129" t="n"/>
      <c r="DI133" s="129" t="n"/>
      <c r="DJ133" s="129" t="n"/>
      <c r="DK133" s="129" t="n"/>
      <c r="DL133" s="129" t="n"/>
      <c r="DM133" s="129" t="n"/>
      <c r="DN133" s="129" t="n"/>
      <c r="DO133" s="129" t="n"/>
      <c r="DP133" s="129" t="n"/>
      <c r="DQ133" s="129" t="n"/>
      <c r="DR133" s="129" t="n"/>
      <c r="DS133" s="129" t="n"/>
      <c r="DT133" s="129" t="n"/>
      <c r="DU133" s="129" t="n"/>
      <c r="DV133" s="129" t="n"/>
      <c r="DW133" s="129" t="n"/>
      <c r="DX133" s="129" t="n"/>
      <c r="DY133" s="129" t="n"/>
      <c r="DZ133" s="129" t="n"/>
      <c r="EA133" s="129" t="n"/>
      <c r="EB133" s="129" t="n"/>
      <c r="EC133" s="129" t="n"/>
      <c r="ED133" s="129" t="n"/>
      <c r="EE133" s="129" t="n"/>
      <c r="EF133" s="129" t="n"/>
      <c r="EG133" s="129" t="n"/>
      <c r="EH133" s="129" t="n"/>
      <c r="EI133" s="129" t="n"/>
      <c r="EJ133" s="129" t="n"/>
      <c r="EK133" s="129" t="n"/>
      <c r="EL133" s="129" t="n"/>
      <c r="EM133" s="129" t="n"/>
      <c r="EN133" s="129" t="n"/>
      <c r="EO133" s="129" t="n"/>
      <c r="EP133" s="129" t="n"/>
      <c r="EQ133" s="129" t="n"/>
      <c r="ER133" s="129" t="n"/>
      <c r="ES133" s="129" t="n"/>
      <c r="ET133" s="129" t="n"/>
      <c r="EU133" s="129" t="n"/>
      <c r="EV133" s="129" t="n"/>
      <c r="EW133" s="129" t="n"/>
      <c r="EX133" s="129" t="n"/>
      <c r="EY133" s="129" t="n"/>
      <c r="EZ133" s="129" t="n"/>
      <c r="FA133" s="129" t="n"/>
      <c r="FB133" s="129" t="n"/>
      <c r="FC133" s="129" t="n"/>
      <c r="FD133" s="129" t="n"/>
      <c r="FE133" s="129" t="n"/>
      <c r="FF133" s="129" t="n"/>
      <c r="FG133" s="129" t="n"/>
      <c r="FH133" s="129" t="n"/>
      <c r="FI133" s="129" t="n"/>
      <c r="FJ133" s="129" t="n"/>
      <c r="FK133" s="129" t="n"/>
      <c r="FL133" s="129" t="n"/>
      <c r="FM133" s="129" t="n"/>
    </row>
    <row r="134" s="135">
      <c r="A134" s="92" t="n">
        <v>36769</v>
      </c>
      <c r="B134" s="93" t="n">
        <v>0.128</v>
      </c>
      <c r="C134" s="79" t="n"/>
      <c r="D134" s="129" t="n"/>
      <c r="E134" s="129" t="n"/>
      <c r="F134" s="129" t="n"/>
      <c r="G134" s="129" t="n"/>
      <c r="H134" s="129" t="n"/>
      <c r="I134" s="129" t="n"/>
      <c r="J134" s="129" t="n"/>
      <c r="K134" s="129" t="n"/>
      <c r="L134" s="129" t="n"/>
      <c r="M134" s="129" t="n"/>
      <c r="N134" s="129" t="n"/>
      <c r="O134" s="129" t="n"/>
      <c r="P134" s="129" t="n"/>
      <c r="Q134" s="129" t="n"/>
      <c r="R134" s="129" t="n"/>
      <c r="S134" s="129" t="n"/>
      <c r="T134" s="129" t="n"/>
      <c r="U134" s="129" t="n"/>
      <c r="V134" s="129" t="n"/>
      <c r="W134" s="129" t="n"/>
      <c r="X134" s="129" t="n"/>
      <c r="Y134" s="129" t="n"/>
      <c r="Z134" s="129" t="n"/>
      <c r="AA134" s="129" t="n"/>
      <c r="AB134" s="129" t="n"/>
      <c r="AC134" s="129" t="n"/>
      <c r="AD134" s="129" t="n"/>
      <c r="AE134" s="129" t="n"/>
      <c r="AF134" s="129" t="n"/>
      <c r="AG134" s="129" t="n"/>
      <c r="AH134" s="129" t="n"/>
      <c r="AI134" s="129" t="n"/>
      <c r="AJ134" s="129" t="n"/>
      <c r="AK134" s="129" t="n"/>
      <c r="AL134" s="129" t="n"/>
      <c r="AM134" s="129" t="n"/>
      <c r="AN134" s="129" t="n"/>
      <c r="AO134" s="129" t="n"/>
      <c r="AP134" s="129" t="n"/>
      <c r="AQ134" s="129" t="n"/>
      <c r="AR134" s="129" t="n"/>
      <c r="AS134" s="129" t="n"/>
      <c r="AT134" s="129" t="n"/>
      <c r="AU134" s="129" t="n"/>
      <c r="AV134" s="129" t="n"/>
      <c r="AW134" s="129" t="n"/>
      <c r="AX134" s="129" t="n"/>
      <c r="AY134" s="129" t="n"/>
      <c r="AZ134" s="129" t="n"/>
      <c r="BA134" s="129" t="n"/>
      <c r="BB134" s="129" t="n"/>
      <c r="BC134" s="129" t="n"/>
      <c r="BD134" s="129" t="n"/>
      <c r="BE134" s="129" t="n"/>
      <c r="BF134" s="129" t="n"/>
      <c r="BG134" s="129" t="n"/>
      <c r="BH134" s="129" t="n"/>
      <c r="BI134" s="129" t="n"/>
      <c r="BJ134" s="129" t="n"/>
      <c r="BK134" s="129" t="n"/>
      <c r="BL134" s="129" t="n"/>
      <c r="BM134" s="129" t="n"/>
      <c r="BN134" s="129" t="n"/>
      <c r="BO134" s="129" t="n"/>
      <c r="BP134" s="129" t="n"/>
      <c r="BQ134" s="129" t="n"/>
      <c r="BR134" s="129" t="n"/>
      <c r="BS134" s="129" t="n"/>
      <c r="BT134" s="129" t="n"/>
      <c r="BU134" s="129" t="n"/>
      <c r="BV134" s="129" t="n"/>
      <c r="BW134" s="129" t="n"/>
      <c r="BX134" s="129" t="n"/>
      <c r="BY134" s="129" t="n"/>
      <c r="BZ134" s="129" t="n"/>
      <c r="CA134" s="129" t="n"/>
      <c r="CB134" s="129" t="n"/>
      <c r="CC134" s="129" t="n"/>
      <c r="CD134" s="129" t="n"/>
      <c r="CE134" s="129" t="n"/>
      <c r="CF134" s="129" t="n"/>
      <c r="CG134" s="129" t="n"/>
      <c r="CH134" s="129" t="n"/>
      <c r="CI134" s="129" t="n"/>
      <c r="CJ134" s="129" t="n"/>
      <c r="CK134" s="129" t="n"/>
      <c r="CL134" s="129" t="n"/>
      <c r="CM134" s="129" t="n"/>
      <c r="CN134" s="129" t="n"/>
      <c r="CO134" s="129" t="n"/>
      <c r="CP134" s="129" t="n"/>
      <c r="CQ134" s="129" t="n"/>
      <c r="CR134" s="129" t="n"/>
      <c r="CS134" s="129" t="n"/>
      <c r="CT134" s="129" t="n"/>
      <c r="CU134" s="129" t="n"/>
      <c r="CV134" s="129" t="n"/>
      <c r="CW134" s="129" t="n"/>
      <c r="CX134" s="129" t="n"/>
      <c r="CY134" s="129" t="n"/>
      <c r="CZ134" s="129" t="n"/>
      <c r="DA134" s="129" t="n"/>
      <c r="DB134" s="129" t="n"/>
      <c r="DC134" s="129" t="n"/>
      <c r="DD134" s="129" t="n"/>
      <c r="DE134" s="129" t="n"/>
      <c r="DF134" s="129" t="n"/>
      <c r="DG134" s="129" t="n"/>
      <c r="DH134" s="129" t="n"/>
      <c r="DI134" s="129" t="n"/>
      <c r="DJ134" s="129" t="n"/>
      <c r="DK134" s="129" t="n"/>
      <c r="DL134" s="129" t="n"/>
      <c r="DM134" s="129" t="n"/>
      <c r="DN134" s="129" t="n"/>
      <c r="DO134" s="129" t="n"/>
      <c r="DP134" s="129" t="n"/>
      <c r="DQ134" s="129" t="n"/>
      <c r="DR134" s="129" t="n"/>
      <c r="DS134" s="129" t="n"/>
      <c r="DT134" s="129" t="n"/>
      <c r="DU134" s="129" t="n"/>
      <c r="DV134" s="129" t="n"/>
      <c r="DW134" s="129" t="n"/>
      <c r="DX134" s="129" t="n"/>
      <c r="DY134" s="129" t="n"/>
      <c r="DZ134" s="129" t="n"/>
      <c r="EA134" s="129" t="n"/>
      <c r="EB134" s="129" t="n"/>
      <c r="EC134" s="129" t="n"/>
      <c r="ED134" s="129" t="n"/>
      <c r="EE134" s="129" t="n"/>
      <c r="EF134" s="129" t="n"/>
      <c r="EG134" s="129" t="n"/>
      <c r="EH134" s="129" t="n"/>
      <c r="EI134" s="129" t="n"/>
      <c r="EJ134" s="129" t="n"/>
      <c r="EK134" s="129" t="n"/>
      <c r="EL134" s="129" t="n"/>
      <c r="EM134" s="129" t="n"/>
      <c r="EN134" s="129" t="n"/>
      <c r="EO134" s="129" t="n"/>
      <c r="EP134" s="129" t="n"/>
      <c r="EQ134" s="129" t="n"/>
      <c r="ER134" s="129" t="n"/>
      <c r="ES134" s="129" t="n"/>
      <c r="ET134" s="129" t="n"/>
      <c r="EU134" s="129" t="n"/>
      <c r="EV134" s="129" t="n"/>
      <c r="EW134" s="129" t="n"/>
      <c r="EX134" s="129" t="n"/>
      <c r="EY134" s="129" t="n"/>
      <c r="EZ134" s="129" t="n"/>
      <c r="FA134" s="129" t="n"/>
      <c r="FB134" s="129" t="n"/>
      <c r="FC134" s="129" t="n"/>
      <c r="FD134" s="129" t="n"/>
      <c r="FE134" s="129" t="n"/>
      <c r="FF134" s="129" t="n"/>
      <c r="FG134" s="129" t="n"/>
      <c r="FH134" s="129" t="n"/>
      <c r="FI134" s="129" t="n"/>
      <c r="FJ134" s="129" t="n"/>
      <c r="FK134" s="129" t="n"/>
      <c r="FL134" s="129" t="n"/>
      <c r="FM134" s="129" t="n"/>
    </row>
    <row r="135" s="135">
      <c r="A135" s="90" t="n">
        <v>36799</v>
      </c>
      <c r="B135" s="91" t="n">
        <v>0.12</v>
      </c>
      <c r="C135" s="79" t="n"/>
      <c r="D135" s="129" t="n"/>
      <c r="E135" s="129" t="n"/>
      <c r="F135" s="129" t="n"/>
      <c r="G135" s="129" t="n"/>
      <c r="H135" s="129" t="n"/>
      <c r="I135" s="129" t="n"/>
      <c r="J135" s="129" t="n"/>
      <c r="K135" s="129" t="n"/>
      <c r="L135" s="129" t="n"/>
      <c r="M135" s="129" t="n"/>
      <c r="N135" s="129" t="n"/>
      <c r="O135" s="129" t="n"/>
      <c r="P135" s="129" t="n"/>
      <c r="Q135" s="129" t="n"/>
      <c r="R135" s="129" t="n"/>
      <c r="S135" s="129" t="n"/>
      <c r="T135" s="129" t="n"/>
      <c r="U135" s="129" t="n"/>
      <c r="V135" s="129" t="n"/>
      <c r="W135" s="129" t="n"/>
      <c r="X135" s="129" t="n"/>
      <c r="Y135" s="129" t="n"/>
      <c r="Z135" s="129" t="n"/>
      <c r="AA135" s="129" t="n"/>
      <c r="AB135" s="129" t="n"/>
      <c r="AC135" s="129" t="n"/>
      <c r="AD135" s="129" t="n"/>
      <c r="AE135" s="129" t="n"/>
      <c r="AF135" s="129" t="n"/>
      <c r="AG135" s="129" t="n"/>
      <c r="AH135" s="129" t="n"/>
      <c r="AI135" s="129" t="n"/>
      <c r="AJ135" s="129" t="n"/>
      <c r="AK135" s="129" t="n"/>
      <c r="AL135" s="129" t="n"/>
      <c r="AM135" s="129" t="n"/>
      <c r="AN135" s="129" t="n"/>
      <c r="AO135" s="129" t="n"/>
      <c r="AP135" s="129" t="n"/>
      <c r="AQ135" s="129" t="n"/>
      <c r="AR135" s="129" t="n"/>
      <c r="AS135" s="129" t="n"/>
      <c r="AT135" s="129" t="n"/>
      <c r="AU135" s="129" t="n"/>
      <c r="AV135" s="129" t="n"/>
      <c r="AW135" s="129" t="n"/>
      <c r="AX135" s="129" t="n"/>
      <c r="AY135" s="129" t="n"/>
      <c r="AZ135" s="129" t="n"/>
      <c r="BA135" s="129" t="n"/>
      <c r="BB135" s="129" t="n"/>
      <c r="BC135" s="129" t="n"/>
      <c r="BD135" s="129" t="n"/>
      <c r="BE135" s="129" t="n"/>
      <c r="BF135" s="129" t="n"/>
      <c r="BG135" s="129" t="n"/>
      <c r="BH135" s="129" t="n"/>
      <c r="BI135" s="129" t="n"/>
      <c r="BJ135" s="129" t="n"/>
      <c r="BK135" s="129" t="n"/>
      <c r="BL135" s="129" t="n"/>
      <c r="BM135" s="129" t="n"/>
      <c r="BN135" s="129" t="n"/>
      <c r="BO135" s="129" t="n"/>
      <c r="BP135" s="129" t="n"/>
      <c r="BQ135" s="129" t="n"/>
      <c r="BR135" s="129" t="n"/>
      <c r="BS135" s="129" t="n"/>
      <c r="BT135" s="129" t="n"/>
      <c r="BU135" s="129" t="n"/>
      <c r="BV135" s="129" t="n"/>
      <c r="BW135" s="129" t="n"/>
      <c r="BX135" s="129" t="n"/>
      <c r="BY135" s="129" t="n"/>
      <c r="BZ135" s="129" t="n"/>
      <c r="CA135" s="129" t="n"/>
      <c r="CB135" s="129" t="n"/>
      <c r="CC135" s="129" t="n"/>
      <c r="CD135" s="129" t="n"/>
      <c r="CE135" s="129" t="n"/>
      <c r="CF135" s="129" t="n"/>
      <c r="CG135" s="129" t="n"/>
      <c r="CH135" s="129" t="n"/>
      <c r="CI135" s="129" t="n"/>
      <c r="CJ135" s="129" t="n"/>
      <c r="CK135" s="129" t="n"/>
      <c r="CL135" s="129" t="n"/>
      <c r="CM135" s="129" t="n"/>
      <c r="CN135" s="129" t="n"/>
      <c r="CO135" s="129" t="n"/>
      <c r="CP135" s="129" t="n"/>
      <c r="CQ135" s="129" t="n"/>
      <c r="CR135" s="129" t="n"/>
      <c r="CS135" s="129" t="n"/>
      <c r="CT135" s="129" t="n"/>
      <c r="CU135" s="129" t="n"/>
      <c r="CV135" s="129" t="n"/>
      <c r="CW135" s="129" t="n"/>
      <c r="CX135" s="129" t="n"/>
      <c r="CY135" s="129" t="n"/>
      <c r="CZ135" s="129" t="n"/>
      <c r="DA135" s="129" t="n"/>
      <c r="DB135" s="129" t="n"/>
      <c r="DC135" s="129" t="n"/>
      <c r="DD135" s="129" t="n"/>
      <c r="DE135" s="129" t="n"/>
      <c r="DF135" s="129" t="n"/>
      <c r="DG135" s="129" t="n"/>
      <c r="DH135" s="129" t="n"/>
      <c r="DI135" s="129" t="n"/>
      <c r="DJ135" s="129" t="n"/>
      <c r="DK135" s="129" t="n"/>
      <c r="DL135" s="129" t="n"/>
      <c r="DM135" s="129" t="n"/>
      <c r="DN135" s="129" t="n"/>
      <c r="DO135" s="129" t="n"/>
      <c r="DP135" s="129" t="n"/>
      <c r="DQ135" s="129" t="n"/>
      <c r="DR135" s="129" t="n"/>
      <c r="DS135" s="129" t="n"/>
      <c r="DT135" s="129" t="n"/>
      <c r="DU135" s="129" t="n"/>
      <c r="DV135" s="129" t="n"/>
      <c r="DW135" s="129" t="n"/>
      <c r="DX135" s="129" t="n"/>
      <c r="DY135" s="129" t="n"/>
      <c r="DZ135" s="129" t="n"/>
      <c r="EA135" s="129" t="n"/>
      <c r="EB135" s="129" t="n"/>
      <c r="EC135" s="129" t="n"/>
      <c r="ED135" s="129" t="n"/>
      <c r="EE135" s="129" t="n"/>
      <c r="EF135" s="129" t="n"/>
      <c r="EG135" s="129" t="n"/>
      <c r="EH135" s="129" t="n"/>
      <c r="EI135" s="129" t="n"/>
      <c r="EJ135" s="129" t="n"/>
      <c r="EK135" s="129" t="n"/>
      <c r="EL135" s="129" t="n"/>
      <c r="EM135" s="129" t="n"/>
      <c r="EN135" s="129" t="n"/>
      <c r="EO135" s="129" t="n"/>
      <c r="EP135" s="129" t="n"/>
      <c r="EQ135" s="129" t="n"/>
      <c r="ER135" s="129" t="n"/>
      <c r="ES135" s="129" t="n"/>
      <c r="ET135" s="129" t="n"/>
      <c r="EU135" s="129" t="n"/>
      <c r="EV135" s="129" t="n"/>
      <c r="EW135" s="129" t="n"/>
      <c r="EX135" s="129" t="n"/>
      <c r="EY135" s="129" t="n"/>
      <c r="EZ135" s="129" t="n"/>
      <c r="FA135" s="129" t="n"/>
      <c r="FB135" s="129" t="n"/>
      <c r="FC135" s="129" t="n"/>
      <c r="FD135" s="129" t="n"/>
      <c r="FE135" s="129" t="n"/>
      <c r="FF135" s="129" t="n"/>
      <c r="FG135" s="129" t="n"/>
      <c r="FH135" s="129" t="n"/>
      <c r="FI135" s="129" t="n"/>
      <c r="FJ135" s="129" t="n"/>
      <c r="FK135" s="129" t="n"/>
      <c r="FL135" s="129" t="n"/>
      <c r="FM135" s="129" t="n"/>
    </row>
    <row r="136" s="135">
      <c r="A136" s="92" t="n">
        <v>36830</v>
      </c>
      <c r="B136" s="93" t="n">
        <v>0.114</v>
      </c>
      <c r="C136" s="79" t="n"/>
      <c r="D136" s="129" t="n"/>
      <c r="E136" s="129" t="n"/>
      <c r="F136" s="129" t="n"/>
      <c r="G136" s="129" t="n"/>
      <c r="H136" s="129" t="n"/>
      <c r="I136" s="129" t="n"/>
      <c r="J136" s="129" t="n"/>
      <c r="K136" s="129" t="n"/>
      <c r="L136" s="129" t="n"/>
      <c r="M136" s="129" t="n"/>
      <c r="N136" s="129" t="n"/>
      <c r="O136" s="129" t="n"/>
      <c r="P136" s="129" t="n"/>
      <c r="Q136" s="129" t="n"/>
      <c r="R136" s="129" t="n"/>
      <c r="S136" s="129" t="n"/>
      <c r="T136" s="129" t="n"/>
      <c r="U136" s="129" t="n"/>
      <c r="V136" s="129" t="n"/>
      <c r="W136" s="129" t="n"/>
      <c r="X136" s="129" t="n"/>
      <c r="Y136" s="129" t="n"/>
      <c r="Z136" s="129" t="n"/>
      <c r="AA136" s="129" t="n"/>
      <c r="AB136" s="129" t="n"/>
      <c r="AC136" s="129" t="n"/>
      <c r="AD136" s="129" t="n"/>
      <c r="AE136" s="129" t="n"/>
      <c r="AF136" s="129" t="n"/>
      <c r="AG136" s="129" t="n"/>
      <c r="AH136" s="129" t="n"/>
      <c r="AI136" s="129" t="n"/>
      <c r="AJ136" s="129" t="n"/>
      <c r="AK136" s="129" t="n"/>
      <c r="AL136" s="129" t="n"/>
      <c r="AM136" s="129" t="n"/>
      <c r="AN136" s="129" t="n"/>
      <c r="AO136" s="129" t="n"/>
      <c r="AP136" s="129" t="n"/>
      <c r="AQ136" s="129" t="n"/>
      <c r="AR136" s="129" t="n"/>
      <c r="AS136" s="129" t="n"/>
      <c r="AT136" s="129" t="n"/>
      <c r="AU136" s="129" t="n"/>
      <c r="AV136" s="129" t="n"/>
      <c r="AW136" s="129" t="n"/>
      <c r="AX136" s="129" t="n"/>
      <c r="AY136" s="129" t="n"/>
      <c r="AZ136" s="129" t="n"/>
      <c r="BA136" s="129" t="n"/>
      <c r="BB136" s="129" t="n"/>
      <c r="BC136" s="129" t="n"/>
      <c r="BD136" s="129" t="n"/>
      <c r="BE136" s="129" t="n"/>
      <c r="BF136" s="129" t="n"/>
      <c r="BG136" s="129" t="n"/>
      <c r="BH136" s="129" t="n"/>
      <c r="BI136" s="129" t="n"/>
      <c r="BJ136" s="129" t="n"/>
      <c r="BK136" s="129" t="n"/>
      <c r="BL136" s="129" t="n"/>
      <c r="BM136" s="129" t="n"/>
      <c r="BN136" s="129" t="n"/>
      <c r="BO136" s="129" t="n"/>
      <c r="BP136" s="129" t="n"/>
      <c r="BQ136" s="129" t="n"/>
      <c r="BR136" s="129" t="n"/>
      <c r="BS136" s="129" t="n"/>
      <c r="BT136" s="129" t="n"/>
      <c r="BU136" s="129" t="n"/>
      <c r="BV136" s="129" t="n"/>
      <c r="BW136" s="129" t="n"/>
      <c r="BX136" s="129" t="n"/>
      <c r="BY136" s="129" t="n"/>
      <c r="BZ136" s="129" t="n"/>
      <c r="CA136" s="129" t="n"/>
      <c r="CB136" s="129" t="n"/>
      <c r="CC136" s="129" t="n"/>
      <c r="CD136" s="129" t="n"/>
      <c r="CE136" s="129" t="n"/>
      <c r="CF136" s="129" t="n"/>
      <c r="CG136" s="129" t="n"/>
      <c r="CH136" s="129" t="n"/>
      <c r="CI136" s="129" t="n"/>
      <c r="CJ136" s="129" t="n"/>
      <c r="CK136" s="129" t="n"/>
      <c r="CL136" s="129" t="n"/>
      <c r="CM136" s="129" t="n"/>
      <c r="CN136" s="129" t="n"/>
      <c r="CO136" s="129" t="n"/>
      <c r="CP136" s="129" t="n"/>
      <c r="CQ136" s="129" t="n"/>
      <c r="CR136" s="129" t="n"/>
      <c r="CS136" s="129" t="n"/>
      <c r="CT136" s="129" t="n"/>
      <c r="CU136" s="129" t="n"/>
      <c r="CV136" s="129" t="n"/>
      <c r="CW136" s="129" t="n"/>
      <c r="CX136" s="129" t="n"/>
      <c r="CY136" s="129" t="n"/>
      <c r="CZ136" s="129" t="n"/>
      <c r="DA136" s="129" t="n"/>
      <c r="DB136" s="129" t="n"/>
      <c r="DC136" s="129" t="n"/>
      <c r="DD136" s="129" t="n"/>
      <c r="DE136" s="129" t="n"/>
      <c r="DF136" s="129" t="n"/>
      <c r="DG136" s="129" t="n"/>
      <c r="DH136" s="129" t="n"/>
      <c r="DI136" s="129" t="n"/>
      <c r="DJ136" s="129" t="n"/>
      <c r="DK136" s="129" t="n"/>
      <c r="DL136" s="129" t="n"/>
      <c r="DM136" s="129" t="n"/>
      <c r="DN136" s="129" t="n"/>
      <c r="DO136" s="129" t="n"/>
      <c r="DP136" s="129" t="n"/>
      <c r="DQ136" s="129" t="n"/>
      <c r="DR136" s="129" t="n"/>
      <c r="DS136" s="129" t="n"/>
      <c r="DT136" s="129" t="n"/>
      <c r="DU136" s="129" t="n"/>
      <c r="DV136" s="129" t="n"/>
      <c r="DW136" s="129" t="n"/>
      <c r="DX136" s="129" t="n"/>
      <c r="DY136" s="129" t="n"/>
      <c r="DZ136" s="129" t="n"/>
      <c r="EA136" s="129" t="n"/>
      <c r="EB136" s="129" t="n"/>
      <c r="EC136" s="129" t="n"/>
      <c r="ED136" s="129" t="n"/>
      <c r="EE136" s="129" t="n"/>
      <c r="EF136" s="129" t="n"/>
      <c r="EG136" s="129" t="n"/>
      <c r="EH136" s="129" t="n"/>
      <c r="EI136" s="129" t="n"/>
      <c r="EJ136" s="129" t="n"/>
      <c r="EK136" s="129" t="n"/>
      <c r="EL136" s="129" t="n"/>
      <c r="EM136" s="129" t="n"/>
      <c r="EN136" s="129" t="n"/>
      <c r="EO136" s="129" t="n"/>
      <c r="EP136" s="129" t="n"/>
      <c r="EQ136" s="129" t="n"/>
      <c r="ER136" s="129" t="n"/>
      <c r="ES136" s="129" t="n"/>
      <c r="ET136" s="129" t="n"/>
      <c r="EU136" s="129" t="n"/>
      <c r="EV136" s="129" t="n"/>
      <c r="EW136" s="129" t="n"/>
      <c r="EX136" s="129" t="n"/>
      <c r="EY136" s="129" t="n"/>
      <c r="EZ136" s="129" t="n"/>
      <c r="FA136" s="129" t="n"/>
      <c r="FB136" s="129" t="n"/>
      <c r="FC136" s="129" t="n"/>
      <c r="FD136" s="129" t="n"/>
      <c r="FE136" s="129" t="n"/>
      <c r="FF136" s="129" t="n"/>
      <c r="FG136" s="129" t="n"/>
      <c r="FH136" s="129" t="n"/>
      <c r="FI136" s="129" t="n"/>
      <c r="FJ136" s="129" t="n"/>
      <c r="FK136" s="129" t="n"/>
      <c r="FL136" s="129" t="n"/>
      <c r="FM136" s="129" t="n"/>
    </row>
    <row r="137" s="135">
      <c r="A137" s="90" t="n">
        <v>36860</v>
      </c>
      <c r="B137" s="91" t="n">
        <v>0.106</v>
      </c>
      <c r="C137" s="79" t="n"/>
      <c r="D137" s="129" t="n"/>
      <c r="E137" s="129" t="n"/>
      <c r="F137" s="129" t="n"/>
      <c r="G137" s="129" t="n"/>
      <c r="H137" s="129" t="n"/>
      <c r="I137" s="129" t="n"/>
      <c r="J137" s="129" t="n"/>
      <c r="K137" s="129" t="n"/>
      <c r="L137" s="129" t="n"/>
      <c r="M137" s="129" t="n"/>
      <c r="N137" s="129" t="n"/>
      <c r="O137" s="129" t="n"/>
      <c r="P137" s="129" t="n"/>
      <c r="Q137" s="129" t="n"/>
      <c r="R137" s="129" t="n"/>
      <c r="S137" s="129" t="n"/>
      <c r="T137" s="129" t="n"/>
      <c r="U137" s="129" t="n"/>
      <c r="V137" s="129" t="n"/>
      <c r="W137" s="129" t="n"/>
      <c r="X137" s="129" t="n"/>
      <c r="Y137" s="129" t="n"/>
      <c r="Z137" s="129" t="n"/>
      <c r="AA137" s="129" t="n"/>
      <c r="AB137" s="129" t="n"/>
      <c r="AC137" s="129" t="n"/>
      <c r="AD137" s="129" t="n"/>
      <c r="AE137" s="129" t="n"/>
      <c r="AF137" s="129" t="n"/>
      <c r="AG137" s="129" t="n"/>
      <c r="AH137" s="129" t="n"/>
      <c r="AI137" s="129" t="n"/>
      <c r="AJ137" s="129" t="n"/>
      <c r="AK137" s="129" t="n"/>
      <c r="AL137" s="129" t="n"/>
      <c r="AM137" s="129" t="n"/>
      <c r="AN137" s="129" t="n"/>
      <c r="AO137" s="129" t="n"/>
      <c r="AP137" s="129" t="n"/>
      <c r="AQ137" s="129" t="n"/>
      <c r="AR137" s="129" t="n"/>
      <c r="AS137" s="129" t="n"/>
      <c r="AT137" s="129" t="n"/>
      <c r="AU137" s="129" t="n"/>
      <c r="AV137" s="129" t="n"/>
      <c r="AW137" s="129" t="n"/>
      <c r="AX137" s="129" t="n"/>
      <c r="AY137" s="129" t="n"/>
      <c r="AZ137" s="129" t="n"/>
      <c r="BA137" s="129" t="n"/>
      <c r="BB137" s="129" t="n"/>
      <c r="BC137" s="129" t="n"/>
      <c r="BD137" s="129" t="n"/>
      <c r="BE137" s="129" t="n"/>
      <c r="BF137" s="129" t="n"/>
      <c r="BG137" s="129" t="n"/>
      <c r="BH137" s="129" t="n"/>
      <c r="BI137" s="129" t="n"/>
      <c r="BJ137" s="129" t="n"/>
      <c r="BK137" s="129" t="n"/>
      <c r="BL137" s="129" t="n"/>
      <c r="BM137" s="129" t="n"/>
      <c r="BN137" s="129" t="n"/>
      <c r="BO137" s="129" t="n"/>
      <c r="BP137" s="129" t="n"/>
      <c r="BQ137" s="129" t="n"/>
      <c r="BR137" s="129" t="n"/>
      <c r="BS137" s="129" t="n"/>
      <c r="BT137" s="129" t="n"/>
      <c r="BU137" s="129" t="n"/>
      <c r="BV137" s="129" t="n"/>
      <c r="BW137" s="129" t="n"/>
      <c r="BX137" s="129" t="n"/>
      <c r="BY137" s="129" t="n"/>
      <c r="BZ137" s="129" t="n"/>
      <c r="CA137" s="129" t="n"/>
      <c r="CB137" s="129" t="n"/>
      <c r="CC137" s="129" t="n"/>
      <c r="CD137" s="129" t="n"/>
      <c r="CE137" s="129" t="n"/>
      <c r="CF137" s="129" t="n"/>
      <c r="CG137" s="129" t="n"/>
      <c r="CH137" s="129" t="n"/>
      <c r="CI137" s="129" t="n"/>
      <c r="CJ137" s="129" t="n"/>
      <c r="CK137" s="129" t="n"/>
      <c r="CL137" s="129" t="n"/>
      <c r="CM137" s="129" t="n"/>
      <c r="CN137" s="129" t="n"/>
      <c r="CO137" s="129" t="n"/>
      <c r="CP137" s="129" t="n"/>
      <c r="CQ137" s="129" t="n"/>
      <c r="CR137" s="129" t="n"/>
      <c r="CS137" s="129" t="n"/>
      <c r="CT137" s="129" t="n"/>
      <c r="CU137" s="129" t="n"/>
      <c r="CV137" s="129" t="n"/>
      <c r="CW137" s="129" t="n"/>
      <c r="CX137" s="129" t="n"/>
      <c r="CY137" s="129" t="n"/>
      <c r="CZ137" s="129" t="n"/>
      <c r="DA137" s="129" t="n"/>
      <c r="DB137" s="129" t="n"/>
      <c r="DC137" s="129" t="n"/>
      <c r="DD137" s="129" t="n"/>
      <c r="DE137" s="129" t="n"/>
      <c r="DF137" s="129" t="n"/>
      <c r="DG137" s="129" t="n"/>
      <c r="DH137" s="129" t="n"/>
      <c r="DI137" s="129" t="n"/>
      <c r="DJ137" s="129" t="n"/>
      <c r="DK137" s="129" t="n"/>
      <c r="DL137" s="129" t="n"/>
      <c r="DM137" s="129" t="n"/>
      <c r="DN137" s="129" t="n"/>
      <c r="DO137" s="129" t="n"/>
      <c r="DP137" s="129" t="n"/>
      <c r="DQ137" s="129" t="n"/>
      <c r="DR137" s="129" t="n"/>
      <c r="DS137" s="129" t="n"/>
      <c r="DT137" s="129" t="n"/>
      <c r="DU137" s="129" t="n"/>
      <c r="DV137" s="129" t="n"/>
      <c r="DW137" s="129" t="n"/>
      <c r="DX137" s="129" t="n"/>
      <c r="DY137" s="129" t="n"/>
      <c r="DZ137" s="129" t="n"/>
      <c r="EA137" s="129" t="n"/>
      <c r="EB137" s="129" t="n"/>
      <c r="EC137" s="129" t="n"/>
      <c r="ED137" s="129" t="n"/>
      <c r="EE137" s="129" t="n"/>
      <c r="EF137" s="129" t="n"/>
      <c r="EG137" s="129" t="n"/>
      <c r="EH137" s="129" t="n"/>
      <c r="EI137" s="129" t="n"/>
      <c r="EJ137" s="129" t="n"/>
      <c r="EK137" s="129" t="n"/>
      <c r="EL137" s="129" t="n"/>
      <c r="EM137" s="129" t="n"/>
      <c r="EN137" s="129" t="n"/>
      <c r="EO137" s="129" t="n"/>
      <c r="EP137" s="129" t="n"/>
      <c r="EQ137" s="129" t="n"/>
      <c r="ER137" s="129" t="n"/>
      <c r="ES137" s="129" t="n"/>
      <c r="ET137" s="129" t="n"/>
      <c r="EU137" s="129" t="n"/>
      <c r="EV137" s="129" t="n"/>
      <c r="EW137" s="129" t="n"/>
      <c r="EX137" s="129" t="n"/>
      <c r="EY137" s="129" t="n"/>
      <c r="EZ137" s="129" t="n"/>
      <c r="FA137" s="129" t="n"/>
      <c r="FB137" s="129" t="n"/>
      <c r="FC137" s="129" t="n"/>
      <c r="FD137" s="129" t="n"/>
      <c r="FE137" s="129" t="n"/>
      <c r="FF137" s="129" t="n"/>
      <c r="FG137" s="129" t="n"/>
      <c r="FH137" s="129" t="n"/>
      <c r="FI137" s="129" t="n"/>
      <c r="FJ137" s="129" t="n"/>
      <c r="FK137" s="129" t="n"/>
      <c r="FL137" s="129" t="n"/>
      <c r="FM137" s="129" t="n"/>
    </row>
    <row r="138" s="135">
      <c r="A138" s="92" t="n">
        <v>36891</v>
      </c>
      <c r="B138" s="93" t="n">
        <v>0.104</v>
      </c>
      <c r="C138" s="79" t="n"/>
      <c r="D138" s="129" t="n"/>
      <c r="E138" s="129" t="n"/>
      <c r="F138" s="129" t="n"/>
      <c r="G138" s="129" t="n"/>
      <c r="H138" s="129" t="n"/>
      <c r="I138" s="129" t="n"/>
      <c r="J138" s="129" t="n"/>
      <c r="K138" s="129" t="n"/>
      <c r="L138" s="129" t="n"/>
      <c r="M138" s="129" t="n"/>
      <c r="N138" s="129" t="n"/>
      <c r="O138" s="129" t="n"/>
      <c r="P138" s="129" t="n"/>
      <c r="Q138" s="129" t="n"/>
      <c r="R138" s="129" t="n"/>
      <c r="S138" s="129" t="n"/>
      <c r="T138" s="129" t="n"/>
      <c r="U138" s="129" t="n"/>
      <c r="V138" s="129" t="n"/>
      <c r="W138" s="129" t="n"/>
      <c r="X138" s="129" t="n"/>
      <c r="Y138" s="129" t="n"/>
      <c r="Z138" s="129" t="n"/>
      <c r="AA138" s="129" t="n"/>
      <c r="AB138" s="129" t="n"/>
      <c r="AC138" s="129" t="n"/>
      <c r="AD138" s="129" t="n"/>
      <c r="AE138" s="129" t="n"/>
      <c r="AF138" s="129" t="n"/>
      <c r="AG138" s="129" t="n"/>
      <c r="AH138" s="129" t="n"/>
      <c r="AI138" s="129" t="n"/>
      <c r="AJ138" s="129" t="n"/>
      <c r="AK138" s="129" t="n"/>
      <c r="AL138" s="129" t="n"/>
      <c r="AM138" s="129" t="n"/>
      <c r="AN138" s="129" t="n"/>
      <c r="AO138" s="129" t="n"/>
      <c r="AP138" s="129" t="n"/>
      <c r="AQ138" s="129" t="n"/>
      <c r="AR138" s="129" t="n"/>
      <c r="AS138" s="129" t="n"/>
      <c r="AT138" s="129" t="n"/>
      <c r="AU138" s="129" t="n"/>
      <c r="AV138" s="129" t="n"/>
      <c r="AW138" s="129" t="n"/>
      <c r="AX138" s="129" t="n"/>
      <c r="AY138" s="129" t="n"/>
      <c r="AZ138" s="129" t="n"/>
      <c r="BA138" s="129" t="n"/>
      <c r="BB138" s="129" t="n"/>
      <c r="BC138" s="129" t="n"/>
      <c r="BD138" s="129" t="n"/>
      <c r="BE138" s="129" t="n"/>
      <c r="BF138" s="129" t="n"/>
      <c r="BG138" s="129" t="n"/>
      <c r="BH138" s="129" t="n"/>
      <c r="BI138" s="129" t="n"/>
      <c r="BJ138" s="129" t="n"/>
      <c r="BK138" s="129" t="n"/>
      <c r="BL138" s="129" t="n"/>
      <c r="BM138" s="129" t="n"/>
      <c r="BN138" s="129" t="n"/>
      <c r="BO138" s="129" t="n"/>
      <c r="BP138" s="129" t="n"/>
      <c r="BQ138" s="129" t="n"/>
      <c r="BR138" s="129" t="n"/>
      <c r="BS138" s="129" t="n"/>
      <c r="BT138" s="129" t="n"/>
      <c r="BU138" s="129" t="n"/>
      <c r="BV138" s="129" t="n"/>
      <c r="BW138" s="129" t="n"/>
      <c r="BX138" s="129" t="n"/>
      <c r="BY138" s="129" t="n"/>
      <c r="BZ138" s="129" t="n"/>
      <c r="CA138" s="129" t="n"/>
      <c r="CB138" s="129" t="n"/>
      <c r="CC138" s="129" t="n"/>
      <c r="CD138" s="129" t="n"/>
      <c r="CE138" s="129" t="n"/>
      <c r="CF138" s="129" t="n"/>
      <c r="CG138" s="129" t="n"/>
      <c r="CH138" s="129" t="n"/>
      <c r="CI138" s="129" t="n"/>
      <c r="CJ138" s="129" t="n"/>
      <c r="CK138" s="129" t="n"/>
      <c r="CL138" s="129" t="n"/>
      <c r="CM138" s="129" t="n"/>
      <c r="CN138" s="129" t="n"/>
      <c r="CO138" s="129" t="n"/>
      <c r="CP138" s="129" t="n"/>
      <c r="CQ138" s="129" t="n"/>
      <c r="CR138" s="129" t="n"/>
      <c r="CS138" s="129" t="n"/>
      <c r="CT138" s="129" t="n"/>
      <c r="CU138" s="129" t="n"/>
      <c r="CV138" s="129" t="n"/>
      <c r="CW138" s="129" t="n"/>
      <c r="CX138" s="129" t="n"/>
      <c r="CY138" s="129" t="n"/>
      <c r="CZ138" s="129" t="n"/>
      <c r="DA138" s="129" t="n"/>
      <c r="DB138" s="129" t="n"/>
      <c r="DC138" s="129" t="n"/>
      <c r="DD138" s="129" t="n"/>
      <c r="DE138" s="129" t="n"/>
      <c r="DF138" s="129" t="n"/>
      <c r="DG138" s="129" t="n"/>
      <c r="DH138" s="129" t="n"/>
      <c r="DI138" s="129" t="n"/>
      <c r="DJ138" s="129" t="n"/>
      <c r="DK138" s="129" t="n"/>
      <c r="DL138" s="129" t="n"/>
      <c r="DM138" s="129" t="n"/>
      <c r="DN138" s="129" t="n"/>
      <c r="DO138" s="129" t="n"/>
      <c r="DP138" s="129" t="n"/>
      <c r="DQ138" s="129" t="n"/>
      <c r="DR138" s="129" t="n"/>
      <c r="DS138" s="129" t="n"/>
      <c r="DT138" s="129" t="n"/>
      <c r="DU138" s="129" t="n"/>
      <c r="DV138" s="129" t="n"/>
      <c r="DW138" s="129" t="n"/>
      <c r="DX138" s="129" t="n"/>
      <c r="DY138" s="129" t="n"/>
      <c r="DZ138" s="129" t="n"/>
      <c r="EA138" s="129" t="n"/>
      <c r="EB138" s="129" t="n"/>
      <c r="EC138" s="129" t="n"/>
      <c r="ED138" s="129" t="n"/>
      <c r="EE138" s="129" t="n"/>
      <c r="EF138" s="129" t="n"/>
      <c r="EG138" s="129" t="n"/>
      <c r="EH138" s="129" t="n"/>
      <c r="EI138" s="129" t="n"/>
      <c r="EJ138" s="129" t="n"/>
      <c r="EK138" s="129" t="n"/>
      <c r="EL138" s="129" t="n"/>
      <c r="EM138" s="129" t="n"/>
      <c r="EN138" s="129" t="n"/>
      <c r="EO138" s="129" t="n"/>
      <c r="EP138" s="129" t="n"/>
      <c r="EQ138" s="129" t="n"/>
      <c r="ER138" s="129" t="n"/>
      <c r="ES138" s="129" t="n"/>
      <c r="ET138" s="129" t="n"/>
      <c r="EU138" s="129" t="n"/>
      <c r="EV138" s="129" t="n"/>
      <c r="EW138" s="129" t="n"/>
      <c r="EX138" s="129" t="n"/>
      <c r="EY138" s="129" t="n"/>
      <c r="EZ138" s="129" t="n"/>
      <c r="FA138" s="129" t="n"/>
      <c r="FB138" s="129" t="n"/>
      <c r="FC138" s="129" t="n"/>
      <c r="FD138" s="129" t="n"/>
      <c r="FE138" s="129" t="n"/>
      <c r="FF138" s="129" t="n"/>
      <c r="FG138" s="129" t="n"/>
      <c r="FH138" s="129" t="n"/>
      <c r="FI138" s="129" t="n"/>
      <c r="FJ138" s="129" t="n"/>
      <c r="FK138" s="129" t="n"/>
      <c r="FL138" s="129" t="n"/>
      <c r="FM138" s="129" t="n"/>
    </row>
    <row r="139" s="135">
      <c r="A139" s="90" t="n">
        <v>36922</v>
      </c>
      <c r="B139" s="91" t="n">
        <v>0.023</v>
      </c>
      <c r="C139" s="79" t="n"/>
      <c r="D139" s="129" t="n"/>
      <c r="E139" s="129" t="n"/>
      <c r="F139" s="129" t="n"/>
      <c r="G139" s="129" t="n"/>
      <c r="H139" s="129" t="n"/>
      <c r="I139" s="129" t="n"/>
      <c r="J139" s="129" t="n"/>
      <c r="K139" s="129" t="n"/>
      <c r="L139" s="129" t="n"/>
      <c r="M139" s="129" t="n"/>
      <c r="N139" s="129" t="n"/>
      <c r="O139" s="129" t="n"/>
      <c r="P139" s="129" t="n"/>
      <c r="Q139" s="129" t="n"/>
      <c r="R139" s="129" t="n"/>
      <c r="S139" s="129" t="n"/>
      <c r="T139" s="129" t="n"/>
      <c r="U139" s="129" t="n"/>
      <c r="V139" s="129" t="n"/>
      <c r="W139" s="129" t="n"/>
      <c r="X139" s="129" t="n"/>
      <c r="Y139" s="129" t="n"/>
      <c r="Z139" s="129" t="n"/>
      <c r="AA139" s="129" t="n"/>
      <c r="AB139" s="129" t="n"/>
      <c r="AC139" s="129" t="n"/>
      <c r="AD139" s="129" t="n"/>
      <c r="AE139" s="129" t="n"/>
      <c r="AF139" s="129" t="n"/>
      <c r="AG139" s="129" t="n"/>
      <c r="AH139" s="129" t="n"/>
      <c r="AI139" s="129" t="n"/>
      <c r="AJ139" s="129" t="n"/>
      <c r="AK139" s="129" t="n"/>
      <c r="AL139" s="129" t="n"/>
      <c r="AM139" s="129" t="n"/>
      <c r="AN139" s="129" t="n"/>
      <c r="AO139" s="129" t="n"/>
      <c r="AP139" s="129" t="n"/>
      <c r="AQ139" s="129" t="n"/>
      <c r="AR139" s="129" t="n"/>
      <c r="AS139" s="129" t="n"/>
      <c r="AT139" s="129" t="n"/>
      <c r="AU139" s="129" t="n"/>
      <c r="AV139" s="129" t="n"/>
      <c r="AW139" s="129" t="n"/>
      <c r="AX139" s="129" t="n"/>
      <c r="AY139" s="129" t="n"/>
      <c r="AZ139" s="129" t="n"/>
      <c r="BA139" s="129" t="n"/>
      <c r="BB139" s="129" t="n"/>
      <c r="BC139" s="129" t="n"/>
      <c r="BD139" s="129" t="n"/>
      <c r="BE139" s="129" t="n"/>
      <c r="BF139" s="129" t="n"/>
      <c r="BG139" s="129" t="n"/>
      <c r="BH139" s="129" t="n"/>
      <c r="BI139" s="129" t="n"/>
      <c r="BJ139" s="129" t="n"/>
      <c r="BK139" s="129" t="n"/>
      <c r="BL139" s="129" t="n"/>
      <c r="BM139" s="129" t="n"/>
      <c r="BN139" s="129" t="n"/>
      <c r="BO139" s="129" t="n"/>
      <c r="BP139" s="129" t="n"/>
      <c r="BQ139" s="129" t="n"/>
      <c r="BR139" s="129" t="n"/>
      <c r="BS139" s="129" t="n"/>
      <c r="BT139" s="129" t="n"/>
      <c r="BU139" s="129" t="n"/>
      <c r="BV139" s="129" t="n"/>
      <c r="BW139" s="129" t="n"/>
      <c r="BX139" s="129" t="n"/>
      <c r="BY139" s="129" t="n"/>
      <c r="BZ139" s="129" t="n"/>
      <c r="CA139" s="129" t="n"/>
      <c r="CB139" s="129" t="n"/>
      <c r="CC139" s="129" t="n"/>
      <c r="CD139" s="129" t="n"/>
      <c r="CE139" s="129" t="n"/>
      <c r="CF139" s="129" t="n"/>
      <c r="CG139" s="129" t="n"/>
      <c r="CH139" s="129" t="n"/>
      <c r="CI139" s="129" t="n"/>
      <c r="CJ139" s="129" t="n"/>
      <c r="CK139" s="129" t="n"/>
      <c r="CL139" s="129" t="n"/>
      <c r="CM139" s="129" t="n"/>
      <c r="CN139" s="129" t="n"/>
      <c r="CO139" s="129" t="n"/>
      <c r="CP139" s="129" t="n"/>
      <c r="CQ139" s="129" t="n"/>
      <c r="CR139" s="129" t="n"/>
      <c r="CS139" s="129" t="n"/>
      <c r="CT139" s="129" t="n"/>
      <c r="CU139" s="129" t="n"/>
      <c r="CV139" s="129" t="n"/>
      <c r="CW139" s="129" t="n"/>
      <c r="CX139" s="129" t="n"/>
      <c r="CY139" s="129" t="n"/>
      <c r="CZ139" s="129" t="n"/>
      <c r="DA139" s="129" t="n"/>
      <c r="DB139" s="129" t="n"/>
      <c r="DC139" s="129" t="n"/>
      <c r="DD139" s="129" t="n"/>
      <c r="DE139" s="129" t="n"/>
      <c r="DF139" s="129" t="n"/>
      <c r="DG139" s="129" t="n"/>
      <c r="DH139" s="129" t="n"/>
      <c r="DI139" s="129" t="n"/>
      <c r="DJ139" s="129" t="n"/>
      <c r="DK139" s="129" t="n"/>
      <c r="DL139" s="129" t="n"/>
      <c r="DM139" s="129" t="n"/>
      <c r="DN139" s="129" t="n"/>
      <c r="DO139" s="129" t="n"/>
      <c r="DP139" s="129" t="n"/>
      <c r="DQ139" s="129" t="n"/>
      <c r="DR139" s="129" t="n"/>
      <c r="DS139" s="129" t="n"/>
      <c r="DT139" s="129" t="n"/>
      <c r="DU139" s="129" t="n"/>
      <c r="DV139" s="129" t="n"/>
      <c r="DW139" s="129" t="n"/>
      <c r="DX139" s="129" t="n"/>
      <c r="DY139" s="129" t="n"/>
      <c r="DZ139" s="129" t="n"/>
      <c r="EA139" s="129" t="n"/>
      <c r="EB139" s="129" t="n"/>
      <c r="EC139" s="129" t="n"/>
      <c r="ED139" s="129" t="n"/>
      <c r="EE139" s="129" t="n"/>
      <c r="EF139" s="129" t="n"/>
      <c r="EG139" s="129" t="n"/>
      <c r="EH139" s="129" t="n"/>
      <c r="EI139" s="129" t="n"/>
      <c r="EJ139" s="129" t="n"/>
      <c r="EK139" s="129" t="n"/>
      <c r="EL139" s="129" t="n"/>
      <c r="EM139" s="129" t="n"/>
      <c r="EN139" s="129" t="n"/>
      <c r="EO139" s="129" t="n"/>
      <c r="EP139" s="129" t="n"/>
      <c r="EQ139" s="129" t="n"/>
      <c r="ER139" s="129" t="n"/>
      <c r="ES139" s="129" t="n"/>
      <c r="ET139" s="129" t="n"/>
      <c r="EU139" s="129" t="n"/>
      <c r="EV139" s="129" t="n"/>
      <c r="EW139" s="129" t="n"/>
      <c r="EX139" s="129" t="n"/>
      <c r="EY139" s="129" t="n"/>
      <c r="EZ139" s="129" t="n"/>
      <c r="FA139" s="129" t="n"/>
      <c r="FB139" s="129" t="n"/>
      <c r="FC139" s="129" t="n"/>
      <c r="FD139" s="129" t="n"/>
      <c r="FE139" s="129" t="n"/>
      <c r="FF139" s="129" t="n"/>
      <c r="FG139" s="129" t="n"/>
      <c r="FH139" s="129" t="n"/>
      <c r="FI139" s="129" t="n"/>
      <c r="FJ139" s="129" t="n"/>
      <c r="FK139" s="129" t="n"/>
      <c r="FL139" s="129" t="n"/>
      <c r="FM139" s="129" t="n"/>
    </row>
    <row r="140" s="135">
      <c r="A140" s="92" t="n">
        <v>36950</v>
      </c>
      <c r="B140" s="93" t="n">
        <v>0.19</v>
      </c>
      <c r="C140" s="79" t="n"/>
      <c r="D140" s="129" t="n"/>
      <c r="E140" s="129" t="n"/>
      <c r="F140" s="129" t="n"/>
      <c r="G140" s="129" t="n"/>
      <c r="H140" s="129" t="n"/>
      <c r="I140" s="129" t="n"/>
      <c r="J140" s="129" t="n"/>
      <c r="K140" s="129" t="n"/>
      <c r="L140" s="129" t="n"/>
      <c r="M140" s="129" t="n"/>
      <c r="N140" s="129" t="n"/>
      <c r="O140" s="129" t="n"/>
      <c r="P140" s="129" t="n"/>
      <c r="Q140" s="129" t="n"/>
      <c r="R140" s="129" t="n"/>
      <c r="S140" s="129" t="n"/>
      <c r="T140" s="129" t="n"/>
      <c r="U140" s="129" t="n"/>
      <c r="V140" s="129" t="n"/>
      <c r="W140" s="129" t="n"/>
      <c r="X140" s="129" t="n"/>
      <c r="Y140" s="129" t="n"/>
      <c r="Z140" s="129" t="n"/>
      <c r="AA140" s="129" t="n"/>
      <c r="AB140" s="129" t="n"/>
      <c r="AC140" s="129" t="n"/>
      <c r="AD140" s="129" t="n"/>
      <c r="AE140" s="129" t="n"/>
      <c r="AF140" s="129" t="n"/>
      <c r="AG140" s="129" t="n"/>
      <c r="AH140" s="129" t="n"/>
      <c r="AI140" s="129" t="n"/>
      <c r="AJ140" s="129" t="n"/>
      <c r="AK140" s="129" t="n"/>
      <c r="AL140" s="129" t="n"/>
      <c r="AM140" s="129" t="n"/>
      <c r="AN140" s="129" t="n"/>
      <c r="AO140" s="129" t="n"/>
      <c r="AP140" s="129" t="n"/>
      <c r="AQ140" s="129" t="n"/>
      <c r="AR140" s="129" t="n"/>
      <c r="AS140" s="129" t="n"/>
      <c r="AT140" s="129" t="n"/>
      <c r="AU140" s="129" t="n"/>
      <c r="AV140" s="129" t="n"/>
      <c r="AW140" s="129" t="n"/>
      <c r="AX140" s="129" t="n"/>
      <c r="AY140" s="129" t="n"/>
      <c r="AZ140" s="129" t="n"/>
      <c r="BA140" s="129" t="n"/>
      <c r="BB140" s="129" t="n"/>
      <c r="BC140" s="129" t="n"/>
      <c r="BD140" s="129" t="n"/>
      <c r="BE140" s="129" t="n"/>
      <c r="BF140" s="129" t="n"/>
      <c r="BG140" s="129" t="n"/>
      <c r="BH140" s="129" t="n"/>
      <c r="BI140" s="129" t="n"/>
      <c r="BJ140" s="129" t="n"/>
      <c r="BK140" s="129" t="n"/>
      <c r="BL140" s="129" t="n"/>
      <c r="BM140" s="129" t="n"/>
      <c r="BN140" s="129" t="n"/>
      <c r="BO140" s="129" t="n"/>
      <c r="BP140" s="129" t="n"/>
      <c r="BQ140" s="129" t="n"/>
      <c r="BR140" s="129" t="n"/>
      <c r="BS140" s="129" t="n"/>
      <c r="BT140" s="129" t="n"/>
      <c r="BU140" s="129" t="n"/>
      <c r="BV140" s="129" t="n"/>
      <c r="BW140" s="129" t="n"/>
      <c r="BX140" s="129" t="n"/>
      <c r="BY140" s="129" t="n"/>
      <c r="BZ140" s="129" t="n"/>
      <c r="CA140" s="129" t="n"/>
      <c r="CB140" s="129" t="n"/>
      <c r="CC140" s="129" t="n"/>
      <c r="CD140" s="129" t="n"/>
      <c r="CE140" s="129" t="n"/>
      <c r="CF140" s="129" t="n"/>
      <c r="CG140" s="129" t="n"/>
      <c r="CH140" s="129" t="n"/>
      <c r="CI140" s="129" t="n"/>
      <c r="CJ140" s="129" t="n"/>
      <c r="CK140" s="129" t="n"/>
      <c r="CL140" s="129" t="n"/>
      <c r="CM140" s="129" t="n"/>
      <c r="CN140" s="129" t="n"/>
      <c r="CO140" s="129" t="n"/>
      <c r="CP140" s="129" t="n"/>
      <c r="CQ140" s="129" t="n"/>
      <c r="CR140" s="129" t="n"/>
      <c r="CS140" s="129" t="n"/>
      <c r="CT140" s="129" t="n"/>
      <c r="CU140" s="129" t="n"/>
      <c r="CV140" s="129" t="n"/>
      <c r="CW140" s="129" t="n"/>
      <c r="CX140" s="129" t="n"/>
      <c r="CY140" s="129" t="n"/>
      <c r="CZ140" s="129" t="n"/>
      <c r="DA140" s="129" t="n"/>
      <c r="DB140" s="129" t="n"/>
      <c r="DC140" s="129" t="n"/>
      <c r="DD140" s="129" t="n"/>
      <c r="DE140" s="129" t="n"/>
      <c r="DF140" s="129" t="n"/>
      <c r="DG140" s="129" t="n"/>
      <c r="DH140" s="129" t="n"/>
      <c r="DI140" s="129" t="n"/>
      <c r="DJ140" s="129" t="n"/>
      <c r="DK140" s="129" t="n"/>
      <c r="DL140" s="129" t="n"/>
      <c r="DM140" s="129" t="n"/>
      <c r="DN140" s="129" t="n"/>
      <c r="DO140" s="129" t="n"/>
      <c r="DP140" s="129" t="n"/>
      <c r="DQ140" s="129" t="n"/>
      <c r="DR140" s="129" t="n"/>
      <c r="DS140" s="129" t="n"/>
      <c r="DT140" s="129" t="n"/>
      <c r="DU140" s="129" t="n"/>
      <c r="DV140" s="129" t="n"/>
      <c r="DW140" s="129" t="n"/>
      <c r="DX140" s="129" t="n"/>
      <c r="DY140" s="129" t="n"/>
      <c r="DZ140" s="129" t="n"/>
      <c r="EA140" s="129" t="n"/>
      <c r="EB140" s="129" t="n"/>
      <c r="EC140" s="129" t="n"/>
      <c r="ED140" s="129" t="n"/>
      <c r="EE140" s="129" t="n"/>
      <c r="EF140" s="129" t="n"/>
      <c r="EG140" s="129" t="n"/>
      <c r="EH140" s="129" t="n"/>
      <c r="EI140" s="129" t="n"/>
      <c r="EJ140" s="129" t="n"/>
      <c r="EK140" s="129" t="n"/>
      <c r="EL140" s="129" t="n"/>
      <c r="EM140" s="129" t="n"/>
      <c r="EN140" s="129" t="n"/>
      <c r="EO140" s="129" t="n"/>
      <c r="EP140" s="129" t="n"/>
      <c r="EQ140" s="129" t="n"/>
      <c r="ER140" s="129" t="n"/>
      <c r="ES140" s="129" t="n"/>
      <c r="ET140" s="129" t="n"/>
      <c r="EU140" s="129" t="n"/>
      <c r="EV140" s="129" t="n"/>
      <c r="EW140" s="129" t="n"/>
      <c r="EX140" s="129" t="n"/>
      <c r="EY140" s="129" t="n"/>
      <c r="EZ140" s="129" t="n"/>
      <c r="FA140" s="129" t="n"/>
      <c r="FB140" s="129" t="n"/>
      <c r="FC140" s="129" t="n"/>
      <c r="FD140" s="129" t="n"/>
      <c r="FE140" s="129" t="n"/>
      <c r="FF140" s="129" t="n"/>
      <c r="FG140" s="129" t="n"/>
      <c r="FH140" s="129" t="n"/>
      <c r="FI140" s="129" t="n"/>
      <c r="FJ140" s="129" t="n"/>
      <c r="FK140" s="129" t="n"/>
      <c r="FL140" s="129" t="n"/>
      <c r="FM140" s="129" t="n"/>
    </row>
    <row r="141" s="135">
      <c r="A141" s="90" t="n">
        <v>36981</v>
      </c>
      <c r="B141" s="91" t="n">
        <v>0.121</v>
      </c>
      <c r="C141" s="79" t="n"/>
      <c r="D141" s="129" t="n"/>
      <c r="E141" s="129" t="n"/>
      <c r="F141" s="129" t="n"/>
      <c r="G141" s="129" t="n"/>
      <c r="H141" s="129" t="n"/>
      <c r="I141" s="129" t="n"/>
      <c r="J141" s="129" t="n"/>
      <c r="K141" s="129" t="n"/>
      <c r="L141" s="129" t="n"/>
      <c r="M141" s="129" t="n"/>
      <c r="N141" s="129" t="n"/>
      <c r="O141" s="129" t="n"/>
      <c r="P141" s="129" t="n"/>
      <c r="Q141" s="129" t="n"/>
      <c r="R141" s="129" t="n"/>
      <c r="S141" s="129" t="n"/>
      <c r="T141" s="129" t="n"/>
      <c r="U141" s="129" t="n"/>
      <c r="V141" s="129" t="n"/>
      <c r="W141" s="129" t="n"/>
      <c r="X141" s="129" t="n"/>
      <c r="Y141" s="129" t="n"/>
      <c r="Z141" s="129" t="n"/>
      <c r="AA141" s="129" t="n"/>
      <c r="AB141" s="129" t="n"/>
      <c r="AC141" s="129" t="n"/>
      <c r="AD141" s="129" t="n"/>
      <c r="AE141" s="129" t="n"/>
      <c r="AF141" s="129" t="n"/>
      <c r="AG141" s="129" t="n"/>
      <c r="AH141" s="129" t="n"/>
      <c r="AI141" s="129" t="n"/>
      <c r="AJ141" s="129" t="n"/>
      <c r="AK141" s="129" t="n"/>
      <c r="AL141" s="129" t="n"/>
      <c r="AM141" s="129" t="n"/>
      <c r="AN141" s="129" t="n"/>
      <c r="AO141" s="129" t="n"/>
      <c r="AP141" s="129" t="n"/>
      <c r="AQ141" s="129" t="n"/>
      <c r="AR141" s="129" t="n"/>
      <c r="AS141" s="129" t="n"/>
      <c r="AT141" s="129" t="n"/>
      <c r="AU141" s="129" t="n"/>
      <c r="AV141" s="129" t="n"/>
      <c r="AW141" s="129" t="n"/>
      <c r="AX141" s="129" t="n"/>
      <c r="AY141" s="129" t="n"/>
      <c r="AZ141" s="129" t="n"/>
      <c r="BA141" s="129" t="n"/>
      <c r="BB141" s="129" t="n"/>
      <c r="BC141" s="129" t="n"/>
      <c r="BD141" s="129" t="n"/>
      <c r="BE141" s="129" t="n"/>
      <c r="BF141" s="129" t="n"/>
      <c r="BG141" s="129" t="n"/>
      <c r="BH141" s="129" t="n"/>
      <c r="BI141" s="129" t="n"/>
      <c r="BJ141" s="129" t="n"/>
      <c r="BK141" s="129" t="n"/>
      <c r="BL141" s="129" t="n"/>
      <c r="BM141" s="129" t="n"/>
      <c r="BN141" s="129" t="n"/>
      <c r="BO141" s="129" t="n"/>
      <c r="BP141" s="129" t="n"/>
      <c r="BQ141" s="129" t="n"/>
      <c r="BR141" s="129" t="n"/>
      <c r="BS141" s="129" t="n"/>
      <c r="BT141" s="129" t="n"/>
      <c r="BU141" s="129" t="n"/>
      <c r="BV141" s="129" t="n"/>
      <c r="BW141" s="129" t="n"/>
      <c r="BX141" s="129" t="n"/>
      <c r="BY141" s="129" t="n"/>
      <c r="BZ141" s="129" t="n"/>
      <c r="CA141" s="129" t="n"/>
      <c r="CB141" s="129" t="n"/>
      <c r="CC141" s="129" t="n"/>
      <c r="CD141" s="129" t="n"/>
      <c r="CE141" s="129" t="n"/>
      <c r="CF141" s="129" t="n"/>
      <c r="CG141" s="129" t="n"/>
      <c r="CH141" s="129" t="n"/>
      <c r="CI141" s="129" t="n"/>
      <c r="CJ141" s="129" t="n"/>
      <c r="CK141" s="129" t="n"/>
      <c r="CL141" s="129" t="n"/>
      <c r="CM141" s="129" t="n"/>
      <c r="CN141" s="129" t="n"/>
      <c r="CO141" s="129" t="n"/>
      <c r="CP141" s="129" t="n"/>
      <c r="CQ141" s="129" t="n"/>
      <c r="CR141" s="129" t="n"/>
      <c r="CS141" s="129" t="n"/>
      <c r="CT141" s="129" t="n"/>
      <c r="CU141" s="129" t="n"/>
      <c r="CV141" s="129" t="n"/>
      <c r="CW141" s="129" t="n"/>
      <c r="CX141" s="129" t="n"/>
      <c r="CY141" s="129" t="n"/>
      <c r="CZ141" s="129" t="n"/>
      <c r="DA141" s="129" t="n"/>
      <c r="DB141" s="129" t="n"/>
      <c r="DC141" s="129" t="n"/>
      <c r="DD141" s="129" t="n"/>
      <c r="DE141" s="129" t="n"/>
      <c r="DF141" s="129" t="n"/>
      <c r="DG141" s="129" t="n"/>
      <c r="DH141" s="129" t="n"/>
      <c r="DI141" s="129" t="n"/>
      <c r="DJ141" s="129" t="n"/>
      <c r="DK141" s="129" t="n"/>
      <c r="DL141" s="129" t="n"/>
      <c r="DM141" s="129" t="n"/>
      <c r="DN141" s="129" t="n"/>
      <c r="DO141" s="129" t="n"/>
      <c r="DP141" s="129" t="n"/>
      <c r="DQ141" s="129" t="n"/>
      <c r="DR141" s="129" t="n"/>
      <c r="DS141" s="129" t="n"/>
      <c r="DT141" s="129" t="n"/>
      <c r="DU141" s="129" t="n"/>
      <c r="DV141" s="129" t="n"/>
      <c r="DW141" s="129" t="n"/>
      <c r="DX141" s="129" t="n"/>
      <c r="DY141" s="129" t="n"/>
      <c r="DZ141" s="129" t="n"/>
      <c r="EA141" s="129" t="n"/>
      <c r="EB141" s="129" t="n"/>
      <c r="EC141" s="129" t="n"/>
      <c r="ED141" s="129" t="n"/>
      <c r="EE141" s="129" t="n"/>
      <c r="EF141" s="129" t="n"/>
      <c r="EG141" s="129" t="n"/>
      <c r="EH141" s="129" t="n"/>
      <c r="EI141" s="129" t="n"/>
      <c r="EJ141" s="129" t="n"/>
      <c r="EK141" s="129" t="n"/>
      <c r="EL141" s="129" t="n"/>
      <c r="EM141" s="129" t="n"/>
      <c r="EN141" s="129" t="n"/>
      <c r="EO141" s="129" t="n"/>
      <c r="EP141" s="129" t="n"/>
      <c r="EQ141" s="129" t="n"/>
      <c r="ER141" s="129" t="n"/>
      <c r="ES141" s="129" t="n"/>
      <c r="ET141" s="129" t="n"/>
      <c r="EU141" s="129" t="n"/>
      <c r="EV141" s="129" t="n"/>
      <c r="EW141" s="129" t="n"/>
      <c r="EX141" s="129" t="n"/>
      <c r="EY141" s="129" t="n"/>
      <c r="EZ141" s="129" t="n"/>
      <c r="FA141" s="129" t="n"/>
      <c r="FB141" s="129" t="n"/>
      <c r="FC141" s="129" t="n"/>
      <c r="FD141" s="129" t="n"/>
      <c r="FE141" s="129" t="n"/>
      <c r="FF141" s="129" t="n"/>
      <c r="FG141" s="129" t="n"/>
      <c r="FH141" s="129" t="n"/>
      <c r="FI141" s="129" t="n"/>
      <c r="FJ141" s="129" t="n"/>
      <c r="FK141" s="129" t="n"/>
      <c r="FL141" s="129" t="n"/>
      <c r="FM141" s="129" t="n"/>
    </row>
    <row r="142" s="135">
      <c r="A142" s="92" t="n">
        <v>37011</v>
      </c>
      <c r="B142" s="93" t="n">
        <v>0.115</v>
      </c>
      <c r="C142" s="79" t="n"/>
      <c r="D142" s="129" t="n"/>
      <c r="E142" s="129" t="n"/>
      <c r="F142" s="129" t="n"/>
      <c r="G142" s="129" t="n"/>
      <c r="H142" s="129" t="n"/>
      <c r="I142" s="129" t="n"/>
      <c r="J142" s="129" t="n"/>
      <c r="K142" s="129" t="n"/>
      <c r="L142" s="129" t="n"/>
      <c r="M142" s="129" t="n"/>
      <c r="N142" s="129" t="n"/>
      <c r="O142" s="129" t="n"/>
      <c r="P142" s="129" t="n"/>
      <c r="Q142" s="129" t="n"/>
      <c r="R142" s="129" t="n"/>
      <c r="S142" s="129" t="n"/>
      <c r="T142" s="129" t="n"/>
      <c r="U142" s="129" t="n"/>
      <c r="V142" s="129" t="n"/>
      <c r="W142" s="129" t="n"/>
      <c r="X142" s="129" t="n"/>
      <c r="Y142" s="129" t="n"/>
      <c r="Z142" s="129" t="n"/>
      <c r="AA142" s="129" t="n"/>
      <c r="AB142" s="129" t="n"/>
      <c r="AC142" s="129" t="n"/>
      <c r="AD142" s="129" t="n"/>
      <c r="AE142" s="129" t="n"/>
      <c r="AF142" s="129" t="n"/>
      <c r="AG142" s="129" t="n"/>
      <c r="AH142" s="129" t="n"/>
      <c r="AI142" s="129" t="n"/>
      <c r="AJ142" s="129" t="n"/>
      <c r="AK142" s="129" t="n"/>
      <c r="AL142" s="129" t="n"/>
      <c r="AM142" s="129" t="n"/>
      <c r="AN142" s="129" t="n"/>
      <c r="AO142" s="129" t="n"/>
      <c r="AP142" s="129" t="n"/>
      <c r="AQ142" s="129" t="n"/>
      <c r="AR142" s="129" t="n"/>
      <c r="AS142" s="129" t="n"/>
      <c r="AT142" s="129" t="n"/>
      <c r="AU142" s="129" t="n"/>
      <c r="AV142" s="129" t="n"/>
      <c r="AW142" s="129" t="n"/>
      <c r="AX142" s="129" t="n"/>
      <c r="AY142" s="129" t="n"/>
      <c r="AZ142" s="129" t="n"/>
      <c r="BA142" s="129" t="n"/>
      <c r="BB142" s="129" t="n"/>
      <c r="BC142" s="129" t="n"/>
      <c r="BD142" s="129" t="n"/>
      <c r="BE142" s="129" t="n"/>
      <c r="BF142" s="129" t="n"/>
      <c r="BG142" s="129" t="n"/>
      <c r="BH142" s="129" t="n"/>
      <c r="BI142" s="129" t="n"/>
      <c r="BJ142" s="129" t="n"/>
      <c r="BK142" s="129" t="n"/>
      <c r="BL142" s="129" t="n"/>
      <c r="BM142" s="129" t="n"/>
      <c r="BN142" s="129" t="n"/>
      <c r="BO142" s="129" t="n"/>
      <c r="BP142" s="129" t="n"/>
      <c r="BQ142" s="129" t="n"/>
      <c r="BR142" s="129" t="n"/>
      <c r="BS142" s="129" t="n"/>
      <c r="BT142" s="129" t="n"/>
      <c r="BU142" s="129" t="n"/>
      <c r="BV142" s="129" t="n"/>
      <c r="BW142" s="129" t="n"/>
      <c r="BX142" s="129" t="n"/>
      <c r="BY142" s="129" t="n"/>
      <c r="BZ142" s="129" t="n"/>
      <c r="CA142" s="129" t="n"/>
      <c r="CB142" s="129" t="n"/>
      <c r="CC142" s="129" t="n"/>
      <c r="CD142" s="129" t="n"/>
      <c r="CE142" s="129" t="n"/>
      <c r="CF142" s="129" t="n"/>
      <c r="CG142" s="129" t="n"/>
      <c r="CH142" s="129" t="n"/>
      <c r="CI142" s="129" t="n"/>
      <c r="CJ142" s="129" t="n"/>
      <c r="CK142" s="129" t="n"/>
      <c r="CL142" s="129" t="n"/>
      <c r="CM142" s="129" t="n"/>
      <c r="CN142" s="129" t="n"/>
      <c r="CO142" s="129" t="n"/>
      <c r="CP142" s="129" t="n"/>
      <c r="CQ142" s="129" t="n"/>
      <c r="CR142" s="129" t="n"/>
      <c r="CS142" s="129" t="n"/>
      <c r="CT142" s="129" t="n"/>
      <c r="CU142" s="129" t="n"/>
      <c r="CV142" s="129" t="n"/>
      <c r="CW142" s="129" t="n"/>
      <c r="CX142" s="129" t="n"/>
      <c r="CY142" s="129" t="n"/>
      <c r="CZ142" s="129" t="n"/>
      <c r="DA142" s="129" t="n"/>
      <c r="DB142" s="129" t="n"/>
      <c r="DC142" s="129" t="n"/>
      <c r="DD142" s="129" t="n"/>
      <c r="DE142" s="129" t="n"/>
      <c r="DF142" s="129" t="n"/>
      <c r="DG142" s="129" t="n"/>
      <c r="DH142" s="129" t="n"/>
      <c r="DI142" s="129" t="n"/>
      <c r="DJ142" s="129" t="n"/>
      <c r="DK142" s="129" t="n"/>
      <c r="DL142" s="129" t="n"/>
      <c r="DM142" s="129" t="n"/>
      <c r="DN142" s="129" t="n"/>
      <c r="DO142" s="129" t="n"/>
      <c r="DP142" s="129" t="n"/>
      <c r="DQ142" s="129" t="n"/>
      <c r="DR142" s="129" t="n"/>
      <c r="DS142" s="129" t="n"/>
      <c r="DT142" s="129" t="n"/>
      <c r="DU142" s="129" t="n"/>
      <c r="DV142" s="129" t="n"/>
      <c r="DW142" s="129" t="n"/>
      <c r="DX142" s="129" t="n"/>
      <c r="DY142" s="129" t="n"/>
      <c r="DZ142" s="129" t="n"/>
      <c r="EA142" s="129" t="n"/>
      <c r="EB142" s="129" t="n"/>
      <c r="EC142" s="129" t="n"/>
      <c r="ED142" s="129" t="n"/>
      <c r="EE142" s="129" t="n"/>
      <c r="EF142" s="129" t="n"/>
      <c r="EG142" s="129" t="n"/>
      <c r="EH142" s="129" t="n"/>
      <c r="EI142" s="129" t="n"/>
      <c r="EJ142" s="129" t="n"/>
      <c r="EK142" s="129" t="n"/>
      <c r="EL142" s="129" t="n"/>
      <c r="EM142" s="129" t="n"/>
      <c r="EN142" s="129" t="n"/>
      <c r="EO142" s="129" t="n"/>
      <c r="EP142" s="129" t="n"/>
      <c r="EQ142" s="129" t="n"/>
      <c r="ER142" s="129" t="n"/>
      <c r="ES142" s="129" t="n"/>
      <c r="ET142" s="129" t="n"/>
      <c r="EU142" s="129" t="n"/>
      <c r="EV142" s="129" t="n"/>
      <c r="EW142" s="129" t="n"/>
      <c r="EX142" s="129" t="n"/>
      <c r="EY142" s="129" t="n"/>
      <c r="EZ142" s="129" t="n"/>
      <c r="FA142" s="129" t="n"/>
      <c r="FB142" s="129" t="n"/>
      <c r="FC142" s="129" t="n"/>
      <c r="FD142" s="129" t="n"/>
      <c r="FE142" s="129" t="n"/>
      <c r="FF142" s="129" t="n"/>
      <c r="FG142" s="129" t="n"/>
      <c r="FH142" s="129" t="n"/>
      <c r="FI142" s="129" t="n"/>
      <c r="FJ142" s="129" t="n"/>
      <c r="FK142" s="129" t="n"/>
      <c r="FL142" s="129" t="n"/>
      <c r="FM142" s="129" t="n"/>
    </row>
    <row r="143" s="135">
      <c r="A143" s="90" t="n">
        <v>37042</v>
      </c>
      <c r="B143" s="91" t="n">
        <v>0.102</v>
      </c>
      <c r="C143" s="79" t="n"/>
      <c r="D143" s="129" t="n"/>
      <c r="E143" s="129" t="n"/>
      <c r="F143" s="129" t="n"/>
      <c r="G143" s="129" t="n"/>
      <c r="H143" s="129" t="n"/>
      <c r="I143" s="129" t="n"/>
      <c r="J143" s="129" t="n"/>
      <c r="K143" s="129" t="n"/>
      <c r="L143" s="129" t="n"/>
      <c r="M143" s="129" t="n"/>
      <c r="N143" s="129" t="n"/>
      <c r="O143" s="129" t="n"/>
      <c r="P143" s="129" t="n"/>
      <c r="Q143" s="129" t="n"/>
      <c r="R143" s="129" t="n"/>
      <c r="S143" s="129" t="n"/>
      <c r="T143" s="129" t="n"/>
      <c r="U143" s="129" t="n"/>
      <c r="V143" s="129" t="n"/>
      <c r="W143" s="129" t="n"/>
      <c r="X143" s="129" t="n"/>
      <c r="Y143" s="129" t="n"/>
      <c r="Z143" s="129" t="n"/>
      <c r="AA143" s="129" t="n"/>
      <c r="AB143" s="129" t="n"/>
      <c r="AC143" s="129" t="n"/>
      <c r="AD143" s="129" t="n"/>
      <c r="AE143" s="129" t="n"/>
      <c r="AF143" s="129" t="n"/>
      <c r="AG143" s="129" t="n"/>
      <c r="AH143" s="129" t="n"/>
      <c r="AI143" s="129" t="n"/>
      <c r="AJ143" s="129" t="n"/>
      <c r="AK143" s="129" t="n"/>
      <c r="AL143" s="129" t="n"/>
      <c r="AM143" s="129" t="n"/>
      <c r="AN143" s="129" t="n"/>
      <c r="AO143" s="129" t="n"/>
      <c r="AP143" s="129" t="n"/>
      <c r="AQ143" s="129" t="n"/>
      <c r="AR143" s="129" t="n"/>
      <c r="AS143" s="129" t="n"/>
      <c r="AT143" s="129" t="n"/>
      <c r="AU143" s="129" t="n"/>
      <c r="AV143" s="129" t="n"/>
      <c r="AW143" s="129" t="n"/>
      <c r="AX143" s="129" t="n"/>
      <c r="AY143" s="129" t="n"/>
      <c r="AZ143" s="129" t="n"/>
      <c r="BA143" s="129" t="n"/>
      <c r="BB143" s="129" t="n"/>
      <c r="BC143" s="129" t="n"/>
      <c r="BD143" s="129" t="n"/>
      <c r="BE143" s="129" t="n"/>
      <c r="BF143" s="129" t="n"/>
      <c r="BG143" s="129" t="n"/>
      <c r="BH143" s="129" t="n"/>
      <c r="BI143" s="129" t="n"/>
      <c r="BJ143" s="129" t="n"/>
      <c r="BK143" s="129" t="n"/>
      <c r="BL143" s="129" t="n"/>
      <c r="BM143" s="129" t="n"/>
      <c r="BN143" s="129" t="n"/>
      <c r="BO143" s="129" t="n"/>
      <c r="BP143" s="129" t="n"/>
      <c r="BQ143" s="129" t="n"/>
      <c r="BR143" s="129" t="n"/>
      <c r="BS143" s="129" t="n"/>
      <c r="BT143" s="129" t="n"/>
      <c r="BU143" s="129" t="n"/>
      <c r="BV143" s="129" t="n"/>
      <c r="BW143" s="129" t="n"/>
      <c r="BX143" s="129" t="n"/>
      <c r="BY143" s="129" t="n"/>
      <c r="BZ143" s="129" t="n"/>
      <c r="CA143" s="129" t="n"/>
      <c r="CB143" s="129" t="n"/>
      <c r="CC143" s="129" t="n"/>
      <c r="CD143" s="129" t="n"/>
      <c r="CE143" s="129" t="n"/>
      <c r="CF143" s="129" t="n"/>
      <c r="CG143" s="129" t="n"/>
      <c r="CH143" s="129" t="n"/>
      <c r="CI143" s="129" t="n"/>
      <c r="CJ143" s="129" t="n"/>
      <c r="CK143" s="129" t="n"/>
      <c r="CL143" s="129" t="n"/>
      <c r="CM143" s="129" t="n"/>
      <c r="CN143" s="129" t="n"/>
      <c r="CO143" s="129" t="n"/>
      <c r="CP143" s="129" t="n"/>
      <c r="CQ143" s="129" t="n"/>
      <c r="CR143" s="129" t="n"/>
      <c r="CS143" s="129" t="n"/>
      <c r="CT143" s="129" t="n"/>
      <c r="CU143" s="129" t="n"/>
      <c r="CV143" s="129" t="n"/>
      <c r="CW143" s="129" t="n"/>
      <c r="CX143" s="129" t="n"/>
      <c r="CY143" s="129" t="n"/>
      <c r="CZ143" s="129" t="n"/>
      <c r="DA143" s="129" t="n"/>
      <c r="DB143" s="129" t="n"/>
      <c r="DC143" s="129" t="n"/>
      <c r="DD143" s="129" t="n"/>
      <c r="DE143" s="129" t="n"/>
      <c r="DF143" s="129" t="n"/>
      <c r="DG143" s="129" t="n"/>
      <c r="DH143" s="129" t="n"/>
      <c r="DI143" s="129" t="n"/>
      <c r="DJ143" s="129" t="n"/>
      <c r="DK143" s="129" t="n"/>
      <c r="DL143" s="129" t="n"/>
      <c r="DM143" s="129" t="n"/>
      <c r="DN143" s="129" t="n"/>
      <c r="DO143" s="129" t="n"/>
      <c r="DP143" s="129" t="n"/>
      <c r="DQ143" s="129" t="n"/>
      <c r="DR143" s="129" t="n"/>
      <c r="DS143" s="129" t="n"/>
      <c r="DT143" s="129" t="n"/>
      <c r="DU143" s="129" t="n"/>
      <c r="DV143" s="129" t="n"/>
      <c r="DW143" s="129" t="n"/>
      <c r="DX143" s="129" t="n"/>
      <c r="DY143" s="129" t="n"/>
      <c r="DZ143" s="129" t="n"/>
      <c r="EA143" s="129" t="n"/>
      <c r="EB143" s="129" t="n"/>
      <c r="EC143" s="129" t="n"/>
      <c r="ED143" s="129" t="n"/>
      <c r="EE143" s="129" t="n"/>
      <c r="EF143" s="129" t="n"/>
      <c r="EG143" s="129" t="n"/>
      <c r="EH143" s="129" t="n"/>
      <c r="EI143" s="129" t="n"/>
      <c r="EJ143" s="129" t="n"/>
      <c r="EK143" s="129" t="n"/>
      <c r="EL143" s="129" t="n"/>
      <c r="EM143" s="129" t="n"/>
      <c r="EN143" s="129" t="n"/>
      <c r="EO143" s="129" t="n"/>
      <c r="EP143" s="129" t="n"/>
      <c r="EQ143" s="129" t="n"/>
      <c r="ER143" s="129" t="n"/>
      <c r="ES143" s="129" t="n"/>
      <c r="ET143" s="129" t="n"/>
      <c r="EU143" s="129" t="n"/>
      <c r="EV143" s="129" t="n"/>
      <c r="EW143" s="129" t="n"/>
      <c r="EX143" s="129" t="n"/>
      <c r="EY143" s="129" t="n"/>
      <c r="EZ143" s="129" t="n"/>
      <c r="FA143" s="129" t="n"/>
      <c r="FB143" s="129" t="n"/>
      <c r="FC143" s="129" t="n"/>
      <c r="FD143" s="129" t="n"/>
      <c r="FE143" s="129" t="n"/>
      <c r="FF143" s="129" t="n"/>
      <c r="FG143" s="129" t="n"/>
      <c r="FH143" s="129" t="n"/>
      <c r="FI143" s="129" t="n"/>
      <c r="FJ143" s="129" t="n"/>
      <c r="FK143" s="129" t="n"/>
      <c r="FL143" s="129" t="n"/>
      <c r="FM143" s="129" t="n"/>
    </row>
    <row r="144" s="135">
      <c r="A144" s="92" t="n">
        <v>37072</v>
      </c>
      <c r="B144" s="93" t="n">
        <v>0.101</v>
      </c>
      <c r="C144" s="79" t="n"/>
      <c r="D144" s="129" t="n"/>
      <c r="E144" s="129" t="n"/>
      <c r="F144" s="129" t="n"/>
      <c r="G144" s="129" t="n"/>
      <c r="H144" s="129" t="n"/>
      <c r="I144" s="129" t="n"/>
      <c r="J144" s="129" t="n"/>
      <c r="K144" s="129" t="n"/>
      <c r="L144" s="129" t="n"/>
      <c r="M144" s="129" t="n"/>
      <c r="N144" s="129" t="n"/>
      <c r="O144" s="129" t="n"/>
      <c r="P144" s="129" t="n"/>
      <c r="Q144" s="129" t="n"/>
      <c r="R144" s="129" t="n"/>
      <c r="S144" s="129" t="n"/>
      <c r="T144" s="129" t="n"/>
      <c r="U144" s="129" t="n"/>
      <c r="V144" s="129" t="n"/>
      <c r="W144" s="129" t="n"/>
      <c r="X144" s="129" t="n"/>
      <c r="Y144" s="129" t="n"/>
      <c r="Z144" s="129" t="n"/>
      <c r="AA144" s="129" t="n"/>
      <c r="AB144" s="129" t="n"/>
      <c r="AC144" s="129" t="n"/>
      <c r="AD144" s="129" t="n"/>
      <c r="AE144" s="129" t="n"/>
      <c r="AF144" s="129" t="n"/>
      <c r="AG144" s="129" t="n"/>
      <c r="AH144" s="129" t="n"/>
      <c r="AI144" s="129" t="n"/>
      <c r="AJ144" s="129" t="n"/>
      <c r="AK144" s="129" t="n"/>
      <c r="AL144" s="129" t="n"/>
      <c r="AM144" s="129" t="n"/>
      <c r="AN144" s="129" t="n"/>
      <c r="AO144" s="129" t="n"/>
      <c r="AP144" s="129" t="n"/>
      <c r="AQ144" s="129" t="n"/>
      <c r="AR144" s="129" t="n"/>
      <c r="AS144" s="129" t="n"/>
      <c r="AT144" s="129" t="n"/>
      <c r="AU144" s="129" t="n"/>
      <c r="AV144" s="129" t="n"/>
      <c r="AW144" s="129" t="n"/>
      <c r="AX144" s="129" t="n"/>
      <c r="AY144" s="129" t="n"/>
      <c r="AZ144" s="129" t="n"/>
      <c r="BA144" s="129" t="n"/>
      <c r="BB144" s="129" t="n"/>
      <c r="BC144" s="129" t="n"/>
      <c r="BD144" s="129" t="n"/>
      <c r="BE144" s="129" t="n"/>
      <c r="BF144" s="129" t="n"/>
      <c r="BG144" s="129" t="n"/>
      <c r="BH144" s="129" t="n"/>
      <c r="BI144" s="129" t="n"/>
      <c r="BJ144" s="129" t="n"/>
      <c r="BK144" s="129" t="n"/>
      <c r="BL144" s="129" t="n"/>
      <c r="BM144" s="129" t="n"/>
      <c r="BN144" s="129" t="n"/>
      <c r="BO144" s="129" t="n"/>
      <c r="BP144" s="129" t="n"/>
      <c r="BQ144" s="129" t="n"/>
      <c r="BR144" s="129" t="n"/>
      <c r="BS144" s="129" t="n"/>
      <c r="BT144" s="129" t="n"/>
      <c r="BU144" s="129" t="n"/>
      <c r="BV144" s="129" t="n"/>
      <c r="BW144" s="129" t="n"/>
      <c r="BX144" s="129" t="n"/>
      <c r="BY144" s="129" t="n"/>
      <c r="BZ144" s="129" t="n"/>
      <c r="CA144" s="129" t="n"/>
      <c r="CB144" s="129" t="n"/>
      <c r="CC144" s="129" t="n"/>
      <c r="CD144" s="129" t="n"/>
      <c r="CE144" s="129" t="n"/>
      <c r="CF144" s="129" t="n"/>
      <c r="CG144" s="129" t="n"/>
      <c r="CH144" s="129" t="n"/>
      <c r="CI144" s="129" t="n"/>
      <c r="CJ144" s="129" t="n"/>
      <c r="CK144" s="129" t="n"/>
      <c r="CL144" s="129" t="n"/>
      <c r="CM144" s="129" t="n"/>
      <c r="CN144" s="129" t="n"/>
      <c r="CO144" s="129" t="n"/>
      <c r="CP144" s="129" t="n"/>
      <c r="CQ144" s="129" t="n"/>
      <c r="CR144" s="129" t="n"/>
      <c r="CS144" s="129" t="n"/>
      <c r="CT144" s="129" t="n"/>
      <c r="CU144" s="129" t="n"/>
      <c r="CV144" s="129" t="n"/>
      <c r="CW144" s="129" t="n"/>
      <c r="CX144" s="129" t="n"/>
      <c r="CY144" s="129" t="n"/>
      <c r="CZ144" s="129" t="n"/>
      <c r="DA144" s="129" t="n"/>
      <c r="DB144" s="129" t="n"/>
      <c r="DC144" s="129" t="n"/>
      <c r="DD144" s="129" t="n"/>
      <c r="DE144" s="129" t="n"/>
      <c r="DF144" s="129" t="n"/>
      <c r="DG144" s="129" t="n"/>
      <c r="DH144" s="129" t="n"/>
      <c r="DI144" s="129" t="n"/>
      <c r="DJ144" s="129" t="n"/>
      <c r="DK144" s="129" t="n"/>
      <c r="DL144" s="129" t="n"/>
      <c r="DM144" s="129" t="n"/>
      <c r="DN144" s="129" t="n"/>
      <c r="DO144" s="129" t="n"/>
      <c r="DP144" s="129" t="n"/>
      <c r="DQ144" s="129" t="n"/>
      <c r="DR144" s="129" t="n"/>
      <c r="DS144" s="129" t="n"/>
      <c r="DT144" s="129" t="n"/>
      <c r="DU144" s="129" t="n"/>
      <c r="DV144" s="129" t="n"/>
      <c r="DW144" s="129" t="n"/>
      <c r="DX144" s="129" t="n"/>
      <c r="DY144" s="129" t="n"/>
      <c r="DZ144" s="129" t="n"/>
      <c r="EA144" s="129" t="n"/>
      <c r="EB144" s="129" t="n"/>
      <c r="EC144" s="129" t="n"/>
      <c r="ED144" s="129" t="n"/>
      <c r="EE144" s="129" t="n"/>
      <c r="EF144" s="129" t="n"/>
      <c r="EG144" s="129" t="n"/>
      <c r="EH144" s="129" t="n"/>
      <c r="EI144" s="129" t="n"/>
      <c r="EJ144" s="129" t="n"/>
      <c r="EK144" s="129" t="n"/>
      <c r="EL144" s="129" t="n"/>
      <c r="EM144" s="129" t="n"/>
      <c r="EN144" s="129" t="n"/>
      <c r="EO144" s="129" t="n"/>
      <c r="EP144" s="129" t="n"/>
      <c r="EQ144" s="129" t="n"/>
      <c r="ER144" s="129" t="n"/>
      <c r="ES144" s="129" t="n"/>
      <c r="ET144" s="129" t="n"/>
      <c r="EU144" s="129" t="n"/>
      <c r="EV144" s="129" t="n"/>
      <c r="EW144" s="129" t="n"/>
      <c r="EX144" s="129" t="n"/>
      <c r="EY144" s="129" t="n"/>
      <c r="EZ144" s="129" t="n"/>
      <c r="FA144" s="129" t="n"/>
      <c r="FB144" s="129" t="n"/>
      <c r="FC144" s="129" t="n"/>
      <c r="FD144" s="129" t="n"/>
      <c r="FE144" s="129" t="n"/>
      <c r="FF144" s="129" t="n"/>
      <c r="FG144" s="129" t="n"/>
      <c r="FH144" s="129" t="n"/>
      <c r="FI144" s="129" t="n"/>
      <c r="FJ144" s="129" t="n"/>
      <c r="FK144" s="129" t="n"/>
      <c r="FL144" s="129" t="n"/>
      <c r="FM144" s="129" t="n"/>
    </row>
    <row r="145" s="135">
      <c r="A145" s="90" t="n">
        <v>37103</v>
      </c>
      <c r="B145" s="91" t="n">
        <v>0.081</v>
      </c>
      <c r="C145" s="79" t="n"/>
      <c r="D145" s="129" t="n"/>
      <c r="E145" s="129" t="n"/>
      <c r="F145" s="129" t="n"/>
      <c r="G145" s="129" t="n"/>
      <c r="H145" s="129" t="n"/>
      <c r="I145" s="129" t="n"/>
      <c r="J145" s="129" t="n"/>
      <c r="K145" s="129" t="n"/>
      <c r="L145" s="129" t="n"/>
      <c r="M145" s="129" t="n"/>
      <c r="N145" s="129" t="n"/>
      <c r="O145" s="129" t="n"/>
      <c r="P145" s="129" t="n"/>
      <c r="Q145" s="129" t="n"/>
      <c r="R145" s="129" t="n"/>
      <c r="S145" s="129" t="n"/>
      <c r="T145" s="129" t="n"/>
      <c r="U145" s="129" t="n"/>
      <c r="V145" s="129" t="n"/>
      <c r="W145" s="129" t="n"/>
      <c r="X145" s="129" t="n"/>
      <c r="Y145" s="129" t="n"/>
      <c r="Z145" s="129" t="n"/>
      <c r="AA145" s="129" t="n"/>
      <c r="AB145" s="129" t="n"/>
      <c r="AC145" s="129" t="n"/>
      <c r="AD145" s="129" t="n"/>
      <c r="AE145" s="129" t="n"/>
      <c r="AF145" s="129" t="n"/>
      <c r="AG145" s="129" t="n"/>
      <c r="AH145" s="129" t="n"/>
      <c r="AI145" s="129" t="n"/>
      <c r="AJ145" s="129" t="n"/>
      <c r="AK145" s="129" t="n"/>
      <c r="AL145" s="129" t="n"/>
      <c r="AM145" s="129" t="n"/>
      <c r="AN145" s="129" t="n"/>
      <c r="AO145" s="129" t="n"/>
      <c r="AP145" s="129" t="n"/>
      <c r="AQ145" s="129" t="n"/>
      <c r="AR145" s="129" t="n"/>
      <c r="AS145" s="129" t="n"/>
      <c r="AT145" s="129" t="n"/>
      <c r="AU145" s="129" t="n"/>
      <c r="AV145" s="129" t="n"/>
      <c r="AW145" s="129" t="n"/>
      <c r="AX145" s="129" t="n"/>
      <c r="AY145" s="129" t="n"/>
      <c r="AZ145" s="129" t="n"/>
      <c r="BA145" s="129" t="n"/>
      <c r="BB145" s="129" t="n"/>
      <c r="BC145" s="129" t="n"/>
      <c r="BD145" s="129" t="n"/>
      <c r="BE145" s="129" t="n"/>
      <c r="BF145" s="129" t="n"/>
      <c r="BG145" s="129" t="n"/>
      <c r="BH145" s="129" t="n"/>
      <c r="BI145" s="129" t="n"/>
      <c r="BJ145" s="129" t="n"/>
      <c r="BK145" s="129" t="n"/>
      <c r="BL145" s="129" t="n"/>
      <c r="BM145" s="129" t="n"/>
      <c r="BN145" s="129" t="n"/>
      <c r="BO145" s="129" t="n"/>
      <c r="BP145" s="129" t="n"/>
      <c r="BQ145" s="129" t="n"/>
      <c r="BR145" s="129" t="n"/>
      <c r="BS145" s="129" t="n"/>
      <c r="BT145" s="129" t="n"/>
      <c r="BU145" s="129" t="n"/>
      <c r="BV145" s="129" t="n"/>
      <c r="BW145" s="129" t="n"/>
      <c r="BX145" s="129" t="n"/>
      <c r="BY145" s="129" t="n"/>
      <c r="BZ145" s="129" t="n"/>
      <c r="CA145" s="129" t="n"/>
      <c r="CB145" s="129" t="n"/>
      <c r="CC145" s="129" t="n"/>
      <c r="CD145" s="129" t="n"/>
      <c r="CE145" s="129" t="n"/>
      <c r="CF145" s="129" t="n"/>
      <c r="CG145" s="129" t="n"/>
      <c r="CH145" s="129" t="n"/>
      <c r="CI145" s="129" t="n"/>
      <c r="CJ145" s="129" t="n"/>
      <c r="CK145" s="129" t="n"/>
      <c r="CL145" s="129" t="n"/>
      <c r="CM145" s="129" t="n"/>
      <c r="CN145" s="129" t="n"/>
      <c r="CO145" s="129" t="n"/>
      <c r="CP145" s="129" t="n"/>
      <c r="CQ145" s="129" t="n"/>
      <c r="CR145" s="129" t="n"/>
      <c r="CS145" s="129" t="n"/>
      <c r="CT145" s="129" t="n"/>
      <c r="CU145" s="129" t="n"/>
      <c r="CV145" s="129" t="n"/>
      <c r="CW145" s="129" t="n"/>
      <c r="CX145" s="129" t="n"/>
      <c r="CY145" s="129" t="n"/>
      <c r="CZ145" s="129" t="n"/>
      <c r="DA145" s="129" t="n"/>
      <c r="DB145" s="129" t="n"/>
      <c r="DC145" s="129" t="n"/>
      <c r="DD145" s="129" t="n"/>
      <c r="DE145" s="129" t="n"/>
      <c r="DF145" s="129" t="n"/>
      <c r="DG145" s="129" t="n"/>
      <c r="DH145" s="129" t="n"/>
      <c r="DI145" s="129" t="n"/>
      <c r="DJ145" s="129" t="n"/>
      <c r="DK145" s="129" t="n"/>
      <c r="DL145" s="129" t="n"/>
      <c r="DM145" s="129" t="n"/>
      <c r="DN145" s="129" t="n"/>
      <c r="DO145" s="129" t="n"/>
      <c r="DP145" s="129" t="n"/>
      <c r="DQ145" s="129" t="n"/>
      <c r="DR145" s="129" t="n"/>
      <c r="DS145" s="129" t="n"/>
      <c r="DT145" s="129" t="n"/>
      <c r="DU145" s="129" t="n"/>
      <c r="DV145" s="129" t="n"/>
      <c r="DW145" s="129" t="n"/>
      <c r="DX145" s="129" t="n"/>
      <c r="DY145" s="129" t="n"/>
      <c r="DZ145" s="129" t="n"/>
      <c r="EA145" s="129" t="n"/>
      <c r="EB145" s="129" t="n"/>
      <c r="EC145" s="129" t="n"/>
      <c r="ED145" s="129" t="n"/>
      <c r="EE145" s="129" t="n"/>
      <c r="EF145" s="129" t="n"/>
      <c r="EG145" s="129" t="n"/>
      <c r="EH145" s="129" t="n"/>
      <c r="EI145" s="129" t="n"/>
      <c r="EJ145" s="129" t="n"/>
      <c r="EK145" s="129" t="n"/>
      <c r="EL145" s="129" t="n"/>
      <c r="EM145" s="129" t="n"/>
      <c r="EN145" s="129" t="n"/>
      <c r="EO145" s="129" t="n"/>
      <c r="EP145" s="129" t="n"/>
      <c r="EQ145" s="129" t="n"/>
      <c r="ER145" s="129" t="n"/>
      <c r="ES145" s="129" t="n"/>
      <c r="ET145" s="129" t="n"/>
      <c r="EU145" s="129" t="n"/>
      <c r="EV145" s="129" t="n"/>
      <c r="EW145" s="129" t="n"/>
      <c r="EX145" s="129" t="n"/>
      <c r="EY145" s="129" t="n"/>
      <c r="EZ145" s="129" t="n"/>
      <c r="FA145" s="129" t="n"/>
      <c r="FB145" s="129" t="n"/>
      <c r="FC145" s="129" t="n"/>
      <c r="FD145" s="129" t="n"/>
      <c r="FE145" s="129" t="n"/>
      <c r="FF145" s="129" t="n"/>
      <c r="FG145" s="129" t="n"/>
      <c r="FH145" s="129" t="n"/>
      <c r="FI145" s="129" t="n"/>
      <c r="FJ145" s="129" t="n"/>
      <c r="FK145" s="129" t="n"/>
      <c r="FL145" s="129" t="n"/>
      <c r="FM145" s="129" t="n"/>
    </row>
    <row r="146" s="135">
      <c r="A146" s="92" t="n">
        <v>37134</v>
      </c>
      <c r="B146" s="93" t="n">
        <v>0.081</v>
      </c>
      <c r="C146" s="79" t="n"/>
      <c r="D146" s="129" t="n"/>
      <c r="E146" s="129" t="n"/>
      <c r="F146" s="129" t="n"/>
      <c r="G146" s="129" t="n"/>
      <c r="H146" s="129" t="n"/>
      <c r="I146" s="129" t="n"/>
      <c r="J146" s="129" t="n"/>
      <c r="K146" s="129" t="n"/>
      <c r="L146" s="129" t="n"/>
      <c r="M146" s="129" t="n"/>
      <c r="N146" s="129" t="n"/>
      <c r="O146" s="129" t="n"/>
      <c r="P146" s="129" t="n"/>
      <c r="Q146" s="129" t="n"/>
      <c r="R146" s="129" t="n"/>
      <c r="S146" s="129" t="n"/>
      <c r="T146" s="129" t="n"/>
      <c r="U146" s="129" t="n"/>
      <c r="V146" s="129" t="n"/>
      <c r="W146" s="129" t="n"/>
      <c r="X146" s="129" t="n"/>
      <c r="Y146" s="129" t="n"/>
      <c r="Z146" s="129" t="n"/>
      <c r="AA146" s="129" t="n"/>
      <c r="AB146" s="129" t="n"/>
      <c r="AC146" s="129" t="n"/>
      <c r="AD146" s="129" t="n"/>
      <c r="AE146" s="129" t="n"/>
      <c r="AF146" s="129" t="n"/>
      <c r="AG146" s="129" t="n"/>
      <c r="AH146" s="129" t="n"/>
      <c r="AI146" s="129" t="n"/>
      <c r="AJ146" s="129" t="n"/>
      <c r="AK146" s="129" t="n"/>
      <c r="AL146" s="129" t="n"/>
      <c r="AM146" s="129" t="n"/>
      <c r="AN146" s="129" t="n"/>
      <c r="AO146" s="129" t="n"/>
      <c r="AP146" s="129" t="n"/>
      <c r="AQ146" s="129" t="n"/>
      <c r="AR146" s="129" t="n"/>
      <c r="AS146" s="129" t="n"/>
      <c r="AT146" s="129" t="n"/>
      <c r="AU146" s="129" t="n"/>
      <c r="AV146" s="129" t="n"/>
      <c r="AW146" s="129" t="n"/>
      <c r="AX146" s="129" t="n"/>
      <c r="AY146" s="129" t="n"/>
      <c r="AZ146" s="129" t="n"/>
      <c r="BA146" s="129" t="n"/>
      <c r="BB146" s="129" t="n"/>
      <c r="BC146" s="129" t="n"/>
      <c r="BD146" s="129" t="n"/>
      <c r="BE146" s="129" t="n"/>
      <c r="BF146" s="129" t="n"/>
      <c r="BG146" s="129" t="n"/>
      <c r="BH146" s="129" t="n"/>
      <c r="BI146" s="129" t="n"/>
      <c r="BJ146" s="129" t="n"/>
      <c r="BK146" s="129" t="n"/>
      <c r="BL146" s="129" t="n"/>
      <c r="BM146" s="129" t="n"/>
      <c r="BN146" s="129" t="n"/>
      <c r="BO146" s="129" t="n"/>
      <c r="BP146" s="129" t="n"/>
      <c r="BQ146" s="129" t="n"/>
      <c r="BR146" s="129" t="n"/>
      <c r="BS146" s="129" t="n"/>
      <c r="BT146" s="129" t="n"/>
      <c r="BU146" s="129" t="n"/>
      <c r="BV146" s="129" t="n"/>
      <c r="BW146" s="129" t="n"/>
      <c r="BX146" s="129" t="n"/>
      <c r="BY146" s="129" t="n"/>
      <c r="BZ146" s="129" t="n"/>
      <c r="CA146" s="129" t="n"/>
      <c r="CB146" s="129" t="n"/>
      <c r="CC146" s="129" t="n"/>
      <c r="CD146" s="129" t="n"/>
      <c r="CE146" s="129" t="n"/>
      <c r="CF146" s="129" t="n"/>
      <c r="CG146" s="129" t="n"/>
      <c r="CH146" s="129" t="n"/>
      <c r="CI146" s="129" t="n"/>
      <c r="CJ146" s="129" t="n"/>
      <c r="CK146" s="129" t="n"/>
      <c r="CL146" s="129" t="n"/>
      <c r="CM146" s="129" t="n"/>
      <c r="CN146" s="129" t="n"/>
      <c r="CO146" s="129" t="n"/>
      <c r="CP146" s="129" t="n"/>
      <c r="CQ146" s="129" t="n"/>
      <c r="CR146" s="129" t="n"/>
      <c r="CS146" s="129" t="n"/>
      <c r="CT146" s="129" t="n"/>
      <c r="CU146" s="129" t="n"/>
      <c r="CV146" s="129" t="n"/>
      <c r="CW146" s="129" t="n"/>
      <c r="CX146" s="129" t="n"/>
      <c r="CY146" s="129" t="n"/>
      <c r="CZ146" s="129" t="n"/>
      <c r="DA146" s="129" t="n"/>
      <c r="DB146" s="129" t="n"/>
      <c r="DC146" s="129" t="n"/>
      <c r="DD146" s="129" t="n"/>
      <c r="DE146" s="129" t="n"/>
      <c r="DF146" s="129" t="n"/>
      <c r="DG146" s="129" t="n"/>
      <c r="DH146" s="129" t="n"/>
      <c r="DI146" s="129" t="n"/>
      <c r="DJ146" s="129" t="n"/>
      <c r="DK146" s="129" t="n"/>
      <c r="DL146" s="129" t="n"/>
      <c r="DM146" s="129" t="n"/>
      <c r="DN146" s="129" t="n"/>
      <c r="DO146" s="129" t="n"/>
      <c r="DP146" s="129" t="n"/>
      <c r="DQ146" s="129" t="n"/>
      <c r="DR146" s="129" t="n"/>
      <c r="DS146" s="129" t="n"/>
      <c r="DT146" s="129" t="n"/>
      <c r="DU146" s="129" t="n"/>
      <c r="DV146" s="129" t="n"/>
      <c r="DW146" s="129" t="n"/>
      <c r="DX146" s="129" t="n"/>
      <c r="DY146" s="129" t="n"/>
      <c r="DZ146" s="129" t="n"/>
      <c r="EA146" s="129" t="n"/>
      <c r="EB146" s="129" t="n"/>
      <c r="EC146" s="129" t="n"/>
      <c r="ED146" s="129" t="n"/>
      <c r="EE146" s="129" t="n"/>
      <c r="EF146" s="129" t="n"/>
      <c r="EG146" s="129" t="n"/>
      <c r="EH146" s="129" t="n"/>
      <c r="EI146" s="129" t="n"/>
      <c r="EJ146" s="129" t="n"/>
      <c r="EK146" s="129" t="n"/>
      <c r="EL146" s="129" t="n"/>
      <c r="EM146" s="129" t="n"/>
      <c r="EN146" s="129" t="n"/>
      <c r="EO146" s="129" t="n"/>
      <c r="EP146" s="129" t="n"/>
      <c r="EQ146" s="129" t="n"/>
      <c r="ER146" s="129" t="n"/>
      <c r="ES146" s="129" t="n"/>
      <c r="ET146" s="129" t="n"/>
      <c r="EU146" s="129" t="n"/>
      <c r="EV146" s="129" t="n"/>
      <c r="EW146" s="129" t="n"/>
      <c r="EX146" s="129" t="n"/>
      <c r="EY146" s="129" t="n"/>
      <c r="EZ146" s="129" t="n"/>
      <c r="FA146" s="129" t="n"/>
      <c r="FB146" s="129" t="n"/>
      <c r="FC146" s="129" t="n"/>
      <c r="FD146" s="129" t="n"/>
      <c r="FE146" s="129" t="n"/>
      <c r="FF146" s="129" t="n"/>
      <c r="FG146" s="129" t="n"/>
      <c r="FH146" s="129" t="n"/>
      <c r="FI146" s="129" t="n"/>
      <c r="FJ146" s="129" t="n"/>
      <c r="FK146" s="129" t="n"/>
      <c r="FL146" s="129" t="n"/>
      <c r="FM146" s="129" t="n"/>
    </row>
    <row r="147" s="135">
      <c r="A147" s="90" t="n">
        <v>37164</v>
      </c>
      <c r="B147" s="91" t="n">
        <v>0.095</v>
      </c>
      <c r="C147" s="79" t="n"/>
      <c r="D147" s="129" t="n"/>
      <c r="E147" s="129" t="n"/>
      <c r="F147" s="129" t="n"/>
      <c r="G147" s="129" t="n"/>
      <c r="H147" s="129" t="n"/>
      <c r="I147" s="129" t="n"/>
      <c r="J147" s="129" t="n"/>
      <c r="K147" s="129" t="n"/>
      <c r="L147" s="129" t="n"/>
      <c r="M147" s="129" t="n"/>
      <c r="N147" s="129" t="n"/>
      <c r="O147" s="129" t="n"/>
      <c r="P147" s="129" t="n"/>
      <c r="Q147" s="129" t="n"/>
      <c r="R147" s="129" t="n"/>
      <c r="S147" s="129" t="n"/>
      <c r="T147" s="129" t="n"/>
      <c r="U147" s="129" t="n"/>
      <c r="V147" s="129" t="n"/>
      <c r="W147" s="129" t="n"/>
      <c r="X147" s="129" t="n"/>
      <c r="Y147" s="129" t="n"/>
      <c r="Z147" s="129" t="n"/>
      <c r="AA147" s="129" t="n"/>
      <c r="AB147" s="129" t="n"/>
      <c r="AC147" s="129" t="n"/>
      <c r="AD147" s="129" t="n"/>
      <c r="AE147" s="129" t="n"/>
      <c r="AF147" s="129" t="n"/>
      <c r="AG147" s="129" t="n"/>
      <c r="AH147" s="129" t="n"/>
      <c r="AI147" s="129" t="n"/>
      <c r="AJ147" s="129" t="n"/>
      <c r="AK147" s="129" t="n"/>
      <c r="AL147" s="129" t="n"/>
      <c r="AM147" s="129" t="n"/>
      <c r="AN147" s="129" t="n"/>
      <c r="AO147" s="129" t="n"/>
      <c r="AP147" s="129" t="n"/>
      <c r="AQ147" s="129" t="n"/>
      <c r="AR147" s="129" t="n"/>
      <c r="AS147" s="129" t="n"/>
      <c r="AT147" s="129" t="n"/>
      <c r="AU147" s="129" t="n"/>
      <c r="AV147" s="129" t="n"/>
      <c r="AW147" s="129" t="n"/>
      <c r="AX147" s="129" t="n"/>
      <c r="AY147" s="129" t="n"/>
      <c r="AZ147" s="129" t="n"/>
      <c r="BA147" s="129" t="n"/>
      <c r="BB147" s="129" t="n"/>
      <c r="BC147" s="129" t="n"/>
      <c r="BD147" s="129" t="n"/>
      <c r="BE147" s="129" t="n"/>
      <c r="BF147" s="129" t="n"/>
      <c r="BG147" s="129" t="n"/>
      <c r="BH147" s="129" t="n"/>
      <c r="BI147" s="129" t="n"/>
      <c r="BJ147" s="129" t="n"/>
      <c r="BK147" s="129" t="n"/>
      <c r="BL147" s="129" t="n"/>
      <c r="BM147" s="129" t="n"/>
      <c r="BN147" s="129" t="n"/>
      <c r="BO147" s="129" t="n"/>
      <c r="BP147" s="129" t="n"/>
      <c r="BQ147" s="129" t="n"/>
      <c r="BR147" s="129" t="n"/>
      <c r="BS147" s="129" t="n"/>
      <c r="BT147" s="129" t="n"/>
      <c r="BU147" s="129" t="n"/>
      <c r="BV147" s="129" t="n"/>
      <c r="BW147" s="129" t="n"/>
      <c r="BX147" s="129" t="n"/>
      <c r="BY147" s="129" t="n"/>
      <c r="BZ147" s="129" t="n"/>
      <c r="CA147" s="129" t="n"/>
      <c r="CB147" s="129" t="n"/>
      <c r="CC147" s="129" t="n"/>
      <c r="CD147" s="129" t="n"/>
      <c r="CE147" s="129" t="n"/>
      <c r="CF147" s="129" t="n"/>
      <c r="CG147" s="129" t="n"/>
      <c r="CH147" s="129" t="n"/>
      <c r="CI147" s="129" t="n"/>
      <c r="CJ147" s="129" t="n"/>
      <c r="CK147" s="129" t="n"/>
      <c r="CL147" s="129" t="n"/>
      <c r="CM147" s="129" t="n"/>
      <c r="CN147" s="129" t="n"/>
      <c r="CO147" s="129" t="n"/>
      <c r="CP147" s="129" t="n"/>
      <c r="CQ147" s="129" t="n"/>
      <c r="CR147" s="129" t="n"/>
      <c r="CS147" s="129" t="n"/>
      <c r="CT147" s="129" t="n"/>
      <c r="CU147" s="129" t="n"/>
      <c r="CV147" s="129" t="n"/>
      <c r="CW147" s="129" t="n"/>
      <c r="CX147" s="129" t="n"/>
      <c r="CY147" s="129" t="n"/>
      <c r="CZ147" s="129" t="n"/>
      <c r="DA147" s="129" t="n"/>
      <c r="DB147" s="129" t="n"/>
      <c r="DC147" s="129" t="n"/>
      <c r="DD147" s="129" t="n"/>
      <c r="DE147" s="129" t="n"/>
      <c r="DF147" s="129" t="n"/>
      <c r="DG147" s="129" t="n"/>
      <c r="DH147" s="129" t="n"/>
      <c r="DI147" s="129" t="n"/>
      <c r="DJ147" s="129" t="n"/>
      <c r="DK147" s="129" t="n"/>
      <c r="DL147" s="129" t="n"/>
      <c r="DM147" s="129" t="n"/>
      <c r="DN147" s="129" t="n"/>
      <c r="DO147" s="129" t="n"/>
      <c r="DP147" s="129" t="n"/>
      <c r="DQ147" s="129" t="n"/>
      <c r="DR147" s="129" t="n"/>
      <c r="DS147" s="129" t="n"/>
      <c r="DT147" s="129" t="n"/>
      <c r="DU147" s="129" t="n"/>
      <c r="DV147" s="129" t="n"/>
      <c r="DW147" s="129" t="n"/>
      <c r="DX147" s="129" t="n"/>
      <c r="DY147" s="129" t="n"/>
      <c r="DZ147" s="129" t="n"/>
      <c r="EA147" s="129" t="n"/>
      <c r="EB147" s="129" t="n"/>
      <c r="EC147" s="129" t="n"/>
      <c r="ED147" s="129" t="n"/>
      <c r="EE147" s="129" t="n"/>
      <c r="EF147" s="129" t="n"/>
      <c r="EG147" s="129" t="n"/>
      <c r="EH147" s="129" t="n"/>
      <c r="EI147" s="129" t="n"/>
      <c r="EJ147" s="129" t="n"/>
      <c r="EK147" s="129" t="n"/>
      <c r="EL147" s="129" t="n"/>
      <c r="EM147" s="129" t="n"/>
      <c r="EN147" s="129" t="n"/>
      <c r="EO147" s="129" t="n"/>
      <c r="EP147" s="129" t="n"/>
      <c r="EQ147" s="129" t="n"/>
      <c r="ER147" s="129" t="n"/>
      <c r="ES147" s="129" t="n"/>
      <c r="ET147" s="129" t="n"/>
      <c r="EU147" s="129" t="n"/>
      <c r="EV147" s="129" t="n"/>
      <c r="EW147" s="129" t="n"/>
      <c r="EX147" s="129" t="n"/>
      <c r="EY147" s="129" t="n"/>
      <c r="EZ147" s="129" t="n"/>
      <c r="FA147" s="129" t="n"/>
      <c r="FB147" s="129" t="n"/>
      <c r="FC147" s="129" t="n"/>
      <c r="FD147" s="129" t="n"/>
      <c r="FE147" s="129" t="n"/>
      <c r="FF147" s="129" t="n"/>
      <c r="FG147" s="129" t="n"/>
      <c r="FH147" s="129" t="n"/>
      <c r="FI147" s="129" t="n"/>
      <c r="FJ147" s="129" t="n"/>
      <c r="FK147" s="129" t="n"/>
      <c r="FL147" s="129" t="n"/>
      <c r="FM147" s="129" t="n"/>
    </row>
    <row r="148" s="135">
      <c r="A148" s="92" t="n">
        <v>37195</v>
      </c>
      <c r="B148" s="93" t="n">
        <v>0.08799999999999999</v>
      </c>
      <c r="C148" s="79" t="n"/>
      <c r="D148" s="129" t="n"/>
      <c r="E148" s="129" t="n"/>
      <c r="F148" s="129" t="n"/>
      <c r="G148" s="129" t="n"/>
      <c r="H148" s="129" t="n"/>
      <c r="I148" s="129" t="n"/>
      <c r="J148" s="129" t="n"/>
      <c r="K148" s="129" t="n"/>
      <c r="L148" s="129" t="n"/>
      <c r="M148" s="129" t="n"/>
      <c r="N148" s="129" t="n"/>
      <c r="O148" s="129" t="n"/>
      <c r="P148" s="129" t="n"/>
      <c r="Q148" s="129" t="n"/>
      <c r="R148" s="129" t="n"/>
      <c r="S148" s="129" t="n"/>
      <c r="T148" s="129" t="n"/>
      <c r="U148" s="129" t="n"/>
      <c r="V148" s="129" t="n"/>
      <c r="W148" s="129" t="n"/>
      <c r="X148" s="129" t="n"/>
      <c r="Y148" s="129" t="n"/>
      <c r="Z148" s="129" t="n"/>
      <c r="AA148" s="129" t="n"/>
      <c r="AB148" s="129" t="n"/>
      <c r="AC148" s="129" t="n"/>
      <c r="AD148" s="129" t="n"/>
      <c r="AE148" s="129" t="n"/>
      <c r="AF148" s="129" t="n"/>
      <c r="AG148" s="129" t="n"/>
      <c r="AH148" s="129" t="n"/>
      <c r="AI148" s="129" t="n"/>
      <c r="AJ148" s="129" t="n"/>
      <c r="AK148" s="129" t="n"/>
      <c r="AL148" s="129" t="n"/>
      <c r="AM148" s="129" t="n"/>
      <c r="AN148" s="129" t="n"/>
      <c r="AO148" s="129" t="n"/>
      <c r="AP148" s="129" t="n"/>
      <c r="AQ148" s="129" t="n"/>
      <c r="AR148" s="129" t="n"/>
      <c r="AS148" s="129" t="n"/>
      <c r="AT148" s="129" t="n"/>
      <c r="AU148" s="129" t="n"/>
      <c r="AV148" s="129" t="n"/>
      <c r="AW148" s="129" t="n"/>
      <c r="AX148" s="129" t="n"/>
      <c r="AY148" s="129" t="n"/>
      <c r="AZ148" s="129" t="n"/>
      <c r="BA148" s="129" t="n"/>
      <c r="BB148" s="129" t="n"/>
      <c r="BC148" s="129" t="n"/>
      <c r="BD148" s="129" t="n"/>
      <c r="BE148" s="129" t="n"/>
      <c r="BF148" s="129" t="n"/>
      <c r="BG148" s="129" t="n"/>
      <c r="BH148" s="129" t="n"/>
      <c r="BI148" s="129" t="n"/>
      <c r="BJ148" s="129" t="n"/>
      <c r="BK148" s="129" t="n"/>
      <c r="BL148" s="129" t="n"/>
      <c r="BM148" s="129" t="n"/>
      <c r="BN148" s="129" t="n"/>
      <c r="BO148" s="129" t="n"/>
      <c r="BP148" s="129" t="n"/>
      <c r="BQ148" s="129" t="n"/>
      <c r="BR148" s="129" t="n"/>
      <c r="BS148" s="129" t="n"/>
      <c r="BT148" s="129" t="n"/>
      <c r="BU148" s="129" t="n"/>
      <c r="BV148" s="129" t="n"/>
      <c r="BW148" s="129" t="n"/>
      <c r="BX148" s="129" t="n"/>
      <c r="BY148" s="129" t="n"/>
      <c r="BZ148" s="129" t="n"/>
      <c r="CA148" s="129" t="n"/>
      <c r="CB148" s="129" t="n"/>
      <c r="CC148" s="129" t="n"/>
      <c r="CD148" s="129" t="n"/>
      <c r="CE148" s="129" t="n"/>
      <c r="CF148" s="129" t="n"/>
      <c r="CG148" s="129" t="n"/>
      <c r="CH148" s="129" t="n"/>
      <c r="CI148" s="129" t="n"/>
      <c r="CJ148" s="129" t="n"/>
      <c r="CK148" s="129" t="n"/>
      <c r="CL148" s="129" t="n"/>
      <c r="CM148" s="129" t="n"/>
      <c r="CN148" s="129" t="n"/>
      <c r="CO148" s="129" t="n"/>
      <c r="CP148" s="129" t="n"/>
      <c r="CQ148" s="129" t="n"/>
      <c r="CR148" s="129" t="n"/>
      <c r="CS148" s="129" t="n"/>
      <c r="CT148" s="129" t="n"/>
      <c r="CU148" s="129" t="n"/>
      <c r="CV148" s="129" t="n"/>
      <c r="CW148" s="129" t="n"/>
      <c r="CX148" s="129" t="n"/>
      <c r="CY148" s="129" t="n"/>
      <c r="CZ148" s="129" t="n"/>
      <c r="DA148" s="129" t="n"/>
      <c r="DB148" s="129" t="n"/>
      <c r="DC148" s="129" t="n"/>
      <c r="DD148" s="129" t="n"/>
      <c r="DE148" s="129" t="n"/>
      <c r="DF148" s="129" t="n"/>
      <c r="DG148" s="129" t="n"/>
      <c r="DH148" s="129" t="n"/>
      <c r="DI148" s="129" t="n"/>
      <c r="DJ148" s="129" t="n"/>
      <c r="DK148" s="129" t="n"/>
      <c r="DL148" s="129" t="n"/>
      <c r="DM148" s="129" t="n"/>
      <c r="DN148" s="129" t="n"/>
      <c r="DO148" s="129" t="n"/>
      <c r="DP148" s="129" t="n"/>
      <c r="DQ148" s="129" t="n"/>
      <c r="DR148" s="129" t="n"/>
      <c r="DS148" s="129" t="n"/>
      <c r="DT148" s="129" t="n"/>
      <c r="DU148" s="129" t="n"/>
      <c r="DV148" s="129" t="n"/>
      <c r="DW148" s="129" t="n"/>
      <c r="DX148" s="129" t="n"/>
      <c r="DY148" s="129" t="n"/>
      <c r="DZ148" s="129" t="n"/>
      <c r="EA148" s="129" t="n"/>
      <c r="EB148" s="129" t="n"/>
      <c r="EC148" s="129" t="n"/>
      <c r="ED148" s="129" t="n"/>
      <c r="EE148" s="129" t="n"/>
      <c r="EF148" s="129" t="n"/>
      <c r="EG148" s="129" t="n"/>
      <c r="EH148" s="129" t="n"/>
      <c r="EI148" s="129" t="n"/>
      <c r="EJ148" s="129" t="n"/>
      <c r="EK148" s="129" t="n"/>
      <c r="EL148" s="129" t="n"/>
      <c r="EM148" s="129" t="n"/>
      <c r="EN148" s="129" t="n"/>
      <c r="EO148" s="129" t="n"/>
      <c r="EP148" s="129" t="n"/>
      <c r="EQ148" s="129" t="n"/>
      <c r="ER148" s="129" t="n"/>
      <c r="ES148" s="129" t="n"/>
      <c r="ET148" s="129" t="n"/>
      <c r="EU148" s="129" t="n"/>
      <c r="EV148" s="129" t="n"/>
      <c r="EW148" s="129" t="n"/>
      <c r="EX148" s="129" t="n"/>
      <c r="EY148" s="129" t="n"/>
      <c r="EZ148" s="129" t="n"/>
      <c r="FA148" s="129" t="n"/>
      <c r="FB148" s="129" t="n"/>
      <c r="FC148" s="129" t="n"/>
      <c r="FD148" s="129" t="n"/>
      <c r="FE148" s="129" t="n"/>
      <c r="FF148" s="129" t="n"/>
      <c r="FG148" s="129" t="n"/>
      <c r="FH148" s="129" t="n"/>
      <c r="FI148" s="129" t="n"/>
      <c r="FJ148" s="129" t="n"/>
      <c r="FK148" s="129" t="n"/>
      <c r="FL148" s="129" t="n"/>
      <c r="FM148" s="129" t="n"/>
    </row>
    <row r="149" s="135">
      <c r="A149" s="90" t="n">
        <v>37225</v>
      </c>
      <c r="B149" s="91" t="n">
        <v>0.079</v>
      </c>
      <c r="C149" s="79" t="n"/>
      <c r="D149" s="129" t="n"/>
      <c r="E149" s="129" t="n"/>
      <c r="F149" s="129" t="n"/>
      <c r="G149" s="129" t="n"/>
      <c r="H149" s="129" t="n"/>
      <c r="I149" s="129" t="n"/>
      <c r="J149" s="129" t="n"/>
      <c r="K149" s="129" t="n"/>
      <c r="L149" s="129" t="n"/>
      <c r="M149" s="129" t="n"/>
      <c r="N149" s="129" t="n"/>
      <c r="O149" s="129" t="n"/>
      <c r="P149" s="129" t="n"/>
      <c r="Q149" s="129" t="n"/>
      <c r="R149" s="129" t="n"/>
      <c r="S149" s="129" t="n"/>
      <c r="T149" s="129" t="n"/>
      <c r="U149" s="129" t="n"/>
      <c r="V149" s="129" t="n"/>
      <c r="W149" s="129" t="n"/>
      <c r="X149" s="129" t="n"/>
      <c r="Y149" s="129" t="n"/>
      <c r="Z149" s="129" t="n"/>
      <c r="AA149" s="129" t="n"/>
      <c r="AB149" s="129" t="n"/>
      <c r="AC149" s="129" t="n"/>
      <c r="AD149" s="129" t="n"/>
      <c r="AE149" s="129" t="n"/>
      <c r="AF149" s="129" t="n"/>
      <c r="AG149" s="129" t="n"/>
      <c r="AH149" s="129" t="n"/>
      <c r="AI149" s="129" t="n"/>
      <c r="AJ149" s="129" t="n"/>
      <c r="AK149" s="129" t="n"/>
      <c r="AL149" s="129" t="n"/>
      <c r="AM149" s="129" t="n"/>
      <c r="AN149" s="129" t="n"/>
      <c r="AO149" s="129" t="n"/>
      <c r="AP149" s="129" t="n"/>
      <c r="AQ149" s="129" t="n"/>
      <c r="AR149" s="129" t="n"/>
      <c r="AS149" s="129" t="n"/>
      <c r="AT149" s="129" t="n"/>
      <c r="AU149" s="129" t="n"/>
      <c r="AV149" s="129" t="n"/>
      <c r="AW149" s="129" t="n"/>
      <c r="AX149" s="129" t="n"/>
      <c r="AY149" s="129" t="n"/>
      <c r="AZ149" s="129" t="n"/>
      <c r="BA149" s="129" t="n"/>
      <c r="BB149" s="129" t="n"/>
      <c r="BC149" s="129" t="n"/>
      <c r="BD149" s="129" t="n"/>
      <c r="BE149" s="129" t="n"/>
      <c r="BF149" s="129" t="n"/>
      <c r="BG149" s="129" t="n"/>
      <c r="BH149" s="129" t="n"/>
      <c r="BI149" s="129" t="n"/>
      <c r="BJ149" s="129" t="n"/>
      <c r="BK149" s="129" t="n"/>
      <c r="BL149" s="129" t="n"/>
      <c r="BM149" s="129" t="n"/>
      <c r="BN149" s="129" t="n"/>
      <c r="BO149" s="129" t="n"/>
      <c r="BP149" s="129" t="n"/>
      <c r="BQ149" s="129" t="n"/>
      <c r="BR149" s="129" t="n"/>
      <c r="BS149" s="129" t="n"/>
      <c r="BT149" s="129" t="n"/>
      <c r="BU149" s="129" t="n"/>
      <c r="BV149" s="129" t="n"/>
      <c r="BW149" s="129" t="n"/>
      <c r="BX149" s="129" t="n"/>
      <c r="BY149" s="129" t="n"/>
      <c r="BZ149" s="129" t="n"/>
      <c r="CA149" s="129" t="n"/>
      <c r="CB149" s="129" t="n"/>
      <c r="CC149" s="129" t="n"/>
      <c r="CD149" s="129" t="n"/>
      <c r="CE149" s="129" t="n"/>
      <c r="CF149" s="129" t="n"/>
      <c r="CG149" s="129" t="n"/>
      <c r="CH149" s="129" t="n"/>
      <c r="CI149" s="129" t="n"/>
      <c r="CJ149" s="129" t="n"/>
      <c r="CK149" s="129" t="n"/>
      <c r="CL149" s="129" t="n"/>
      <c r="CM149" s="129" t="n"/>
      <c r="CN149" s="129" t="n"/>
      <c r="CO149" s="129" t="n"/>
      <c r="CP149" s="129" t="n"/>
      <c r="CQ149" s="129" t="n"/>
      <c r="CR149" s="129" t="n"/>
      <c r="CS149" s="129" t="n"/>
      <c r="CT149" s="129" t="n"/>
      <c r="CU149" s="129" t="n"/>
      <c r="CV149" s="129" t="n"/>
      <c r="CW149" s="129" t="n"/>
      <c r="CX149" s="129" t="n"/>
      <c r="CY149" s="129" t="n"/>
      <c r="CZ149" s="129" t="n"/>
      <c r="DA149" s="129" t="n"/>
      <c r="DB149" s="129" t="n"/>
      <c r="DC149" s="129" t="n"/>
      <c r="DD149" s="129" t="n"/>
      <c r="DE149" s="129" t="n"/>
      <c r="DF149" s="129" t="n"/>
      <c r="DG149" s="129" t="n"/>
      <c r="DH149" s="129" t="n"/>
      <c r="DI149" s="129" t="n"/>
      <c r="DJ149" s="129" t="n"/>
      <c r="DK149" s="129" t="n"/>
      <c r="DL149" s="129" t="n"/>
      <c r="DM149" s="129" t="n"/>
      <c r="DN149" s="129" t="n"/>
      <c r="DO149" s="129" t="n"/>
      <c r="DP149" s="129" t="n"/>
      <c r="DQ149" s="129" t="n"/>
      <c r="DR149" s="129" t="n"/>
      <c r="DS149" s="129" t="n"/>
      <c r="DT149" s="129" t="n"/>
      <c r="DU149" s="129" t="n"/>
      <c r="DV149" s="129" t="n"/>
      <c r="DW149" s="129" t="n"/>
      <c r="DX149" s="129" t="n"/>
      <c r="DY149" s="129" t="n"/>
      <c r="DZ149" s="129" t="n"/>
      <c r="EA149" s="129" t="n"/>
      <c r="EB149" s="129" t="n"/>
      <c r="EC149" s="129" t="n"/>
      <c r="ED149" s="129" t="n"/>
      <c r="EE149" s="129" t="n"/>
      <c r="EF149" s="129" t="n"/>
      <c r="EG149" s="129" t="n"/>
      <c r="EH149" s="129" t="n"/>
      <c r="EI149" s="129" t="n"/>
      <c r="EJ149" s="129" t="n"/>
      <c r="EK149" s="129" t="n"/>
      <c r="EL149" s="129" t="n"/>
      <c r="EM149" s="129" t="n"/>
      <c r="EN149" s="129" t="n"/>
      <c r="EO149" s="129" t="n"/>
      <c r="EP149" s="129" t="n"/>
      <c r="EQ149" s="129" t="n"/>
      <c r="ER149" s="129" t="n"/>
      <c r="ES149" s="129" t="n"/>
      <c r="ET149" s="129" t="n"/>
      <c r="EU149" s="129" t="n"/>
      <c r="EV149" s="129" t="n"/>
      <c r="EW149" s="129" t="n"/>
      <c r="EX149" s="129" t="n"/>
      <c r="EY149" s="129" t="n"/>
      <c r="EZ149" s="129" t="n"/>
      <c r="FA149" s="129" t="n"/>
      <c r="FB149" s="129" t="n"/>
      <c r="FC149" s="129" t="n"/>
      <c r="FD149" s="129" t="n"/>
      <c r="FE149" s="129" t="n"/>
      <c r="FF149" s="129" t="n"/>
      <c r="FG149" s="129" t="n"/>
      <c r="FH149" s="129" t="n"/>
      <c r="FI149" s="129" t="n"/>
      <c r="FJ149" s="129" t="n"/>
      <c r="FK149" s="129" t="n"/>
      <c r="FL149" s="129" t="n"/>
      <c r="FM149" s="129" t="n"/>
    </row>
    <row r="150" s="135">
      <c r="A150" s="92" t="n">
        <v>37256</v>
      </c>
      <c r="B150" s="93" t="n">
        <v>0.08699999999999999</v>
      </c>
      <c r="C150" s="79" t="n"/>
      <c r="D150" s="129" t="n"/>
      <c r="E150" s="129" t="n"/>
      <c r="F150" s="129" t="n"/>
      <c r="G150" s="129" t="n"/>
      <c r="H150" s="129" t="n"/>
      <c r="I150" s="129" t="n"/>
      <c r="J150" s="129" t="n"/>
      <c r="K150" s="129" t="n"/>
      <c r="L150" s="129" t="n"/>
      <c r="M150" s="129" t="n"/>
      <c r="N150" s="129" t="n"/>
      <c r="O150" s="129" t="n"/>
      <c r="P150" s="129" t="n"/>
      <c r="Q150" s="129" t="n"/>
      <c r="R150" s="129" t="n"/>
      <c r="S150" s="129" t="n"/>
      <c r="T150" s="129" t="n"/>
      <c r="U150" s="129" t="n"/>
      <c r="V150" s="129" t="n"/>
      <c r="W150" s="129" t="n"/>
      <c r="X150" s="129" t="n"/>
      <c r="Y150" s="129" t="n"/>
      <c r="Z150" s="129" t="n"/>
      <c r="AA150" s="129" t="n"/>
      <c r="AB150" s="129" t="n"/>
      <c r="AC150" s="129" t="n"/>
      <c r="AD150" s="129" t="n"/>
      <c r="AE150" s="129" t="n"/>
      <c r="AF150" s="129" t="n"/>
      <c r="AG150" s="129" t="n"/>
      <c r="AH150" s="129" t="n"/>
      <c r="AI150" s="129" t="n"/>
      <c r="AJ150" s="129" t="n"/>
      <c r="AK150" s="129" t="n"/>
      <c r="AL150" s="129" t="n"/>
      <c r="AM150" s="129" t="n"/>
      <c r="AN150" s="129" t="n"/>
      <c r="AO150" s="129" t="n"/>
      <c r="AP150" s="129" t="n"/>
      <c r="AQ150" s="129" t="n"/>
      <c r="AR150" s="129" t="n"/>
      <c r="AS150" s="129" t="n"/>
      <c r="AT150" s="129" t="n"/>
      <c r="AU150" s="129" t="n"/>
      <c r="AV150" s="129" t="n"/>
      <c r="AW150" s="129" t="n"/>
      <c r="AX150" s="129" t="n"/>
      <c r="AY150" s="129" t="n"/>
      <c r="AZ150" s="129" t="n"/>
      <c r="BA150" s="129" t="n"/>
      <c r="BB150" s="129" t="n"/>
      <c r="BC150" s="129" t="n"/>
      <c r="BD150" s="129" t="n"/>
      <c r="BE150" s="129" t="n"/>
      <c r="BF150" s="129" t="n"/>
      <c r="BG150" s="129" t="n"/>
      <c r="BH150" s="129" t="n"/>
      <c r="BI150" s="129" t="n"/>
      <c r="BJ150" s="129" t="n"/>
      <c r="BK150" s="129" t="n"/>
      <c r="BL150" s="129" t="n"/>
      <c r="BM150" s="129" t="n"/>
      <c r="BN150" s="129" t="n"/>
      <c r="BO150" s="129" t="n"/>
      <c r="BP150" s="129" t="n"/>
      <c r="BQ150" s="129" t="n"/>
      <c r="BR150" s="129" t="n"/>
      <c r="BS150" s="129" t="n"/>
      <c r="BT150" s="129" t="n"/>
      <c r="BU150" s="129" t="n"/>
      <c r="BV150" s="129" t="n"/>
      <c r="BW150" s="129" t="n"/>
      <c r="BX150" s="129" t="n"/>
      <c r="BY150" s="129" t="n"/>
      <c r="BZ150" s="129" t="n"/>
      <c r="CA150" s="129" t="n"/>
      <c r="CB150" s="129" t="n"/>
      <c r="CC150" s="129" t="n"/>
      <c r="CD150" s="129" t="n"/>
      <c r="CE150" s="129" t="n"/>
      <c r="CF150" s="129" t="n"/>
      <c r="CG150" s="129" t="n"/>
      <c r="CH150" s="129" t="n"/>
      <c r="CI150" s="129" t="n"/>
      <c r="CJ150" s="129" t="n"/>
      <c r="CK150" s="129" t="n"/>
      <c r="CL150" s="129" t="n"/>
      <c r="CM150" s="129" t="n"/>
      <c r="CN150" s="129" t="n"/>
      <c r="CO150" s="129" t="n"/>
      <c r="CP150" s="129" t="n"/>
      <c r="CQ150" s="129" t="n"/>
      <c r="CR150" s="129" t="n"/>
      <c r="CS150" s="129" t="n"/>
      <c r="CT150" s="129" t="n"/>
      <c r="CU150" s="129" t="n"/>
      <c r="CV150" s="129" t="n"/>
      <c r="CW150" s="129" t="n"/>
      <c r="CX150" s="129" t="n"/>
      <c r="CY150" s="129" t="n"/>
      <c r="CZ150" s="129" t="n"/>
      <c r="DA150" s="129" t="n"/>
      <c r="DB150" s="129" t="n"/>
      <c r="DC150" s="129" t="n"/>
      <c r="DD150" s="129" t="n"/>
      <c r="DE150" s="129" t="n"/>
      <c r="DF150" s="129" t="n"/>
      <c r="DG150" s="129" t="n"/>
      <c r="DH150" s="129" t="n"/>
      <c r="DI150" s="129" t="n"/>
      <c r="DJ150" s="129" t="n"/>
      <c r="DK150" s="129" t="n"/>
      <c r="DL150" s="129" t="n"/>
      <c r="DM150" s="129" t="n"/>
      <c r="DN150" s="129" t="n"/>
      <c r="DO150" s="129" t="n"/>
      <c r="DP150" s="129" t="n"/>
      <c r="DQ150" s="129" t="n"/>
      <c r="DR150" s="129" t="n"/>
      <c r="DS150" s="129" t="n"/>
      <c r="DT150" s="129" t="n"/>
      <c r="DU150" s="129" t="n"/>
      <c r="DV150" s="129" t="n"/>
      <c r="DW150" s="129" t="n"/>
      <c r="DX150" s="129" t="n"/>
      <c r="DY150" s="129" t="n"/>
      <c r="DZ150" s="129" t="n"/>
      <c r="EA150" s="129" t="n"/>
      <c r="EB150" s="129" t="n"/>
      <c r="EC150" s="129" t="n"/>
      <c r="ED150" s="129" t="n"/>
      <c r="EE150" s="129" t="n"/>
      <c r="EF150" s="129" t="n"/>
      <c r="EG150" s="129" t="n"/>
      <c r="EH150" s="129" t="n"/>
      <c r="EI150" s="129" t="n"/>
      <c r="EJ150" s="129" t="n"/>
      <c r="EK150" s="129" t="n"/>
      <c r="EL150" s="129" t="n"/>
      <c r="EM150" s="129" t="n"/>
      <c r="EN150" s="129" t="n"/>
      <c r="EO150" s="129" t="n"/>
      <c r="EP150" s="129" t="n"/>
      <c r="EQ150" s="129" t="n"/>
      <c r="ER150" s="129" t="n"/>
      <c r="ES150" s="129" t="n"/>
      <c r="ET150" s="129" t="n"/>
      <c r="EU150" s="129" t="n"/>
      <c r="EV150" s="129" t="n"/>
      <c r="EW150" s="129" t="n"/>
      <c r="EX150" s="129" t="n"/>
      <c r="EY150" s="129" t="n"/>
      <c r="EZ150" s="129" t="n"/>
      <c r="FA150" s="129" t="n"/>
      <c r="FB150" s="129" t="n"/>
      <c r="FC150" s="129" t="n"/>
      <c r="FD150" s="129" t="n"/>
      <c r="FE150" s="129" t="n"/>
      <c r="FF150" s="129" t="n"/>
      <c r="FG150" s="129" t="n"/>
      <c r="FH150" s="129" t="n"/>
      <c r="FI150" s="129" t="n"/>
      <c r="FJ150" s="129" t="n"/>
      <c r="FK150" s="129" t="n"/>
      <c r="FL150" s="129" t="n"/>
      <c r="FM150" s="129" t="n"/>
    </row>
    <row r="151" s="135">
      <c r="A151" s="90" t="n">
        <v>37287</v>
      </c>
      <c r="B151" s="91" t="n">
        <v>0.186</v>
      </c>
      <c r="C151" s="79" t="n"/>
      <c r="D151" s="129" t="n"/>
      <c r="E151" s="129" t="n"/>
      <c r="F151" s="129" t="n"/>
      <c r="G151" s="129" t="n"/>
      <c r="H151" s="129" t="n"/>
      <c r="I151" s="129" t="n"/>
      <c r="J151" s="129" t="n"/>
      <c r="K151" s="129" t="n"/>
      <c r="L151" s="129" t="n"/>
      <c r="M151" s="129" t="n"/>
      <c r="N151" s="129" t="n"/>
      <c r="O151" s="129" t="n"/>
      <c r="P151" s="129" t="n"/>
      <c r="Q151" s="129" t="n"/>
      <c r="R151" s="129" t="n"/>
      <c r="S151" s="129" t="n"/>
      <c r="T151" s="129" t="n"/>
      <c r="U151" s="129" t="n"/>
      <c r="V151" s="129" t="n"/>
      <c r="W151" s="129" t="n"/>
      <c r="X151" s="129" t="n"/>
      <c r="Y151" s="129" t="n"/>
      <c r="Z151" s="129" t="n"/>
      <c r="AA151" s="129" t="n"/>
      <c r="AB151" s="129" t="n"/>
      <c r="AC151" s="129" t="n"/>
      <c r="AD151" s="129" t="n"/>
      <c r="AE151" s="129" t="n"/>
      <c r="AF151" s="129" t="n"/>
      <c r="AG151" s="129" t="n"/>
      <c r="AH151" s="129" t="n"/>
      <c r="AI151" s="129" t="n"/>
      <c r="AJ151" s="129" t="n"/>
      <c r="AK151" s="129" t="n"/>
      <c r="AL151" s="129" t="n"/>
      <c r="AM151" s="129" t="n"/>
      <c r="AN151" s="129" t="n"/>
      <c r="AO151" s="129" t="n"/>
      <c r="AP151" s="129" t="n"/>
      <c r="AQ151" s="129" t="n"/>
      <c r="AR151" s="129" t="n"/>
      <c r="AS151" s="129" t="n"/>
      <c r="AT151" s="129" t="n"/>
      <c r="AU151" s="129" t="n"/>
      <c r="AV151" s="129" t="n"/>
      <c r="AW151" s="129" t="n"/>
      <c r="AX151" s="129" t="n"/>
      <c r="AY151" s="129" t="n"/>
      <c r="AZ151" s="129" t="n"/>
      <c r="BA151" s="129" t="n"/>
      <c r="BB151" s="129" t="n"/>
      <c r="BC151" s="129" t="n"/>
      <c r="BD151" s="129" t="n"/>
      <c r="BE151" s="129" t="n"/>
      <c r="BF151" s="129" t="n"/>
      <c r="BG151" s="129" t="n"/>
      <c r="BH151" s="129" t="n"/>
      <c r="BI151" s="129" t="n"/>
      <c r="BJ151" s="129" t="n"/>
      <c r="BK151" s="129" t="n"/>
      <c r="BL151" s="129" t="n"/>
      <c r="BM151" s="129" t="n"/>
      <c r="BN151" s="129" t="n"/>
      <c r="BO151" s="129" t="n"/>
      <c r="BP151" s="129" t="n"/>
      <c r="BQ151" s="129" t="n"/>
      <c r="BR151" s="129" t="n"/>
      <c r="BS151" s="129" t="n"/>
      <c r="BT151" s="129" t="n"/>
      <c r="BU151" s="129" t="n"/>
      <c r="BV151" s="129" t="n"/>
      <c r="BW151" s="129" t="n"/>
      <c r="BX151" s="129" t="n"/>
      <c r="BY151" s="129" t="n"/>
      <c r="BZ151" s="129" t="n"/>
      <c r="CA151" s="129" t="n"/>
      <c r="CB151" s="129" t="n"/>
      <c r="CC151" s="129" t="n"/>
      <c r="CD151" s="129" t="n"/>
      <c r="CE151" s="129" t="n"/>
      <c r="CF151" s="129" t="n"/>
      <c r="CG151" s="129" t="n"/>
      <c r="CH151" s="129" t="n"/>
      <c r="CI151" s="129" t="n"/>
      <c r="CJ151" s="129" t="n"/>
      <c r="CK151" s="129" t="n"/>
      <c r="CL151" s="129" t="n"/>
      <c r="CM151" s="129" t="n"/>
      <c r="CN151" s="129" t="n"/>
      <c r="CO151" s="129" t="n"/>
      <c r="CP151" s="129" t="n"/>
      <c r="CQ151" s="129" t="n"/>
      <c r="CR151" s="129" t="n"/>
      <c r="CS151" s="129" t="n"/>
      <c r="CT151" s="129" t="n"/>
      <c r="CU151" s="129" t="n"/>
      <c r="CV151" s="129" t="n"/>
      <c r="CW151" s="129" t="n"/>
      <c r="CX151" s="129" t="n"/>
      <c r="CY151" s="129" t="n"/>
      <c r="CZ151" s="129" t="n"/>
      <c r="DA151" s="129" t="n"/>
      <c r="DB151" s="129" t="n"/>
      <c r="DC151" s="129" t="n"/>
      <c r="DD151" s="129" t="n"/>
      <c r="DE151" s="129" t="n"/>
      <c r="DF151" s="129" t="n"/>
      <c r="DG151" s="129" t="n"/>
      <c r="DH151" s="129" t="n"/>
      <c r="DI151" s="129" t="n"/>
      <c r="DJ151" s="129" t="n"/>
      <c r="DK151" s="129" t="n"/>
      <c r="DL151" s="129" t="n"/>
      <c r="DM151" s="129" t="n"/>
      <c r="DN151" s="129" t="n"/>
      <c r="DO151" s="129" t="n"/>
      <c r="DP151" s="129" t="n"/>
      <c r="DQ151" s="129" t="n"/>
      <c r="DR151" s="129" t="n"/>
      <c r="DS151" s="129" t="n"/>
      <c r="DT151" s="129" t="n"/>
      <c r="DU151" s="129" t="n"/>
      <c r="DV151" s="129" t="n"/>
      <c r="DW151" s="129" t="n"/>
      <c r="DX151" s="129" t="n"/>
      <c r="DY151" s="129" t="n"/>
      <c r="DZ151" s="129" t="n"/>
      <c r="EA151" s="129" t="n"/>
      <c r="EB151" s="129" t="n"/>
      <c r="EC151" s="129" t="n"/>
      <c r="ED151" s="129" t="n"/>
      <c r="EE151" s="129" t="n"/>
      <c r="EF151" s="129" t="n"/>
      <c r="EG151" s="129" t="n"/>
      <c r="EH151" s="129" t="n"/>
      <c r="EI151" s="129" t="n"/>
      <c r="EJ151" s="129" t="n"/>
      <c r="EK151" s="129" t="n"/>
      <c r="EL151" s="129" t="n"/>
      <c r="EM151" s="129" t="n"/>
      <c r="EN151" s="129" t="n"/>
      <c r="EO151" s="129" t="n"/>
      <c r="EP151" s="129" t="n"/>
      <c r="EQ151" s="129" t="n"/>
      <c r="ER151" s="129" t="n"/>
      <c r="ES151" s="129" t="n"/>
      <c r="ET151" s="129" t="n"/>
      <c r="EU151" s="129" t="n"/>
      <c r="EV151" s="129" t="n"/>
      <c r="EW151" s="129" t="n"/>
      <c r="EX151" s="129" t="n"/>
      <c r="EY151" s="129" t="n"/>
      <c r="EZ151" s="129" t="n"/>
      <c r="FA151" s="129" t="n"/>
      <c r="FB151" s="129" t="n"/>
      <c r="FC151" s="129" t="n"/>
      <c r="FD151" s="129" t="n"/>
      <c r="FE151" s="129" t="n"/>
      <c r="FF151" s="129" t="n"/>
      <c r="FG151" s="129" t="n"/>
      <c r="FH151" s="129" t="n"/>
      <c r="FI151" s="129" t="n"/>
      <c r="FJ151" s="129" t="n"/>
      <c r="FK151" s="129" t="n"/>
      <c r="FL151" s="129" t="n"/>
      <c r="FM151" s="129" t="n"/>
    </row>
    <row r="152" s="135">
      <c r="A152" s="92" t="n">
        <v>37315</v>
      </c>
      <c r="B152" s="93" t="n">
        <v>0.027</v>
      </c>
      <c r="C152" s="79" t="n"/>
      <c r="D152" s="129" t="n"/>
      <c r="E152" s="129" t="n"/>
      <c r="F152" s="129" t="n"/>
      <c r="G152" s="129" t="n"/>
      <c r="H152" s="129" t="n"/>
      <c r="I152" s="129" t="n"/>
      <c r="J152" s="129" t="n"/>
      <c r="K152" s="129" t="n"/>
      <c r="L152" s="129" t="n"/>
      <c r="M152" s="129" t="n"/>
      <c r="N152" s="129" t="n"/>
      <c r="O152" s="129" t="n"/>
      <c r="P152" s="129" t="n"/>
      <c r="Q152" s="129" t="n"/>
      <c r="R152" s="129" t="n"/>
      <c r="S152" s="129" t="n"/>
      <c r="T152" s="129" t="n"/>
      <c r="U152" s="129" t="n"/>
      <c r="V152" s="129" t="n"/>
      <c r="W152" s="129" t="n"/>
      <c r="X152" s="129" t="n"/>
      <c r="Y152" s="129" t="n"/>
      <c r="Z152" s="129" t="n"/>
      <c r="AA152" s="129" t="n"/>
      <c r="AB152" s="129" t="n"/>
      <c r="AC152" s="129" t="n"/>
      <c r="AD152" s="129" t="n"/>
      <c r="AE152" s="129" t="n"/>
      <c r="AF152" s="129" t="n"/>
      <c r="AG152" s="129" t="n"/>
      <c r="AH152" s="129" t="n"/>
      <c r="AI152" s="129" t="n"/>
      <c r="AJ152" s="129" t="n"/>
      <c r="AK152" s="129" t="n"/>
      <c r="AL152" s="129" t="n"/>
      <c r="AM152" s="129" t="n"/>
      <c r="AN152" s="129" t="n"/>
      <c r="AO152" s="129" t="n"/>
      <c r="AP152" s="129" t="n"/>
      <c r="AQ152" s="129" t="n"/>
      <c r="AR152" s="129" t="n"/>
      <c r="AS152" s="129" t="n"/>
      <c r="AT152" s="129" t="n"/>
      <c r="AU152" s="129" t="n"/>
      <c r="AV152" s="129" t="n"/>
      <c r="AW152" s="129" t="n"/>
      <c r="AX152" s="129" t="n"/>
      <c r="AY152" s="129" t="n"/>
      <c r="AZ152" s="129" t="n"/>
      <c r="BA152" s="129" t="n"/>
      <c r="BB152" s="129" t="n"/>
      <c r="BC152" s="129" t="n"/>
      <c r="BD152" s="129" t="n"/>
      <c r="BE152" s="129" t="n"/>
      <c r="BF152" s="129" t="n"/>
      <c r="BG152" s="129" t="n"/>
      <c r="BH152" s="129" t="n"/>
      <c r="BI152" s="129" t="n"/>
      <c r="BJ152" s="129" t="n"/>
      <c r="BK152" s="129" t="n"/>
      <c r="BL152" s="129" t="n"/>
      <c r="BM152" s="129" t="n"/>
      <c r="BN152" s="129" t="n"/>
      <c r="BO152" s="129" t="n"/>
      <c r="BP152" s="129" t="n"/>
      <c r="BQ152" s="129" t="n"/>
      <c r="BR152" s="129" t="n"/>
      <c r="BS152" s="129" t="n"/>
      <c r="BT152" s="129" t="n"/>
      <c r="BU152" s="129" t="n"/>
      <c r="BV152" s="129" t="n"/>
      <c r="BW152" s="129" t="n"/>
      <c r="BX152" s="129" t="n"/>
      <c r="BY152" s="129" t="n"/>
      <c r="BZ152" s="129" t="n"/>
      <c r="CA152" s="129" t="n"/>
      <c r="CB152" s="129" t="n"/>
      <c r="CC152" s="129" t="n"/>
      <c r="CD152" s="129" t="n"/>
      <c r="CE152" s="129" t="n"/>
      <c r="CF152" s="129" t="n"/>
      <c r="CG152" s="129" t="n"/>
      <c r="CH152" s="129" t="n"/>
      <c r="CI152" s="129" t="n"/>
      <c r="CJ152" s="129" t="n"/>
      <c r="CK152" s="129" t="n"/>
      <c r="CL152" s="129" t="n"/>
      <c r="CM152" s="129" t="n"/>
      <c r="CN152" s="129" t="n"/>
      <c r="CO152" s="129" t="n"/>
      <c r="CP152" s="129" t="n"/>
      <c r="CQ152" s="129" t="n"/>
      <c r="CR152" s="129" t="n"/>
      <c r="CS152" s="129" t="n"/>
      <c r="CT152" s="129" t="n"/>
      <c r="CU152" s="129" t="n"/>
      <c r="CV152" s="129" t="n"/>
      <c r="CW152" s="129" t="n"/>
      <c r="CX152" s="129" t="n"/>
      <c r="CY152" s="129" t="n"/>
      <c r="CZ152" s="129" t="n"/>
      <c r="DA152" s="129" t="n"/>
      <c r="DB152" s="129" t="n"/>
      <c r="DC152" s="129" t="n"/>
      <c r="DD152" s="129" t="n"/>
      <c r="DE152" s="129" t="n"/>
      <c r="DF152" s="129" t="n"/>
      <c r="DG152" s="129" t="n"/>
      <c r="DH152" s="129" t="n"/>
      <c r="DI152" s="129" t="n"/>
      <c r="DJ152" s="129" t="n"/>
      <c r="DK152" s="129" t="n"/>
      <c r="DL152" s="129" t="n"/>
      <c r="DM152" s="129" t="n"/>
      <c r="DN152" s="129" t="n"/>
      <c r="DO152" s="129" t="n"/>
      <c r="DP152" s="129" t="n"/>
      <c r="DQ152" s="129" t="n"/>
      <c r="DR152" s="129" t="n"/>
      <c r="DS152" s="129" t="n"/>
      <c r="DT152" s="129" t="n"/>
      <c r="DU152" s="129" t="n"/>
      <c r="DV152" s="129" t="n"/>
      <c r="DW152" s="129" t="n"/>
      <c r="DX152" s="129" t="n"/>
      <c r="DY152" s="129" t="n"/>
      <c r="DZ152" s="129" t="n"/>
      <c r="EA152" s="129" t="n"/>
      <c r="EB152" s="129" t="n"/>
      <c r="EC152" s="129" t="n"/>
      <c r="ED152" s="129" t="n"/>
      <c r="EE152" s="129" t="n"/>
      <c r="EF152" s="129" t="n"/>
      <c r="EG152" s="129" t="n"/>
      <c r="EH152" s="129" t="n"/>
      <c r="EI152" s="129" t="n"/>
      <c r="EJ152" s="129" t="n"/>
      <c r="EK152" s="129" t="n"/>
      <c r="EL152" s="129" t="n"/>
      <c r="EM152" s="129" t="n"/>
      <c r="EN152" s="129" t="n"/>
      <c r="EO152" s="129" t="n"/>
      <c r="EP152" s="129" t="n"/>
      <c r="EQ152" s="129" t="n"/>
      <c r="ER152" s="129" t="n"/>
      <c r="ES152" s="129" t="n"/>
      <c r="ET152" s="129" t="n"/>
      <c r="EU152" s="129" t="n"/>
      <c r="EV152" s="129" t="n"/>
      <c r="EW152" s="129" t="n"/>
      <c r="EX152" s="129" t="n"/>
      <c r="EY152" s="129" t="n"/>
      <c r="EZ152" s="129" t="n"/>
      <c r="FA152" s="129" t="n"/>
      <c r="FB152" s="129" t="n"/>
      <c r="FC152" s="129" t="n"/>
      <c r="FD152" s="129" t="n"/>
      <c r="FE152" s="129" t="n"/>
      <c r="FF152" s="129" t="n"/>
      <c r="FG152" s="129" t="n"/>
      <c r="FH152" s="129" t="n"/>
      <c r="FI152" s="129" t="n"/>
      <c r="FJ152" s="129" t="n"/>
      <c r="FK152" s="129" t="n"/>
      <c r="FL152" s="129" t="n"/>
      <c r="FM152" s="129" t="n"/>
    </row>
    <row r="153" s="135">
      <c r="A153" s="90" t="n">
        <v>37346</v>
      </c>
      <c r="B153" s="91" t="n">
        <v>0.109</v>
      </c>
      <c r="C153" s="79" t="n"/>
      <c r="D153" s="129" t="n"/>
      <c r="E153" s="129" t="n"/>
      <c r="F153" s="129" t="n"/>
      <c r="G153" s="129" t="n"/>
      <c r="H153" s="129" t="n"/>
      <c r="I153" s="129" t="n"/>
      <c r="J153" s="129" t="n"/>
      <c r="K153" s="129" t="n"/>
      <c r="L153" s="129" t="n"/>
      <c r="M153" s="129" t="n"/>
      <c r="N153" s="129" t="n"/>
      <c r="O153" s="129" t="n"/>
      <c r="P153" s="129" t="n"/>
      <c r="Q153" s="129" t="n"/>
      <c r="R153" s="129" t="n"/>
      <c r="S153" s="129" t="n"/>
      <c r="T153" s="129" t="n"/>
      <c r="U153" s="129" t="n"/>
      <c r="V153" s="129" t="n"/>
      <c r="W153" s="129" t="n"/>
      <c r="X153" s="129" t="n"/>
      <c r="Y153" s="129" t="n"/>
      <c r="Z153" s="129" t="n"/>
      <c r="AA153" s="129" t="n"/>
      <c r="AB153" s="129" t="n"/>
      <c r="AC153" s="129" t="n"/>
      <c r="AD153" s="129" t="n"/>
      <c r="AE153" s="129" t="n"/>
      <c r="AF153" s="129" t="n"/>
      <c r="AG153" s="129" t="n"/>
      <c r="AH153" s="129" t="n"/>
      <c r="AI153" s="129" t="n"/>
      <c r="AJ153" s="129" t="n"/>
      <c r="AK153" s="129" t="n"/>
      <c r="AL153" s="129" t="n"/>
      <c r="AM153" s="129" t="n"/>
      <c r="AN153" s="129" t="n"/>
      <c r="AO153" s="129" t="n"/>
      <c r="AP153" s="129" t="n"/>
      <c r="AQ153" s="129" t="n"/>
      <c r="AR153" s="129" t="n"/>
      <c r="AS153" s="129" t="n"/>
      <c r="AT153" s="129" t="n"/>
      <c r="AU153" s="129" t="n"/>
      <c r="AV153" s="129" t="n"/>
      <c r="AW153" s="129" t="n"/>
      <c r="AX153" s="129" t="n"/>
      <c r="AY153" s="129" t="n"/>
      <c r="AZ153" s="129" t="n"/>
      <c r="BA153" s="129" t="n"/>
      <c r="BB153" s="129" t="n"/>
      <c r="BC153" s="129" t="n"/>
      <c r="BD153" s="129" t="n"/>
      <c r="BE153" s="129" t="n"/>
      <c r="BF153" s="129" t="n"/>
      <c r="BG153" s="129" t="n"/>
      <c r="BH153" s="129" t="n"/>
      <c r="BI153" s="129" t="n"/>
      <c r="BJ153" s="129" t="n"/>
      <c r="BK153" s="129" t="n"/>
      <c r="BL153" s="129" t="n"/>
      <c r="BM153" s="129" t="n"/>
      <c r="BN153" s="129" t="n"/>
      <c r="BO153" s="129" t="n"/>
      <c r="BP153" s="129" t="n"/>
      <c r="BQ153" s="129" t="n"/>
      <c r="BR153" s="129" t="n"/>
      <c r="BS153" s="129" t="n"/>
      <c r="BT153" s="129" t="n"/>
      <c r="BU153" s="129" t="n"/>
      <c r="BV153" s="129" t="n"/>
      <c r="BW153" s="129" t="n"/>
      <c r="BX153" s="129" t="n"/>
      <c r="BY153" s="129" t="n"/>
      <c r="BZ153" s="129" t="n"/>
      <c r="CA153" s="129" t="n"/>
      <c r="CB153" s="129" t="n"/>
      <c r="CC153" s="129" t="n"/>
      <c r="CD153" s="129" t="n"/>
      <c r="CE153" s="129" t="n"/>
      <c r="CF153" s="129" t="n"/>
      <c r="CG153" s="129" t="n"/>
      <c r="CH153" s="129" t="n"/>
      <c r="CI153" s="129" t="n"/>
      <c r="CJ153" s="129" t="n"/>
      <c r="CK153" s="129" t="n"/>
      <c r="CL153" s="129" t="n"/>
      <c r="CM153" s="129" t="n"/>
      <c r="CN153" s="129" t="n"/>
      <c r="CO153" s="129" t="n"/>
      <c r="CP153" s="129" t="n"/>
      <c r="CQ153" s="129" t="n"/>
      <c r="CR153" s="129" t="n"/>
      <c r="CS153" s="129" t="n"/>
      <c r="CT153" s="129" t="n"/>
      <c r="CU153" s="129" t="n"/>
      <c r="CV153" s="129" t="n"/>
      <c r="CW153" s="129" t="n"/>
      <c r="CX153" s="129" t="n"/>
      <c r="CY153" s="129" t="n"/>
      <c r="CZ153" s="129" t="n"/>
      <c r="DA153" s="129" t="n"/>
      <c r="DB153" s="129" t="n"/>
      <c r="DC153" s="129" t="n"/>
      <c r="DD153" s="129" t="n"/>
      <c r="DE153" s="129" t="n"/>
      <c r="DF153" s="129" t="n"/>
      <c r="DG153" s="129" t="n"/>
      <c r="DH153" s="129" t="n"/>
      <c r="DI153" s="129" t="n"/>
      <c r="DJ153" s="129" t="n"/>
      <c r="DK153" s="129" t="n"/>
      <c r="DL153" s="129" t="n"/>
      <c r="DM153" s="129" t="n"/>
      <c r="DN153" s="129" t="n"/>
      <c r="DO153" s="129" t="n"/>
      <c r="DP153" s="129" t="n"/>
      <c r="DQ153" s="129" t="n"/>
      <c r="DR153" s="129" t="n"/>
      <c r="DS153" s="129" t="n"/>
      <c r="DT153" s="129" t="n"/>
      <c r="DU153" s="129" t="n"/>
      <c r="DV153" s="129" t="n"/>
      <c r="DW153" s="129" t="n"/>
      <c r="DX153" s="129" t="n"/>
      <c r="DY153" s="129" t="n"/>
      <c r="DZ153" s="129" t="n"/>
      <c r="EA153" s="129" t="n"/>
      <c r="EB153" s="129" t="n"/>
      <c r="EC153" s="129" t="n"/>
      <c r="ED153" s="129" t="n"/>
      <c r="EE153" s="129" t="n"/>
      <c r="EF153" s="129" t="n"/>
      <c r="EG153" s="129" t="n"/>
      <c r="EH153" s="129" t="n"/>
      <c r="EI153" s="129" t="n"/>
      <c r="EJ153" s="129" t="n"/>
      <c r="EK153" s="129" t="n"/>
      <c r="EL153" s="129" t="n"/>
      <c r="EM153" s="129" t="n"/>
      <c r="EN153" s="129" t="n"/>
      <c r="EO153" s="129" t="n"/>
      <c r="EP153" s="129" t="n"/>
      <c r="EQ153" s="129" t="n"/>
      <c r="ER153" s="129" t="n"/>
      <c r="ES153" s="129" t="n"/>
      <c r="ET153" s="129" t="n"/>
      <c r="EU153" s="129" t="n"/>
      <c r="EV153" s="129" t="n"/>
      <c r="EW153" s="129" t="n"/>
      <c r="EX153" s="129" t="n"/>
      <c r="EY153" s="129" t="n"/>
      <c r="EZ153" s="129" t="n"/>
      <c r="FA153" s="129" t="n"/>
      <c r="FB153" s="129" t="n"/>
      <c r="FC153" s="129" t="n"/>
      <c r="FD153" s="129" t="n"/>
      <c r="FE153" s="129" t="n"/>
      <c r="FF153" s="129" t="n"/>
      <c r="FG153" s="129" t="n"/>
      <c r="FH153" s="129" t="n"/>
      <c r="FI153" s="129" t="n"/>
      <c r="FJ153" s="129" t="n"/>
      <c r="FK153" s="129" t="n"/>
      <c r="FL153" s="129" t="n"/>
      <c r="FM153" s="129" t="n"/>
    </row>
    <row r="154" s="135">
      <c r="A154" s="92" t="n">
        <v>37376</v>
      </c>
      <c r="B154" s="93" t="n">
        <v>0.121</v>
      </c>
      <c r="C154" s="79" t="n"/>
      <c r="D154" s="129" t="n"/>
      <c r="E154" s="129" t="n"/>
      <c r="F154" s="129" t="n"/>
      <c r="G154" s="129" t="n"/>
      <c r="H154" s="129" t="n"/>
      <c r="I154" s="129" t="n"/>
      <c r="J154" s="129" t="n"/>
      <c r="K154" s="129" t="n"/>
      <c r="L154" s="129" t="n"/>
      <c r="M154" s="129" t="n"/>
      <c r="N154" s="129" t="n"/>
      <c r="O154" s="129" t="n"/>
      <c r="P154" s="129" t="n"/>
      <c r="Q154" s="129" t="n"/>
      <c r="R154" s="129" t="n"/>
      <c r="S154" s="129" t="n"/>
      <c r="T154" s="129" t="n"/>
      <c r="U154" s="129" t="n"/>
      <c r="V154" s="129" t="n"/>
      <c r="W154" s="129" t="n"/>
      <c r="X154" s="129" t="n"/>
      <c r="Y154" s="129" t="n"/>
      <c r="Z154" s="129" t="n"/>
      <c r="AA154" s="129" t="n"/>
      <c r="AB154" s="129" t="n"/>
      <c r="AC154" s="129" t="n"/>
      <c r="AD154" s="129" t="n"/>
      <c r="AE154" s="129" t="n"/>
      <c r="AF154" s="129" t="n"/>
      <c r="AG154" s="129" t="n"/>
      <c r="AH154" s="129" t="n"/>
      <c r="AI154" s="129" t="n"/>
      <c r="AJ154" s="129" t="n"/>
      <c r="AK154" s="129" t="n"/>
      <c r="AL154" s="129" t="n"/>
      <c r="AM154" s="129" t="n"/>
      <c r="AN154" s="129" t="n"/>
      <c r="AO154" s="129" t="n"/>
      <c r="AP154" s="129" t="n"/>
      <c r="AQ154" s="129" t="n"/>
      <c r="AR154" s="129" t="n"/>
      <c r="AS154" s="129" t="n"/>
      <c r="AT154" s="129" t="n"/>
      <c r="AU154" s="129" t="n"/>
      <c r="AV154" s="129" t="n"/>
      <c r="AW154" s="129" t="n"/>
      <c r="AX154" s="129" t="n"/>
      <c r="AY154" s="129" t="n"/>
      <c r="AZ154" s="129" t="n"/>
      <c r="BA154" s="129" t="n"/>
      <c r="BB154" s="129" t="n"/>
      <c r="BC154" s="129" t="n"/>
      <c r="BD154" s="129" t="n"/>
      <c r="BE154" s="129" t="n"/>
      <c r="BF154" s="129" t="n"/>
      <c r="BG154" s="129" t="n"/>
      <c r="BH154" s="129" t="n"/>
      <c r="BI154" s="129" t="n"/>
      <c r="BJ154" s="129" t="n"/>
      <c r="BK154" s="129" t="n"/>
      <c r="BL154" s="129" t="n"/>
      <c r="BM154" s="129" t="n"/>
      <c r="BN154" s="129" t="n"/>
      <c r="BO154" s="129" t="n"/>
      <c r="BP154" s="129" t="n"/>
      <c r="BQ154" s="129" t="n"/>
      <c r="BR154" s="129" t="n"/>
      <c r="BS154" s="129" t="n"/>
      <c r="BT154" s="129" t="n"/>
      <c r="BU154" s="129" t="n"/>
      <c r="BV154" s="129" t="n"/>
      <c r="BW154" s="129" t="n"/>
      <c r="BX154" s="129" t="n"/>
      <c r="BY154" s="129" t="n"/>
      <c r="BZ154" s="129" t="n"/>
      <c r="CA154" s="129" t="n"/>
      <c r="CB154" s="129" t="n"/>
      <c r="CC154" s="129" t="n"/>
      <c r="CD154" s="129" t="n"/>
      <c r="CE154" s="129" t="n"/>
      <c r="CF154" s="129" t="n"/>
      <c r="CG154" s="129" t="n"/>
      <c r="CH154" s="129" t="n"/>
      <c r="CI154" s="129" t="n"/>
      <c r="CJ154" s="129" t="n"/>
      <c r="CK154" s="129" t="n"/>
      <c r="CL154" s="129" t="n"/>
      <c r="CM154" s="129" t="n"/>
      <c r="CN154" s="129" t="n"/>
      <c r="CO154" s="129" t="n"/>
      <c r="CP154" s="129" t="n"/>
      <c r="CQ154" s="129" t="n"/>
      <c r="CR154" s="129" t="n"/>
      <c r="CS154" s="129" t="n"/>
      <c r="CT154" s="129" t="n"/>
      <c r="CU154" s="129" t="n"/>
      <c r="CV154" s="129" t="n"/>
      <c r="CW154" s="129" t="n"/>
      <c r="CX154" s="129" t="n"/>
      <c r="CY154" s="129" t="n"/>
      <c r="CZ154" s="129" t="n"/>
      <c r="DA154" s="129" t="n"/>
      <c r="DB154" s="129" t="n"/>
      <c r="DC154" s="129" t="n"/>
      <c r="DD154" s="129" t="n"/>
      <c r="DE154" s="129" t="n"/>
      <c r="DF154" s="129" t="n"/>
      <c r="DG154" s="129" t="n"/>
      <c r="DH154" s="129" t="n"/>
      <c r="DI154" s="129" t="n"/>
      <c r="DJ154" s="129" t="n"/>
      <c r="DK154" s="129" t="n"/>
      <c r="DL154" s="129" t="n"/>
      <c r="DM154" s="129" t="n"/>
      <c r="DN154" s="129" t="n"/>
      <c r="DO154" s="129" t="n"/>
      <c r="DP154" s="129" t="n"/>
      <c r="DQ154" s="129" t="n"/>
      <c r="DR154" s="129" t="n"/>
      <c r="DS154" s="129" t="n"/>
      <c r="DT154" s="129" t="n"/>
      <c r="DU154" s="129" t="n"/>
      <c r="DV154" s="129" t="n"/>
      <c r="DW154" s="129" t="n"/>
      <c r="DX154" s="129" t="n"/>
      <c r="DY154" s="129" t="n"/>
      <c r="DZ154" s="129" t="n"/>
      <c r="EA154" s="129" t="n"/>
      <c r="EB154" s="129" t="n"/>
      <c r="EC154" s="129" t="n"/>
      <c r="ED154" s="129" t="n"/>
      <c r="EE154" s="129" t="n"/>
      <c r="EF154" s="129" t="n"/>
      <c r="EG154" s="129" t="n"/>
      <c r="EH154" s="129" t="n"/>
      <c r="EI154" s="129" t="n"/>
      <c r="EJ154" s="129" t="n"/>
      <c r="EK154" s="129" t="n"/>
      <c r="EL154" s="129" t="n"/>
      <c r="EM154" s="129" t="n"/>
      <c r="EN154" s="129" t="n"/>
      <c r="EO154" s="129" t="n"/>
      <c r="EP154" s="129" t="n"/>
      <c r="EQ154" s="129" t="n"/>
      <c r="ER154" s="129" t="n"/>
      <c r="ES154" s="129" t="n"/>
      <c r="ET154" s="129" t="n"/>
      <c r="EU154" s="129" t="n"/>
      <c r="EV154" s="129" t="n"/>
      <c r="EW154" s="129" t="n"/>
      <c r="EX154" s="129" t="n"/>
      <c r="EY154" s="129" t="n"/>
      <c r="EZ154" s="129" t="n"/>
      <c r="FA154" s="129" t="n"/>
      <c r="FB154" s="129" t="n"/>
      <c r="FC154" s="129" t="n"/>
      <c r="FD154" s="129" t="n"/>
      <c r="FE154" s="129" t="n"/>
      <c r="FF154" s="129" t="n"/>
      <c r="FG154" s="129" t="n"/>
      <c r="FH154" s="129" t="n"/>
      <c r="FI154" s="129" t="n"/>
      <c r="FJ154" s="129" t="n"/>
      <c r="FK154" s="129" t="n"/>
      <c r="FL154" s="129" t="n"/>
      <c r="FM154" s="129" t="n"/>
    </row>
    <row r="155" s="135">
      <c r="A155" s="90" t="n">
        <v>37407</v>
      </c>
      <c r="B155" s="91" t="n">
        <v>0.129</v>
      </c>
      <c r="C155" s="79" t="n"/>
      <c r="D155" s="129" t="n"/>
      <c r="E155" s="129" t="n"/>
      <c r="F155" s="129" t="n"/>
      <c r="G155" s="129" t="n"/>
      <c r="H155" s="129" t="n"/>
      <c r="I155" s="129" t="n"/>
      <c r="J155" s="129" t="n"/>
      <c r="K155" s="129" t="n"/>
      <c r="L155" s="129" t="n"/>
      <c r="M155" s="129" t="n"/>
      <c r="N155" s="129" t="n"/>
      <c r="O155" s="129" t="n"/>
      <c r="P155" s="129" t="n"/>
      <c r="Q155" s="129" t="n"/>
      <c r="R155" s="129" t="n"/>
      <c r="S155" s="129" t="n"/>
      <c r="T155" s="129" t="n"/>
      <c r="U155" s="129" t="n"/>
      <c r="V155" s="129" t="n"/>
      <c r="W155" s="129" t="n"/>
      <c r="X155" s="129" t="n"/>
      <c r="Y155" s="129" t="n"/>
      <c r="Z155" s="129" t="n"/>
      <c r="AA155" s="129" t="n"/>
      <c r="AB155" s="129" t="n"/>
      <c r="AC155" s="129" t="n"/>
      <c r="AD155" s="129" t="n"/>
      <c r="AE155" s="129" t="n"/>
      <c r="AF155" s="129" t="n"/>
      <c r="AG155" s="129" t="n"/>
      <c r="AH155" s="129" t="n"/>
      <c r="AI155" s="129" t="n"/>
      <c r="AJ155" s="129" t="n"/>
      <c r="AK155" s="129" t="n"/>
      <c r="AL155" s="129" t="n"/>
      <c r="AM155" s="129" t="n"/>
      <c r="AN155" s="129" t="n"/>
      <c r="AO155" s="129" t="n"/>
      <c r="AP155" s="129" t="n"/>
      <c r="AQ155" s="129" t="n"/>
      <c r="AR155" s="129" t="n"/>
      <c r="AS155" s="129" t="n"/>
      <c r="AT155" s="129" t="n"/>
      <c r="AU155" s="129" t="n"/>
      <c r="AV155" s="129" t="n"/>
      <c r="AW155" s="129" t="n"/>
      <c r="AX155" s="129" t="n"/>
      <c r="AY155" s="129" t="n"/>
      <c r="AZ155" s="129" t="n"/>
      <c r="BA155" s="129" t="n"/>
      <c r="BB155" s="129" t="n"/>
      <c r="BC155" s="129" t="n"/>
      <c r="BD155" s="129" t="n"/>
      <c r="BE155" s="129" t="n"/>
      <c r="BF155" s="129" t="n"/>
      <c r="BG155" s="129" t="n"/>
      <c r="BH155" s="129" t="n"/>
      <c r="BI155" s="129" t="n"/>
      <c r="BJ155" s="129" t="n"/>
      <c r="BK155" s="129" t="n"/>
      <c r="BL155" s="129" t="n"/>
      <c r="BM155" s="129" t="n"/>
      <c r="BN155" s="129" t="n"/>
      <c r="BO155" s="129" t="n"/>
      <c r="BP155" s="129" t="n"/>
      <c r="BQ155" s="129" t="n"/>
      <c r="BR155" s="129" t="n"/>
      <c r="BS155" s="129" t="n"/>
      <c r="BT155" s="129" t="n"/>
      <c r="BU155" s="129" t="n"/>
      <c r="BV155" s="129" t="n"/>
      <c r="BW155" s="129" t="n"/>
      <c r="BX155" s="129" t="n"/>
      <c r="BY155" s="129" t="n"/>
      <c r="BZ155" s="129" t="n"/>
      <c r="CA155" s="129" t="n"/>
      <c r="CB155" s="129" t="n"/>
      <c r="CC155" s="129" t="n"/>
      <c r="CD155" s="129" t="n"/>
      <c r="CE155" s="129" t="n"/>
      <c r="CF155" s="129" t="n"/>
      <c r="CG155" s="129" t="n"/>
      <c r="CH155" s="129" t="n"/>
      <c r="CI155" s="129" t="n"/>
      <c r="CJ155" s="129" t="n"/>
      <c r="CK155" s="129" t="n"/>
      <c r="CL155" s="129" t="n"/>
      <c r="CM155" s="129" t="n"/>
      <c r="CN155" s="129" t="n"/>
      <c r="CO155" s="129" t="n"/>
      <c r="CP155" s="129" t="n"/>
      <c r="CQ155" s="129" t="n"/>
      <c r="CR155" s="129" t="n"/>
      <c r="CS155" s="129" t="n"/>
      <c r="CT155" s="129" t="n"/>
      <c r="CU155" s="129" t="n"/>
      <c r="CV155" s="129" t="n"/>
      <c r="CW155" s="129" t="n"/>
      <c r="CX155" s="129" t="n"/>
      <c r="CY155" s="129" t="n"/>
      <c r="CZ155" s="129" t="n"/>
      <c r="DA155" s="129" t="n"/>
      <c r="DB155" s="129" t="n"/>
      <c r="DC155" s="129" t="n"/>
      <c r="DD155" s="129" t="n"/>
      <c r="DE155" s="129" t="n"/>
      <c r="DF155" s="129" t="n"/>
      <c r="DG155" s="129" t="n"/>
      <c r="DH155" s="129" t="n"/>
      <c r="DI155" s="129" t="n"/>
      <c r="DJ155" s="129" t="n"/>
      <c r="DK155" s="129" t="n"/>
      <c r="DL155" s="129" t="n"/>
      <c r="DM155" s="129" t="n"/>
      <c r="DN155" s="129" t="n"/>
      <c r="DO155" s="129" t="n"/>
      <c r="DP155" s="129" t="n"/>
      <c r="DQ155" s="129" t="n"/>
      <c r="DR155" s="129" t="n"/>
      <c r="DS155" s="129" t="n"/>
      <c r="DT155" s="129" t="n"/>
      <c r="DU155" s="129" t="n"/>
      <c r="DV155" s="129" t="n"/>
      <c r="DW155" s="129" t="n"/>
      <c r="DX155" s="129" t="n"/>
      <c r="DY155" s="129" t="n"/>
      <c r="DZ155" s="129" t="n"/>
      <c r="EA155" s="129" t="n"/>
      <c r="EB155" s="129" t="n"/>
      <c r="EC155" s="129" t="n"/>
      <c r="ED155" s="129" t="n"/>
      <c r="EE155" s="129" t="n"/>
      <c r="EF155" s="129" t="n"/>
      <c r="EG155" s="129" t="n"/>
      <c r="EH155" s="129" t="n"/>
      <c r="EI155" s="129" t="n"/>
      <c r="EJ155" s="129" t="n"/>
      <c r="EK155" s="129" t="n"/>
      <c r="EL155" s="129" t="n"/>
      <c r="EM155" s="129" t="n"/>
      <c r="EN155" s="129" t="n"/>
      <c r="EO155" s="129" t="n"/>
      <c r="EP155" s="129" t="n"/>
      <c r="EQ155" s="129" t="n"/>
      <c r="ER155" s="129" t="n"/>
      <c r="ES155" s="129" t="n"/>
      <c r="ET155" s="129" t="n"/>
      <c r="EU155" s="129" t="n"/>
      <c r="EV155" s="129" t="n"/>
      <c r="EW155" s="129" t="n"/>
      <c r="EX155" s="129" t="n"/>
      <c r="EY155" s="129" t="n"/>
      <c r="EZ155" s="129" t="n"/>
      <c r="FA155" s="129" t="n"/>
      <c r="FB155" s="129" t="n"/>
      <c r="FC155" s="129" t="n"/>
      <c r="FD155" s="129" t="n"/>
      <c r="FE155" s="129" t="n"/>
      <c r="FF155" s="129" t="n"/>
      <c r="FG155" s="129" t="n"/>
      <c r="FH155" s="129" t="n"/>
      <c r="FI155" s="129" t="n"/>
      <c r="FJ155" s="129" t="n"/>
      <c r="FK155" s="129" t="n"/>
      <c r="FL155" s="129" t="n"/>
      <c r="FM155" s="129" t="n"/>
    </row>
    <row r="156" s="135">
      <c r="A156" s="92" t="n">
        <v>37437</v>
      </c>
      <c r="B156" s="93" t="n">
        <v>0.124</v>
      </c>
      <c r="C156" s="79" t="n"/>
      <c r="D156" s="129" t="n"/>
      <c r="E156" s="129" t="n"/>
      <c r="F156" s="129" t="n"/>
      <c r="G156" s="129" t="n"/>
      <c r="H156" s="129" t="n"/>
      <c r="I156" s="129" t="n"/>
      <c r="J156" s="129" t="n"/>
      <c r="K156" s="129" t="n"/>
      <c r="L156" s="129" t="n"/>
      <c r="M156" s="129" t="n"/>
      <c r="N156" s="129" t="n"/>
      <c r="O156" s="129" t="n"/>
      <c r="P156" s="129" t="n"/>
      <c r="Q156" s="129" t="n"/>
      <c r="R156" s="129" t="n"/>
      <c r="S156" s="129" t="n"/>
      <c r="T156" s="129" t="n"/>
      <c r="U156" s="129" t="n"/>
      <c r="V156" s="129" t="n"/>
      <c r="W156" s="129" t="n"/>
      <c r="X156" s="129" t="n"/>
      <c r="Y156" s="129" t="n"/>
      <c r="Z156" s="129" t="n"/>
      <c r="AA156" s="129" t="n"/>
      <c r="AB156" s="129" t="n"/>
      <c r="AC156" s="129" t="n"/>
      <c r="AD156" s="129" t="n"/>
      <c r="AE156" s="129" t="n"/>
      <c r="AF156" s="129" t="n"/>
      <c r="AG156" s="129" t="n"/>
      <c r="AH156" s="129" t="n"/>
      <c r="AI156" s="129" t="n"/>
      <c r="AJ156" s="129" t="n"/>
      <c r="AK156" s="129" t="n"/>
      <c r="AL156" s="129" t="n"/>
      <c r="AM156" s="129" t="n"/>
      <c r="AN156" s="129" t="n"/>
      <c r="AO156" s="129" t="n"/>
      <c r="AP156" s="129" t="n"/>
      <c r="AQ156" s="129" t="n"/>
      <c r="AR156" s="129" t="n"/>
      <c r="AS156" s="129" t="n"/>
      <c r="AT156" s="129" t="n"/>
      <c r="AU156" s="129" t="n"/>
      <c r="AV156" s="129" t="n"/>
      <c r="AW156" s="129" t="n"/>
      <c r="AX156" s="129" t="n"/>
      <c r="AY156" s="129" t="n"/>
      <c r="AZ156" s="129" t="n"/>
      <c r="BA156" s="129" t="n"/>
      <c r="BB156" s="129" t="n"/>
      <c r="BC156" s="129" t="n"/>
      <c r="BD156" s="129" t="n"/>
      <c r="BE156" s="129" t="n"/>
      <c r="BF156" s="129" t="n"/>
      <c r="BG156" s="129" t="n"/>
      <c r="BH156" s="129" t="n"/>
      <c r="BI156" s="129" t="n"/>
      <c r="BJ156" s="129" t="n"/>
      <c r="BK156" s="129" t="n"/>
      <c r="BL156" s="129" t="n"/>
      <c r="BM156" s="129" t="n"/>
      <c r="BN156" s="129" t="n"/>
      <c r="BO156" s="129" t="n"/>
      <c r="BP156" s="129" t="n"/>
      <c r="BQ156" s="129" t="n"/>
      <c r="BR156" s="129" t="n"/>
      <c r="BS156" s="129" t="n"/>
      <c r="BT156" s="129" t="n"/>
      <c r="BU156" s="129" t="n"/>
      <c r="BV156" s="129" t="n"/>
      <c r="BW156" s="129" t="n"/>
      <c r="BX156" s="129" t="n"/>
      <c r="BY156" s="129" t="n"/>
      <c r="BZ156" s="129" t="n"/>
      <c r="CA156" s="129" t="n"/>
      <c r="CB156" s="129" t="n"/>
      <c r="CC156" s="129" t="n"/>
      <c r="CD156" s="129" t="n"/>
      <c r="CE156" s="129" t="n"/>
      <c r="CF156" s="129" t="n"/>
      <c r="CG156" s="129" t="n"/>
      <c r="CH156" s="129" t="n"/>
      <c r="CI156" s="129" t="n"/>
      <c r="CJ156" s="129" t="n"/>
      <c r="CK156" s="129" t="n"/>
      <c r="CL156" s="129" t="n"/>
      <c r="CM156" s="129" t="n"/>
      <c r="CN156" s="129" t="n"/>
      <c r="CO156" s="129" t="n"/>
      <c r="CP156" s="129" t="n"/>
      <c r="CQ156" s="129" t="n"/>
      <c r="CR156" s="129" t="n"/>
      <c r="CS156" s="129" t="n"/>
      <c r="CT156" s="129" t="n"/>
      <c r="CU156" s="129" t="n"/>
      <c r="CV156" s="129" t="n"/>
      <c r="CW156" s="129" t="n"/>
      <c r="CX156" s="129" t="n"/>
      <c r="CY156" s="129" t="n"/>
      <c r="CZ156" s="129" t="n"/>
      <c r="DA156" s="129" t="n"/>
      <c r="DB156" s="129" t="n"/>
      <c r="DC156" s="129" t="n"/>
      <c r="DD156" s="129" t="n"/>
      <c r="DE156" s="129" t="n"/>
      <c r="DF156" s="129" t="n"/>
      <c r="DG156" s="129" t="n"/>
      <c r="DH156" s="129" t="n"/>
      <c r="DI156" s="129" t="n"/>
      <c r="DJ156" s="129" t="n"/>
      <c r="DK156" s="129" t="n"/>
      <c r="DL156" s="129" t="n"/>
      <c r="DM156" s="129" t="n"/>
      <c r="DN156" s="129" t="n"/>
      <c r="DO156" s="129" t="n"/>
      <c r="DP156" s="129" t="n"/>
      <c r="DQ156" s="129" t="n"/>
      <c r="DR156" s="129" t="n"/>
      <c r="DS156" s="129" t="n"/>
      <c r="DT156" s="129" t="n"/>
      <c r="DU156" s="129" t="n"/>
      <c r="DV156" s="129" t="n"/>
      <c r="DW156" s="129" t="n"/>
      <c r="DX156" s="129" t="n"/>
      <c r="DY156" s="129" t="n"/>
      <c r="DZ156" s="129" t="n"/>
      <c r="EA156" s="129" t="n"/>
      <c r="EB156" s="129" t="n"/>
      <c r="EC156" s="129" t="n"/>
      <c r="ED156" s="129" t="n"/>
      <c r="EE156" s="129" t="n"/>
      <c r="EF156" s="129" t="n"/>
      <c r="EG156" s="129" t="n"/>
      <c r="EH156" s="129" t="n"/>
      <c r="EI156" s="129" t="n"/>
      <c r="EJ156" s="129" t="n"/>
      <c r="EK156" s="129" t="n"/>
      <c r="EL156" s="129" t="n"/>
      <c r="EM156" s="129" t="n"/>
      <c r="EN156" s="129" t="n"/>
      <c r="EO156" s="129" t="n"/>
      <c r="EP156" s="129" t="n"/>
      <c r="EQ156" s="129" t="n"/>
      <c r="ER156" s="129" t="n"/>
      <c r="ES156" s="129" t="n"/>
      <c r="ET156" s="129" t="n"/>
      <c r="EU156" s="129" t="n"/>
      <c r="EV156" s="129" t="n"/>
      <c r="EW156" s="129" t="n"/>
      <c r="EX156" s="129" t="n"/>
      <c r="EY156" s="129" t="n"/>
      <c r="EZ156" s="129" t="n"/>
      <c r="FA156" s="129" t="n"/>
      <c r="FB156" s="129" t="n"/>
      <c r="FC156" s="129" t="n"/>
      <c r="FD156" s="129" t="n"/>
      <c r="FE156" s="129" t="n"/>
      <c r="FF156" s="129" t="n"/>
      <c r="FG156" s="129" t="n"/>
      <c r="FH156" s="129" t="n"/>
      <c r="FI156" s="129" t="n"/>
      <c r="FJ156" s="129" t="n"/>
      <c r="FK156" s="129" t="n"/>
      <c r="FL156" s="129" t="n"/>
      <c r="FM156" s="129" t="n"/>
    </row>
    <row r="157" s="135">
      <c r="A157" s="90" t="n">
        <v>37468</v>
      </c>
      <c r="B157" s="91" t="n">
        <v>0.128</v>
      </c>
      <c r="C157" s="79" t="n"/>
      <c r="D157" s="129" t="n"/>
      <c r="E157" s="129" t="n"/>
      <c r="F157" s="129" t="n"/>
      <c r="G157" s="129" t="n"/>
      <c r="H157" s="129" t="n"/>
      <c r="I157" s="129" t="n"/>
      <c r="J157" s="129" t="n"/>
      <c r="K157" s="129" t="n"/>
      <c r="L157" s="129" t="n"/>
      <c r="M157" s="129" t="n"/>
      <c r="N157" s="129" t="n"/>
      <c r="O157" s="129" t="n"/>
      <c r="P157" s="129" t="n"/>
      <c r="Q157" s="129" t="n"/>
      <c r="R157" s="129" t="n"/>
      <c r="S157" s="129" t="n"/>
      <c r="T157" s="129" t="n"/>
      <c r="U157" s="129" t="n"/>
      <c r="V157" s="129" t="n"/>
      <c r="W157" s="129" t="n"/>
      <c r="X157" s="129" t="n"/>
      <c r="Y157" s="129" t="n"/>
      <c r="Z157" s="129" t="n"/>
      <c r="AA157" s="129" t="n"/>
      <c r="AB157" s="129" t="n"/>
      <c r="AC157" s="129" t="n"/>
      <c r="AD157" s="129" t="n"/>
      <c r="AE157" s="129" t="n"/>
      <c r="AF157" s="129" t="n"/>
      <c r="AG157" s="129" t="n"/>
      <c r="AH157" s="129" t="n"/>
      <c r="AI157" s="129" t="n"/>
      <c r="AJ157" s="129" t="n"/>
      <c r="AK157" s="129" t="n"/>
      <c r="AL157" s="129" t="n"/>
      <c r="AM157" s="129" t="n"/>
      <c r="AN157" s="129" t="n"/>
      <c r="AO157" s="129" t="n"/>
      <c r="AP157" s="129" t="n"/>
      <c r="AQ157" s="129" t="n"/>
      <c r="AR157" s="129" t="n"/>
      <c r="AS157" s="129" t="n"/>
      <c r="AT157" s="129" t="n"/>
      <c r="AU157" s="129" t="n"/>
      <c r="AV157" s="129" t="n"/>
      <c r="AW157" s="129" t="n"/>
      <c r="AX157" s="129" t="n"/>
      <c r="AY157" s="129" t="n"/>
      <c r="AZ157" s="129" t="n"/>
      <c r="BA157" s="129" t="n"/>
      <c r="BB157" s="129" t="n"/>
      <c r="BC157" s="129" t="n"/>
      <c r="BD157" s="129" t="n"/>
      <c r="BE157" s="129" t="n"/>
      <c r="BF157" s="129" t="n"/>
      <c r="BG157" s="129" t="n"/>
      <c r="BH157" s="129" t="n"/>
      <c r="BI157" s="129" t="n"/>
      <c r="BJ157" s="129" t="n"/>
      <c r="BK157" s="129" t="n"/>
      <c r="BL157" s="129" t="n"/>
      <c r="BM157" s="129" t="n"/>
      <c r="BN157" s="129" t="n"/>
      <c r="BO157" s="129" t="n"/>
      <c r="BP157" s="129" t="n"/>
      <c r="BQ157" s="129" t="n"/>
      <c r="BR157" s="129" t="n"/>
      <c r="BS157" s="129" t="n"/>
      <c r="BT157" s="129" t="n"/>
      <c r="BU157" s="129" t="n"/>
      <c r="BV157" s="129" t="n"/>
      <c r="BW157" s="129" t="n"/>
      <c r="BX157" s="129" t="n"/>
      <c r="BY157" s="129" t="n"/>
      <c r="BZ157" s="129" t="n"/>
      <c r="CA157" s="129" t="n"/>
      <c r="CB157" s="129" t="n"/>
      <c r="CC157" s="129" t="n"/>
      <c r="CD157" s="129" t="n"/>
      <c r="CE157" s="129" t="n"/>
      <c r="CF157" s="129" t="n"/>
      <c r="CG157" s="129" t="n"/>
      <c r="CH157" s="129" t="n"/>
      <c r="CI157" s="129" t="n"/>
      <c r="CJ157" s="129" t="n"/>
      <c r="CK157" s="129" t="n"/>
      <c r="CL157" s="129" t="n"/>
      <c r="CM157" s="129" t="n"/>
      <c r="CN157" s="129" t="n"/>
      <c r="CO157" s="129" t="n"/>
      <c r="CP157" s="129" t="n"/>
      <c r="CQ157" s="129" t="n"/>
      <c r="CR157" s="129" t="n"/>
      <c r="CS157" s="129" t="n"/>
      <c r="CT157" s="129" t="n"/>
      <c r="CU157" s="129" t="n"/>
      <c r="CV157" s="129" t="n"/>
      <c r="CW157" s="129" t="n"/>
      <c r="CX157" s="129" t="n"/>
      <c r="CY157" s="129" t="n"/>
      <c r="CZ157" s="129" t="n"/>
      <c r="DA157" s="129" t="n"/>
      <c r="DB157" s="129" t="n"/>
      <c r="DC157" s="129" t="n"/>
      <c r="DD157" s="129" t="n"/>
      <c r="DE157" s="129" t="n"/>
      <c r="DF157" s="129" t="n"/>
      <c r="DG157" s="129" t="n"/>
      <c r="DH157" s="129" t="n"/>
      <c r="DI157" s="129" t="n"/>
      <c r="DJ157" s="129" t="n"/>
      <c r="DK157" s="129" t="n"/>
      <c r="DL157" s="129" t="n"/>
      <c r="DM157" s="129" t="n"/>
      <c r="DN157" s="129" t="n"/>
      <c r="DO157" s="129" t="n"/>
      <c r="DP157" s="129" t="n"/>
      <c r="DQ157" s="129" t="n"/>
      <c r="DR157" s="129" t="n"/>
      <c r="DS157" s="129" t="n"/>
      <c r="DT157" s="129" t="n"/>
      <c r="DU157" s="129" t="n"/>
      <c r="DV157" s="129" t="n"/>
      <c r="DW157" s="129" t="n"/>
      <c r="DX157" s="129" t="n"/>
      <c r="DY157" s="129" t="n"/>
      <c r="DZ157" s="129" t="n"/>
      <c r="EA157" s="129" t="n"/>
      <c r="EB157" s="129" t="n"/>
      <c r="EC157" s="129" t="n"/>
      <c r="ED157" s="129" t="n"/>
      <c r="EE157" s="129" t="n"/>
      <c r="EF157" s="129" t="n"/>
      <c r="EG157" s="129" t="n"/>
      <c r="EH157" s="129" t="n"/>
      <c r="EI157" s="129" t="n"/>
      <c r="EJ157" s="129" t="n"/>
      <c r="EK157" s="129" t="n"/>
      <c r="EL157" s="129" t="n"/>
      <c r="EM157" s="129" t="n"/>
      <c r="EN157" s="129" t="n"/>
      <c r="EO157" s="129" t="n"/>
      <c r="EP157" s="129" t="n"/>
      <c r="EQ157" s="129" t="n"/>
      <c r="ER157" s="129" t="n"/>
      <c r="ES157" s="129" t="n"/>
      <c r="ET157" s="129" t="n"/>
      <c r="EU157" s="129" t="n"/>
      <c r="EV157" s="129" t="n"/>
      <c r="EW157" s="129" t="n"/>
      <c r="EX157" s="129" t="n"/>
      <c r="EY157" s="129" t="n"/>
      <c r="EZ157" s="129" t="n"/>
      <c r="FA157" s="129" t="n"/>
      <c r="FB157" s="129" t="n"/>
      <c r="FC157" s="129" t="n"/>
      <c r="FD157" s="129" t="n"/>
      <c r="FE157" s="129" t="n"/>
      <c r="FF157" s="129" t="n"/>
      <c r="FG157" s="129" t="n"/>
      <c r="FH157" s="129" t="n"/>
      <c r="FI157" s="129" t="n"/>
      <c r="FJ157" s="129" t="n"/>
      <c r="FK157" s="129" t="n"/>
      <c r="FL157" s="129" t="n"/>
      <c r="FM157" s="129" t="n"/>
    </row>
    <row r="158" s="135">
      <c r="A158" s="92" t="n">
        <v>37499</v>
      </c>
      <c r="B158" s="93" t="n">
        <v>0.127</v>
      </c>
      <c r="C158" s="79" t="n"/>
      <c r="D158" s="129" t="n"/>
      <c r="E158" s="129" t="n"/>
      <c r="F158" s="129" t="n"/>
      <c r="G158" s="129" t="n"/>
      <c r="H158" s="129" t="n"/>
      <c r="I158" s="129" t="n"/>
      <c r="J158" s="129" t="n"/>
      <c r="K158" s="129" t="n"/>
      <c r="L158" s="129" t="n"/>
      <c r="M158" s="129" t="n"/>
      <c r="N158" s="129" t="n"/>
      <c r="O158" s="129" t="n"/>
      <c r="P158" s="129" t="n"/>
      <c r="Q158" s="129" t="n"/>
      <c r="R158" s="129" t="n"/>
      <c r="S158" s="129" t="n"/>
      <c r="T158" s="129" t="n"/>
      <c r="U158" s="129" t="n"/>
      <c r="V158" s="129" t="n"/>
      <c r="W158" s="129" t="n"/>
      <c r="X158" s="129" t="n"/>
      <c r="Y158" s="129" t="n"/>
      <c r="Z158" s="129" t="n"/>
      <c r="AA158" s="129" t="n"/>
      <c r="AB158" s="129" t="n"/>
      <c r="AC158" s="129" t="n"/>
      <c r="AD158" s="129" t="n"/>
      <c r="AE158" s="129" t="n"/>
      <c r="AF158" s="129" t="n"/>
      <c r="AG158" s="129" t="n"/>
      <c r="AH158" s="129" t="n"/>
      <c r="AI158" s="129" t="n"/>
      <c r="AJ158" s="129" t="n"/>
      <c r="AK158" s="129" t="n"/>
      <c r="AL158" s="129" t="n"/>
      <c r="AM158" s="129" t="n"/>
      <c r="AN158" s="129" t="n"/>
      <c r="AO158" s="129" t="n"/>
      <c r="AP158" s="129" t="n"/>
      <c r="AQ158" s="129" t="n"/>
      <c r="AR158" s="129" t="n"/>
      <c r="AS158" s="129" t="n"/>
      <c r="AT158" s="129" t="n"/>
      <c r="AU158" s="129" t="n"/>
      <c r="AV158" s="129" t="n"/>
      <c r="AW158" s="129" t="n"/>
      <c r="AX158" s="129" t="n"/>
      <c r="AY158" s="129" t="n"/>
      <c r="AZ158" s="129" t="n"/>
      <c r="BA158" s="129" t="n"/>
      <c r="BB158" s="129" t="n"/>
      <c r="BC158" s="129" t="n"/>
      <c r="BD158" s="129" t="n"/>
      <c r="BE158" s="129" t="n"/>
      <c r="BF158" s="129" t="n"/>
      <c r="BG158" s="129" t="n"/>
      <c r="BH158" s="129" t="n"/>
      <c r="BI158" s="129" t="n"/>
      <c r="BJ158" s="129" t="n"/>
      <c r="BK158" s="129" t="n"/>
      <c r="BL158" s="129" t="n"/>
      <c r="BM158" s="129" t="n"/>
      <c r="BN158" s="129" t="n"/>
      <c r="BO158" s="129" t="n"/>
      <c r="BP158" s="129" t="n"/>
      <c r="BQ158" s="129" t="n"/>
      <c r="BR158" s="129" t="n"/>
      <c r="BS158" s="129" t="n"/>
      <c r="BT158" s="129" t="n"/>
      <c r="BU158" s="129" t="n"/>
      <c r="BV158" s="129" t="n"/>
      <c r="BW158" s="129" t="n"/>
      <c r="BX158" s="129" t="n"/>
      <c r="BY158" s="129" t="n"/>
      <c r="BZ158" s="129" t="n"/>
      <c r="CA158" s="129" t="n"/>
      <c r="CB158" s="129" t="n"/>
      <c r="CC158" s="129" t="n"/>
      <c r="CD158" s="129" t="n"/>
      <c r="CE158" s="129" t="n"/>
      <c r="CF158" s="129" t="n"/>
      <c r="CG158" s="129" t="n"/>
      <c r="CH158" s="129" t="n"/>
      <c r="CI158" s="129" t="n"/>
      <c r="CJ158" s="129" t="n"/>
      <c r="CK158" s="129" t="n"/>
      <c r="CL158" s="129" t="n"/>
      <c r="CM158" s="129" t="n"/>
      <c r="CN158" s="129" t="n"/>
      <c r="CO158" s="129" t="n"/>
      <c r="CP158" s="129" t="n"/>
      <c r="CQ158" s="129" t="n"/>
      <c r="CR158" s="129" t="n"/>
      <c r="CS158" s="129" t="n"/>
      <c r="CT158" s="129" t="n"/>
      <c r="CU158" s="129" t="n"/>
      <c r="CV158" s="129" t="n"/>
      <c r="CW158" s="129" t="n"/>
      <c r="CX158" s="129" t="n"/>
      <c r="CY158" s="129" t="n"/>
      <c r="CZ158" s="129" t="n"/>
      <c r="DA158" s="129" t="n"/>
      <c r="DB158" s="129" t="n"/>
      <c r="DC158" s="129" t="n"/>
      <c r="DD158" s="129" t="n"/>
      <c r="DE158" s="129" t="n"/>
      <c r="DF158" s="129" t="n"/>
      <c r="DG158" s="129" t="n"/>
      <c r="DH158" s="129" t="n"/>
      <c r="DI158" s="129" t="n"/>
      <c r="DJ158" s="129" t="n"/>
      <c r="DK158" s="129" t="n"/>
      <c r="DL158" s="129" t="n"/>
      <c r="DM158" s="129" t="n"/>
      <c r="DN158" s="129" t="n"/>
      <c r="DO158" s="129" t="n"/>
      <c r="DP158" s="129" t="n"/>
      <c r="DQ158" s="129" t="n"/>
      <c r="DR158" s="129" t="n"/>
      <c r="DS158" s="129" t="n"/>
      <c r="DT158" s="129" t="n"/>
      <c r="DU158" s="129" t="n"/>
      <c r="DV158" s="129" t="n"/>
      <c r="DW158" s="129" t="n"/>
      <c r="DX158" s="129" t="n"/>
      <c r="DY158" s="129" t="n"/>
      <c r="DZ158" s="129" t="n"/>
      <c r="EA158" s="129" t="n"/>
      <c r="EB158" s="129" t="n"/>
      <c r="EC158" s="129" t="n"/>
      <c r="ED158" s="129" t="n"/>
      <c r="EE158" s="129" t="n"/>
      <c r="EF158" s="129" t="n"/>
      <c r="EG158" s="129" t="n"/>
      <c r="EH158" s="129" t="n"/>
      <c r="EI158" s="129" t="n"/>
      <c r="EJ158" s="129" t="n"/>
      <c r="EK158" s="129" t="n"/>
      <c r="EL158" s="129" t="n"/>
      <c r="EM158" s="129" t="n"/>
      <c r="EN158" s="129" t="n"/>
      <c r="EO158" s="129" t="n"/>
      <c r="EP158" s="129" t="n"/>
      <c r="EQ158" s="129" t="n"/>
      <c r="ER158" s="129" t="n"/>
      <c r="ES158" s="129" t="n"/>
      <c r="ET158" s="129" t="n"/>
      <c r="EU158" s="129" t="n"/>
      <c r="EV158" s="129" t="n"/>
      <c r="EW158" s="129" t="n"/>
      <c r="EX158" s="129" t="n"/>
      <c r="EY158" s="129" t="n"/>
      <c r="EZ158" s="129" t="n"/>
      <c r="FA158" s="129" t="n"/>
      <c r="FB158" s="129" t="n"/>
      <c r="FC158" s="129" t="n"/>
      <c r="FD158" s="129" t="n"/>
      <c r="FE158" s="129" t="n"/>
      <c r="FF158" s="129" t="n"/>
      <c r="FG158" s="129" t="n"/>
      <c r="FH158" s="129" t="n"/>
      <c r="FI158" s="129" t="n"/>
      <c r="FJ158" s="129" t="n"/>
      <c r="FK158" s="129" t="n"/>
      <c r="FL158" s="129" t="n"/>
      <c r="FM158" s="129" t="n"/>
    </row>
    <row r="159" s="135">
      <c r="A159" s="90" t="n">
        <v>37529</v>
      </c>
      <c r="B159" s="91" t="n">
        <v>0.138</v>
      </c>
      <c r="C159" s="79" t="n"/>
      <c r="D159" s="129" t="n"/>
      <c r="E159" s="129" t="n"/>
      <c r="F159" s="129" t="n"/>
      <c r="G159" s="129" t="n"/>
      <c r="H159" s="129" t="n"/>
      <c r="I159" s="129" t="n"/>
      <c r="J159" s="129" t="n"/>
      <c r="K159" s="129" t="n"/>
      <c r="L159" s="129" t="n"/>
      <c r="M159" s="129" t="n"/>
      <c r="N159" s="129" t="n"/>
      <c r="O159" s="129" t="n"/>
      <c r="P159" s="129" t="n"/>
      <c r="Q159" s="129" t="n"/>
      <c r="R159" s="129" t="n"/>
      <c r="S159" s="129" t="n"/>
      <c r="T159" s="129" t="n"/>
      <c r="U159" s="129" t="n"/>
      <c r="V159" s="129" t="n"/>
      <c r="W159" s="129" t="n"/>
      <c r="X159" s="129" t="n"/>
      <c r="Y159" s="129" t="n"/>
      <c r="Z159" s="129" t="n"/>
      <c r="AA159" s="129" t="n"/>
      <c r="AB159" s="129" t="n"/>
      <c r="AC159" s="129" t="n"/>
      <c r="AD159" s="129" t="n"/>
      <c r="AE159" s="129" t="n"/>
      <c r="AF159" s="129" t="n"/>
      <c r="AG159" s="129" t="n"/>
      <c r="AH159" s="129" t="n"/>
      <c r="AI159" s="129" t="n"/>
      <c r="AJ159" s="129" t="n"/>
      <c r="AK159" s="129" t="n"/>
      <c r="AL159" s="129" t="n"/>
      <c r="AM159" s="129" t="n"/>
      <c r="AN159" s="129" t="n"/>
      <c r="AO159" s="129" t="n"/>
      <c r="AP159" s="129" t="n"/>
      <c r="AQ159" s="129" t="n"/>
      <c r="AR159" s="129" t="n"/>
      <c r="AS159" s="129" t="n"/>
      <c r="AT159" s="129" t="n"/>
      <c r="AU159" s="129" t="n"/>
      <c r="AV159" s="129" t="n"/>
      <c r="AW159" s="129" t="n"/>
      <c r="AX159" s="129" t="n"/>
      <c r="AY159" s="129" t="n"/>
      <c r="AZ159" s="129" t="n"/>
      <c r="BA159" s="129" t="n"/>
      <c r="BB159" s="129" t="n"/>
      <c r="BC159" s="129" t="n"/>
      <c r="BD159" s="129" t="n"/>
      <c r="BE159" s="129" t="n"/>
      <c r="BF159" s="129" t="n"/>
      <c r="BG159" s="129" t="n"/>
      <c r="BH159" s="129" t="n"/>
      <c r="BI159" s="129" t="n"/>
      <c r="BJ159" s="129" t="n"/>
      <c r="BK159" s="129" t="n"/>
      <c r="BL159" s="129" t="n"/>
      <c r="BM159" s="129" t="n"/>
      <c r="BN159" s="129" t="n"/>
      <c r="BO159" s="129" t="n"/>
      <c r="BP159" s="129" t="n"/>
      <c r="BQ159" s="129" t="n"/>
      <c r="BR159" s="129" t="n"/>
      <c r="BS159" s="129" t="n"/>
      <c r="BT159" s="129" t="n"/>
      <c r="BU159" s="129" t="n"/>
      <c r="BV159" s="129" t="n"/>
      <c r="BW159" s="129" t="n"/>
      <c r="BX159" s="129" t="n"/>
      <c r="BY159" s="129" t="n"/>
      <c r="BZ159" s="129" t="n"/>
      <c r="CA159" s="129" t="n"/>
      <c r="CB159" s="129" t="n"/>
      <c r="CC159" s="129" t="n"/>
      <c r="CD159" s="129" t="n"/>
      <c r="CE159" s="129" t="n"/>
      <c r="CF159" s="129" t="n"/>
      <c r="CG159" s="129" t="n"/>
      <c r="CH159" s="129" t="n"/>
      <c r="CI159" s="129" t="n"/>
      <c r="CJ159" s="129" t="n"/>
      <c r="CK159" s="129" t="n"/>
      <c r="CL159" s="129" t="n"/>
      <c r="CM159" s="129" t="n"/>
      <c r="CN159" s="129" t="n"/>
      <c r="CO159" s="129" t="n"/>
      <c r="CP159" s="129" t="n"/>
      <c r="CQ159" s="129" t="n"/>
      <c r="CR159" s="129" t="n"/>
      <c r="CS159" s="129" t="n"/>
      <c r="CT159" s="129" t="n"/>
      <c r="CU159" s="129" t="n"/>
      <c r="CV159" s="129" t="n"/>
      <c r="CW159" s="129" t="n"/>
      <c r="CX159" s="129" t="n"/>
      <c r="CY159" s="129" t="n"/>
      <c r="CZ159" s="129" t="n"/>
      <c r="DA159" s="129" t="n"/>
      <c r="DB159" s="129" t="n"/>
      <c r="DC159" s="129" t="n"/>
      <c r="DD159" s="129" t="n"/>
      <c r="DE159" s="129" t="n"/>
      <c r="DF159" s="129" t="n"/>
      <c r="DG159" s="129" t="n"/>
      <c r="DH159" s="129" t="n"/>
      <c r="DI159" s="129" t="n"/>
      <c r="DJ159" s="129" t="n"/>
      <c r="DK159" s="129" t="n"/>
      <c r="DL159" s="129" t="n"/>
      <c r="DM159" s="129" t="n"/>
      <c r="DN159" s="129" t="n"/>
      <c r="DO159" s="129" t="n"/>
      <c r="DP159" s="129" t="n"/>
      <c r="DQ159" s="129" t="n"/>
      <c r="DR159" s="129" t="n"/>
      <c r="DS159" s="129" t="n"/>
      <c r="DT159" s="129" t="n"/>
      <c r="DU159" s="129" t="n"/>
      <c r="DV159" s="129" t="n"/>
      <c r="DW159" s="129" t="n"/>
      <c r="DX159" s="129" t="n"/>
      <c r="DY159" s="129" t="n"/>
      <c r="DZ159" s="129" t="n"/>
      <c r="EA159" s="129" t="n"/>
      <c r="EB159" s="129" t="n"/>
      <c r="EC159" s="129" t="n"/>
      <c r="ED159" s="129" t="n"/>
      <c r="EE159" s="129" t="n"/>
      <c r="EF159" s="129" t="n"/>
      <c r="EG159" s="129" t="n"/>
      <c r="EH159" s="129" t="n"/>
      <c r="EI159" s="129" t="n"/>
      <c r="EJ159" s="129" t="n"/>
      <c r="EK159" s="129" t="n"/>
      <c r="EL159" s="129" t="n"/>
      <c r="EM159" s="129" t="n"/>
      <c r="EN159" s="129" t="n"/>
      <c r="EO159" s="129" t="n"/>
      <c r="EP159" s="129" t="n"/>
      <c r="EQ159" s="129" t="n"/>
      <c r="ER159" s="129" t="n"/>
      <c r="ES159" s="129" t="n"/>
      <c r="ET159" s="129" t="n"/>
      <c r="EU159" s="129" t="n"/>
      <c r="EV159" s="129" t="n"/>
      <c r="EW159" s="129" t="n"/>
      <c r="EX159" s="129" t="n"/>
      <c r="EY159" s="129" t="n"/>
      <c r="EZ159" s="129" t="n"/>
      <c r="FA159" s="129" t="n"/>
      <c r="FB159" s="129" t="n"/>
      <c r="FC159" s="129" t="n"/>
      <c r="FD159" s="129" t="n"/>
      <c r="FE159" s="129" t="n"/>
      <c r="FF159" s="129" t="n"/>
      <c r="FG159" s="129" t="n"/>
      <c r="FH159" s="129" t="n"/>
      <c r="FI159" s="129" t="n"/>
      <c r="FJ159" s="129" t="n"/>
      <c r="FK159" s="129" t="n"/>
      <c r="FL159" s="129" t="n"/>
      <c r="FM159" s="129" t="n"/>
    </row>
    <row r="160" s="135">
      <c r="A160" s="94" t="n">
        <v>37560</v>
      </c>
      <c r="B160" s="95" t="n">
        <v>0.142</v>
      </c>
      <c r="C160" s="79" t="n"/>
      <c r="D160" s="129" t="n"/>
      <c r="E160" s="129" t="n"/>
      <c r="F160" s="129" t="n"/>
      <c r="G160" s="129" t="n"/>
      <c r="H160" s="129" t="n"/>
      <c r="I160" s="129" t="n"/>
      <c r="J160" s="129" t="n"/>
      <c r="K160" s="129" t="n"/>
      <c r="L160" s="129" t="n"/>
      <c r="M160" s="129" t="n"/>
      <c r="N160" s="129" t="n"/>
      <c r="O160" s="129" t="n"/>
      <c r="P160" s="129" t="n"/>
      <c r="Q160" s="129" t="n"/>
      <c r="R160" s="129" t="n"/>
      <c r="S160" s="129" t="n"/>
      <c r="T160" s="129" t="n"/>
      <c r="U160" s="129" t="n"/>
      <c r="V160" s="129" t="n"/>
      <c r="W160" s="129" t="n"/>
      <c r="X160" s="129" t="n"/>
      <c r="Y160" s="129" t="n"/>
      <c r="Z160" s="129" t="n"/>
      <c r="AA160" s="129" t="n"/>
      <c r="AB160" s="129" t="n"/>
      <c r="AC160" s="129" t="n"/>
      <c r="AD160" s="129" t="n"/>
      <c r="AE160" s="129" t="n"/>
      <c r="AF160" s="129" t="n"/>
      <c r="AG160" s="129" t="n"/>
      <c r="AH160" s="129" t="n"/>
      <c r="AI160" s="129" t="n"/>
      <c r="AJ160" s="129" t="n"/>
      <c r="AK160" s="129" t="n"/>
      <c r="AL160" s="129" t="n"/>
      <c r="AM160" s="129" t="n"/>
      <c r="AN160" s="129" t="n"/>
      <c r="AO160" s="129" t="n"/>
      <c r="AP160" s="129" t="n"/>
      <c r="AQ160" s="129" t="n"/>
      <c r="AR160" s="129" t="n"/>
      <c r="AS160" s="129" t="n"/>
      <c r="AT160" s="129" t="n"/>
      <c r="AU160" s="129" t="n"/>
      <c r="AV160" s="129" t="n"/>
      <c r="AW160" s="129" t="n"/>
      <c r="AX160" s="129" t="n"/>
      <c r="AY160" s="129" t="n"/>
      <c r="AZ160" s="129" t="n"/>
      <c r="BA160" s="129" t="n"/>
      <c r="BB160" s="129" t="n"/>
      <c r="BC160" s="129" t="n"/>
      <c r="BD160" s="129" t="n"/>
      <c r="BE160" s="129" t="n"/>
      <c r="BF160" s="129" t="n"/>
      <c r="BG160" s="129" t="n"/>
      <c r="BH160" s="129" t="n"/>
      <c r="BI160" s="129" t="n"/>
      <c r="BJ160" s="129" t="n"/>
      <c r="BK160" s="129" t="n"/>
      <c r="BL160" s="129" t="n"/>
      <c r="BM160" s="129" t="n"/>
      <c r="BN160" s="129" t="n"/>
      <c r="BO160" s="129" t="n"/>
      <c r="BP160" s="129" t="n"/>
      <c r="BQ160" s="129" t="n"/>
      <c r="BR160" s="129" t="n"/>
      <c r="BS160" s="129" t="n"/>
      <c r="BT160" s="129" t="n"/>
      <c r="BU160" s="129" t="n"/>
      <c r="BV160" s="129" t="n"/>
      <c r="BW160" s="129" t="n"/>
      <c r="BX160" s="129" t="n"/>
      <c r="BY160" s="129" t="n"/>
      <c r="BZ160" s="129" t="n"/>
      <c r="CA160" s="129" t="n"/>
      <c r="CB160" s="129" t="n"/>
      <c r="CC160" s="129" t="n"/>
      <c r="CD160" s="129" t="n"/>
      <c r="CE160" s="129" t="n"/>
      <c r="CF160" s="129" t="n"/>
      <c r="CG160" s="129" t="n"/>
      <c r="CH160" s="129" t="n"/>
      <c r="CI160" s="129" t="n"/>
      <c r="CJ160" s="129" t="n"/>
      <c r="CK160" s="129" t="n"/>
      <c r="CL160" s="129" t="n"/>
      <c r="CM160" s="129" t="n"/>
      <c r="CN160" s="129" t="n"/>
      <c r="CO160" s="129" t="n"/>
      <c r="CP160" s="129" t="n"/>
      <c r="CQ160" s="129" t="n"/>
      <c r="CR160" s="129" t="n"/>
      <c r="CS160" s="129" t="n"/>
      <c r="CT160" s="129" t="n"/>
      <c r="CU160" s="129" t="n"/>
      <c r="CV160" s="129" t="n"/>
      <c r="CW160" s="129" t="n"/>
      <c r="CX160" s="129" t="n"/>
      <c r="CY160" s="129" t="n"/>
      <c r="CZ160" s="129" t="n"/>
      <c r="DA160" s="129" t="n"/>
      <c r="DB160" s="129" t="n"/>
      <c r="DC160" s="129" t="n"/>
      <c r="DD160" s="129" t="n"/>
      <c r="DE160" s="129" t="n"/>
      <c r="DF160" s="129" t="n"/>
      <c r="DG160" s="129" t="n"/>
      <c r="DH160" s="129" t="n"/>
      <c r="DI160" s="129" t="n"/>
      <c r="DJ160" s="129" t="n"/>
      <c r="DK160" s="129" t="n"/>
      <c r="DL160" s="129" t="n"/>
      <c r="DM160" s="129" t="n"/>
      <c r="DN160" s="129" t="n"/>
      <c r="DO160" s="129" t="n"/>
      <c r="DP160" s="129" t="n"/>
      <c r="DQ160" s="129" t="n"/>
      <c r="DR160" s="129" t="n"/>
      <c r="DS160" s="129" t="n"/>
      <c r="DT160" s="129" t="n"/>
      <c r="DU160" s="129" t="n"/>
      <c r="DV160" s="129" t="n"/>
      <c r="DW160" s="129" t="n"/>
      <c r="DX160" s="129" t="n"/>
      <c r="DY160" s="129" t="n"/>
      <c r="DZ160" s="129" t="n"/>
      <c r="EA160" s="129" t="n"/>
      <c r="EB160" s="129" t="n"/>
      <c r="EC160" s="129" t="n"/>
      <c r="ED160" s="129" t="n"/>
      <c r="EE160" s="129" t="n"/>
      <c r="EF160" s="129" t="n"/>
      <c r="EG160" s="129" t="n"/>
      <c r="EH160" s="129" t="n"/>
      <c r="EI160" s="129" t="n"/>
      <c r="EJ160" s="129" t="n"/>
      <c r="EK160" s="129" t="n"/>
      <c r="EL160" s="129" t="n"/>
      <c r="EM160" s="129" t="n"/>
      <c r="EN160" s="129" t="n"/>
      <c r="EO160" s="129" t="n"/>
      <c r="EP160" s="129" t="n"/>
      <c r="EQ160" s="129" t="n"/>
      <c r="ER160" s="129" t="n"/>
      <c r="ES160" s="129" t="n"/>
      <c r="ET160" s="129" t="n"/>
      <c r="EU160" s="129" t="n"/>
      <c r="EV160" s="129" t="n"/>
      <c r="EW160" s="129" t="n"/>
      <c r="EX160" s="129" t="n"/>
      <c r="EY160" s="129" t="n"/>
      <c r="EZ160" s="129" t="n"/>
      <c r="FA160" s="129" t="n"/>
      <c r="FB160" s="129" t="n"/>
      <c r="FC160" s="129" t="n"/>
      <c r="FD160" s="129" t="n"/>
      <c r="FE160" s="129" t="n"/>
      <c r="FF160" s="129" t="n"/>
      <c r="FG160" s="129" t="n"/>
      <c r="FH160" s="129" t="n"/>
      <c r="FI160" s="129" t="n"/>
      <c r="FJ160" s="129" t="n"/>
      <c r="FK160" s="129" t="n"/>
      <c r="FL160" s="129" t="n"/>
      <c r="FM160" s="129" t="n"/>
    </row>
    <row r="161" s="135">
      <c r="A161" s="52" t="n">
        <v>37590</v>
      </c>
      <c r="B161" s="30" t="n">
        <v>0.145</v>
      </c>
      <c r="C161" s="29" t="n"/>
      <c r="D161" s="129" t="n"/>
      <c r="E161" s="129" t="n"/>
      <c r="F161" s="129" t="n"/>
      <c r="G161" s="129" t="n"/>
      <c r="H161" s="129" t="n"/>
      <c r="I161" s="129" t="n"/>
      <c r="J161" s="129" t="n"/>
      <c r="K161" s="129" t="n"/>
      <c r="L161" s="129" t="n"/>
      <c r="M161" s="129" t="n"/>
      <c r="N161" s="129" t="n"/>
      <c r="O161" s="129" t="n"/>
      <c r="P161" s="129" t="n"/>
      <c r="Q161" s="129" t="n"/>
      <c r="R161" s="129" t="n"/>
      <c r="S161" s="129" t="n"/>
      <c r="T161" s="129" t="n"/>
      <c r="U161" s="129" t="n"/>
      <c r="V161" s="129" t="n"/>
      <c r="W161" s="129" t="n"/>
      <c r="X161" s="129" t="n"/>
      <c r="Y161" s="129" t="n"/>
      <c r="Z161" s="129" t="n"/>
      <c r="AA161" s="129" t="n"/>
      <c r="AB161" s="129" t="n"/>
      <c r="AC161" s="129" t="n"/>
      <c r="AD161" s="129" t="n"/>
      <c r="AE161" s="129" t="n"/>
      <c r="AF161" s="129" t="n"/>
      <c r="AG161" s="129" t="n"/>
      <c r="AH161" s="129" t="n"/>
      <c r="AI161" s="129" t="n"/>
      <c r="AJ161" s="129" t="n"/>
      <c r="AK161" s="129" t="n"/>
      <c r="AL161" s="129" t="n"/>
      <c r="AM161" s="129" t="n"/>
      <c r="AN161" s="129" t="n"/>
      <c r="AO161" s="129" t="n"/>
      <c r="AP161" s="129" t="n"/>
      <c r="AQ161" s="129" t="n"/>
      <c r="AR161" s="129" t="n"/>
      <c r="AS161" s="129" t="n"/>
      <c r="AT161" s="129" t="n"/>
      <c r="AU161" s="129" t="n"/>
      <c r="AV161" s="129" t="n"/>
      <c r="AW161" s="129" t="n"/>
      <c r="AX161" s="129" t="n"/>
      <c r="AY161" s="129" t="n"/>
      <c r="AZ161" s="129" t="n"/>
      <c r="BA161" s="129" t="n"/>
      <c r="BB161" s="129" t="n"/>
      <c r="BC161" s="129" t="n"/>
      <c r="BD161" s="129" t="n"/>
      <c r="BE161" s="129" t="n"/>
      <c r="BF161" s="129" t="n"/>
      <c r="BG161" s="129" t="n"/>
      <c r="BH161" s="129" t="n"/>
      <c r="BI161" s="129" t="n"/>
      <c r="BJ161" s="129" t="n"/>
      <c r="BK161" s="129" t="n"/>
      <c r="BL161" s="129" t="n"/>
      <c r="BM161" s="129" t="n"/>
      <c r="BN161" s="129" t="n"/>
      <c r="BO161" s="129" t="n"/>
      <c r="BP161" s="129" t="n"/>
      <c r="BQ161" s="129" t="n"/>
      <c r="BR161" s="129" t="n"/>
      <c r="BS161" s="129" t="n"/>
      <c r="BT161" s="129" t="n"/>
      <c r="BU161" s="129" t="n"/>
      <c r="BV161" s="129" t="n"/>
      <c r="BW161" s="129" t="n"/>
      <c r="BX161" s="129" t="n"/>
      <c r="BY161" s="129" t="n"/>
      <c r="BZ161" s="129" t="n"/>
      <c r="CA161" s="129" t="n"/>
      <c r="CB161" s="129" t="n"/>
      <c r="CC161" s="129" t="n"/>
      <c r="CD161" s="129" t="n"/>
      <c r="CE161" s="129" t="n"/>
      <c r="CF161" s="129" t="n"/>
      <c r="CG161" s="129" t="n"/>
      <c r="CH161" s="129" t="n"/>
      <c r="CI161" s="129" t="n"/>
      <c r="CJ161" s="129" t="n"/>
      <c r="CK161" s="129" t="n"/>
      <c r="CL161" s="129" t="n"/>
      <c r="CM161" s="129" t="n"/>
      <c r="CN161" s="129" t="n"/>
      <c r="CO161" s="129" t="n"/>
      <c r="CP161" s="129" t="n"/>
      <c r="CQ161" s="129" t="n"/>
      <c r="CR161" s="129" t="n"/>
      <c r="CS161" s="129" t="n"/>
      <c r="CT161" s="129" t="n"/>
      <c r="CU161" s="129" t="n"/>
      <c r="CV161" s="129" t="n"/>
      <c r="CW161" s="129" t="n"/>
      <c r="CX161" s="129" t="n"/>
      <c r="CY161" s="129" t="n"/>
      <c r="CZ161" s="129" t="n"/>
      <c r="DA161" s="129" t="n"/>
      <c r="DB161" s="129" t="n"/>
      <c r="DC161" s="129" t="n"/>
      <c r="DD161" s="129" t="n"/>
      <c r="DE161" s="129" t="n"/>
      <c r="DF161" s="129" t="n"/>
      <c r="DG161" s="129" t="n"/>
      <c r="DH161" s="129" t="n"/>
      <c r="DI161" s="129" t="n"/>
      <c r="DJ161" s="129" t="n"/>
      <c r="DK161" s="129" t="n"/>
      <c r="DL161" s="129" t="n"/>
      <c r="DM161" s="129" t="n"/>
      <c r="DN161" s="129" t="n"/>
      <c r="DO161" s="129" t="n"/>
      <c r="DP161" s="129" t="n"/>
      <c r="DQ161" s="129" t="n"/>
      <c r="DR161" s="129" t="n"/>
      <c r="DS161" s="129" t="n"/>
      <c r="DT161" s="129" t="n"/>
      <c r="DU161" s="129" t="n"/>
      <c r="DV161" s="129" t="n"/>
      <c r="DW161" s="129" t="n"/>
      <c r="DX161" s="129" t="n"/>
      <c r="DY161" s="129" t="n"/>
      <c r="DZ161" s="129" t="n"/>
      <c r="EA161" s="129" t="n"/>
      <c r="EB161" s="129" t="n"/>
      <c r="EC161" s="129" t="n"/>
      <c r="ED161" s="129" t="n"/>
      <c r="EE161" s="129" t="n"/>
      <c r="EF161" s="129" t="n"/>
      <c r="EG161" s="129" t="n"/>
      <c r="EH161" s="129" t="n"/>
      <c r="EI161" s="129" t="n"/>
      <c r="EJ161" s="129" t="n"/>
      <c r="EK161" s="129" t="n"/>
      <c r="EL161" s="129" t="n"/>
      <c r="EM161" s="129" t="n"/>
      <c r="EN161" s="129" t="n"/>
      <c r="EO161" s="129" t="n"/>
      <c r="EP161" s="129" t="n"/>
      <c r="EQ161" s="129" t="n"/>
      <c r="ER161" s="129" t="n"/>
      <c r="ES161" s="129" t="n"/>
      <c r="ET161" s="129" t="n"/>
      <c r="EU161" s="129" t="n"/>
      <c r="EV161" s="129" t="n"/>
      <c r="EW161" s="129" t="n"/>
      <c r="EX161" s="129" t="n"/>
      <c r="EY161" s="129" t="n"/>
      <c r="EZ161" s="129" t="n"/>
      <c r="FA161" s="129" t="n"/>
      <c r="FB161" s="129" t="n"/>
      <c r="FC161" s="129" t="n"/>
      <c r="FD161" s="129" t="n"/>
      <c r="FE161" s="129" t="n"/>
      <c r="FF161" s="129" t="n"/>
      <c r="FG161" s="129" t="n"/>
      <c r="FH161" s="129" t="n"/>
      <c r="FI161" s="129" t="n"/>
      <c r="FJ161" s="129" t="n"/>
      <c r="FK161" s="129" t="n"/>
      <c r="FL161" s="129" t="n"/>
      <c r="FM161" s="129" t="n"/>
    </row>
    <row r="162" s="135">
      <c r="A162" s="53" t="n">
        <v>37621</v>
      </c>
      <c r="B162" s="54" t="n">
        <v>0.149</v>
      </c>
      <c r="C162" s="29" t="n"/>
      <c r="D162" s="129" t="n"/>
      <c r="E162" s="129" t="n"/>
      <c r="F162" s="129" t="n"/>
      <c r="G162" s="129" t="n"/>
      <c r="H162" s="129" t="n"/>
      <c r="I162" s="129" t="n"/>
      <c r="J162" s="129" t="n"/>
      <c r="K162" s="129" t="n"/>
      <c r="L162" s="129" t="n"/>
      <c r="M162" s="129" t="n"/>
      <c r="N162" s="129" t="n"/>
      <c r="O162" s="129" t="n"/>
      <c r="P162" s="129" t="n"/>
      <c r="Q162" s="129" t="n"/>
      <c r="R162" s="129" t="n"/>
      <c r="S162" s="129" t="n"/>
      <c r="T162" s="129" t="n"/>
      <c r="U162" s="129" t="n"/>
      <c r="V162" s="129" t="n"/>
      <c r="W162" s="129" t="n"/>
      <c r="X162" s="129" t="n"/>
      <c r="Y162" s="129" t="n"/>
      <c r="Z162" s="129" t="n"/>
      <c r="AA162" s="129" t="n"/>
      <c r="AB162" s="129" t="n"/>
      <c r="AC162" s="129" t="n"/>
      <c r="AD162" s="129" t="n"/>
      <c r="AE162" s="129" t="n"/>
      <c r="AF162" s="129" t="n"/>
      <c r="AG162" s="129" t="n"/>
      <c r="AH162" s="129" t="n"/>
      <c r="AI162" s="129" t="n"/>
      <c r="AJ162" s="129" t="n"/>
      <c r="AK162" s="129" t="n"/>
      <c r="AL162" s="129" t="n"/>
      <c r="AM162" s="129" t="n"/>
      <c r="AN162" s="129" t="n"/>
      <c r="AO162" s="129" t="n"/>
      <c r="AP162" s="129" t="n"/>
      <c r="AQ162" s="129" t="n"/>
      <c r="AR162" s="129" t="n"/>
      <c r="AS162" s="129" t="n"/>
      <c r="AT162" s="129" t="n"/>
      <c r="AU162" s="129" t="n"/>
      <c r="AV162" s="129" t="n"/>
      <c r="AW162" s="129" t="n"/>
      <c r="AX162" s="129" t="n"/>
      <c r="AY162" s="129" t="n"/>
      <c r="AZ162" s="129" t="n"/>
      <c r="BA162" s="129" t="n"/>
      <c r="BB162" s="129" t="n"/>
      <c r="BC162" s="129" t="n"/>
      <c r="BD162" s="129" t="n"/>
      <c r="BE162" s="129" t="n"/>
      <c r="BF162" s="129" t="n"/>
      <c r="BG162" s="129" t="n"/>
      <c r="BH162" s="129" t="n"/>
      <c r="BI162" s="129" t="n"/>
      <c r="BJ162" s="129" t="n"/>
      <c r="BK162" s="129" t="n"/>
      <c r="BL162" s="129" t="n"/>
      <c r="BM162" s="129" t="n"/>
      <c r="BN162" s="129" t="n"/>
      <c r="BO162" s="129" t="n"/>
      <c r="BP162" s="129" t="n"/>
      <c r="BQ162" s="129" t="n"/>
      <c r="BR162" s="129" t="n"/>
      <c r="BS162" s="129" t="n"/>
      <c r="BT162" s="129" t="n"/>
      <c r="BU162" s="129" t="n"/>
      <c r="BV162" s="129" t="n"/>
      <c r="BW162" s="129" t="n"/>
      <c r="BX162" s="129" t="n"/>
      <c r="BY162" s="129" t="n"/>
      <c r="BZ162" s="129" t="n"/>
      <c r="CA162" s="129" t="n"/>
      <c r="CB162" s="129" t="n"/>
      <c r="CC162" s="129" t="n"/>
      <c r="CD162" s="129" t="n"/>
      <c r="CE162" s="129" t="n"/>
      <c r="CF162" s="129" t="n"/>
      <c r="CG162" s="129" t="n"/>
      <c r="CH162" s="129" t="n"/>
      <c r="CI162" s="129" t="n"/>
      <c r="CJ162" s="129" t="n"/>
      <c r="CK162" s="129" t="n"/>
      <c r="CL162" s="129" t="n"/>
      <c r="CM162" s="129" t="n"/>
      <c r="CN162" s="129" t="n"/>
      <c r="CO162" s="129" t="n"/>
      <c r="CP162" s="129" t="n"/>
      <c r="CQ162" s="129" t="n"/>
      <c r="CR162" s="129" t="n"/>
      <c r="CS162" s="129" t="n"/>
      <c r="CT162" s="129" t="n"/>
      <c r="CU162" s="129" t="n"/>
      <c r="CV162" s="129" t="n"/>
      <c r="CW162" s="129" t="n"/>
      <c r="CX162" s="129" t="n"/>
      <c r="CY162" s="129" t="n"/>
      <c r="CZ162" s="129" t="n"/>
      <c r="DA162" s="129" t="n"/>
      <c r="DB162" s="129" t="n"/>
      <c r="DC162" s="129" t="n"/>
      <c r="DD162" s="129" t="n"/>
      <c r="DE162" s="129" t="n"/>
      <c r="DF162" s="129" t="n"/>
      <c r="DG162" s="129" t="n"/>
      <c r="DH162" s="129" t="n"/>
      <c r="DI162" s="129" t="n"/>
      <c r="DJ162" s="129" t="n"/>
      <c r="DK162" s="129" t="n"/>
      <c r="DL162" s="129" t="n"/>
      <c r="DM162" s="129" t="n"/>
      <c r="DN162" s="129" t="n"/>
      <c r="DO162" s="129" t="n"/>
      <c r="DP162" s="129" t="n"/>
      <c r="DQ162" s="129" t="n"/>
      <c r="DR162" s="129" t="n"/>
      <c r="DS162" s="129" t="n"/>
      <c r="DT162" s="129" t="n"/>
      <c r="DU162" s="129" t="n"/>
      <c r="DV162" s="129" t="n"/>
      <c r="DW162" s="129" t="n"/>
      <c r="DX162" s="129" t="n"/>
      <c r="DY162" s="129" t="n"/>
      <c r="DZ162" s="129" t="n"/>
      <c r="EA162" s="129" t="n"/>
      <c r="EB162" s="129" t="n"/>
      <c r="EC162" s="129" t="n"/>
      <c r="ED162" s="129" t="n"/>
      <c r="EE162" s="129" t="n"/>
      <c r="EF162" s="129" t="n"/>
      <c r="EG162" s="129" t="n"/>
      <c r="EH162" s="129" t="n"/>
      <c r="EI162" s="129" t="n"/>
      <c r="EJ162" s="129" t="n"/>
      <c r="EK162" s="129" t="n"/>
      <c r="EL162" s="129" t="n"/>
      <c r="EM162" s="129" t="n"/>
      <c r="EN162" s="129" t="n"/>
      <c r="EO162" s="129" t="n"/>
      <c r="EP162" s="129" t="n"/>
      <c r="EQ162" s="129" t="n"/>
      <c r="ER162" s="129" t="n"/>
      <c r="ES162" s="129" t="n"/>
      <c r="ET162" s="129" t="n"/>
      <c r="EU162" s="129" t="n"/>
      <c r="EV162" s="129" t="n"/>
      <c r="EW162" s="129" t="n"/>
      <c r="EX162" s="129" t="n"/>
      <c r="EY162" s="129" t="n"/>
      <c r="EZ162" s="129" t="n"/>
      <c r="FA162" s="129" t="n"/>
      <c r="FB162" s="129" t="n"/>
      <c r="FC162" s="129" t="n"/>
      <c r="FD162" s="129" t="n"/>
      <c r="FE162" s="129" t="n"/>
      <c r="FF162" s="129" t="n"/>
      <c r="FG162" s="129" t="n"/>
      <c r="FH162" s="129" t="n"/>
      <c r="FI162" s="129" t="n"/>
      <c r="FJ162" s="129" t="n"/>
      <c r="FK162" s="129" t="n"/>
      <c r="FL162" s="129" t="n"/>
      <c r="FM162" s="129" t="n"/>
    </row>
    <row r="163" s="135">
      <c r="A163" s="52" t="n">
        <v>37652</v>
      </c>
      <c r="B163" s="30" t="n">
        <v>0.148</v>
      </c>
      <c r="C163" s="29" t="n"/>
      <c r="D163" s="129" t="n"/>
      <c r="E163" s="129" t="n"/>
      <c r="F163" s="129" t="n"/>
      <c r="G163" s="129" t="n"/>
      <c r="H163" s="129" t="n"/>
      <c r="I163" s="129" t="n"/>
      <c r="J163" s="129" t="n"/>
      <c r="K163" s="129" t="n"/>
      <c r="L163" s="129" t="n"/>
      <c r="M163" s="129" t="n"/>
      <c r="N163" s="129" t="n"/>
      <c r="O163" s="129" t="n"/>
      <c r="P163" s="129" t="n"/>
      <c r="Q163" s="129" t="n"/>
      <c r="R163" s="129" t="n"/>
      <c r="S163" s="129" t="n"/>
      <c r="T163" s="129" t="n"/>
      <c r="U163" s="129" t="n"/>
      <c r="V163" s="129" t="n"/>
      <c r="W163" s="129" t="n"/>
      <c r="X163" s="129" t="n"/>
      <c r="Y163" s="129" t="n"/>
      <c r="Z163" s="129" t="n"/>
      <c r="AA163" s="129" t="n"/>
      <c r="AB163" s="129" t="n"/>
      <c r="AC163" s="129" t="n"/>
      <c r="AD163" s="129" t="n"/>
      <c r="AE163" s="129" t="n"/>
      <c r="AF163" s="129" t="n"/>
      <c r="AG163" s="129" t="n"/>
      <c r="AH163" s="129" t="n"/>
      <c r="AI163" s="129" t="n"/>
      <c r="AJ163" s="129" t="n"/>
      <c r="AK163" s="129" t="n"/>
      <c r="AL163" s="129" t="n"/>
      <c r="AM163" s="129" t="n"/>
      <c r="AN163" s="129" t="n"/>
      <c r="AO163" s="129" t="n"/>
      <c r="AP163" s="129" t="n"/>
      <c r="AQ163" s="129" t="n"/>
      <c r="AR163" s="129" t="n"/>
      <c r="AS163" s="129" t="n"/>
      <c r="AT163" s="129" t="n"/>
      <c r="AU163" s="129" t="n"/>
      <c r="AV163" s="129" t="n"/>
      <c r="AW163" s="129" t="n"/>
      <c r="AX163" s="129" t="n"/>
      <c r="AY163" s="129" t="n"/>
      <c r="AZ163" s="129" t="n"/>
      <c r="BA163" s="129" t="n"/>
      <c r="BB163" s="129" t="n"/>
      <c r="BC163" s="129" t="n"/>
      <c r="BD163" s="129" t="n"/>
      <c r="BE163" s="129" t="n"/>
      <c r="BF163" s="129" t="n"/>
      <c r="BG163" s="129" t="n"/>
      <c r="BH163" s="129" t="n"/>
      <c r="BI163" s="129" t="n"/>
      <c r="BJ163" s="129" t="n"/>
      <c r="BK163" s="129" t="n"/>
      <c r="BL163" s="129" t="n"/>
      <c r="BM163" s="129" t="n"/>
      <c r="BN163" s="129" t="n"/>
      <c r="BO163" s="129" t="n"/>
      <c r="BP163" s="129" t="n"/>
      <c r="BQ163" s="129" t="n"/>
      <c r="BR163" s="129" t="n"/>
      <c r="BS163" s="129" t="n"/>
      <c r="BT163" s="129" t="n"/>
      <c r="BU163" s="129" t="n"/>
      <c r="BV163" s="129" t="n"/>
      <c r="BW163" s="129" t="n"/>
      <c r="BX163" s="129" t="n"/>
      <c r="BY163" s="129" t="n"/>
      <c r="BZ163" s="129" t="n"/>
      <c r="CA163" s="129" t="n"/>
      <c r="CB163" s="129" t="n"/>
      <c r="CC163" s="129" t="n"/>
      <c r="CD163" s="129" t="n"/>
      <c r="CE163" s="129" t="n"/>
      <c r="CF163" s="129" t="n"/>
      <c r="CG163" s="129" t="n"/>
      <c r="CH163" s="129" t="n"/>
      <c r="CI163" s="129" t="n"/>
      <c r="CJ163" s="129" t="n"/>
      <c r="CK163" s="129" t="n"/>
      <c r="CL163" s="129" t="n"/>
      <c r="CM163" s="129" t="n"/>
      <c r="CN163" s="129" t="n"/>
      <c r="CO163" s="129" t="n"/>
      <c r="CP163" s="129" t="n"/>
      <c r="CQ163" s="129" t="n"/>
      <c r="CR163" s="129" t="n"/>
      <c r="CS163" s="129" t="n"/>
      <c r="CT163" s="129" t="n"/>
      <c r="CU163" s="129" t="n"/>
      <c r="CV163" s="129" t="n"/>
      <c r="CW163" s="129" t="n"/>
      <c r="CX163" s="129" t="n"/>
      <c r="CY163" s="129" t="n"/>
      <c r="CZ163" s="129" t="n"/>
      <c r="DA163" s="129" t="n"/>
      <c r="DB163" s="129" t="n"/>
      <c r="DC163" s="129" t="n"/>
      <c r="DD163" s="129" t="n"/>
      <c r="DE163" s="129" t="n"/>
      <c r="DF163" s="129" t="n"/>
      <c r="DG163" s="129" t="n"/>
      <c r="DH163" s="129" t="n"/>
      <c r="DI163" s="129" t="n"/>
      <c r="DJ163" s="129" t="n"/>
      <c r="DK163" s="129" t="n"/>
      <c r="DL163" s="129" t="n"/>
      <c r="DM163" s="129" t="n"/>
      <c r="DN163" s="129" t="n"/>
      <c r="DO163" s="129" t="n"/>
      <c r="DP163" s="129" t="n"/>
      <c r="DQ163" s="129" t="n"/>
      <c r="DR163" s="129" t="n"/>
      <c r="DS163" s="129" t="n"/>
      <c r="DT163" s="129" t="n"/>
      <c r="DU163" s="129" t="n"/>
      <c r="DV163" s="129" t="n"/>
      <c r="DW163" s="129" t="n"/>
      <c r="DX163" s="129" t="n"/>
      <c r="DY163" s="129" t="n"/>
      <c r="DZ163" s="129" t="n"/>
      <c r="EA163" s="129" t="n"/>
      <c r="EB163" s="129" t="n"/>
      <c r="EC163" s="129" t="n"/>
      <c r="ED163" s="129" t="n"/>
      <c r="EE163" s="129" t="n"/>
      <c r="EF163" s="129" t="n"/>
      <c r="EG163" s="129" t="n"/>
      <c r="EH163" s="129" t="n"/>
      <c r="EI163" s="129" t="n"/>
      <c r="EJ163" s="129" t="n"/>
      <c r="EK163" s="129" t="n"/>
      <c r="EL163" s="129" t="n"/>
      <c r="EM163" s="129" t="n"/>
      <c r="EN163" s="129" t="n"/>
      <c r="EO163" s="129" t="n"/>
      <c r="EP163" s="129" t="n"/>
      <c r="EQ163" s="129" t="n"/>
      <c r="ER163" s="129" t="n"/>
      <c r="ES163" s="129" t="n"/>
      <c r="ET163" s="129" t="n"/>
      <c r="EU163" s="129" t="n"/>
      <c r="EV163" s="129" t="n"/>
      <c r="EW163" s="129" t="n"/>
      <c r="EX163" s="129" t="n"/>
      <c r="EY163" s="129" t="n"/>
      <c r="EZ163" s="129" t="n"/>
      <c r="FA163" s="129" t="n"/>
      <c r="FB163" s="129" t="n"/>
      <c r="FC163" s="129" t="n"/>
      <c r="FD163" s="129" t="n"/>
      <c r="FE163" s="129" t="n"/>
      <c r="FF163" s="129" t="n"/>
      <c r="FG163" s="129" t="n"/>
      <c r="FH163" s="129" t="n"/>
      <c r="FI163" s="129" t="n"/>
      <c r="FJ163" s="129" t="n"/>
      <c r="FK163" s="129" t="n"/>
      <c r="FL163" s="129" t="n"/>
      <c r="FM163" s="129" t="n"/>
    </row>
    <row r="164" s="135">
      <c r="A164" s="53" t="n">
        <v>37680</v>
      </c>
      <c r="B164" s="54" t="n">
        <v>0.198</v>
      </c>
      <c r="C164" s="29" t="n"/>
      <c r="D164" s="129" t="n"/>
      <c r="E164" s="129" t="n"/>
      <c r="F164" s="129" t="n"/>
      <c r="G164" s="129" t="n"/>
      <c r="H164" s="129" t="n"/>
      <c r="I164" s="129" t="n"/>
      <c r="J164" s="129" t="n"/>
      <c r="K164" s="129" t="n"/>
      <c r="L164" s="129" t="n"/>
      <c r="M164" s="129" t="n"/>
      <c r="N164" s="129" t="n"/>
      <c r="O164" s="129" t="n"/>
      <c r="P164" s="129" t="n"/>
      <c r="Q164" s="129" t="n"/>
      <c r="R164" s="129" t="n"/>
      <c r="S164" s="129" t="n"/>
      <c r="T164" s="129" t="n"/>
      <c r="U164" s="129" t="n"/>
      <c r="V164" s="129" t="n"/>
      <c r="W164" s="129" t="n"/>
      <c r="X164" s="129" t="n"/>
      <c r="Y164" s="129" t="n"/>
      <c r="Z164" s="129" t="n"/>
      <c r="AA164" s="129" t="n"/>
      <c r="AB164" s="129" t="n"/>
      <c r="AC164" s="129" t="n"/>
      <c r="AD164" s="129" t="n"/>
      <c r="AE164" s="129" t="n"/>
      <c r="AF164" s="129" t="n"/>
      <c r="AG164" s="129" t="n"/>
      <c r="AH164" s="129" t="n"/>
      <c r="AI164" s="129" t="n"/>
      <c r="AJ164" s="129" t="n"/>
      <c r="AK164" s="129" t="n"/>
      <c r="AL164" s="129" t="n"/>
      <c r="AM164" s="129" t="n"/>
      <c r="AN164" s="129" t="n"/>
      <c r="AO164" s="129" t="n"/>
      <c r="AP164" s="129" t="n"/>
      <c r="AQ164" s="129" t="n"/>
      <c r="AR164" s="129" t="n"/>
      <c r="AS164" s="129" t="n"/>
      <c r="AT164" s="129" t="n"/>
      <c r="AU164" s="129" t="n"/>
      <c r="AV164" s="129" t="n"/>
      <c r="AW164" s="129" t="n"/>
      <c r="AX164" s="129" t="n"/>
      <c r="AY164" s="129" t="n"/>
      <c r="AZ164" s="129" t="n"/>
      <c r="BA164" s="129" t="n"/>
      <c r="BB164" s="129" t="n"/>
      <c r="BC164" s="129" t="n"/>
      <c r="BD164" s="129" t="n"/>
      <c r="BE164" s="129" t="n"/>
      <c r="BF164" s="129" t="n"/>
      <c r="BG164" s="129" t="n"/>
      <c r="BH164" s="129" t="n"/>
      <c r="BI164" s="129" t="n"/>
      <c r="BJ164" s="129" t="n"/>
      <c r="BK164" s="129" t="n"/>
      <c r="BL164" s="129" t="n"/>
      <c r="BM164" s="129" t="n"/>
      <c r="BN164" s="129" t="n"/>
      <c r="BO164" s="129" t="n"/>
      <c r="BP164" s="129" t="n"/>
      <c r="BQ164" s="129" t="n"/>
      <c r="BR164" s="129" t="n"/>
      <c r="BS164" s="129" t="n"/>
      <c r="BT164" s="129" t="n"/>
      <c r="BU164" s="129" t="n"/>
      <c r="BV164" s="129" t="n"/>
      <c r="BW164" s="129" t="n"/>
      <c r="BX164" s="129" t="n"/>
      <c r="BY164" s="129" t="n"/>
      <c r="BZ164" s="129" t="n"/>
      <c r="CA164" s="129" t="n"/>
      <c r="CB164" s="129" t="n"/>
      <c r="CC164" s="129" t="n"/>
      <c r="CD164" s="129" t="n"/>
      <c r="CE164" s="129" t="n"/>
      <c r="CF164" s="129" t="n"/>
      <c r="CG164" s="129" t="n"/>
      <c r="CH164" s="129" t="n"/>
      <c r="CI164" s="129" t="n"/>
      <c r="CJ164" s="129" t="n"/>
      <c r="CK164" s="129" t="n"/>
      <c r="CL164" s="129" t="n"/>
      <c r="CM164" s="129" t="n"/>
      <c r="CN164" s="129" t="n"/>
      <c r="CO164" s="129" t="n"/>
      <c r="CP164" s="129" t="n"/>
      <c r="CQ164" s="129" t="n"/>
      <c r="CR164" s="129" t="n"/>
      <c r="CS164" s="129" t="n"/>
      <c r="CT164" s="129" t="n"/>
      <c r="CU164" s="129" t="n"/>
      <c r="CV164" s="129" t="n"/>
      <c r="CW164" s="129" t="n"/>
      <c r="CX164" s="129" t="n"/>
      <c r="CY164" s="129" t="n"/>
      <c r="CZ164" s="129" t="n"/>
      <c r="DA164" s="129" t="n"/>
      <c r="DB164" s="129" t="n"/>
      <c r="DC164" s="129" t="n"/>
      <c r="DD164" s="129" t="n"/>
      <c r="DE164" s="129" t="n"/>
      <c r="DF164" s="129" t="n"/>
      <c r="DG164" s="129" t="n"/>
      <c r="DH164" s="129" t="n"/>
      <c r="DI164" s="129" t="n"/>
      <c r="DJ164" s="129" t="n"/>
      <c r="DK164" s="129" t="n"/>
      <c r="DL164" s="129" t="n"/>
      <c r="DM164" s="129" t="n"/>
      <c r="DN164" s="129" t="n"/>
      <c r="DO164" s="129" t="n"/>
      <c r="DP164" s="129" t="n"/>
      <c r="DQ164" s="129" t="n"/>
      <c r="DR164" s="129" t="n"/>
      <c r="DS164" s="129" t="n"/>
      <c r="DT164" s="129" t="n"/>
      <c r="DU164" s="129" t="n"/>
      <c r="DV164" s="129" t="n"/>
      <c r="DW164" s="129" t="n"/>
      <c r="DX164" s="129" t="n"/>
      <c r="DY164" s="129" t="n"/>
      <c r="DZ164" s="129" t="n"/>
      <c r="EA164" s="129" t="n"/>
      <c r="EB164" s="129" t="n"/>
      <c r="EC164" s="129" t="n"/>
      <c r="ED164" s="129" t="n"/>
      <c r="EE164" s="129" t="n"/>
      <c r="EF164" s="129" t="n"/>
      <c r="EG164" s="129" t="n"/>
      <c r="EH164" s="129" t="n"/>
      <c r="EI164" s="129" t="n"/>
      <c r="EJ164" s="129" t="n"/>
      <c r="EK164" s="129" t="n"/>
      <c r="EL164" s="129" t="n"/>
      <c r="EM164" s="129" t="n"/>
      <c r="EN164" s="129" t="n"/>
      <c r="EO164" s="129" t="n"/>
      <c r="EP164" s="129" t="n"/>
      <c r="EQ164" s="129" t="n"/>
      <c r="ER164" s="129" t="n"/>
      <c r="ES164" s="129" t="n"/>
      <c r="ET164" s="129" t="n"/>
      <c r="EU164" s="129" t="n"/>
      <c r="EV164" s="129" t="n"/>
      <c r="EW164" s="129" t="n"/>
      <c r="EX164" s="129" t="n"/>
      <c r="EY164" s="129" t="n"/>
      <c r="EZ164" s="129" t="n"/>
      <c r="FA164" s="129" t="n"/>
      <c r="FB164" s="129" t="n"/>
      <c r="FC164" s="129" t="n"/>
      <c r="FD164" s="129" t="n"/>
      <c r="FE164" s="129" t="n"/>
      <c r="FF164" s="129" t="n"/>
      <c r="FG164" s="129" t="n"/>
      <c r="FH164" s="129" t="n"/>
      <c r="FI164" s="129" t="n"/>
      <c r="FJ164" s="129" t="n"/>
      <c r="FK164" s="129" t="n"/>
      <c r="FL164" s="129" t="n"/>
      <c r="FM164" s="129" t="n"/>
    </row>
    <row r="165" s="135">
      <c r="A165" s="52" t="n">
        <v>37711</v>
      </c>
      <c r="B165" s="30" t="n">
        <v>0.169</v>
      </c>
      <c r="C165" s="29" t="n"/>
      <c r="D165" s="129" t="n"/>
      <c r="E165" s="129" t="n"/>
      <c r="F165" s="129" t="n"/>
      <c r="G165" s="129" t="n"/>
      <c r="H165" s="129" t="n"/>
      <c r="I165" s="129" t="n"/>
      <c r="J165" s="129" t="n"/>
      <c r="K165" s="129" t="n"/>
      <c r="L165" s="129" t="n"/>
      <c r="M165" s="129" t="n"/>
      <c r="N165" s="129" t="n"/>
      <c r="O165" s="129" t="n"/>
      <c r="P165" s="129" t="n"/>
      <c r="Q165" s="129" t="n"/>
      <c r="R165" s="129" t="n"/>
      <c r="S165" s="129" t="n"/>
      <c r="T165" s="129" t="n"/>
      <c r="U165" s="129" t="n"/>
      <c r="V165" s="129" t="n"/>
      <c r="W165" s="129" t="n"/>
      <c r="X165" s="129" t="n"/>
      <c r="Y165" s="129" t="n"/>
      <c r="Z165" s="129" t="n"/>
      <c r="AA165" s="129" t="n"/>
      <c r="AB165" s="129" t="n"/>
      <c r="AC165" s="129" t="n"/>
      <c r="AD165" s="129" t="n"/>
      <c r="AE165" s="129" t="n"/>
      <c r="AF165" s="129" t="n"/>
      <c r="AG165" s="129" t="n"/>
      <c r="AH165" s="129" t="n"/>
      <c r="AI165" s="129" t="n"/>
      <c r="AJ165" s="129" t="n"/>
      <c r="AK165" s="129" t="n"/>
      <c r="AL165" s="129" t="n"/>
      <c r="AM165" s="129" t="n"/>
      <c r="AN165" s="129" t="n"/>
      <c r="AO165" s="129" t="n"/>
      <c r="AP165" s="129" t="n"/>
      <c r="AQ165" s="129" t="n"/>
      <c r="AR165" s="129" t="n"/>
      <c r="AS165" s="129" t="n"/>
      <c r="AT165" s="129" t="n"/>
      <c r="AU165" s="129" t="n"/>
      <c r="AV165" s="129" t="n"/>
      <c r="AW165" s="129" t="n"/>
      <c r="AX165" s="129" t="n"/>
      <c r="AY165" s="129" t="n"/>
      <c r="AZ165" s="129" t="n"/>
      <c r="BA165" s="129" t="n"/>
      <c r="BB165" s="129" t="n"/>
      <c r="BC165" s="129" t="n"/>
      <c r="BD165" s="129" t="n"/>
      <c r="BE165" s="129" t="n"/>
      <c r="BF165" s="129" t="n"/>
      <c r="BG165" s="129" t="n"/>
      <c r="BH165" s="129" t="n"/>
      <c r="BI165" s="129" t="n"/>
      <c r="BJ165" s="129" t="n"/>
      <c r="BK165" s="129" t="n"/>
      <c r="BL165" s="129" t="n"/>
      <c r="BM165" s="129" t="n"/>
      <c r="BN165" s="129" t="n"/>
      <c r="BO165" s="129" t="n"/>
      <c r="BP165" s="129" t="n"/>
      <c r="BQ165" s="129" t="n"/>
      <c r="BR165" s="129" t="n"/>
      <c r="BS165" s="129" t="n"/>
      <c r="BT165" s="129" t="n"/>
      <c r="BU165" s="129" t="n"/>
      <c r="BV165" s="129" t="n"/>
      <c r="BW165" s="129" t="n"/>
      <c r="BX165" s="129" t="n"/>
      <c r="BY165" s="129" t="n"/>
      <c r="BZ165" s="129" t="n"/>
      <c r="CA165" s="129" t="n"/>
      <c r="CB165" s="129" t="n"/>
      <c r="CC165" s="129" t="n"/>
      <c r="CD165" s="129" t="n"/>
      <c r="CE165" s="129" t="n"/>
      <c r="CF165" s="129" t="n"/>
      <c r="CG165" s="129" t="n"/>
      <c r="CH165" s="129" t="n"/>
      <c r="CI165" s="129" t="n"/>
      <c r="CJ165" s="129" t="n"/>
      <c r="CK165" s="129" t="n"/>
      <c r="CL165" s="129" t="n"/>
      <c r="CM165" s="129" t="n"/>
      <c r="CN165" s="129" t="n"/>
      <c r="CO165" s="129" t="n"/>
      <c r="CP165" s="129" t="n"/>
      <c r="CQ165" s="129" t="n"/>
      <c r="CR165" s="129" t="n"/>
      <c r="CS165" s="129" t="n"/>
      <c r="CT165" s="129" t="n"/>
      <c r="CU165" s="129" t="n"/>
      <c r="CV165" s="129" t="n"/>
      <c r="CW165" s="129" t="n"/>
      <c r="CX165" s="129" t="n"/>
      <c r="CY165" s="129" t="n"/>
      <c r="CZ165" s="129" t="n"/>
      <c r="DA165" s="129" t="n"/>
      <c r="DB165" s="129" t="n"/>
      <c r="DC165" s="129" t="n"/>
      <c r="DD165" s="129" t="n"/>
      <c r="DE165" s="129" t="n"/>
      <c r="DF165" s="129" t="n"/>
      <c r="DG165" s="129" t="n"/>
      <c r="DH165" s="129" t="n"/>
      <c r="DI165" s="129" t="n"/>
      <c r="DJ165" s="129" t="n"/>
      <c r="DK165" s="129" t="n"/>
      <c r="DL165" s="129" t="n"/>
      <c r="DM165" s="129" t="n"/>
      <c r="DN165" s="129" t="n"/>
      <c r="DO165" s="129" t="n"/>
      <c r="DP165" s="129" t="n"/>
      <c r="DQ165" s="129" t="n"/>
      <c r="DR165" s="129" t="n"/>
      <c r="DS165" s="129" t="n"/>
      <c r="DT165" s="129" t="n"/>
      <c r="DU165" s="129" t="n"/>
      <c r="DV165" s="129" t="n"/>
      <c r="DW165" s="129" t="n"/>
      <c r="DX165" s="129" t="n"/>
      <c r="DY165" s="129" t="n"/>
      <c r="DZ165" s="129" t="n"/>
      <c r="EA165" s="129" t="n"/>
      <c r="EB165" s="129" t="n"/>
      <c r="EC165" s="129" t="n"/>
      <c r="ED165" s="129" t="n"/>
      <c r="EE165" s="129" t="n"/>
      <c r="EF165" s="129" t="n"/>
      <c r="EG165" s="129" t="n"/>
      <c r="EH165" s="129" t="n"/>
      <c r="EI165" s="129" t="n"/>
      <c r="EJ165" s="129" t="n"/>
      <c r="EK165" s="129" t="n"/>
      <c r="EL165" s="129" t="n"/>
      <c r="EM165" s="129" t="n"/>
      <c r="EN165" s="129" t="n"/>
      <c r="EO165" s="129" t="n"/>
      <c r="EP165" s="129" t="n"/>
      <c r="EQ165" s="129" t="n"/>
      <c r="ER165" s="129" t="n"/>
      <c r="ES165" s="129" t="n"/>
      <c r="ET165" s="129" t="n"/>
      <c r="EU165" s="129" t="n"/>
      <c r="EV165" s="129" t="n"/>
      <c r="EW165" s="129" t="n"/>
      <c r="EX165" s="129" t="n"/>
      <c r="EY165" s="129" t="n"/>
      <c r="EZ165" s="129" t="n"/>
      <c r="FA165" s="129" t="n"/>
      <c r="FB165" s="129" t="n"/>
      <c r="FC165" s="129" t="n"/>
      <c r="FD165" s="129" t="n"/>
      <c r="FE165" s="129" t="n"/>
      <c r="FF165" s="129" t="n"/>
      <c r="FG165" s="129" t="n"/>
      <c r="FH165" s="129" t="n"/>
      <c r="FI165" s="129" t="n"/>
      <c r="FJ165" s="129" t="n"/>
      <c r="FK165" s="129" t="n"/>
      <c r="FL165" s="129" t="n"/>
      <c r="FM165" s="129" t="n"/>
    </row>
    <row r="166" s="135">
      <c r="A166" s="53" t="n">
        <v>37741</v>
      </c>
      <c r="B166" s="54" t="n">
        <v>0.149</v>
      </c>
      <c r="C166" s="29" t="n"/>
      <c r="D166" s="129" t="n"/>
      <c r="E166" s="129" t="n"/>
      <c r="F166" s="129" t="n"/>
      <c r="G166" s="129" t="n"/>
      <c r="H166" s="129" t="n"/>
      <c r="I166" s="129" t="n"/>
      <c r="J166" s="129" t="n"/>
      <c r="K166" s="129" t="n"/>
      <c r="L166" s="129" t="n"/>
      <c r="M166" s="129" t="n"/>
      <c r="N166" s="129" t="n"/>
      <c r="O166" s="129" t="n"/>
      <c r="P166" s="129" t="n"/>
      <c r="Q166" s="129" t="n"/>
      <c r="R166" s="129" t="n"/>
      <c r="S166" s="129" t="n"/>
      <c r="T166" s="129" t="n"/>
      <c r="U166" s="129" t="n"/>
      <c r="V166" s="129" t="n"/>
      <c r="W166" s="129" t="n"/>
      <c r="X166" s="129" t="n"/>
      <c r="Y166" s="129" t="n"/>
      <c r="Z166" s="129" t="n"/>
      <c r="AA166" s="129" t="n"/>
      <c r="AB166" s="129" t="n"/>
      <c r="AC166" s="129" t="n"/>
      <c r="AD166" s="129" t="n"/>
      <c r="AE166" s="129" t="n"/>
      <c r="AF166" s="129" t="n"/>
      <c r="AG166" s="129" t="n"/>
      <c r="AH166" s="129" t="n"/>
      <c r="AI166" s="129" t="n"/>
      <c r="AJ166" s="129" t="n"/>
      <c r="AK166" s="129" t="n"/>
      <c r="AL166" s="129" t="n"/>
      <c r="AM166" s="129" t="n"/>
      <c r="AN166" s="129" t="n"/>
      <c r="AO166" s="129" t="n"/>
      <c r="AP166" s="129" t="n"/>
      <c r="AQ166" s="129" t="n"/>
      <c r="AR166" s="129" t="n"/>
      <c r="AS166" s="129" t="n"/>
      <c r="AT166" s="129" t="n"/>
      <c r="AU166" s="129" t="n"/>
      <c r="AV166" s="129" t="n"/>
      <c r="AW166" s="129" t="n"/>
      <c r="AX166" s="129" t="n"/>
      <c r="AY166" s="129" t="n"/>
      <c r="AZ166" s="129" t="n"/>
      <c r="BA166" s="129" t="n"/>
      <c r="BB166" s="129" t="n"/>
      <c r="BC166" s="129" t="n"/>
      <c r="BD166" s="129" t="n"/>
      <c r="BE166" s="129" t="n"/>
      <c r="BF166" s="129" t="n"/>
      <c r="BG166" s="129" t="n"/>
      <c r="BH166" s="129" t="n"/>
      <c r="BI166" s="129" t="n"/>
      <c r="BJ166" s="129" t="n"/>
      <c r="BK166" s="129" t="n"/>
      <c r="BL166" s="129" t="n"/>
      <c r="BM166" s="129" t="n"/>
      <c r="BN166" s="129" t="n"/>
      <c r="BO166" s="129" t="n"/>
      <c r="BP166" s="129" t="n"/>
      <c r="BQ166" s="129" t="n"/>
      <c r="BR166" s="129" t="n"/>
      <c r="BS166" s="129" t="n"/>
      <c r="BT166" s="129" t="n"/>
      <c r="BU166" s="129" t="n"/>
      <c r="BV166" s="129" t="n"/>
      <c r="BW166" s="129" t="n"/>
      <c r="BX166" s="129" t="n"/>
      <c r="BY166" s="129" t="n"/>
      <c r="BZ166" s="129" t="n"/>
      <c r="CA166" s="129" t="n"/>
      <c r="CB166" s="129" t="n"/>
      <c r="CC166" s="129" t="n"/>
      <c r="CD166" s="129" t="n"/>
      <c r="CE166" s="129" t="n"/>
      <c r="CF166" s="129" t="n"/>
      <c r="CG166" s="129" t="n"/>
      <c r="CH166" s="129" t="n"/>
      <c r="CI166" s="129" t="n"/>
      <c r="CJ166" s="129" t="n"/>
      <c r="CK166" s="129" t="n"/>
      <c r="CL166" s="129" t="n"/>
      <c r="CM166" s="129" t="n"/>
      <c r="CN166" s="129" t="n"/>
      <c r="CO166" s="129" t="n"/>
      <c r="CP166" s="129" t="n"/>
      <c r="CQ166" s="129" t="n"/>
      <c r="CR166" s="129" t="n"/>
      <c r="CS166" s="129" t="n"/>
      <c r="CT166" s="129" t="n"/>
      <c r="CU166" s="129" t="n"/>
      <c r="CV166" s="129" t="n"/>
      <c r="CW166" s="129" t="n"/>
      <c r="CX166" s="129" t="n"/>
      <c r="CY166" s="129" t="n"/>
      <c r="CZ166" s="129" t="n"/>
      <c r="DA166" s="129" t="n"/>
      <c r="DB166" s="129" t="n"/>
      <c r="DC166" s="129" t="n"/>
      <c r="DD166" s="129" t="n"/>
      <c r="DE166" s="129" t="n"/>
      <c r="DF166" s="129" t="n"/>
      <c r="DG166" s="129" t="n"/>
      <c r="DH166" s="129" t="n"/>
      <c r="DI166" s="129" t="n"/>
      <c r="DJ166" s="129" t="n"/>
      <c r="DK166" s="129" t="n"/>
      <c r="DL166" s="129" t="n"/>
      <c r="DM166" s="129" t="n"/>
      <c r="DN166" s="129" t="n"/>
      <c r="DO166" s="129" t="n"/>
      <c r="DP166" s="129" t="n"/>
      <c r="DQ166" s="129" t="n"/>
      <c r="DR166" s="129" t="n"/>
      <c r="DS166" s="129" t="n"/>
      <c r="DT166" s="129" t="n"/>
      <c r="DU166" s="129" t="n"/>
      <c r="DV166" s="129" t="n"/>
      <c r="DW166" s="129" t="n"/>
      <c r="DX166" s="129" t="n"/>
      <c r="DY166" s="129" t="n"/>
      <c r="DZ166" s="129" t="n"/>
      <c r="EA166" s="129" t="n"/>
      <c r="EB166" s="129" t="n"/>
      <c r="EC166" s="129" t="n"/>
      <c r="ED166" s="129" t="n"/>
      <c r="EE166" s="129" t="n"/>
      <c r="EF166" s="129" t="n"/>
      <c r="EG166" s="129" t="n"/>
      <c r="EH166" s="129" t="n"/>
      <c r="EI166" s="129" t="n"/>
      <c r="EJ166" s="129" t="n"/>
      <c r="EK166" s="129" t="n"/>
      <c r="EL166" s="129" t="n"/>
      <c r="EM166" s="129" t="n"/>
      <c r="EN166" s="129" t="n"/>
      <c r="EO166" s="129" t="n"/>
      <c r="EP166" s="129" t="n"/>
      <c r="EQ166" s="129" t="n"/>
      <c r="ER166" s="129" t="n"/>
      <c r="ES166" s="129" t="n"/>
      <c r="ET166" s="129" t="n"/>
      <c r="EU166" s="129" t="n"/>
      <c r="EV166" s="129" t="n"/>
      <c r="EW166" s="129" t="n"/>
      <c r="EX166" s="129" t="n"/>
      <c r="EY166" s="129" t="n"/>
      <c r="EZ166" s="129" t="n"/>
      <c r="FA166" s="129" t="n"/>
      <c r="FB166" s="129" t="n"/>
      <c r="FC166" s="129" t="n"/>
      <c r="FD166" s="129" t="n"/>
      <c r="FE166" s="129" t="n"/>
      <c r="FF166" s="129" t="n"/>
      <c r="FG166" s="129" t="n"/>
      <c r="FH166" s="129" t="n"/>
      <c r="FI166" s="129" t="n"/>
      <c r="FJ166" s="129" t="n"/>
      <c r="FK166" s="129" t="n"/>
      <c r="FL166" s="129" t="n"/>
      <c r="FM166" s="129" t="n"/>
    </row>
    <row r="167" s="135">
      <c r="A167" s="52" t="n">
        <v>37772</v>
      </c>
      <c r="B167" s="30" t="n">
        <v>0.137</v>
      </c>
      <c r="C167" s="29" t="n"/>
      <c r="D167" s="129" t="n"/>
      <c r="E167" s="129" t="n"/>
      <c r="F167" s="129" t="n"/>
      <c r="G167" s="129" t="n"/>
      <c r="H167" s="129" t="n"/>
      <c r="I167" s="129" t="n"/>
      <c r="J167" s="129" t="n"/>
      <c r="K167" s="129" t="n"/>
      <c r="L167" s="129" t="n"/>
      <c r="M167" s="129" t="n"/>
      <c r="N167" s="129" t="n"/>
      <c r="O167" s="129" t="n"/>
      <c r="P167" s="129" t="n"/>
      <c r="Q167" s="129" t="n"/>
      <c r="R167" s="129" t="n"/>
      <c r="S167" s="129" t="n"/>
      <c r="T167" s="129" t="n"/>
      <c r="U167" s="129" t="n"/>
      <c r="V167" s="129" t="n"/>
      <c r="W167" s="129" t="n"/>
      <c r="X167" s="129" t="n"/>
      <c r="Y167" s="129" t="n"/>
      <c r="Z167" s="129" t="n"/>
      <c r="AA167" s="129" t="n"/>
      <c r="AB167" s="129" t="n"/>
      <c r="AC167" s="129" t="n"/>
      <c r="AD167" s="129" t="n"/>
      <c r="AE167" s="129" t="n"/>
      <c r="AF167" s="129" t="n"/>
      <c r="AG167" s="129" t="n"/>
      <c r="AH167" s="129" t="n"/>
      <c r="AI167" s="129" t="n"/>
      <c r="AJ167" s="129" t="n"/>
      <c r="AK167" s="129" t="n"/>
      <c r="AL167" s="129" t="n"/>
      <c r="AM167" s="129" t="n"/>
      <c r="AN167" s="129" t="n"/>
      <c r="AO167" s="129" t="n"/>
      <c r="AP167" s="129" t="n"/>
      <c r="AQ167" s="129" t="n"/>
      <c r="AR167" s="129" t="n"/>
      <c r="AS167" s="129" t="n"/>
      <c r="AT167" s="129" t="n"/>
      <c r="AU167" s="129" t="n"/>
      <c r="AV167" s="129" t="n"/>
      <c r="AW167" s="129" t="n"/>
      <c r="AX167" s="129" t="n"/>
      <c r="AY167" s="129" t="n"/>
      <c r="AZ167" s="129" t="n"/>
      <c r="BA167" s="129" t="n"/>
      <c r="BB167" s="129" t="n"/>
      <c r="BC167" s="129" t="n"/>
      <c r="BD167" s="129" t="n"/>
      <c r="BE167" s="129" t="n"/>
      <c r="BF167" s="129" t="n"/>
      <c r="BG167" s="129" t="n"/>
      <c r="BH167" s="129" t="n"/>
      <c r="BI167" s="129" t="n"/>
      <c r="BJ167" s="129" t="n"/>
      <c r="BK167" s="129" t="n"/>
      <c r="BL167" s="129" t="n"/>
      <c r="BM167" s="129" t="n"/>
      <c r="BN167" s="129" t="n"/>
      <c r="BO167" s="129" t="n"/>
      <c r="BP167" s="129" t="n"/>
      <c r="BQ167" s="129" t="n"/>
      <c r="BR167" s="129" t="n"/>
      <c r="BS167" s="129" t="n"/>
      <c r="BT167" s="129" t="n"/>
      <c r="BU167" s="129" t="n"/>
      <c r="BV167" s="129" t="n"/>
      <c r="BW167" s="129" t="n"/>
      <c r="BX167" s="129" t="n"/>
      <c r="BY167" s="129" t="n"/>
      <c r="BZ167" s="129" t="n"/>
      <c r="CA167" s="129" t="n"/>
      <c r="CB167" s="129" t="n"/>
      <c r="CC167" s="129" t="n"/>
      <c r="CD167" s="129" t="n"/>
      <c r="CE167" s="129" t="n"/>
      <c r="CF167" s="129" t="n"/>
      <c r="CG167" s="129" t="n"/>
      <c r="CH167" s="129" t="n"/>
      <c r="CI167" s="129" t="n"/>
      <c r="CJ167" s="129" t="n"/>
      <c r="CK167" s="129" t="n"/>
      <c r="CL167" s="129" t="n"/>
      <c r="CM167" s="129" t="n"/>
      <c r="CN167" s="129" t="n"/>
      <c r="CO167" s="129" t="n"/>
      <c r="CP167" s="129" t="n"/>
      <c r="CQ167" s="129" t="n"/>
      <c r="CR167" s="129" t="n"/>
      <c r="CS167" s="129" t="n"/>
      <c r="CT167" s="129" t="n"/>
      <c r="CU167" s="129" t="n"/>
      <c r="CV167" s="129" t="n"/>
      <c r="CW167" s="129" t="n"/>
      <c r="CX167" s="129" t="n"/>
      <c r="CY167" s="129" t="n"/>
      <c r="CZ167" s="129" t="n"/>
      <c r="DA167" s="129" t="n"/>
      <c r="DB167" s="129" t="n"/>
      <c r="DC167" s="129" t="n"/>
      <c r="DD167" s="129" t="n"/>
      <c r="DE167" s="129" t="n"/>
      <c r="DF167" s="129" t="n"/>
      <c r="DG167" s="129" t="n"/>
      <c r="DH167" s="129" t="n"/>
      <c r="DI167" s="129" t="n"/>
      <c r="DJ167" s="129" t="n"/>
      <c r="DK167" s="129" t="n"/>
      <c r="DL167" s="129" t="n"/>
      <c r="DM167" s="129" t="n"/>
      <c r="DN167" s="129" t="n"/>
      <c r="DO167" s="129" t="n"/>
      <c r="DP167" s="129" t="n"/>
      <c r="DQ167" s="129" t="n"/>
      <c r="DR167" s="129" t="n"/>
      <c r="DS167" s="129" t="n"/>
      <c r="DT167" s="129" t="n"/>
      <c r="DU167" s="129" t="n"/>
      <c r="DV167" s="129" t="n"/>
      <c r="DW167" s="129" t="n"/>
      <c r="DX167" s="129" t="n"/>
      <c r="DY167" s="129" t="n"/>
      <c r="DZ167" s="129" t="n"/>
      <c r="EA167" s="129" t="n"/>
      <c r="EB167" s="129" t="n"/>
      <c r="EC167" s="129" t="n"/>
      <c r="ED167" s="129" t="n"/>
      <c r="EE167" s="129" t="n"/>
      <c r="EF167" s="129" t="n"/>
      <c r="EG167" s="129" t="n"/>
      <c r="EH167" s="129" t="n"/>
      <c r="EI167" s="129" t="n"/>
      <c r="EJ167" s="129" t="n"/>
      <c r="EK167" s="129" t="n"/>
      <c r="EL167" s="129" t="n"/>
      <c r="EM167" s="129" t="n"/>
      <c r="EN167" s="129" t="n"/>
      <c r="EO167" s="129" t="n"/>
      <c r="EP167" s="129" t="n"/>
      <c r="EQ167" s="129" t="n"/>
      <c r="ER167" s="129" t="n"/>
      <c r="ES167" s="129" t="n"/>
      <c r="ET167" s="129" t="n"/>
      <c r="EU167" s="129" t="n"/>
      <c r="EV167" s="129" t="n"/>
      <c r="EW167" s="129" t="n"/>
      <c r="EX167" s="129" t="n"/>
      <c r="EY167" s="129" t="n"/>
      <c r="EZ167" s="129" t="n"/>
      <c r="FA167" s="129" t="n"/>
      <c r="FB167" s="129" t="n"/>
      <c r="FC167" s="129" t="n"/>
      <c r="FD167" s="129" t="n"/>
      <c r="FE167" s="129" t="n"/>
      <c r="FF167" s="129" t="n"/>
      <c r="FG167" s="129" t="n"/>
      <c r="FH167" s="129" t="n"/>
      <c r="FI167" s="129" t="n"/>
      <c r="FJ167" s="129" t="n"/>
      <c r="FK167" s="129" t="n"/>
      <c r="FL167" s="129" t="n"/>
      <c r="FM167" s="129" t="n"/>
    </row>
    <row r="168" s="135">
      <c r="A168" s="53" t="n">
        <v>37802</v>
      </c>
      <c r="B168" s="54" t="n">
        <v>0.169</v>
      </c>
      <c r="C168" s="29" t="n"/>
      <c r="D168" s="129" t="n"/>
      <c r="E168" s="129" t="n"/>
      <c r="F168" s="129" t="n"/>
      <c r="G168" s="129" t="n"/>
      <c r="H168" s="129" t="n"/>
      <c r="I168" s="129" t="n"/>
      <c r="J168" s="129" t="n"/>
      <c r="K168" s="129" t="n"/>
      <c r="L168" s="129" t="n"/>
      <c r="M168" s="129" t="n"/>
      <c r="N168" s="129" t="n"/>
      <c r="O168" s="129" t="n"/>
      <c r="P168" s="129" t="n"/>
      <c r="Q168" s="129" t="n"/>
      <c r="R168" s="129" t="n"/>
      <c r="S168" s="129" t="n"/>
      <c r="T168" s="129" t="n"/>
      <c r="U168" s="129" t="n"/>
      <c r="V168" s="129" t="n"/>
      <c r="W168" s="129" t="n"/>
      <c r="X168" s="129" t="n"/>
      <c r="Y168" s="129" t="n"/>
      <c r="Z168" s="129" t="n"/>
      <c r="AA168" s="129" t="n"/>
      <c r="AB168" s="129" t="n"/>
      <c r="AC168" s="129" t="n"/>
      <c r="AD168" s="129" t="n"/>
      <c r="AE168" s="129" t="n"/>
      <c r="AF168" s="129" t="n"/>
      <c r="AG168" s="129" t="n"/>
      <c r="AH168" s="129" t="n"/>
      <c r="AI168" s="129" t="n"/>
      <c r="AJ168" s="129" t="n"/>
      <c r="AK168" s="129" t="n"/>
      <c r="AL168" s="129" t="n"/>
      <c r="AM168" s="129" t="n"/>
      <c r="AN168" s="129" t="n"/>
      <c r="AO168" s="129" t="n"/>
      <c r="AP168" s="129" t="n"/>
      <c r="AQ168" s="129" t="n"/>
      <c r="AR168" s="129" t="n"/>
      <c r="AS168" s="129" t="n"/>
      <c r="AT168" s="129" t="n"/>
      <c r="AU168" s="129" t="n"/>
      <c r="AV168" s="129" t="n"/>
      <c r="AW168" s="129" t="n"/>
      <c r="AX168" s="129" t="n"/>
      <c r="AY168" s="129" t="n"/>
      <c r="AZ168" s="129" t="n"/>
      <c r="BA168" s="129" t="n"/>
      <c r="BB168" s="129" t="n"/>
      <c r="BC168" s="129" t="n"/>
      <c r="BD168" s="129" t="n"/>
      <c r="BE168" s="129" t="n"/>
      <c r="BF168" s="129" t="n"/>
      <c r="BG168" s="129" t="n"/>
      <c r="BH168" s="129" t="n"/>
      <c r="BI168" s="129" t="n"/>
      <c r="BJ168" s="129" t="n"/>
      <c r="BK168" s="129" t="n"/>
      <c r="BL168" s="129" t="n"/>
      <c r="BM168" s="129" t="n"/>
      <c r="BN168" s="129" t="n"/>
      <c r="BO168" s="129" t="n"/>
      <c r="BP168" s="129" t="n"/>
      <c r="BQ168" s="129" t="n"/>
      <c r="BR168" s="129" t="n"/>
      <c r="BS168" s="129" t="n"/>
      <c r="BT168" s="129" t="n"/>
      <c r="BU168" s="129" t="n"/>
      <c r="BV168" s="129" t="n"/>
      <c r="BW168" s="129" t="n"/>
      <c r="BX168" s="129" t="n"/>
      <c r="BY168" s="129" t="n"/>
      <c r="BZ168" s="129" t="n"/>
      <c r="CA168" s="129" t="n"/>
      <c r="CB168" s="129" t="n"/>
      <c r="CC168" s="129" t="n"/>
      <c r="CD168" s="129" t="n"/>
      <c r="CE168" s="129" t="n"/>
      <c r="CF168" s="129" t="n"/>
      <c r="CG168" s="129" t="n"/>
      <c r="CH168" s="129" t="n"/>
      <c r="CI168" s="129" t="n"/>
      <c r="CJ168" s="129" t="n"/>
      <c r="CK168" s="129" t="n"/>
      <c r="CL168" s="129" t="n"/>
      <c r="CM168" s="129" t="n"/>
      <c r="CN168" s="129" t="n"/>
      <c r="CO168" s="129" t="n"/>
      <c r="CP168" s="129" t="n"/>
      <c r="CQ168" s="129" t="n"/>
      <c r="CR168" s="129" t="n"/>
      <c r="CS168" s="129" t="n"/>
      <c r="CT168" s="129" t="n"/>
      <c r="CU168" s="129" t="n"/>
      <c r="CV168" s="129" t="n"/>
      <c r="CW168" s="129" t="n"/>
      <c r="CX168" s="129" t="n"/>
      <c r="CY168" s="129" t="n"/>
      <c r="CZ168" s="129" t="n"/>
      <c r="DA168" s="129" t="n"/>
      <c r="DB168" s="129" t="n"/>
      <c r="DC168" s="129" t="n"/>
      <c r="DD168" s="129" t="n"/>
      <c r="DE168" s="129" t="n"/>
      <c r="DF168" s="129" t="n"/>
      <c r="DG168" s="129" t="n"/>
      <c r="DH168" s="129" t="n"/>
      <c r="DI168" s="129" t="n"/>
      <c r="DJ168" s="129" t="n"/>
      <c r="DK168" s="129" t="n"/>
      <c r="DL168" s="129" t="n"/>
      <c r="DM168" s="129" t="n"/>
      <c r="DN168" s="129" t="n"/>
      <c r="DO168" s="129" t="n"/>
      <c r="DP168" s="129" t="n"/>
      <c r="DQ168" s="129" t="n"/>
      <c r="DR168" s="129" t="n"/>
      <c r="DS168" s="129" t="n"/>
      <c r="DT168" s="129" t="n"/>
      <c r="DU168" s="129" t="n"/>
      <c r="DV168" s="129" t="n"/>
      <c r="DW168" s="129" t="n"/>
      <c r="DX168" s="129" t="n"/>
      <c r="DY168" s="129" t="n"/>
      <c r="DZ168" s="129" t="n"/>
      <c r="EA168" s="129" t="n"/>
      <c r="EB168" s="129" t="n"/>
      <c r="EC168" s="129" t="n"/>
      <c r="ED168" s="129" t="n"/>
      <c r="EE168" s="129" t="n"/>
      <c r="EF168" s="129" t="n"/>
      <c r="EG168" s="129" t="n"/>
      <c r="EH168" s="129" t="n"/>
      <c r="EI168" s="129" t="n"/>
      <c r="EJ168" s="129" t="n"/>
      <c r="EK168" s="129" t="n"/>
      <c r="EL168" s="129" t="n"/>
      <c r="EM168" s="129" t="n"/>
      <c r="EN168" s="129" t="n"/>
      <c r="EO168" s="129" t="n"/>
      <c r="EP168" s="129" t="n"/>
      <c r="EQ168" s="129" t="n"/>
      <c r="ER168" s="129" t="n"/>
      <c r="ES168" s="129" t="n"/>
      <c r="ET168" s="129" t="n"/>
      <c r="EU168" s="129" t="n"/>
      <c r="EV168" s="129" t="n"/>
      <c r="EW168" s="129" t="n"/>
      <c r="EX168" s="129" t="n"/>
      <c r="EY168" s="129" t="n"/>
      <c r="EZ168" s="129" t="n"/>
      <c r="FA168" s="129" t="n"/>
      <c r="FB168" s="129" t="n"/>
      <c r="FC168" s="129" t="n"/>
      <c r="FD168" s="129" t="n"/>
      <c r="FE168" s="129" t="n"/>
      <c r="FF168" s="129" t="n"/>
      <c r="FG168" s="129" t="n"/>
      <c r="FH168" s="129" t="n"/>
      <c r="FI168" s="129" t="n"/>
      <c r="FJ168" s="129" t="n"/>
      <c r="FK168" s="129" t="n"/>
      <c r="FL168" s="129" t="n"/>
      <c r="FM168" s="129" t="n"/>
    </row>
    <row r="169" s="135">
      <c r="A169" s="52" t="n">
        <v>37833</v>
      </c>
      <c r="B169" s="30" t="n">
        <v>0.165</v>
      </c>
      <c r="C169" s="29" t="n"/>
      <c r="D169" s="129" t="n"/>
      <c r="E169" s="129" t="n"/>
      <c r="F169" s="129" t="n"/>
      <c r="G169" s="129" t="n"/>
      <c r="H169" s="129" t="n"/>
      <c r="I169" s="129" t="n"/>
      <c r="J169" s="129" t="n"/>
      <c r="K169" s="129" t="n"/>
      <c r="L169" s="129" t="n"/>
      <c r="M169" s="129" t="n"/>
      <c r="N169" s="129" t="n"/>
      <c r="O169" s="129" t="n"/>
      <c r="P169" s="129" t="n"/>
      <c r="Q169" s="129" t="n"/>
      <c r="R169" s="129" t="n"/>
      <c r="S169" s="129" t="n"/>
      <c r="T169" s="129" t="n"/>
      <c r="U169" s="129" t="n"/>
      <c r="V169" s="129" t="n"/>
      <c r="W169" s="129" t="n"/>
      <c r="X169" s="129" t="n"/>
      <c r="Y169" s="129" t="n"/>
      <c r="Z169" s="129" t="n"/>
      <c r="AA169" s="129" t="n"/>
      <c r="AB169" s="129" t="n"/>
      <c r="AC169" s="129" t="n"/>
      <c r="AD169" s="129" t="n"/>
      <c r="AE169" s="129" t="n"/>
      <c r="AF169" s="129" t="n"/>
      <c r="AG169" s="129" t="n"/>
      <c r="AH169" s="129" t="n"/>
      <c r="AI169" s="129" t="n"/>
      <c r="AJ169" s="129" t="n"/>
      <c r="AK169" s="129" t="n"/>
      <c r="AL169" s="129" t="n"/>
      <c r="AM169" s="129" t="n"/>
      <c r="AN169" s="129" t="n"/>
      <c r="AO169" s="129" t="n"/>
      <c r="AP169" s="129" t="n"/>
      <c r="AQ169" s="129" t="n"/>
      <c r="AR169" s="129" t="n"/>
      <c r="AS169" s="129" t="n"/>
      <c r="AT169" s="129" t="n"/>
      <c r="AU169" s="129" t="n"/>
      <c r="AV169" s="129" t="n"/>
      <c r="AW169" s="129" t="n"/>
      <c r="AX169" s="129" t="n"/>
      <c r="AY169" s="129" t="n"/>
      <c r="AZ169" s="129" t="n"/>
      <c r="BA169" s="129" t="n"/>
      <c r="BB169" s="129" t="n"/>
      <c r="BC169" s="129" t="n"/>
      <c r="BD169" s="129" t="n"/>
      <c r="BE169" s="129" t="n"/>
      <c r="BF169" s="129" t="n"/>
      <c r="BG169" s="129" t="n"/>
      <c r="BH169" s="129" t="n"/>
      <c r="BI169" s="129" t="n"/>
      <c r="BJ169" s="129" t="n"/>
      <c r="BK169" s="129" t="n"/>
      <c r="BL169" s="129" t="n"/>
      <c r="BM169" s="129" t="n"/>
      <c r="BN169" s="129" t="n"/>
      <c r="BO169" s="129" t="n"/>
      <c r="BP169" s="129" t="n"/>
      <c r="BQ169" s="129" t="n"/>
      <c r="BR169" s="129" t="n"/>
      <c r="BS169" s="129" t="n"/>
      <c r="BT169" s="129" t="n"/>
      <c r="BU169" s="129" t="n"/>
      <c r="BV169" s="129" t="n"/>
      <c r="BW169" s="129" t="n"/>
      <c r="BX169" s="129" t="n"/>
      <c r="BY169" s="129" t="n"/>
      <c r="BZ169" s="129" t="n"/>
      <c r="CA169" s="129" t="n"/>
      <c r="CB169" s="129" t="n"/>
      <c r="CC169" s="129" t="n"/>
      <c r="CD169" s="129" t="n"/>
      <c r="CE169" s="129" t="n"/>
      <c r="CF169" s="129" t="n"/>
      <c r="CG169" s="129" t="n"/>
      <c r="CH169" s="129" t="n"/>
      <c r="CI169" s="129" t="n"/>
      <c r="CJ169" s="129" t="n"/>
      <c r="CK169" s="129" t="n"/>
      <c r="CL169" s="129" t="n"/>
      <c r="CM169" s="129" t="n"/>
      <c r="CN169" s="129" t="n"/>
      <c r="CO169" s="129" t="n"/>
      <c r="CP169" s="129" t="n"/>
      <c r="CQ169" s="129" t="n"/>
      <c r="CR169" s="129" t="n"/>
      <c r="CS169" s="129" t="n"/>
      <c r="CT169" s="129" t="n"/>
      <c r="CU169" s="129" t="n"/>
      <c r="CV169" s="129" t="n"/>
      <c r="CW169" s="129" t="n"/>
      <c r="CX169" s="129" t="n"/>
      <c r="CY169" s="129" t="n"/>
      <c r="CZ169" s="129" t="n"/>
      <c r="DA169" s="129" t="n"/>
      <c r="DB169" s="129" t="n"/>
      <c r="DC169" s="129" t="n"/>
      <c r="DD169" s="129" t="n"/>
      <c r="DE169" s="129" t="n"/>
      <c r="DF169" s="129" t="n"/>
      <c r="DG169" s="129" t="n"/>
      <c r="DH169" s="129" t="n"/>
      <c r="DI169" s="129" t="n"/>
      <c r="DJ169" s="129" t="n"/>
      <c r="DK169" s="129" t="n"/>
      <c r="DL169" s="129" t="n"/>
      <c r="DM169" s="129" t="n"/>
      <c r="DN169" s="129" t="n"/>
      <c r="DO169" s="129" t="n"/>
      <c r="DP169" s="129" t="n"/>
      <c r="DQ169" s="129" t="n"/>
      <c r="DR169" s="129" t="n"/>
      <c r="DS169" s="129" t="n"/>
      <c r="DT169" s="129" t="n"/>
      <c r="DU169" s="129" t="n"/>
      <c r="DV169" s="129" t="n"/>
      <c r="DW169" s="129" t="n"/>
      <c r="DX169" s="129" t="n"/>
      <c r="DY169" s="129" t="n"/>
      <c r="DZ169" s="129" t="n"/>
      <c r="EA169" s="129" t="n"/>
      <c r="EB169" s="129" t="n"/>
      <c r="EC169" s="129" t="n"/>
      <c r="ED169" s="129" t="n"/>
      <c r="EE169" s="129" t="n"/>
      <c r="EF169" s="129" t="n"/>
      <c r="EG169" s="129" t="n"/>
      <c r="EH169" s="129" t="n"/>
      <c r="EI169" s="129" t="n"/>
      <c r="EJ169" s="129" t="n"/>
      <c r="EK169" s="129" t="n"/>
      <c r="EL169" s="129" t="n"/>
      <c r="EM169" s="129" t="n"/>
      <c r="EN169" s="129" t="n"/>
      <c r="EO169" s="129" t="n"/>
      <c r="EP169" s="129" t="n"/>
      <c r="EQ169" s="129" t="n"/>
      <c r="ER169" s="129" t="n"/>
      <c r="ES169" s="129" t="n"/>
      <c r="ET169" s="129" t="n"/>
      <c r="EU169" s="129" t="n"/>
      <c r="EV169" s="129" t="n"/>
      <c r="EW169" s="129" t="n"/>
      <c r="EX169" s="129" t="n"/>
      <c r="EY169" s="129" t="n"/>
      <c r="EZ169" s="129" t="n"/>
      <c r="FA169" s="129" t="n"/>
      <c r="FB169" s="129" t="n"/>
      <c r="FC169" s="129" t="n"/>
      <c r="FD169" s="129" t="n"/>
      <c r="FE169" s="129" t="n"/>
      <c r="FF169" s="129" t="n"/>
      <c r="FG169" s="129" t="n"/>
      <c r="FH169" s="129" t="n"/>
      <c r="FI169" s="129" t="n"/>
      <c r="FJ169" s="129" t="n"/>
      <c r="FK169" s="129" t="n"/>
      <c r="FL169" s="129" t="n"/>
      <c r="FM169" s="129" t="n"/>
    </row>
    <row r="170" s="135">
      <c r="A170" s="53" t="n">
        <v>37864</v>
      </c>
      <c r="B170" s="54" t="n">
        <v>0.171</v>
      </c>
      <c r="C170" s="29" t="n"/>
      <c r="D170" s="129" t="n"/>
      <c r="E170" s="129" t="n"/>
      <c r="F170" s="129" t="n"/>
      <c r="G170" s="129" t="n"/>
      <c r="H170" s="129" t="n"/>
      <c r="I170" s="129" t="n"/>
      <c r="J170" s="129" t="n"/>
      <c r="K170" s="129" t="n"/>
      <c r="L170" s="129" t="n"/>
      <c r="M170" s="129" t="n"/>
      <c r="N170" s="129" t="n"/>
      <c r="O170" s="129" t="n"/>
      <c r="P170" s="129" t="n"/>
      <c r="Q170" s="129" t="n"/>
      <c r="R170" s="129" t="n"/>
      <c r="S170" s="129" t="n"/>
      <c r="T170" s="129" t="n"/>
      <c r="U170" s="129" t="n"/>
      <c r="V170" s="129" t="n"/>
      <c r="W170" s="129" t="n"/>
      <c r="X170" s="129" t="n"/>
      <c r="Y170" s="129" t="n"/>
      <c r="Z170" s="129" t="n"/>
      <c r="AA170" s="129" t="n"/>
      <c r="AB170" s="129" t="n"/>
      <c r="AC170" s="129" t="n"/>
      <c r="AD170" s="129" t="n"/>
      <c r="AE170" s="129" t="n"/>
      <c r="AF170" s="129" t="n"/>
      <c r="AG170" s="129" t="n"/>
      <c r="AH170" s="129" t="n"/>
      <c r="AI170" s="129" t="n"/>
      <c r="AJ170" s="129" t="n"/>
      <c r="AK170" s="129" t="n"/>
      <c r="AL170" s="129" t="n"/>
      <c r="AM170" s="129" t="n"/>
      <c r="AN170" s="129" t="n"/>
      <c r="AO170" s="129" t="n"/>
      <c r="AP170" s="129" t="n"/>
      <c r="AQ170" s="129" t="n"/>
      <c r="AR170" s="129" t="n"/>
      <c r="AS170" s="129" t="n"/>
      <c r="AT170" s="129" t="n"/>
      <c r="AU170" s="129" t="n"/>
      <c r="AV170" s="129" t="n"/>
      <c r="AW170" s="129" t="n"/>
      <c r="AX170" s="129" t="n"/>
      <c r="AY170" s="129" t="n"/>
      <c r="AZ170" s="129" t="n"/>
      <c r="BA170" s="129" t="n"/>
      <c r="BB170" s="129" t="n"/>
      <c r="BC170" s="129" t="n"/>
      <c r="BD170" s="129" t="n"/>
      <c r="BE170" s="129" t="n"/>
      <c r="BF170" s="129" t="n"/>
      <c r="BG170" s="129" t="n"/>
      <c r="BH170" s="129" t="n"/>
      <c r="BI170" s="129" t="n"/>
      <c r="BJ170" s="129" t="n"/>
      <c r="BK170" s="129" t="n"/>
      <c r="BL170" s="129" t="n"/>
      <c r="BM170" s="129" t="n"/>
      <c r="BN170" s="129" t="n"/>
      <c r="BO170" s="129" t="n"/>
      <c r="BP170" s="129" t="n"/>
      <c r="BQ170" s="129" t="n"/>
      <c r="BR170" s="129" t="n"/>
      <c r="BS170" s="129" t="n"/>
      <c r="BT170" s="129" t="n"/>
      <c r="BU170" s="129" t="n"/>
      <c r="BV170" s="129" t="n"/>
      <c r="BW170" s="129" t="n"/>
      <c r="BX170" s="129" t="n"/>
      <c r="BY170" s="129" t="n"/>
      <c r="BZ170" s="129" t="n"/>
      <c r="CA170" s="129" t="n"/>
      <c r="CB170" s="129" t="n"/>
      <c r="CC170" s="129" t="n"/>
      <c r="CD170" s="129" t="n"/>
      <c r="CE170" s="129" t="n"/>
      <c r="CF170" s="129" t="n"/>
      <c r="CG170" s="129" t="n"/>
      <c r="CH170" s="129" t="n"/>
      <c r="CI170" s="129" t="n"/>
      <c r="CJ170" s="129" t="n"/>
      <c r="CK170" s="129" t="n"/>
      <c r="CL170" s="129" t="n"/>
      <c r="CM170" s="129" t="n"/>
      <c r="CN170" s="129" t="n"/>
      <c r="CO170" s="129" t="n"/>
      <c r="CP170" s="129" t="n"/>
      <c r="CQ170" s="129" t="n"/>
      <c r="CR170" s="129" t="n"/>
      <c r="CS170" s="129" t="n"/>
      <c r="CT170" s="129" t="n"/>
      <c r="CU170" s="129" t="n"/>
      <c r="CV170" s="129" t="n"/>
      <c r="CW170" s="129" t="n"/>
      <c r="CX170" s="129" t="n"/>
      <c r="CY170" s="129" t="n"/>
      <c r="CZ170" s="129" t="n"/>
      <c r="DA170" s="129" t="n"/>
      <c r="DB170" s="129" t="n"/>
      <c r="DC170" s="129" t="n"/>
      <c r="DD170" s="129" t="n"/>
      <c r="DE170" s="129" t="n"/>
      <c r="DF170" s="129" t="n"/>
      <c r="DG170" s="129" t="n"/>
      <c r="DH170" s="129" t="n"/>
      <c r="DI170" s="129" t="n"/>
      <c r="DJ170" s="129" t="n"/>
      <c r="DK170" s="129" t="n"/>
      <c r="DL170" s="129" t="n"/>
      <c r="DM170" s="129" t="n"/>
      <c r="DN170" s="129" t="n"/>
      <c r="DO170" s="129" t="n"/>
      <c r="DP170" s="129" t="n"/>
      <c r="DQ170" s="129" t="n"/>
      <c r="DR170" s="129" t="n"/>
      <c r="DS170" s="129" t="n"/>
      <c r="DT170" s="129" t="n"/>
      <c r="DU170" s="129" t="n"/>
      <c r="DV170" s="129" t="n"/>
      <c r="DW170" s="129" t="n"/>
      <c r="DX170" s="129" t="n"/>
      <c r="DY170" s="129" t="n"/>
      <c r="DZ170" s="129" t="n"/>
      <c r="EA170" s="129" t="n"/>
      <c r="EB170" s="129" t="n"/>
      <c r="EC170" s="129" t="n"/>
      <c r="ED170" s="129" t="n"/>
      <c r="EE170" s="129" t="n"/>
      <c r="EF170" s="129" t="n"/>
      <c r="EG170" s="129" t="n"/>
      <c r="EH170" s="129" t="n"/>
      <c r="EI170" s="129" t="n"/>
      <c r="EJ170" s="129" t="n"/>
      <c r="EK170" s="129" t="n"/>
      <c r="EL170" s="129" t="n"/>
      <c r="EM170" s="129" t="n"/>
      <c r="EN170" s="129" t="n"/>
      <c r="EO170" s="129" t="n"/>
      <c r="EP170" s="129" t="n"/>
      <c r="EQ170" s="129" t="n"/>
      <c r="ER170" s="129" t="n"/>
      <c r="ES170" s="129" t="n"/>
      <c r="ET170" s="129" t="n"/>
      <c r="EU170" s="129" t="n"/>
      <c r="EV170" s="129" t="n"/>
      <c r="EW170" s="129" t="n"/>
      <c r="EX170" s="129" t="n"/>
      <c r="EY170" s="129" t="n"/>
      <c r="EZ170" s="129" t="n"/>
      <c r="FA170" s="129" t="n"/>
      <c r="FB170" s="129" t="n"/>
      <c r="FC170" s="129" t="n"/>
      <c r="FD170" s="129" t="n"/>
      <c r="FE170" s="129" t="n"/>
      <c r="FF170" s="129" t="n"/>
      <c r="FG170" s="129" t="n"/>
      <c r="FH170" s="129" t="n"/>
      <c r="FI170" s="129" t="n"/>
      <c r="FJ170" s="129" t="n"/>
      <c r="FK170" s="129" t="n"/>
      <c r="FL170" s="129" t="n"/>
      <c r="FM170" s="129" t="n"/>
    </row>
    <row r="171" s="135">
      <c r="A171" s="52" t="n">
        <v>37894</v>
      </c>
      <c r="B171" s="30" t="n">
        <v>0.163</v>
      </c>
      <c r="C171" s="29" t="n"/>
      <c r="D171" s="129" t="n"/>
      <c r="E171" s="129" t="n"/>
      <c r="F171" s="129" t="n"/>
      <c r="G171" s="129" t="n"/>
      <c r="H171" s="129" t="n"/>
      <c r="I171" s="129" t="n"/>
      <c r="J171" s="129" t="n"/>
      <c r="K171" s="129" t="n"/>
      <c r="L171" s="129" t="n"/>
      <c r="M171" s="129" t="n"/>
      <c r="N171" s="129" t="n"/>
      <c r="O171" s="129" t="n"/>
      <c r="P171" s="129" t="n"/>
      <c r="Q171" s="129" t="n"/>
      <c r="R171" s="129" t="n"/>
      <c r="S171" s="129" t="n"/>
      <c r="T171" s="129" t="n"/>
      <c r="U171" s="129" t="n"/>
      <c r="V171" s="129" t="n"/>
      <c r="W171" s="129" t="n"/>
      <c r="X171" s="129" t="n"/>
      <c r="Y171" s="129" t="n"/>
      <c r="Z171" s="129" t="n"/>
      <c r="AA171" s="129" t="n"/>
      <c r="AB171" s="129" t="n"/>
      <c r="AC171" s="129" t="n"/>
      <c r="AD171" s="129" t="n"/>
      <c r="AE171" s="129" t="n"/>
      <c r="AF171" s="129" t="n"/>
      <c r="AG171" s="129" t="n"/>
      <c r="AH171" s="129" t="n"/>
      <c r="AI171" s="129" t="n"/>
      <c r="AJ171" s="129" t="n"/>
      <c r="AK171" s="129" t="n"/>
      <c r="AL171" s="129" t="n"/>
      <c r="AM171" s="129" t="n"/>
      <c r="AN171" s="129" t="n"/>
      <c r="AO171" s="129" t="n"/>
      <c r="AP171" s="129" t="n"/>
      <c r="AQ171" s="129" t="n"/>
      <c r="AR171" s="129" t="n"/>
      <c r="AS171" s="129" t="n"/>
      <c r="AT171" s="129" t="n"/>
      <c r="AU171" s="129" t="n"/>
      <c r="AV171" s="129" t="n"/>
      <c r="AW171" s="129" t="n"/>
      <c r="AX171" s="129" t="n"/>
      <c r="AY171" s="129" t="n"/>
      <c r="AZ171" s="129" t="n"/>
      <c r="BA171" s="129" t="n"/>
      <c r="BB171" s="129" t="n"/>
      <c r="BC171" s="129" t="n"/>
      <c r="BD171" s="129" t="n"/>
      <c r="BE171" s="129" t="n"/>
      <c r="BF171" s="129" t="n"/>
      <c r="BG171" s="129" t="n"/>
      <c r="BH171" s="129" t="n"/>
      <c r="BI171" s="129" t="n"/>
      <c r="BJ171" s="129" t="n"/>
      <c r="BK171" s="129" t="n"/>
      <c r="BL171" s="129" t="n"/>
      <c r="BM171" s="129" t="n"/>
      <c r="BN171" s="129" t="n"/>
      <c r="BO171" s="129" t="n"/>
      <c r="BP171" s="129" t="n"/>
      <c r="BQ171" s="129" t="n"/>
      <c r="BR171" s="129" t="n"/>
      <c r="BS171" s="129" t="n"/>
      <c r="BT171" s="129" t="n"/>
      <c r="BU171" s="129" t="n"/>
      <c r="BV171" s="129" t="n"/>
      <c r="BW171" s="129" t="n"/>
      <c r="BX171" s="129" t="n"/>
      <c r="BY171" s="129" t="n"/>
      <c r="BZ171" s="129" t="n"/>
      <c r="CA171" s="129" t="n"/>
      <c r="CB171" s="129" t="n"/>
      <c r="CC171" s="129" t="n"/>
      <c r="CD171" s="129" t="n"/>
      <c r="CE171" s="129" t="n"/>
      <c r="CF171" s="129" t="n"/>
      <c r="CG171" s="129" t="n"/>
      <c r="CH171" s="129" t="n"/>
      <c r="CI171" s="129" t="n"/>
      <c r="CJ171" s="129" t="n"/>
      <c r="CK171" s="129" t="n"/>
      <c r="CL171" s="129" t="n"/>
      <c r="CM171" s="129" t="n"/>
      <c r="CN171" s="129" t="n"/>
      <c r="CO171" s="129" t="n"/>
      <c r="CP171" s="129" t="n"/>
      <c r="CQ171" s="129" t="n"/>
      <c r="CR171" s="129" t="n"/>
      <c r="CS171" s="129" t="n"/>
      <c r="CT171" s="129" t="n"/>
      <c r="CU171" s="129" t="n"/>
      <c r="CV171" s="129" t="n"/>
      <c r="CW171" s="129" t="n"/>
      <c r="CX171" s="129" t="n"/>
      <c r="CY171" s="129" t="n"/>
      <c r="CZ171" s="129" t="n"/>
      <c r="DA171" s="129" t="n"/>
      <c r="DB171" s="129" t="n"/>
      <c r="DC171" s="129" t="n"/>
      <c r="DD171" s="129" t="n"/>
      <c r="DE171" s="129" t="n"/>
      <c r="DF171" s="129" t="n"/>
      <c r="DG171" s="129" t="n"/>
      <c r="DH171" s="129" t="n"/>
      <c r="DI171" s="129" t="n"/>
      <c r="DJ171" s="129" t="n"/>
      <c r="DK171" s="129" t="n"/>
      <c r="DL171" s="129" t="n"/>
      <c r="DM171" s="129" t="n"/>
      <c r="DN171" s="129" t="n"/>
      <c r="DO171" s="129" t="n"/>
      <c r="DP171" s="129" t="n"/>
      <c r="DQ171" s="129" t="n"/>
      <c r="DR171" s="129" t="n"/>
      <c r="DS171" s="129" t="n"/>
      <c r="DT171" s="129" t="n"/>
      <c r="DU171" s="129" t="n"/>
      <c r="DV171" s="129" t="n"/>
      <c r="DW171" s="129" t="n"/>
      <c r="DX171" s="129" t="n"/>
      <c r="DY171" s="129" t="n"/>
      <c r="DZ171" s="129" t="n"/>
      <c r="EA171" s="129" t="n"/>
      <c r="EB171" s="129" t="n"/>
      <c r="EC171" s="129" t="n"/>
      <c r="ED171" s="129" t="n"/>
      <c r="EE171" s="129" t="n"/>
      <c r="EF171" s="129" t="n"/>
      <c r="EG171" s="129" t="n"/>
      <c r="EH171" s="129" t="n"/>
      <c r="EI171" s="129" t="n"/>
      <c r="EJ171" s="129" t="n"/>
      <c r="EK171" s="129" t="n"/>
      <c r="EL171" s="129" t="n"/>
      <c r="EM171" s="129" t="n"/>
      <c r="EN171" s="129" t="n"/>
      <c r="EO171" s="129" t="n"/>
      <c r="EP171" s="129" t="n"/>
      <c r="EQ171" s="129" t="n"/>
      <c r="ER171" s="129" t="n"/>
      <c r="ES171" s="129" t="n"/>
      <c r="ET171" s="129" t="n"/>
      <c r="EU171" s="129" t="n"/>
      <c r="EV171" s="129" t="n"/>
      <c r="EW171" s="129" t="n"/>
      <c r="EX171" s="129" t="n"/>
      <c r="EY171" s="129" t="n"/>
      <c r="EZ171" s="129" t="n"/>
      <c r="FA171" s="129" t="n"/>
      <c r="FB171" s="129" t="n"/>
      <c r="FC171" s="129" t="n"/>
      <c r="FD171" s="129" t="n"/>
      <c r="FE171" s="129" t="n"/>
      <c r="FF171" s="129" t="n"/>
      <c r="FG171" s="129" t="n"/>
      <c r="FH171" s="129" t="n"/>
      <c r="FI171" s="129" t="n"/>
      <c r="FJ171" s="129" t="n"/>
      <c r="FK171" s="129" t="n"/>
      <c r="FL171" s="129" t="n"/>
      <c r="FM171" s="129" t="n"/>
    </row>
    <row r="172" s="135">
      <c r="A172" s="53" t="n">
        <v>37925</v>
      </c>
      <c r="B172" s="54" t="n">
        <v>0.172</v>
      </c>
      <c r="C172" s="29" t="n"/>
      <c r="D172" s="129" t="n"/>
      <c r="E172" s="129" t="n"/>
      <c r="F172" s="129" t="n"/>
      <c r="G172" s="129" t="n"/>
      <c r="H172" s="129" t="n"/>
      <c r="I172" s="129" t="n"/>
      <c r="J172" s="129" t="n"/>
      <c r="K172" s="129" t="n"/>
      <c r="L172" s="129" t="n"/>
      <c r="M172" s="129" t="n"/>
      <c r="N172" s="129" t="n"/>
      <c r="O172" s="129" t="n"/>
      <c r="P172" s="129" t="n"/>
      <c r="Q172" s="129" t="n"/>
      <c r="R172" s="129" t="n"/>
      <c r="S172" s="129" t="n"/>
      <c r="T172" s="129" t="n"/>
      <c r="U172" s="129" t="n"/>
      <c r="V172" s="129" t="n"/>
      <c r="W172" s="129" t="n"/>
      <c r="X172" s="129" t="n"/>
      <c r="Y172" s="129" t="n"/>
      <c r="Z172" s="129" t="n"/>
      <c r="AA172" s="129" t="n"/>
      <c r="AB172" s="129" t="n"/>
      <c r="AC172" s="129" t="n"/>
      <c r="AD172" s="129" t="n"/>
      <c r="AE172" s="129" t="n"/>
      <c r="AF172" s="129" t="n"/>
      <c r="AG172" s="129" t="n"/>
      <c r="AH172" s="129" t="n"/>
      <c r="AI172" s="129" t="n"/>
      <c r="AJ172" s="129" t="n"/>
      <c r="AK172" s="129" t="n"/>
      <c r="AL172" s="129" t="n"/>
      <c r="AM172" s="129" t="n"/>
      <c r="AN172" s="129" t="n"/>
      <c r="AO172" s="129" t="n"/>
      <c r="AP172" s="129" t="n"/>
      <c r="AQ172" s="129" t="n"/>
      <c r="AR172" s="129" t="n"/>
      <c r="AS172" s="129" t="n"/>
      <c r="AT172" s="129" t="n"/>
      <c r="AU172" s="129" t="n"/>
      <c r="AV172" s="129" t="n"/>
      <c r="AW172" s="129" t="n"/>
      <c r="AX172" s="129" t="n"/>
      <c r="AY172" s="129" t="n"/>
      <c r="AZ172" s="129" t="n"/>
      <c r="BA172" s="129" t="n"/>
      <c r="BB172" s="129" t="n"/>
      <c r="BC172" s="129" t="n"/>
      <c r="BD172" s="129" t="n"/>
      <c r="BE172" s="129" t="n"/>
      <c r="BF172" s="129" t="n"/>
      <c r="BG172" s="129" t="n"/>
      <c r="BH172" s="129" t="n"/>
      <c r="BI172" s="129" t="n"/>
      <c r="BJ172" s="129" t="n"/>
      <c r="BK172" s="129" t="n"/>
      <c r="BL172" s="129" t="n"/>
      <c r="BM172" s="129" t="n"/>
      <c r="BN172" s="129" t="n"/>
      <c r="BO172" s="129" t="n"/>
      <c r="BP172" s="129" t="n"/>
      <c r="BQ172" s="129" t="n"/>
      <c r="BR172" s="129" t="n"/>
      <c r="BS172" s="129" t="n"/>
      <c r="BT172" s="129" t="n"/>
      <c r="BU172" s="129" t="n"/>
      <c r="BV172" s="129" t="n"/>
      <c r="BW172" s="129" t="n"/>
      <c r="BX172" s="129" t="n"/>
      <c r="BY172" s="129" t="n"/>
      <c r="BZ172" s="129" t="n"/>
      <c r="CA172" s="129" t="n"/>
      <c r="CB172" s="129" t="n"/>
      <c r="CC172" s="129" t="n"/>
      <c r="CD172" s="129" t="n"/>
      <c r="CE172" s="129" t="n"/>
      <c r="CF172" s="129" t="n"/>
      <c r="CG172" s="129" t="n"/>
      <c r="CH172" s="129" t="n"/>
      <c r="CI172" s="129" t="n"/>
      <c r="CJ172" s="129" t="n"/>
      <c r="CK172" s="129" t="n"/>
      <c r="CL172" s="129" t="n"/>
      <c r="CM172" s="129" t="n"/>
      <c r="CN172" s="129" t="n"/>
      <c r="CO172" s="129" t="n"/>
      <c r="CP172" s="129" t="n"/>
      <c r="CQ172" s="129" t="n"/>
      <c r="CR172" s="129" t="n"/>
      <c r="CS172" s="129" t="n"/>
      <c r="CT172" s="129" t="n"/>
      <c r="CU172" s="129" t="n"/>
      <c r="CV172" s="129" t="n"/>
      <c r="CW172" s="129" t="n"/>
      <c r="CX172" s="129" t="n"/>
      <c r="CY172" s="129" t="n"/>
      <c r="CZ172" s="129" t="n"/>
      <c r="DA172" s="129" t="n"/>
      <c r="DB172" s="129" t="n"/>
      <c r="DC172" s="129" t="n"/>
      <c r="DD172" s="129" t="n"/>
      <c r="DE172" s="129" t="n"/>
      <c r="DF172" s="129" t="n"/>
      <c r="DG172" s="129" t="n"/>
      <c r="DH172" s="129" t="n"/>
      <c r="DI172" s="129" t="n"/>
      <c r="DJ172" s="129" t="n"/>
      <c r="DK172" s="129" t="n"/>
      <c r="DL172" s="129" t="n"/>
      <c r="DM172" s="129" t="n"/>
      <c r="DN172" s="129" t="n"/>
      <c r="DO172" s="129" t="n"/>
      <c r="DP172" s="129" t="n"/>
      <c r="DQ172" s="129" t="n"/>
      <c r="DR172" s="129" t="n"/>
      <c r="DS172" s="129" t="n"/>
      <c r="DT172" s="129" t="n"/>
      <c r="DU172" s="129" t="n"/>
      <c r="DV172" s="129" t="n"/>
      <c r="DW172" s="129" t="n"/>
      <c r="DX172" s="129" t="n"/>
      <c r="DY172" s="129" t="n"/>
      <c r="DZ172" s="129" t="n"/>
      <c r="EA172" s="129" t="n"/>
      <c r="EB172" s="129" t="n"/>
      <c r="EC172" s="129" t="n"/>
      <c r="ED172" s="129" t="n"/>
      <c r="EE172" s="129" t="n"/>
      <c r="EF172" s="129" t="n"/>
      <c r="EG172" s="129" t="n"/>
      <c r="EH172" s="129" t="n"/>
      <c r="EI172" s="129" t="n"/>
      <c r="EJ172" s="129" t="n"/>
      <c r="EK172" s="129" t="n"/>
      <c r="EL172" s="129" t="n"/>
      <c r="EM172" s="129" t="n"/>
      <c r="EN172" s="129" t="n"/>
      <c r="EO172" s="129" t="n"/>
      <c r="EP172" s="129" t="n"/>
      <c r="EQ172" s="129" t="n"/>
      <c r="ER172" s="129" t="n"/>
      <c r="ES172" s="129" t="n"/>
      <c r="ET172" s="129" t="n"/>
      <c r="EU172" s="129" t="n"/>
      <c r="EV172" s="129" t="n"/>
      <c r="EW172" s="129" t="n"/>
      <c r="EX172" s="129" t="n"/>
      <c r="EY172" s="129" t="n"/>
      <c r="EZ172" s="129" t="n"/>
      <c r="FA172" s="129" t="n"/>
      <c r="FB172" s="129" t="n"/>
      <c r="FC172" s="129" t="n"/>
      <c r="FD172" s="129" t="n"/>
      <c r="FE172" s="129" t="n"/>
      <c r="FF172" s="129" t="n"/>
      <c r="FG172" s="129" t="n"/>
      <c r="FH172" s="129" t="n"/>
      <c r="FI172" s="129" t="n"/>
      <c r="FJ172" s="129" t="n"/>
      <c r="FK172" s="129" t="n"/>
      <c r="FL172" s="129" t="n"/>
      <c r="FM172" s="129" t="n"/>
    </row>
    <row r="173" s="135">
      <c r="A173" s="52" t="n">
        <v>37955</v>
      </c>
      <c r="B173" s="30" t="n">
        <v>0.179</v>
      </c>
      <c r="C173" s="29" t="n"/>
      <c r="D173" s="129" t="n"/>
      <c r="E173" s="129" t="n"/>
      <c r="F173" s="129" t="n"/>
      <c r="G173" s="129" t="n"/>
      <c r="H173" s="129" t="n"/>
      <c r="I173" s="129" t="n"/>
      <c r="J173" s="129" t="n"/>
      <c r="K173" s="129" t="n"/>
      <c r="L173" s="129" t="n"/>
      <c r="M173" s="129" t="n"/>
      <c r="N173" s="129" t="n"/>
      <c r="O173" s="129" t="n"/>
      <c r="P173" s="129" t="n"/>
      <c r="Q173" s="129" t="n"/>
      <c r="R173" s="129" t="n"/>
      <c r="S173" s="129" t="n"/>
      <c r="T173" s="129" t="n"/>
      <c r="U173" s="129" t="n"/>
      <c r="V173" s="129" t="n"/>
      <c r="W173" s="129" t="n"/>
      <c r="X173" s="129" t="n"/>
      <c r="Y173" s="129" t="n"/>
      <c r="Z173" s="129" t="n"/>
      <c r="AA173" s="129" t="n"/>
      <c r="AB173" s="129" t="n"/>
      <c r="AC173" s="129" t="n"/>
      <c r="AD173" s="129" t="n"/>
      <c r="AE173" s="129" t="n"/>
      <c r="AF173" s="129" t="n"/>
      <c r="AG173" s="129" t="n"/>
      <c r="AH173" s="129" t="n"/>
      <c r="AI173" s="129" t="n"/>
      <c r="AJ173" s="129" t="n"/>
      <c r="AK173" s="129" t="n"/>
      <c r="AL173" s="129" t="n"/>
      <c r="AM173" s="129" t="n"/>
      <c r="AN173" s="129" t="n"/>
      <c r="AO173" s="129" t="n"/>
      <c r="AP173" s="129" t="n"/>
      <c r="AQ173" s="129" t="n"/>
      <c r="AR173" s="129" t="n"/>
      <c r="AS173" s="129" t="n"/>
      <c r="AT173" s="129" t="n"/>
      <c r="AU173" s="129" t="n"/>
      <c r="AV173" s="129" t="n"/>
      <c r="AW173" s="129" t="n"/>
      <c r="AX173" s="129" t="n"/>
      <c r="AY173" s="129" t="n"/>
      <c r="AZ173" s="129" t="n"/>
      <c r="BA173" s="129" t="n"/>
      <c r="BB173" s="129" t="n"/>
      <c r="BC173" s="129" t="n"/>
      <c r="BD173" s="129" t="n"/>
      <c r="BE173" s="129" t="n"/>
      <c r="BF173" s="129" t="n"/>
      <c r="BG173" s="129" t="n"/>
      <c r="BH173" s="129" t="n"/>
      <c r="BI173" s="129" t="n"/>
      <c r="BJ173" s="129" t="n"/>
      <c r="BK173" s="129" t="n"/>
      <c r="BL173" s="129" t="n"/>
      <c r="BM173" s="129" t="n"/>
      <c r="BN173" s="129" t="n"/>
      <c r="BO173" s="129" t="n"/>
      <c r="BP173" s="129" t="n"/>
      <c r="BQ173" s="129" t="n"/>
      <c r="BR173" s="129" t="n"/>
      <c r="BS173" s="129" t="n"/>
      <c r="BT173" s="129" t="n"/>
      <c r="BU173" s="129" t="n"/>
      <c r="BV173" s="129" t="n"/>
      <c r="BW173" s="129" t="n"/>
      <c r="BX173" s="129" t="n"/>
      <c r="BY173" s="129" t="n"/>
      <c r="BZ173" s="129" t="n"/>
      <c r="CA173" s="129" t="n"/>
      <c r="CB173" s="129" t="n"/>
      <c r="CC173" s="129" t="n"/>
      <c r="CD173" s="129" t="n"/>
      <c r="CE173" s="129" t="n"/>
      <c r="CF173" s="129" t="n"/>
      <c r="CG173" s="129" t="n"/>
      <c r="CH173" s="129" t="n"/>
      <c r="CI173" s="129" t="n"/>
      <c r="CJ173" s="129" t="n"/>
      <c r="CK173" s="129" t="n"/>
      <c r="CL173" s="129" t="n"/>
      <c r="CM173" s="129" t="n"/>
      <c r="CN173" s="129" t="n"/>
      <c r="CO173" s="129" t="n"/>
      <c r="CP173" s="129" t="n"/>
      <c r="CQ173" s="129" t="n"/>
      <c r="CR173" s="129" t="n"/>
      <c r="CS173" s="129" t="n"/>
      <c r="CT173" s="129" t="n"/>
      <c r="CU173" s="129" t="n"/>
      <c r="CV173" s="129" t="n"/>
      <c r="CW173" s="129" t="n"/>
      <c r="CX173" s="129" t="n"/>
      <c r="CY173" s="129" t="n"/>
      <c r="CZ173" s="129" t="n"/>
      <c r="DA173" s="129" t="n"/>
      <c r="DB173" s="129" t="n"/>
      <c r="DC173" s="129" t="n"/>
      <c r="DD173" s="129" t="n"/>
      <c r="DE173" s="129" t="n"/>
      <c r="DF173" s="129" t="n"/>
      <c r="DG173" s="129" t="n"/>
      <c r="DH173" s="129" t="n"/>
      <c r="DI173" s="129" t="n"/>
      <c r="DJ173" s="129" t="n"/>
      <c r="DK173" s="129" t="n"/>
      <c r="DL173" s="129" t="n"/>
      <c r="DM173" s="129" t="n"/>
      <c r="DN173" s="129" t="n"/>
      <c r="DO173" s="129" t="n"/>
      <c r="DP173" s="129" t="n"/>
      <c r="DQ173" s="129" t="n"/>
      <c r="DR173" s="129" t="n"/>
      <c r="DS173" s="129" t="n"/>
      <c r="DT173" s="129" t="n"/>
      <c r="DU173" s="129" t="n"/>
      <c r="DV173" s="129" t="n"/>
      <c r="DW173" s="129" t="n"/>
      <c r="DX173" s="129" t="n"/>
      <c r="DY173" s="129" t="n"/>
      <c r="DZ173" s="129" t="n"/>
      <c r="EA173" s="129" t="n"/>
      <c r="EB173" s="129" t="n"/>
      <c r="EC173" s="129" t="n"/>
      <c r="ED173" s="129" t="n"/>
      <c r="EE173" s="129" t="n"/>
      <c r="EF173" s="129" t="n"/>
      <c r="EG173" s="129" t="n"/>
      <c r="EH173" s="129" t="n"/>
      <c r="EI173" s="129" t="n"/>
      <c r="EJ173" s="129" t="n"/>
      <c r="EK173" s="129" t="n"/>
      <c r="EL173" s="129" t="n"/>
      <c r="EM173" s="129" t="n"/>
      <c r="EN173" s="129" t="n"/>
      <c r="EO173" s="129" t="n"/>
      <c r="EP173" s="129" t="n"/>
      <c r="EQ173" s="129" t="n"/>
      <c r="ER173" s="129" t="n"/>
      <c r="ES173" s="129" t="n"/>
      <c r="ET173" s="129" t="n"/>
      <c r="EU173" s="129" t="n"/>
      <c r="EV173" s="129" t="n"/>
      <c r="EW173" s="129" t="n"/>
      <c r="EX173" s="129" t="n"/>
      <c r="EY173" s="129" t="n"/>
      <c r="EZ173" s="129" t="n"/>
      <c r="FA173" s="129" t="n"/>
      <c r="FB173" s="129" t="n"/>
      <c r="FC173" s="129" t="n"/>
      <c r="FD173" s="129" t="n"/>
      <c r="FE173" s="129" t="n"/>
      <c r="FF173" s="129" t="n"/>
      <c r="FG173" s="129" t="n"/>
      <c r="FH173" s="129" t="n"/>
      <c r="FI173" s="129" t="n"/>
      <c r="FJ173" s="129" t="n"/>
      <c r="FK173" s="129" t="n"/>
      <c r="FL173" s="129" t="n"/>
      <c r="FM173" s="129" t="n"/>
    </row>
    <row r="174" s="135">
      <c r="A174" s="53" t="n">
        <v>37986</v>
      </c>
      <c r="B174" s="54" t="n">
        <v>0.181</v>
      </c>
      <c r="C174" s="29" t="n"/>
      <c r="D174" s="129" t="n"/>
      <c r="E174" s="129" t="n"/>
      <c r="F174" s="129" t="n"/>
      <c r="G174" s="129" t="n"/>
      <c r="H174" s="129" t="n"/>
      <c r="I174" s="129" t="n"/>
      <c r="J174" s="129" t="n"/>
      <c r="K174" s="129" t="n"/>
      <c r="L174" s="129" t="n"/>
      <c r="M174" s="129" t="n"/>
      <c r="N174" s="129" t="n"/>
      <c r="O174" s="129" t="n"/>
      <c r="P174" s="129" t="n"/>
      <c r="Q174" s="129" t="n"/>
      <c r="R174" s="129" t="n"/>
      <c r="S174" s="129" t="n"/>
      <c r="T174" s="129" t="n"/>
      <c r="U174" s="129" t="n"/>
      <c r="V174" s="129" t="n"/>
      <c r="W174" s="129" t="n"/>
      <c r="X174" s="129" t="n"/>
      <c r="Y174" s="129" t="n"/>
      <c r="Z174" s="129" t="n"/>
      <c r="AA174" s="129" t="n"/>
      <c r="AB174" s="129" t="n"/>
      <c r="AC174" s="129" t="n"/>
      <c r="AD174" s="129" t="n"/>
      <c r="AE174" s="129" t="n"/>
      <c r="AF174" s="129" t="n"/>
      <c r="AG174" s="129" t="n"/>
      <c r="AH174" s="129" t="n"/>
      <c r="AI174" s="129" t="n"/>
      <c r="AJ174" s="129" t="n"/>
      <c r="AK174" s="129" t="n"/>
      <c r="AL174" s="129" t="n"/>
      <c r="AM174" s="129" t="n"/>
      <c r="AN174" s="129" t="n"/>
      <c r="AO174" s="129" t="n"/>
      <c r="AP174" s="129" t="n"/>
      <c r="AQ174" s="129" t="n"/>
      <c r="AR174" s="129" t="n"/>
      <c r="AS174" s="129" t="n"/>
      <c r="AT174" s="129" t="n"/>
      <c r="AU174" s="129" t="n"/>
      <c r="AV174" s="129" t="n"/>
      <c r="AW174" s="129" t="n"/>
      <c r="AX174" s="129" t="n"/>
      <c r="AY174" s="129" t="n"/>
      <c r="AZ174" s="129" t="n"/>
      <c r="BA174" s="129" t="n"/>
      <c r="BB174" s="129" t="n"/>
      <c r="BC174" s="129" t="n"/>
      <c r="BD174" s="129" t="n"/>
      <c r="BE174" s="129" t="n"/>
      <c r="BF174" s="129" t="n"/>
      <c r="BG174" s="129" t="n"/>
      <c r="BH174" s="129" t="n"/>
      <c r="BI174" s="129" t="n"/>
      <c r="BJ174" s="129" t="n"/>
      <c r="BK174" s="129" t="n"/>
      <c r="BL174" s="129" t="n"/>
      <c r="BM174" s="129" t="n"/>
      <c r="BN174" s="129" t="n"/>
      <c r="BO174" s="129" t="n"/>
      <c r="BP174" s="129" t="n"/>
      <c r="BQ174" s="129" t="n"/>
      <c r="BR174" s="129" t="n"/>
      <c r="BS174" s="129" t="n"/>
      <c r="BT174" s="129" t="n"/>
      <c r="BU174" s="129" t="n"/>
      <c r="BV174" s="129" t="n"/>
      <c r="BW174" s="129" t="n"/>
      <c r="BX174" s="129" t="n"/>
      <c r="BY174" s="129" t="n"/>
      <c r="BZ174" s="129" t="n"/>
      <c r="CA174" s="129" t="n"/>
      <c r="CB174" s="129" t="n"/>
      <c r="CC174" s="129" t="n"/>
      <c r="CD174" s="129" t="n"/>
      <c r="CE174" s="129" t="n"/>
      <c r="CF174" s="129" t="n"/>
      <c r="CG174" s="129" t="n"/>
      <c r="CH174" s="129" t="n"/>
      <c r="CI174" s="129" t="n"/>
      <c r="CJ174" s="129" t="n"/>
      <c r="CK174" s="129" t="n"/>
      <c r="CL174" s="129" t="n"/>
      <c r="CM174" s="129" t="n"/>
      <c r="CN174" s="129" t="n"/>
      <c r="CO174" s="129" t="n"/>
      <c r="CP174" s="129" t="n"/>
      <c r="CQ174" s="129" t="n"/>
      <c r="CR174" s="129" t="n"/>
      <c r="CS174" s="129" t="n"/>
      <c r="CT174" s="129" t="n"/>
      <c r="CU174" s="129" t="n"/>
      <c r="CV174" s="129" t="n"/>
      <c r="CW174" s="129" t="n"/>
      <c r="CX174" s="129" t="n"/>
      <c r="CY174" s="129" t="n"/>
      <c r="CZ174" s="129" t="n"/>
      <c r="DA174" s="129" t="n"/>
      <c r="DB174" s="129" t="n"/>
      <c r="DC174" s="129" t="n"/>
      <c r="DD174" s="129" t="n"/>
      <c r="DE174" s="129" t="n"/>
      <c r="DF174" s="129" t="n"/>
      <c r="DG174" s="129" t="n"/>
      <c r="DH174" s="129" t="n"/>
      <c r="DI174" s="129" t="n"/>
      <c r="DJ174" s="129" t="n"/>
      <c r="DK174" s="129" t="n"/>
      <c r="DL174" s="129" t="n"/>
      <c r="DM174" s="129" t="n"/>
      <c r="DN174" s="129" t="n"/>
      <c r="DO174" s="129" t="n"/>
      <c r="DP174" s="129" t="n"/>
      <c r="DQ174" s="129" t="n"/>
      <c r="DR174" s="129" t="n"/>
      <c r="DS174" s="129" t="n"/>
      <c r="DT174" s="129" t="n"/>
      <c r="DU174" s="129" t="n"/>
      <c r="DV174" s="129" t="n"/>
      <c r="DW174" s="129" t="n"/>
      <c r="DX174" s="129" t="n"/>
      <c r="DY174" s="129" t="n"/>
      <c r="DZ174" s="129" t="n"/>
      <c r="EA174" s="129" t="n"/>
      <c r="EB174" s="129" t="n"/>
      <c r="EC174" s="129" t="n"/>
      <c r="ED174" s="129" t="n"/>
      <c r="EE174" s="129" t="n"/>
      <c r="EF174" s="129" t="n"/>
      <c r="EG174" s="129" t="n"/>
      <c r="EH174" s="129" t="n"/>
      <c r="EI174" s="129" t="n"/>
      <c r="EJ174" s="129" t="n"/>
      <c r="EK174" s="129" t="n"/>
      <c r="EL174" s="129" t="n"/>
      <c r="EM174" s="129" t="n"/>
      <c r="EN174" s="129" t="n"/>
      <c r="EO174" s="129" t="n"/>
      <c r="EP174" s="129" t="n"/>
      <c r="EQ174" s="129" t="n"/>
      <c r="ER174" s="129" t="n"/>
      <c r="ES174" s="129" t="n"/>
      <c r="ET174" s="129" t="n"/>
      <c r="EU174" s="129" t="n"/>
      <c r="EV174" s="129" t="n"/>
      <c r="EW174" s="129" t="n"/>
      <c r="EX174" s="129" t="n"/>
      <c r="EY174" s="129" t="n"/>
      <c r="EZ174" s="129" t="n"/>
      <c r="FA174" s="129" t="n"/>
      <c r="FB174" s="129" t="n"/>
      <c r="FC174" s="129" t="n"/>
      <c r="FD174" s="129" t="n"/>
      <c r="FE174" s="129" t="n"/>
      <c r="FF174" s="129" t="n"/>
      <c r="FG174" s="129" t="n"/>
      <c r="FH174" s="129" t="n"/>
      <c r="FI174" s="129" t="n"/>
      <c r="FJ174" s="129" t="n"/>
      <c r="FK174" s="129" t="n"/>
      <c r="FL174" s="129" t="n"/>
      <c r="FM174" s="129" t="n"/>
    </row>
    <row r="175" s="135">
      <c r="A175" s="52" t="n">
        <v>38017</v>
      </c>
      <c r="B175" s="30" t="n">
        <v>0.07199999999999999</v>
      </c>
      <c r="C175" s="29" t="n"/>
      <c r="D175" s="129" t="n"/>
      <c r="E175" s="129" t="n"/>
      <c r="F175" s="129" t="n"/>
      <c r="G175" s="129" t="n"/>
      <c r="H175" s="129" t="n"/>
      <c r="I175" s="129" t="n"/>
      <c r="J175" s="129" t="n"/>
      <c r="K175" s="129" t="n"/>
      <c r="L175" s="129" t="n"/>
      <c r="M175" s="129" t="n"/>
      <c r="N175" s="129" t="n"/>
      <c r="O175" s="129" t="n"/>
      <c r="P175" s="129" t="n"/>
      <c r="Q175" s="129" t="n"/>
      <c r="R175" s="129" t="n"/>
      <c r="S175" s="129" t="n"/>
      <c r="T175" s="129" t="n"/>
      <c r="U175" s="129" t="n"/>
      <c r="V175" s="129" t="n"/>
      <c r="W175" s="129" t="n"/>
      <c r="X175" s="129" t="n"/>
      <c r="Y175" s="129" t="n"/>
      <c r="Z175" s="129" t="n"/>
      <c r="AA175" s="129" t="n"/>
      <c r="AB175" s="129" t="n"/>
      <c r="AC175" s="129" t="n"/>
      <c r="AD175" s="129" t="n"/>
      <c r="AE175" s="129" t="n"/>
      <c r="AF175" s="129" t="n"/>
      <c r="AG175" s="129" t="n"/>
      <c r="AH175" s="129" t="n"/>
      <c r="AI175" s="129" t="n"/>
      <c r="AJ175" s="129" t="n"/>
      <c r="AK175" s="129" t="n"/>
      <c r="AL175" s="129" t="n"/>
      <c r="AM175" s="129" t="n"/>
      <c r="AN175" s="129" t="n"/>
      <c r="AO175" s="129" t="n"/>
      <c r="AP175" s="129" t="n"/>
      <c r="AQ175" s="129" t="n"/>
      <c r="AR175" s="129" t="n"/>
      <c r="AS175" s="129" t="n"/>
      <c r="AT175" s="129" t="n"/>
      <c r="AU175" s="129" t="n"/>
      <c r="AV175" s="129" t="n"/>
      <c r="AW175" s="129" t="n"/>
      <c r="AX175" s="129" t="n"/>
      <c r="AY175" s="129" t="n"/>
      <c r="AZ175" s="129" t="n"/>
      <c r="BA175" s="129" t="n"/>
      <c r="BB175" s="129" t="n"/>
      <c r="BC175" s="129" t="n"/>
      <c r="BD175" s="129" t="n"/>
      <c r="BE175" s="129" t="n"/>
      <c r="BF175" s="129" t="n"/>
      <c r="BG175" s="129" t="n"/>
      <c r="BH175" s="129" t="n"/>
      <c r="BI175" s="129" t="n"/>
      <c r="BJ175" s="129" t="n"/>
      <c r="BK175" s="129" t="n"/>
      <c r="BL175" s="129" t="n"/>
      <c r="BM175" s="129" t="n"/>
      <c r="BN175" s="129" t="n"/>
      <c r="BO175" s="129" t="n"/>
      <c r="BP175" s="129" t="n"/>
      <c r="BQ175" s="129" t="n"/>
      <c r="BR175" s="129" t="n"/>
      <c r="BS175" s="129" t="n"/>
      <c r="BT175" s="129" t="n"/>
      <c r="BU175" s="129" t="n"/>
      <c r="BV175" s="129" t="n"/>
      <c r="BW175" s="129" t="n"/>
      <c r="BX175" s="129" t="n"/>
      <c r="BY175" s="129" t="n"/>
      <c r="BZ175" s="129" t="n"/>
      <c r="CA175" s="129" t="n"/>
      <c r="CB175" s="129" t="n"/>
      <c r="CC175" s="129" t="n"/>
      <c r="CD175" s="129" t="n"/>
      <c r="CE175" s="129" t="n"/>
      <c r="CF175" s="129" t="n"/>
      <c r="CG175" s="129" t="n"/>
      <c r="CH175" s="129" t="n"/>
      <c r="CI175" s="129" t="n"/>
      <c r="CJ175" s="129" t="n"/>
      <c r="CK175" s="129" t="n"/>
      <c r="CL175" s="129" t="n"/>
      <c r="CM175" s="129" t="n"/>
      <c r="CN175" s="129" t="n"/>
      <c r="CO175" s="129" t="n"/>
      <c r="CP175" s="129" t="n"/>
      <c r="CQ175" s="129" t="n"/>
      <c r="CR175" s="129" t="n"/>
      <c r="CS175" s="129" t="n"/>
      <c r="CT175" s="129" t="n"/>
      <c r="CU175" s="129" t="n"/>
      <c r="CV175" s="129" t="n"/>
      <c r="CW175" s="129" t="n"/>
      <c r="CX175" s="129" t="n"/>
      <c r="CY175" s="129" t="n"/>
      <c r="CZ175" s="129" t="n"/>
      <c r="DA175" s="129" t="n"/>
      <c r="DB175" s="129" t="n"/>
      <c r="DC175" s="129" t="n"/>
      <c r="DD175" s="129" t="n"/>
      <c r="DE175" s="129" t="n"/>
      <c r="DF175" s="129" t="n"/>
      <c r="DG175" s="129" t="n"/>
      <c r="DH175" s="129" t="n"/>
      <c r="DI175" s="129" t="n"/>
      <c r="DJ175" s="129" t="n"/>
      <c r="DK175" s="129" t="n"/>
      <c r="DL175" s="129" t="n"/>
      <c r="DM175" s="129" t="n"/>
      <c r="DN175" s="129" t="n"/>
      <c r="DO175" s="129" t="n"/>
      <c r="DP175" s="129" t="n"/>
      <c r="DQ175" s="129" t="n"/>
      <c r="DR175" s="129" t="n"/>
      <c r="DS175" s="129" t="n"/>
      <c r="DT175" s="129" t="n"/>
      <c r="DU175" s="129" t="n"/>
      <c r="DV175" s="129" t="n"/>
      <c r="DW175" s="129" t="n"/>
      <c r="DX175" s="129" t="n"/>
      <c r="DY175" s="129" t="n"/>
      <c r="DZ175" s="129" t="n"/>
      <c r="EA175" s="129" t="n"/>
      <c r="EB175" s="129" t="n"/>
      <c r="EC175" s="129" t="n"/>
      <c r="ED175" s="129" t="n"/>
      <c r="EE175" s="129" t="n"/>
      <c r="EF175" s="129" t="n"/>
      <c r="EG175" s="129" t="n"/>
      <c r="EH175" s="129" t="n"/>
      <c r="EI175" s="129" t="n"/>
      <c r="EJ175" s="129" t="n"/>
      <c r="EK175" s="129" t="n"/>
      <c r="EL175" s="129" t="n"/>
      <c r="EM175" s="129" t="n"/>
      <c r="EN175" s="129" t="n"/>
      <c r="EO175" s="129" t="n"/>
      <c r="EP175" s="129" t="n"/>
      <c r="EQ175" s="129" t="n"/>
      <c r="ER175" s="129" t="n"/>
      <c r="ES175" s="129" t="n"/>
      <c r="ET175" s="129" t="n"/>
      <c r="EU175" s="129" t="n"/>
      <c r="EV175" s="129" t="n"/>
      <c r="EW175" s="129" t="n"/>
      <c r="EX175" s="129" t="n"/>
      <c r="EY175" s="129" t="n"/>
      <c r="EZ175" s="129" t="n"/>
      <c r="FA175" s="129" t="n"/>
      <c r="FB175" s="129" t="n"/>
      <c r="FC175" s="129" t="n"/>
      <c r="FD175" s="129" t="n"/>
      <c r="FE175" s="129" t="n"/>
      <c r="FF175" s="129" t="n"/>
      <c r="FG175" s="129" t="n"/>
      <c r="FH175" s="129" t="n"/>
      <c r="FI175" s="129" t="n"/>
      <c r="FJ175" s="129" t="n"/>
      <c r="FK175" s="129" t="n"/>
      <c r="FL175" s="129" t="n"/>
      <c r="FM175" s="129" t="n"/>
    </row>
    <row r="176" s="135">
      <c r="A176" s="53" t="n">
        <v>38046</v>
      </c>
      <c r="B176" s="54" t="n">
        <v>0.232</v>
      </c>
      <c r="C176" s="29" t="n"/>
      <c r="D176" s="129" t="n"/>
      <c r="E176" s="129" t="n"/>
      <c r="F176" s="129" t="n"/>
      <c r="G176" s="129" t="n"/>
      <c r="H176" s="129" t="n"/>
      <c r="I176" s="129" t="n"/>
      <c r="J176" s="129" t="n"/>
      <c r="K176" s="129" t="n"/>
      <c r="L176" s="129" t="n"/>
      <c r="M176" s="129" t="n"/>
      <c r="N176" s="129" t="n"/>
      <c r="O176" s="129" t="n"/>
      <c r="P176" s="129" t="n"/>
      <c r="Q176" s="129" t="n"/>
      <c r="R176" s="129" t="n"/>
      <c r="S176" s="129" t="n"/>
      <c r="T176" s="129" t="n"/>
      <c r="U176" s="129" t="n"/>
      <c r="V176" s="129" t="n"/>
      <c r="W176" s="129" t="n"/>
      <c r="X176" s="129" t="n"/>
      <c r="Y176" s="129" t="n"/>
      <c r="Z176" s="129" t="n"/>
      <c r="AA176" s="129" t="n"/>
      <c r="AB176" s="129" t="n"/>
      <c r="AC176" s="129" t="n"/>
      <c r="AD176" s="129" t="n"/>
      <c r="AE176" s="129" t="n"/>
      <c r="AF176" s="129" t="n"/>
      <c r="AG176" s="129" t="n"/>
      <c r="AH176" s="129" t="n"/>
      <c r="AI176" s="129" t="n"/>
      <c r="AJ176" s="129" t="n"/>
      <c r="AK176" s="129" t="n"/>
      <c r="AL176" s="129" t="n"/>
      <c r="AM176" s="129" t="n"/>
      <c r="AN176" s="129" t="n"/>
      <c r="AO176" s="129" t="n"/>
      <c r="AP176" s="129" t="n"/>
      <c r="AQ176" s="129" t="n"/>
      <c r="AR176" s="129" t="n"/>
      <c r="AS176" s="129" t="n"/>
      <c r="AT176" s="129" t="n"/>
      <c r="AU176" s="129" t="n"/>
      <c r="AV176" s="129" t="n"/>
      <c r="AW176" s="129" t="n"/>
      <c r="AX176" s="129" t="n"/>
      <c r="AY176" s="129" t="n"/>
      <c r="AZ176" s="129" t="n"/>
      <c r="BA176" s="129" t="n"/>
      <c r="BB176" s="129" t="n"/>
      <c r="BC176" s="129" t="n"/>
      <c r="BD176" s="129" t="n"/>
      <c r="BE176" s="129" t="n"/>
      <c r="BF176" s="129" t="n"/>
      <c r="BG176" s="129" t="n"/>
      <c r="BH176" s="129" t="n"/>
      <c r="BI176" s="129" t="n"/>
      <c r="BJ176" s="129" t="n"/>
      <c r="BK176" s="129" t="n"/>
      <c r="BL176" s="129" t="n"/>
      <c r="BM176" s="129" t="n"/>
      <c r="BN176" s="129" t="n"/>
      <c r="BO176" s="129" t="n"/>
      <c r="BP176" s="129" t="n"/>
      <c r="BQ176" s="129" t="n"/>
      <c r="BR176" s="129" t="n"/>
      <c r="BS176" s="129" t="n"/>
      <c r="BT176" s="129" t="n"/>
      <c r="BU176" s="129" t="n"/>
      <c r="BV176" s="129" t="n"/>
      <c r="BW176" s="129" t="n"/>
      <c r="BX176" s="129" t="n"/>
      <c r="BY176" s="129" t="n"/>
      <c r="BZ176" s="129" t="n"/>
      <c r="CA176" s="129" t="n"/>
      <c r="CB176" s="129" t="n"/>
      <c r="CC176" s="129" t="n"/>
      <c r="CD176" s="129" t="n"/>
      <c r="CE176" s="129" t="n"/>
      <c r="CF176" s="129" t="n"/>
      <c r="CG176" s="129" t="n"/>
      <c r="CH176" s="129" t="n"/>
      <c r="CI176" s="129" t="n"/>
      <c r="CJ176" s="129" t="n"/>
      <c r="CK176" s="129" t="n"/>
      <c r="CL176" s="129" t="n"/>
      <c r="CM176" s="129" t="n"/>
      <c r="CN176" s="129" t="n"/>
      <c r="CO176" s="129" t="n"/>
      <c r="CP176" s="129" t="n"/>
      <c r="CQ176" s="129" t="n"/>
      <c r="CR176" s="129" t="n"/>
      <c r="CS176" s="129" t="n"/>
      <c r="CT176" s="129" t="n"/>
      <c r="CU176" s="129" t="n"/>
      <c r="CV176" s="129" t="n"/>
      <c r="CW176" s="129" t="n"/>
      <c r="CX176" s="129" t="n"/>
      <c r="CY176" s="129" t="n"/>
      <c r="CZ176" s="129" t="n"/>
      <c r="DA176" s="129" t="n"/>
      <c r="DB176" s="129" t="n"/>
      <c r="DC176" s="129" t="n"/>
      <c r="DD176" s="129" t="n"/>
      <c r="DE176" s="129" t="n"/>
      <c r="DF176" s="129" t="n"/>
      <c r="DG176" s="129" t="n"/>
      <c r="DH176" s="129" t="n"/>
      <c r="DI176" s="129" t="n"/>
      <c r="DJ176" s="129" t="n"/>
      <c r="DK176" s="129" t="n"/>
      <c r="DL176" s="129" t="n"/>
      <c r="DM176" s="129" t="n"/>
      <c r="DN176" s="129" t="n"/>
      <c r="DO176" s="129" t="n"/>
      <c r="DP176" s="129" t="n"/>
      <c r="DQ176" s="129" t="n"/>
      <c r="DR176" s="129" t="n"/>
      <c r="DS176" s="129" t="n"/>
      <c r="DT176" s="129" t="n"/>
      <c r="DU176" s="129" t="n"/>
      <c r="DV176" s="129" t="n"/>
      <c r="DW176" s="129" t="n"/>
      <c r="DX176" s="129" t="n"/>
      <c r="DY176" s="129" t="n"/>
      <c r="DZ176" s="129" t="n"/>
      <c r="EA176" s="129" t="n"/>
      <c r="EB176" s="129" t="n"/>
      <c r="EC176" s="129" t="n"/>
      <c r="ED176" s="129" t="n"/>
      <c r="EE176" s="129" t="n"/>
      <c r="EF176" s="129" t="n"/>
      <c r="EG176" s="129" t="n"/>
      <c r="EH176" s="129" t="n"/>
      <c r="EI176" s="129" t="n"/>
      <c r="EJ176" s="129" t="n"/>
      <c r="EK176" s="129" t="n"/>
      <c r="EL176" s="129" t="n"/>
      <c r="EM176" s="129" t="n"/>
      <c r="EN176" s="129" t="n"/>
      <c r="EO176" s="129" t="n"/>
      <c r="EP176" s="129" t="n"/>
      <c r="EQ176" s="129" t="n"/>
      <c r="ER176" s="129" t="n"/>
      <c r="ES176" s="129" t="n"/>
      <c r="ET176" s="129" t="n"/>
      <c r="EU176" s="129" t="n"/>
      <c r="EV176" s="129" t="n"/>
      <c r="EW176" s="129" t="n"/>
      <c r="EX176" s="129" t="n"/>
      <c r="EY176" s="129" t="n"/>
      <c r="EZ176" s="129" t="n"/>
      <c r="FA176" s="129" t="n"/>
      <c r="FB176" s="129" t="n"/>
      <c r="FC176" s="129" t="n"/>
      <c r="FD176" s="129" t="n"/>
      <c r="FE176" s="129" t="n"/>
      <c r="FF176" s="129" t="n"/>
      <c r="FG176" s="129" t="n"/>
      <c r="FH176" s="129" t="n"/>
      <c r="FI176" s="129" t="n"/>
      <c r="FJ176" s="129" t="n"/>
      <c r="FK176" s="129" t="n"/>
      <c r="FL176" s="129" t="n"/>
      <c r="FM176" s="129" t="n"/>
    </row>
    <row r="177" s="135">
      <c r="A177" s="52" t="n">
        <v>38077</v>
      </c>
      <c r="B177" s="30" t="n">
        <v>0.194</v>
      </c>
      <c r="C177" s="29" t="n"/>
      <c r="D177" s="129" t="n"/>
      <c r="E177" s="129" t="n"/>
      <c r="F177" s="129" t="n"/>
      <c r="G177" s="129" t="n"/>
      <c r="H177" s="129" t="n"/>
      <c r="I177" s="129" t="n"/>
      <c r="J177" s="129" t="n"/>
      <c r="K177" s="129" t="n"/>
      <c r="L177" s="129" t="n"/>
      <c r="M177" s="129" t="n"/>
      <c r="N177" s="129" t="n"/>
      <c r="O177" s="129" t="n"/>
      <c r="P177" s="129" t="n"/>
      <c r="Q177" s="129" t="n"/>
      <c r="R177" s="129" t="n"/>
      <c r="S177" s="129" t="n"/>
      <c r="T177" s="129" t="n"/>
      <c r="U177" s="129" t="n"/>
      <c r="V177" s="129" t="n"/>
      <c r="W177" s="129" t="n"/>
      <c r="X177" s="129" t="n"/>
      <c r="Y177" s="129" t="n"/>
      <c r="Z177" s="129" t="n"/>
      <c r="AA177" s="129" t="n"/>
      <c r="AB177" s="129" t="n"/>
      <c r="AC177" s="129" t="n"/>
      <c r="AD177" s="129" t="n"/>
      <c r="AE177" s="129" t="n"/>
      <c r="AF177" s="129" t="n"/>
      <c r="AG177" s="129" t="n"/>
      <c r="AH177" s="129" t="n"/>
      <c r="AI177" s="129" t="n"/>
      <c r="AJ177" s="129" t="n"/>
      <c r="AK177" s="129" t="n"/>
      <c r="AL177" s="129" t="n"/>
      <c r="AM177" s="129" t="n"/>
      <c r="AN177" s="129" t="n"/>
      <c r="AO177" s="129" t="n"/>
      <c r="AP177" s="129" t="n"/>
      <c r="AQ177" s="129" t="n"/>
      <c r="AR177" s="129" t="n"/>
      <c r="AS177" s="129" t="n"/>
      <c r="AT177" s="129" t="n"/>
      <c r="AU177" s="129" t="n"/>
      <c r="AV177" s="129" t="n"/>
      <c r="AW177" s="129" t="n"/>
      <c r="AX177" s="129" t="n"/>
      <c r="AY177" s="129" t="n"/>
      <c r="AZ177" s="129" t="n"/>
      <c r="BA177" s="129" t="n"/>
      <c r="BB177" s="129" t="n"/>
      <c r="BC177" s="129" t="n"/>
      <c r="BD177" s="129" t="n"/>
      <c r="BE177" s="129" t="n"/>
      <c r="BF177" s="129" t="n"/>
      <c r="BG177" s="129" t="n"/>
      <c r="BH177" s="129" t="n"/>
      <c r="BI177" s="129" t="n"/>
      <c r="BJ177" s="129" t="n"/>
      <c r="BK177" s="129" t="n"/>
      <c r="BL177" s="129" t="n"/>
      <c r="BM177" s="129" t="n"/>
      <c r="BN177" s="129" t="n"/>
      <c r="BO177" s="129" t="n"/>
      <c r="BP177" s="129" t="n"/>
      <c r="BQ177" s="129" t="n"/>
      <c r="BR177" s="129" t="n"/>
      <c r="BS177" s="129" t="n"/>
      <c r="BT177" s="129" t="n"/>
      <c r="BU177" s="129" t="n"/>
      <c r="BV177" s="129" t="n"/>
      <c r="BW177" s="129" t="n"/>
      <c r="BX177" s="129" t="n"/>
      <c r="BY177" s="129" t="n"/>
      <c r="BZ177" s="129" t="n"/>
      <c r="CA177" s="129" t="n"/>
      <c r="CB177" s="129" t="n"/>
      <c r="CC177" s="129" t="n"/>
      <c r="CD177" s="129" t="n"/>
      <c r="CE177" s="129" t="n"/>
      <c r="CF177" s="129" t="n"/>
      <c r="CG177" s="129" t="n"/>
      <c r="CH177" s="129" t="n"/>
      <c r="CI177" s="129" t="n"/>
      <c r="CJ177" s="129" t="n"/>
      <c r="CK177" s="129" t="n"/>
      <c r="CL177" s="129" t="n"/>
      <c r="CM177" s="129" t="n"/>
      <c r="CN177" s="129" t="n"/>
      <c r="CO177" s="129" t="n"/>
      <c r="CP177" s="129" t="n"/>
      <c r="CQ177" s="129" t="n"/>
      <c r="CR177" s="129" t="n"/>
      <c r="CS177" s="129" t="n"/>
      <c r="CT177" s="129" t="n"/>
      <c r="CU177" s="129" t="n"/>
      <c r="CV177" s="129" t="n"/>
      <c r="CW177" s="129" t="n"/>
      <c r="CX177" s="129" t="n"/>
      <c r="CY177" s="129" t="n"/>
      <c r="CZ177" s="129" t="n"/>
      <c r="DA177" s="129" t="n"/>
      <c r="DB177" s="129" t="n"/>
      <c r="DC177" s="129" t="n"/>
      <c r="DD177" s="129" t="n"/>
      <c r="DE177" s="129" t="n"/>
      <c r="DF177" s="129" t="n"/>
      <c r="DG177" s="129" t="n"/>
      <c r="DH177" s="129" t="n"/>
      <c r="DI177" s="129" t="n"/>
      <c r="DJ177" s="129" t="n"/>
      <c r="DK177" s="129" t="n"/>
      <c r="DL177" s="129" t="n"/>
      <c r="DM177" s="129" t="n"/>
      <c r="DN177" s="129" t="n"/>
      <c r="DO177" s="129" t="n"/>
      <c r="DP177" s="129" t="n"/>
      <c r="DQ177" s="129" t="n"/>
      <c r="DR177" s="129" t="n"/>
      <c r="DS177" s="129" t="n"/>
      <c r="DT177" s="129" t="n"/>
      <c r="DU177" s="129" t="n"/>
      <c r="DV177" s="129" t="n"/>
      <c r="DW177" s="129" t="n"/>
      <c r="DX177" s="129" t="n"/>
      <c r="DY177" s="129" t="n"/>
      <c r="DZ177" s="129" t="n"/>
      <c r="EA177" s="129" t="n"/>
      <c r="EB177" s="129" t="n"/>
      <c r="EC177" s="129" t="n"/>
      <c r="ED177" s="129" t="n"/>
      <c r="EE177" s="129" t="n"/>
      <c r="EF177" s="129" t="n"/>
      <c r="EG177" s="129" t="n"/>
      <c r="EH177" s="129" t="n"/>
      <c r="EI177" s="129" t="n"/>
      <c r="EJ177" s="129" t="n"/>
      <c r="EK177" s="129" t="n"/>
      <c r="EL177" s="129" t="n"/>
      <c r="EM177" s="129" t="n"/>
      <c r="EN177" s="129" t="n"/>
      <c r="EO177" s="129" t="n"/>
      <c r="EP177" s="129" t="n"/>
      <c r="EQ177" s="129" t="n"/>
      <c r="ER177" s="129" t="n"/>
      <c r="ES177" s="129" t="n"/>
      <c r="ET177" s="129" t="n"/>
      <c r="EU177" s="129" t="n"/>
      <c r="EV177" s="129" t="n"/>
      <c r="EW177" s="129" t="n"/>
      <c r="EX177" s="129" t="n"/>
      <c r="EY177" s="129" t="n"/>
      <c r="EZ177" s="129" t="n"/>
      <c r="FA177" s="129" t="n"/>
      <c r="FB177" s="129" t="n"/>
      <c r="FC177" s="129" t="n"/>
      <c r="FD177" s="129" t="n"/>
      <c r="FE177" s="129" t="n"/>
      <c r="FF177" s="129" t="n"/>
      <c r="FG177" s="129" t="n"/>
      <c r="FH177" s="129" t="n"/>
      <c r="FI177" s="129" t="n"/>
      <c r="FJ177" s="129" t="n"/>
      <c r="FK177" s="129" t="n"/>
      <c r="FL177" s="129" t="n"/>
      <c r="FM177" s="129" t="n"/>
    </row>
    <row r="178" s="135">
      <c r="A178" s="53" t="n">
        <v>38107</v>
      </c>
      <c r="B178" s="54" t="n">
        <v>0.191</v>
      </c>
      <c r="C178" s="29" t="n"/>
      <c r="D178" s="129" t="n"/>
      <c r="E178" s="129" t="n"/>
      <c r="F178" s="129" t="n"/>
      <c r="G178" s="129" t="n"/>
      <c r="H178" s="129" t="n"/>
      <c r="I178" s="129" t="n"/>
      <c r="J178" s="129" t="n"/>
      <c r="K178" s="129" t="n"/>
      <c r="L178" s="129" t="n"/>
      <c r="M178" s="129" t="n"/>
      <c r="N178" s="129" t="n"/>
      <c r="O178" s="129" t="n"/>
      <c r="P178" s="129" t="n"/>
      <c r="Q178" s="129" t="n"/>
      <c r="R178" s="129" t="n"/>
      <c r="S178" s="129" t="n"/>
      <c r="T178" s="129" t="n"/>
      <c r="U178" s="129" t="n"/>
      <c r="V178" s="129" t="n"/>
      <c r="W178" s="129" t="n"/>
      <c r="X178" s="129" t="n"/>
      <c r="Y178" s="129" t="n"/>
      <c r="Z178" s="129" t="n"/>
      <c r="AA178" s="129" t="n"/>
      <c r="AB178" s="129" t="n"/>
      <c r="AC178" s="129" t="n"/>
      <c r="AD178" s="129" t="n"/>
      <c r="AE178" s="129" t="n"/>
      <c r="AF178" s="129" t="n"/>
      <c r="AG178" s="129" t="n"/>
      <c r="AH178" s="129" t="n"/>
      <c r="AI178" s="129" t="n"/>
      <c r="AJ178" s="129" t="n"/>
      <c r="AK178" s="129" t="n"/>
      <c r="AL178" s="129" t="n"/>
      <c r="AM178" s="129" t="n"/>
      <c r="AN178" s="129" t="n"/>
      <c r="AO178" s="129" t="n"/>
      <c r="AP178" s="129" t="n"/>
      <c r="AQ178" s="129" t="n"/>
      <c r="AR178" s="129" t="n"/>
      <c r="AS178" s="129" t="n"/>
      <c r="AT178" s="129" t="n"/>
      <c r="AU178" s="129" t="n"/>
      <c r="AV178" s="129" t="n"/>
      <c r="AW178" s="129" t="n"/>
      <c r="AX178" s="129" t="n"/>
      <c r="AY178" s="129" t="n"/>
      <c r="AZ178" s="129" t="n"/>
      <c r="BA178" s="129" t="n"/>
      <c r="BB178" s="129" t="n"/>
      <c r="BC178" s="129" t="n"/>
      <c r="BD178" s="129" t="n"/>
      <c r="BE178" s="129" t="n"/>
      <c r="BF178" s="129" t="n"/>
      <c r="BG178" s="129" t="n"/>
      <c r="BH178" s="129" t="n"/>
      <c r="BI178" s="129" t="n"/>
      <c r="BJ178" s="129" t="n"/>
      <c r="BK178" s="129" t="n"/>
      <c r="BL178" s="129" t="n"/>
      <c r="BM178" s="129" t="n"/>
      <c r="BN178" s="129" t="n"/>
      <c r="BO178" s="129" t="n"/>
      <c r="BP178" s="129" t="n"/>
      <c r="BQ178" s="129" t="n"/>
      <c r="BR178" s="129" t="n"/>
      <c r="BS178" s="129" t="n"/>
      <c r="BT178" s="129" t="n"/>
      <c r="BU178" s="129" t="n"/>
      <c r="BV178" s="129" t="n"/>
      <c r="BW178" s="129" t="n"/>
      <c r="BX178" s="129" t="n"/>
      <c r="BY178" s="129" t="n"/>
      <c r="BZ178" s="129" t="n"/>
      <c r="CA178" s="129" t="n"/>
      <c r="CB178" s="129" t="n"/>
      <c r="CC178" s="129" t="n"/>
      <c r="CD178" s="129" t="n"/>
      <c r="CE178" s="129" t="n"/>
      <c r="CF178" s="129" t="n"/>
      <c r="CG178" s="129" t="n"/>
      <c r="CH178" s="129" t="n"/>
      <c r="CI178" s="129" t="n"/>
      <c r="CJ178" s="129" t="n"/>
      <c r="CK178" s="129" t="n"/>
      <c r="CL178" s="129" t="n"/>
      <c r="CM178" s="129" t="n"/>
      <c r="CN178" s="129" t="n"/>
      <c r="CO178" s="129" t="n"/>
      <c r="CP178" s="129" t="n"/>
      <c r="CQ178" s="129" t="n"/>
      <c r="CR178" s="129" t="n"/>
      <c r="CS178" s="129" t="n"/>
      <c r="CT178" s="129" t="n"/>
      <c r="CU178" s="129" t="n"/>
      <c r="CV178" s="129" t="n"/>
      <c r="CW178" s="129" t="n"/>
      <c r="CX178" s="129" t="n"/>
      <c r="CY178" s="129" t="n"/>
      <c r="CZ178" s="129" t="n"/>
      <c r="DA178" s="129" t="n"/>
      <c r="DB178" s="129" t="n"/>
      <c r="DC178" s="129" t="n"/>
      <c r="DD178" s="129" t="n"/>
      <c r="DE178" s="129" t="n"/>
      <c r="DF178" s="129" t="n"/>
      <c r="DG178" s="129" t="n"/>
      <c r="DH178" s="129" t="n"/>
      <c r="DI178" s="129" t="n"/>
      <c r="DJ178" s="129" t="n"/>
      <c r="DK178" s="129" t="n"/>
      <c r="DL178" s="129" t="n"/>
      <c r="DM178" s="129" t="n"/>
      <c r="DN178" s="129" t="n"/>
      <c r="DO178" s="129" t="n"/>
      <c r="DP178" s="129" t="n"/>
      <c r="DQ178" s="129" t="n"/>
      <c r="DR178" s="129" t="n"/>
      <c r="DS178" s="129" t="n"/>
      <c r="DT178" s="129" t="n"/>
      <c r="DU178" s="129" t="n"/>
      <c r="DV178" s="129" t="n"/>
      <c r="DW178" s="129" t="n"/>
      <c r="DX178" s="129" t="n"/>
      <c r="DY178" s="129" t="n"/>
      <c r="DZ178" s="129" t="n"/>
      <c r="EA178" s="129" t="n"/>
      <c r="EB178" s="129" t="n"/>
      <c r="EC178" s="129" t="n"/>
      <c r="ED178" s="129" t="n"/>
      <c r="EE178" s="129" t="n"/>
      <c r="EF178" s="129" t="n"/>
      <c r="EG178" s="129" t="n"/>
      <c r="EH178" s="129" t="n"/>
      <c r="EI178" s="129" t="n"/>
      <c r="EJ178" s="129" t="n"/>
      <c r="EK178" s="129" t="n"/>
      <c r="EL178" s="129" t="n"/>
      <c r="EM178" s="129" t="n"/>
      <c r="EN178" s="129" t="n"/>
      <c r="EO178" s="129" t="n"/>
      <c r="EP178" s="129" t="n"/>
      <c r="EQ178" s="129" t="n"/>
      <c r="ER178" s="129" t="n"/>
      <c r="ES178" s="129" t="n"/>
      <c r="ET178" s="129" t="n"/>
      <c r="EU178" s="129" t="n"/>
      <c r="EV178" s="129" t="n"/>
      <c r="EW178" s="129" t="n"/>
      <c r="EX178" s="129" t="n"/>
      <c r="EY178" s="129" t="n"/>
      <c r="EZ178" s="129" t="n"/>
      <c r="FA178" s="129" t="n"/>
      <c r="FB178" s="129" t="n"/>
      <c r="FC178" s="129" t="n"/>
      <c r="FD178" s="129" t="n"/>
      <c r="FE178" s="129" t="n"/>
      <c r="FF178" s="129" t="n"/>
      <c r="FG178" s="129" t="n"/>
      <c r="FH178" s="129" t="n"/>
      <c r="FI178" s="129" t="n"/>
      <c r="FJ178" s="129" t="n"/>
      <c r="FK178" s="129" t="n"/>
      <c r="FL178" s="129" t="n"/>
      <c r="FM178" s="129" t="n"/>
    </row>
    <row r="179" s="135">
      <c r="A179" s="52" t="n">
        <v>38138</v>
      </c>
      <c r="B179" s="30" t="n">
        <v>0.175</v>
      </c>
      <c r="C179" s="29" t="n"/>
      <c r="D179" s="129" t="n"/>
      <c r="E179" s="129" t="n"/>
      <c r="F179" s="129" t="n"/>
      <c r="G179" s="129" t="n"/>
      <c r="H179" s="129" t="n"/>
      <c r="I179" s="129" t="n"/>
      <c r="J179" s="129" t="n"/>
      <c r="K179" s="129" t="n"/>
      <c r="L179" s="129" t="n"/>
      <c r="M179" s="129" t="n"/>
      <c r="N179" s="129" t="n"/>
      <c r="O179" s="129" t="n"/>
      <c r="P179" s="129" t="n"/>
      <c r="Q179" s="129" t="n"/>
      <c r="R179" s="129" t="n"/>
      <c r="S179" s="129" t="n"/>
      <c r="T179" s="129" t="n"/>
      <c r="U179" s="129" t="n"/>
      <c r="V179" s="129" t="n"/>
      <c r="W179" s="129" t="n"/>
      <c r="X179" s="129" t="n"/>
      <c r="Y179" s="129" t="n"/>
      <c r="Z179" s="129" t="n"/>
      <c r="AA179" s="129" t="n"/>
      <c r="AB179" s="129" t="n"/>
      <c r="AC179" s="129" t="n"/>
      <c r="AD179" s="129" t="n"/>
      <c r="AE179" s="129" t="n"/>
      <c r="AF179" s="129" t="n"/>
      <c r="AG179" s="129" t="n"/>
      <c r="AH179" s="129" t="n"/>
      <c r="AI179" s="129" t="n"/>
      <c r="AJ179" s="129" t="n"/>
      <c r="AK179" s="129" t="n"/>
      <c r="AL179" s="129" t="n"/>
      <c r="AM179" s="129" t="n"/>
      <c r="AN179" s="129" t="n"/>
      <c r="AO179" s="129" t="n"/>
      <c r="AP179" s="129" t="n"/>
      <c r="AQ179" s="129" t="n"/>
      <c r="AR179" s="129" t="n"/>
      <c r="AS179" s="129" t="n"/>
      <c r="AT179" s="129" t="n"/>
      <c r="AU179" s="129" t="n"/>
      <c r="AV179" s="129" t="n"/>
      <c r="AW179" s="129" t="n"/>
      <c r="AX179" s="129" t="n"/>
      <c r="AY179" s="129" t="n"/>
      <c r="AZ179" s="129" t="n"/>
      <c r="BA179" s="129" t="n"/>
      <c r="BB179" s="129" t="n"/>
      <c r="BC179" s="129" t="n"/>
      <c r="BD179" s="129" t="n"/>
      <c r="BE179" s="129" t="n"/>
      <c r="BF179" s="129" t="n"/>
      <c r="BG179" s="129" t="n"/>
      <c r="BH179" s="129" t="n"/>
      <c r="BI179" s="129" t="n"/>
      <c r="BJ179" s="129" t="n"/>
      <c r="BK179" s="129" t="n"/>
      <c r="BL179" s="129" t="n"/>
      <c r="BM179" s="129" t="n"/>
      <c r="BN179" s="129" t="n"/>
      <c r="BO179" s="129" t="n"/>
      <c r="BP179" s="129" t="n"/>
      <c r="BQ179" s="129" t="n"/>
      <c r="BR179" s="129" t="n"/>
      <c r="BS179" s="129" t="n"/>
      <c r="BT179" s="129" t="n"/>
      <c r="BU179" s="129" t="n"/>
      <c r="BV179" s="129" t="n"/>
      <c r="BW179" s="129" t="n"/>
      <c r="BX179" s="129" t="n"/>
      <c r="BY179" s="129" t="n"/>
      <c r="BZ179" s="129" t="n"/>
      <c r="CA179" s="129" t="n"/>
      <c r="CB179" s="129" t="n"/>
      <c r="CC179" s="129" t="n"/>
      <c r="CD179" s="129" t="n"/>
      <c r="CE179" s="129" t="n"/>
      <c r="CF179" s="129" t="n"/>
      <c r="CG179" s="129" t="n"/>
      <c r="CH179" s="129" t="n"/>
      <c r="CI179" s="129" t="n"/>
      <c r="CJ179" s="129" t="n"/>
      <c r="CK179" s="129" t="n"/>
      <c r="CL179" s="129" t="n"/>
      <c r="CM179" s="129" t="n"/>
      <c r="CN179" s="129" t="n"/>
      <c r="CO179" s="129" t="n"/>
      <c r="CP179" s="129" t="n"/>
      <c r="CQ179" s="129" t="n"/>
      <c r="CR179" s="129" t="n"/>
      <c r="CS179" s="129" t="n"/>
      <c r="CT179" s="129" t="n"/>
      <c r="CU179" s="129" t="n"/>
      <c r="CV179" s="129" t="n"/>
      <c r="CW179" s="129" t="n"/>
      <c r="CX179" s="129" t="n"/>
      <c r="CY179" s="129" t="n"/>
      <c r="CZ179" s="129" t="n"/>
      <c r="DA179" s="129" t="n"/>
      <c r="DB179" s="129" t="n"/>
      <c r="DC179" s="129" t="n"/>
      <c r="DD179" s="129" t="n"/>
      <c r="DE179" s="129" t="n"/>
      <c r="DF179" s="129" t="n"/>
      <c r="DG179" s="129" t="n"/>
      <c r="DH179" s="129" t="n"/>
      <c r="DI179" s="129" t="n"/>
      <c r="DJ179" s="129" t="n"/>
      <c r="DK179" s="129" t="n"/>
      <c r="DL179" s="129" t="n"/>
      <c r="DM179" s="129" t="n"/>
      <c r="DN179" s="129" t="n"/>
      <c r="DO179" s="129" t="n"/>
      <c r="DP179" s="129" t="n"/>
      <c r="DQ179" s="129" t="n"/>
      <c r="DR179" s="129" t="n"/>
      <c r="DS179" s="129" t="n"/>
      <c r="DT179" s="129" t="n"/>
      <c r="DU179" s="129" t="n"/>
      <c r="DV179" s="129" t="n"/>
      <c r="DW179" s="129" t="n"/>
      <c r="DX179" s="129" t="n"/>
      <c r="DY179" s="129" t="n"/>
      <c r="DZ179" s="129" t="n"/>
      <c r="EA179" s="129" t="n"/>
      <c r="EB179" s="129" t="n"/>
      <c r="EC179" s="129" t="n"/>
      <c r="ED179" s="129" t="n"/>
      <c r="EE179" s="129" t="n"/>
      <c r="EF179" s="129" t="n"/>
      <c r="EG179" s="129" t="n"/>
      <c r="EH179" s="129" t="n"/>
      <c r="EI179" s="129" t="n"/>
      <c r="EJ179" s="129" t="n"/>
      <c r="EK179" s="129" t="n"/>
      <c r="EL179" s="129" t="n"/>
      <c r="EM179" s="129" t="n"/>
      <c r="EN179" s="129" t="n"/>
      <c r="EO179" s="129" t="n"/>
      <c r="EP179" s="129" t="n"/>
      <c r="EQ179" s="129" t="n"/>
      <c r="ER179" s="129" t="n"/>
      <c r="ES179" s="129" t="n"/>
      <c r="ET179" s="129" t="n"/>
      <c r="EU179" s="129" t="n"/>
      <c r="EV179" s="129" t="n"/>
      <c r="EW179" s="129" t="n"/>
      <c r="EX179" s="129" t="n"/>
      <c r="EY179" s="129" t="n"/>
      <c r="EZ179" s="129" t="n"/>
      <c r="FA179" s="129" t="n"/>
      <c r="FB179" s="129" t="n"/>
      <c r="FC179" s="129" t="n"/>
      <c r="FD179" s="129" t="n"/>
      <c r="FE179" s="129" t="n"/>
      <c r="FF179" s="129" t="n"/>
      <c r="FG179" s="129" t="n"/>
      <c r="FH179" s="129" t="n"/>
      <c r="FI179" s="129" t="n"/>
      <c r="FJ179" s="129" t="n"/>
      <c r="FK179" s="129" t="n"/>
      <c r="FL179" s="129" t="n"/>
      <c r="FM179" s="129" t="n"/>
    </row>
    <row r="180" s="135">
      <c r="A180" s="53" t="n">
        <v>38168</v>
      </c>
      <c r="B180" s="54" t="n">
        <v>0.162</v>
      </c>
      <c r="C180" s="29" t="n"/>
      <c r="D180" s="129" t="n"/>
      <c r="E180" s="129" t="n"/>
      <c r="F180" s="129" t="n"/>
      <c r="G180" s="129" t="n"/>
      <c r="H180" s="129" t="n"/>
      <c r="I180" s="129" t="n"/>
      <c r="J180" s="129" t="n"/>
      <c r="K180" s="129" t="n"/>
      <c r="L180" s="129" t="n"/>
      <c r="M180" s="129" t="n"/>
      <c r="N180" s="129" t="n"/>
      <c r="O180" s="129" t="n"/>
      <c r="P180" s="129" t="n"/>
      <c r="Q180" s="129" t="n"/>
      <c r="R180" s="129" t="n"/>
      <c r="S180" s="129" t="n"/>
      <c r="T180" s="129" t="n"/>
      <c r="U180" s="129" t="n"/>
      <c r="V180" s="129" t="n"/>
      <c r="W180" s="129" t="n"/>
      <c r="X180" s="129" t="n"/>
      <c r="Y180" s="129" t="n"/>
      <c r="Z180" s="129" t="n"/>
      <c r="AA180" s="129" t="n"/>
      <c r="AB180" s="129" t="n"/>
      <c r="AC180" s="129" t="n"/>
      <c r="AD180" s="129" t="n"/>
      <c r="AE180" s="129" t="n"/>
      <c r="AF180" s="129" t="n"/>
      <c r="AG180" s="129" t="n"/>
      <c r="AH180" s="129" t="n"/>
      <c r="AI180" s="129" t="n"/>
      <c r="AJ180" s="129" t="n"/>
      <c r="AK180" s="129" t="n"/>
      <c r="AL180" s="129" t="n"/>
      <c r="AM180" s="129" t="n"/>
      <c r="AN180" s="129" t="n"/>
      <c r="AO180" s="129" t="n"/>
      <c r="AP180" s="129" t="n"/>
      <c r="AQ180" s="129" t="n"/>
      <c r="AR180" s="129" t="n"/>
      <c r="AS180" s="129" t="n"/>
      <c r="AT180" s="129" t="n"/>
      <c r="AU180" s="129" t="n"/>
      <c r="AV180" s="129" t="n"/>
      <c r="AW180" s="129" t="n"/>
      <c r="AX180" s="129" t="n"/>
      <c r="AY180" s="129" t="n"/>
      <c r="AZ180" s="129" t="n"/>
      <c r="BA180" s="129" t="n"/>
      <c r="BB180" s="129" t="n"/>
      <c r="BC180" s="129" t="n"/>
      <c r="BD180" s="129" t="n"/>
      <c r="BE180" s="129" t="n"/>
      <c r="BF180" s="129" t="n"/>
      <c r="BG180" s="129" t="n"/>
      <c r="BH180" s="129" t="n"/>
      <c r="BI180" s="129" t="n"/>
      <c r="BJ180" s="129" t="n"/>
      <c r="BK180" s="129" t="n"/>
      <c r="BL180" s="129" t="n"/>
      <c r="BM180" s="129" t="n"/>
      <c r="BN180" s="129" t="n"/>
      <c r="BO180" s="129" t="n"/>
      <c r="BP180" s="129" t="n"/>
      <c r="BQ180" s="129" t="n"/>
      <c r="BR180" s="129" t="n"/>
      <c r="BS180" s="129" t="n"/>
      <c r="BT180" s="129" t="n"/>
      <c r="BU180" s="129" t="n"/>
      <c r="BV180" s="129" t="n"/>
      <c r="BW180" s="129" t="n"/>
      <c r="BX180" s="129" t="n"/>
      <c r="BY180" s="129" t="n"/>
      <c r="BZ180" s="129" t="n"/>
      <c r="CA180" s="129" t="n"/>
      <c r="CB180" s="129" t="n"/>
      <c r="CC180" s="129" t="n"/>
      <c r="CD180" s="129" t="n"/>
      <c r="CE180" s="129" t="n"/>
      <c r="CF180" s="129" t="n"/>
      <c r="CG180" s="129" t="n"/>
      <c r="CH180" s="129" t="n"/>
      <c r="CI180" s="129" t="n"/>
      <c r="CJ180" s="129" t="n"/>
      <c r="CK180" s="129" t="n"/>
      <c r="CL180" s="129" t="n"/>
      <c r="CM180" s="129" t="n"/>
      <c r="CN180" s="129" t="n"/>
      <c r="CO180" s="129" t="n"/>
      <c r="CP180" s="129" t="n"/>
      <c r="CQ180" s="129" t="n"/>
      <c r="CR180" s="129" t="n"/>
      <c r="CS180" s="129" t="n"/>
      <c r="CT180" s="129" t="n"/>
      <c r="CU180" s="129" t="n"/>
      <c r="CV180" s="129" t="n"/>
      <c r="CW180" s="129" t="n"/>
      <c r="CX180" s="129" t="n"/>
      <c r="CY180" s="129" t="n"/>
      <c r="CZ180" s="129" t="n"/>
      <c r="DA180" s="129" t="n"/>
      <c r="DB180" s="129" t="n"/>
      <c r="DC180" s="129" t="n"/>
      <c r="DD180" s="129" t="n"/>
      <c r="DE180" s="129" t="n"/>
      <c r="DF180" s="129" t="n"/>
      <c r="DG180" s="129" t="n"/>
      <c r="DH180" s="129" t="n"/>
      <c r="DI180" s="129" t="n"/>
      <c r="DJ180" s="129" t="n"/>
      <c r="DK180" s="129" t="n"/>
      <c r="DL180" s="129" t="n"/>
      <c r="DM180" s="129" t="n"/>
      <c r="DN180" s="129" t="n"/>
      <c r="DO180" s="129" t="n"/>
      <c r="DP180" s="129" t="n"/>
      <c r="DQ180" s="129" t="n"/>
      <c r="DR180" s="129" t="n"/>
      <c r="DS180" s="129" t="n"/>
      <c r="DT180" s="129" t="n"/>
      <c r="DU180" s="129" t="n"/>
      <c r="DV180" s="129" t="n"/>
      <c r="DW180" s="129" t="n"/>
      <c r="DX180" s="129" t="n"/>
      <c r="DY180" s="129" t="n"/>
      <c r="DZ180" s="129" t="n"/>
      <c r="EA180" s="129" t="n"/>
      <c r="EB180" s="129" t="n"/>
      <c r="EC180" s="129" t="n"/>
      <c r="ED180" s="129" t="n"/>
      <c r="EE180" s="129" t="n"/>
      <c r="EF180" s="129" t="n"/>
      <c r="EG180" s="129" t="n"/>
      <c r="EH180" s="129" t="n"/>
      <c r="EI180" s="129" t="n"/>
      <c r="EJ180" s="129" t="n"/>
      <c r="EK180" s="129" t="n"/>
      <c r="EL180" s="129" t="n"/>
      <c r="EM180" s="129" t="n"/>
      <c r="EN180" s="129" t="n"/>
      <c r="EO180" s="129" t="n"/>
      <c r="EP180" s="129" t="n"/>
      <c r="EQ180" s="129" t="n"/>
      <c r="ER180" s="129" t="n"/>
      <c r="ES180" s="129" t="n"/>
      <c r="ET180" s="129" t="n"/>
      <c r="EU180" s="129" t="n"/>
      <c r="EV180" s="129" t="n"/>
      <c r="EW180" s="129" t="n"/>
      <c r="EX180" s="129" t="n"/>
      <c r="EY180" s="129" t="n"/>
      <c r="EZ180" s="129" t="n"/>
      <c r="FA180" s="129" t="n"/>
      <c r="FB180" s="129" t="n"/>
      <c r="FC180" s="129" t="n"/>
      <c r="FD180" s="129" t="n"/>
      <c r="FE180" s="129" t="n"/>
      <c r="FF180" s="129" t="n"/>
      <c r="FG180" s="129" t="n"/>
      <c r="FH180" s="129" t="n"/>
      <c r="FI180" s="129" t="n"/>
      <c r="FJ180" s="129" t="n"/>
      <c r="FK180" s="129" t="n"/>
      <c r="FL180" s="129" t="n"/>
      <c r="FM180" s="129" t="n"/>
    </row>
    <row r="181" s="135">
      <c r="A181" s="52" t="n">
        <v>38199</v>
      </c>
      <c r="B181" s="30" t="n">
        <v>0.155</v>
      </c>
      <c r="C181" s="29" t="n"/>
      <c r="D181" s="129" t="n"/>
      <c r="E181" s="129" t="n"/>
      <c r="F181" s="129" t="n"/>
      <c r="G181" s="129" t="n"/>
      <c r="H181" s="129" t="n"/>
      <c r="I181" s="129" t="n"/>
      <c r="J181" s="129" t="n"/>
      <c r="K181" s="129" t="n"/>
      <c r="L181" s="129" t="n"/>
      <c r="M181" s="129" t="n"/>
      <c r="N181" s="129" t="n"/>
      <c r="O181" s="129" t="n"/>
      <c r="P181" s="129" t="n"/>
      <c r="Q181" s="129" t="n"/>
      <c r="R181" s="129" t="n"/>
      <c r="S181" s="129" t="n"/>
      <c r="T181" s="129" t="n"/>
      <c r="U181" s="129" t="n"/>
      <c r="V181" s="129" t="n"/>
      <c r="W181" s="129" t="n"/>
      <c r="X181" s="129" t="n"/>
      <c r="Y181" s="129" t="n"/>
      <c r="Z181" s="129" t="n"/>
      <c r="AA181" s="129" t="n"/>
      <c r="AB181" s="129" t="n"/>
      <c r="AC181" s="129" t="n"/>
      <c r="AD181" s="129" t="n"/>
      <c r="AE181" s="129" t="n"/>
      <c r="AF181" s="129" t="n"/>
      <c r="AG181" s="129" t="n"/>
      <c r="AH181" s="129" t="n"/>
      <c r="AI181" s="129" t="n"/>
      <c r="AJ181" s="129" t="n"/>
      <c r="AK181" s="129" t="n"/>
      <c r="AL181" s="129" t="n"/>
      <c r="AM181" s="129" t="n"/>
      <c r="AN181" s="129" t="n"/>
      <c r="AO181" s="129" t="n"/>
      <c r="AP181" s="129" t="n"/>
      <c r="AQ181" s="129" t="n"/>
      <c r="AR181" s="129" t="n"/>
      <c r="AS181" s="129" t="n"/>
      <c r="AT181" s="129" t="n"/>
      <c r="AU181" s="129" t="n"/>
      <c r="AV181" s="129" t="n"/>
      <c r="AW181" s="129" t="n"/>
      <c r="AX181" s="129" t="n"/>
      <c r="AY181" s="129" t="n"/>
      <c r="AZ181" s="129" t="n"/>
      <c r="BA181" s="129" t="n"/>
      <c r="BB181" s="129" t="n"/>
      <c r="BC181" s="129" t="n"/>
      <c r="BD181" s="129" t="n"/>
      <c r="BE181" s="129" t="n"/>
      <c r="BF181" s="129" t="n"/>
      <c r="BG181" s="129" t="n"/>
      <c r="BH181" s="129" t="n"/>
      <c r="BI181" s="129" t="n"/>
      <c r="BJ181" s="129" t="n"/>
      <c r="BK181" s="129" t="n"/>
      <c r="BL181" s="129" t="n"/>
      <c r="BM181" s="129" t="n"/>
      <c r="BN181" s="129" t="n"/>
      <c r="BO181" s="129" t="n"/>
      <c r="BP181" s="129" t="n"/>
      <c r="BQ181" s="129" t="n"/>
      <c r="BR181" s="129" t="n"/>
      <c r="BS181" s="129" t="n"/>
      <c r="BT181" s="129" t="n"/>
      <c r="BU181" s="129" t="n"/>
      <c r="BV181" s="129" t="n"/>
      <c r="BW181" s="129" t="n"/>
      <c r="BX181" s="129" t="n"/>
      <c r="BY181" s="129" t="n"/>
      <c r="BZ181" s="129" t="n"/>
      <c r="CA181" s="129" t="n"/>
      <c r="CB181" s="129" t="n"/>
      <c r="CC181" s="129" t="n"/>
      <c r="CD181" s="129" t="n"/>
      <c r="CE181" s="129" t="n"/>
      <c r="CF181" s="129" t="n"/>
      <c r="CG181" s="129" t="n"/>
      <c r="CH181" s="129" t="n"/>
      <c r="CI181" s="129" t="n"/>
      <c r="CJ181" s="129" t="n"/>
      <c r="CK181" s="129" t="n"/>
      <c r="CL181" s="129" t="n"/>
      <c r="CM181" s="129" t="n"/>
      <c r="CN181" s="129" t="n"/>
      <c r="CO181" s="129" t="n"/>
      <c r="CP181" s="129" t="n"/>
      <c r="CQ181" s="129" t="n"/>
      <c r="CR181" s="129" t="n"/>
      <c r="CS181" s="129" t="n"/>
      <c r="CT181" s="129" t="n"/>
      <c r="CU181" s="129" t="n"/>
      <c r="CV181" s="129" t="n"/>
      <c r="CW181" s="129" t="n"/>
      <c r="CX181" s="129" t="n"/>
      <c r="CY181" s="129" t="n"/>
      <c r="CZ181" s="129" t="n"/>
      <c r="DA181" s="129" t="n"/>
      <c r="DB181" s="129" t="n"/>
      <c r="DC181" s="129" t="n"/>
      <c r="DD181" s="129" t="n"/>
      <c r="DE181" s="129" t="n"/>
      <c r="DF181" s="129" t="n"/>
      <c r="DG181" s="129" t="n"/>
      <c r="DH181" s="129" t="n"/>
      <c r="DI181" s="129" t="n"/>
      <c r="DJ181" s="129" t="n"/>
      <c r="DK181" s="129" t="n"/>
      <c r="DL181" s="129" t="n"/>
      <c r="DM181" s="129" t="n"/>
      <c r="DN181" s="129" t="n"/>
      <c r="DO181" s="129" t="n"/>
      <c r="DP181" s="129" t="n"/>
      <c r="DQ181" s="129" t="n"/>
      <c r="DR181" s="129" t="n"/>
      <c r="DS181" s="129" t="n"/>
      <c r="DT181" s="129" t="n"/>
      <c r="DU181" s="129" t="n"/>
      <c r="DV181" s="129" t="n"/>
      <c r="DW181" s="129" t="n"/>
      <c r="DX181" s="129" t="n"/>
      <c r="DY181" s="129" t="n"/>
      <c r="DZ181" s="129" t="n"/>
      <c r="EA181" s="129" t="n"/>
      <c r="EB181" s="129" t="n"/>
      <c r="EC181" s="129" t="n"/>
      <c r="ED181" s="129" t="n"/>
      <c r="EE181" s="129" t="n"/>
      <c r="EF181" s="129" t="n"/>
      <c r="EG181" s="129" t="n"/>
      <c r="EH181" s="129" t="n"/>
      <c r="EI181" s="129" t="n"/>
      <c r="EJ181" s="129" t="n"/>
      <c r="EK181" s="129" t="n"/>
      <c r="EL181" s="129" t="n"/>
      <c r="EM181" s="129" t="n"/>
      <c r="EN181" s="129" t="n"/>
      <c r="EO181" s="129" t="n"/>
      <c r="EP181" s="129" t="n"/>
      <c r="EQ181" s="129" t="n"/>
      <c r="ER181" s="129" t="n"/>
      <c r="ES181" s="129" t="n"/>
      <c r="ET181" s="129" t="n"/>
      <c r="EU181" s="129" t="n"/>
      <c r="EV181" s="129" t="n"/>
      <c r="EW181" s="129" t="n"/>
      <c r="EX181" s="129" t="n"/>
      <c r="EY181" s="129" t="n"/>
      <c r="EZ181" s="129" t="n"/>
      <c r="FA181" s="129" t="n"/>
      <c r="FB181" s="129" t="n"/>
      <c r="FC181" s="129" t="n"/>
      <c r="FD181" s="129" t="n"/>
      <c r="FE181" s="129" t="n"/>
      <c r="FF181" s="129" t="n"/>
      <c r="FG181" s="129" t="n"/>
      <c r="FH181" s="129" t="n"/>
      <c r="FI181" s="129" t="n"/>
      <c r="FJ181" s="129" t="n"/>
      <c r="FK181" s="129" t="n"/>
      <c r="FL181" s="129" t="n"/>
      <c r="FM181" s="129" t="n"/>
    </row>
    <row r="182" s="135">
      <c r="A182" s="53" t="n">
        <v>38230</v>
      </c>
      <c r="B182" s="54" t="n">
        <v>0.159</v>
      </c>
      <c r="C182" s="29" t="n"/>
      <c r="D182" s="129" t="n"/>
      <c r="E182" s="129" t="n"/>
      <c r="F182" s="129" t="n"/>
      <c r="G182" s="129" t="n"/>
      <c r="H182" s="129" t="n"/>
      <c r="I182" s="129" t="n"/>
      <c r="J182" s="129" t="n"/>
      <c r="K182" s="129" t="n"/>
      <c r="L182" s="129" t="n"/>
      <c r="M182" s="129" t="n"/>
      <c r="N182" s="129" t="n"/>
      <c r="O182" s="129" t="n"/>
      <c r="P182" s="129" t="n"/>
      <c r="Q182" s="129" t="n"/>
      <c r="R182" s="129" t="n"/>
      <c r="S182" s="129" t="n"/>
      <c r="T182" s="129" t="n"/>
      <c r="U182" s="129" t="n"/>
      <c r="V182" s="129" t="n"/>
      <c r="W182" s="129" t="n"/>
      <c r="X182" s="129" t="n"/>
      <c r="Y182" s="129" t="n"/>
      <c r="Z182" s="129" t="n"/>
      <c r="AA182" s="129" t="n"/>
      <c r="AB182" s="129" t="n"/>
      <c r="AC182" s="129" t="n"/>
      <c r="AD182" s="129" t="n"/>
      <c r="AE182" s="129" t="n"/>
      <c r="AF182" s="129" t="n"/>
      <c r="AG182" s="129" t="n"/>
      <c r="AH182" s="129" t="n"/>
      <c r="AI182" s="129" t="n"/>
      <c r="AJ182" s="129" t="n"/>
      <c r="AK182" s="129" t="n"/>
      <c r="AL182" s="129" t="n"/>
      <c r="AM182" s="129" t="n"/>
      <c r="AN182" s="129" t="n"/>
      <c r="AO182" s="129" t="n"/>
      <c r="AP182" s="129" t="n"/>
      <c r="AQ182" s="129" t="n"/>
      <c r="AR182" s="129" t="n"/>
      <c r="AS182" s="129" t="n"/>
      <c r="AT182" s="129" t="n"/>
      <c r="AU182" s="129" t="n"/>
      <c r="AV182" s="129" t="n"/>
      <c r="AW182" s="129" t="n"/>
      <c r="AX182" s="129" t="n"/>
      <c r="AY182" s="129" t="n"/>
      <c r="AZ182" s="129" t="n"/>
      <c r="BA182" s="129" t="n"/>
      <c r="BB182" s="129" t="n"/>
      <c r="BC182" s="129" t="n"/>
      <c r="BD182" s="129" t="n"/>
      <c r="BE182" s="129" t="n"/>
      <c r="BF182" s="129" t="n"/>
      <c r="BG182" s="129" t="n"/>
      <c r="BH182" s="129" t="n"/>
      <c r="BI182" s="129" t="n"/>
      <c r="BJ182" s="129" t="n"/>
      <c r="BK182" s="129" t="n"/>
      <c r="BL182" s="129" t="n"/>
      <c r="BM182" s="129" t="n"/>
      <c r="BN182" s="129" t="n"/>
      <c r="BO182" s="129" t="n"/>
      <c r="BP182" s="129" t="n"/>
      <c r="BQ182" s="129" t="n"/>
      <c r="BR182" s="129" t="n"/>
      <c r="BS182" s="129" t="n"/>
      <c r="BT182" s="129" t="n"/>
      <c r="BU182" s="129" t="n"/>
      <c r="BV182" s="129" t="n"/>
      <c r="BW182" s="129" t="n"/>
      <c r="BX182" s="129" t="n"/>
      <c r="BY182" s="129" t="n"/>
      <c r="BZ182" s="129" t="n"/>
      <c r="CA182" s="129" t="n"/>
      <c r="CB182" s="129" t="n"/>
      <c r="CC182" s="129" t="n"/>
      <c r="CD182" s="129" t="n"/>
      <c r="CE182" s="129" t="n"/>
      <c r="CF182" s="129" t="n"/>
      <c r="CG182" s="129" t="n"/>
      <c r="CH182" s="129" t="n"/>
      <c r="CI182" s="129" t="n"/>
      <c r="CJ182" s="129" t="n"/>
      <c r="CK182" s="129" t="n"/>
      <c r="CL182" s="129" t="n"/>
      <c r="CM182" s="129" t="n"/>
      <c r="CN182" s="129" t="n"/>
      <c r="CO182" s="129" t="n"/>
      <c r="CP182" s="129" t="n"/>
      <c r="CQ182" s="129" t="n"/>
      <c r="CR182" s="129" t="n"/>
      <c r="CS182" s="129" t="n"/>
      <c r="CT182" s="129" t="n"/>
      <c r="CU182" s="129" t="n"/>
      <c r="CV182" s="129" t="n"/>
      <c r="CW182" s="129" t="n"/>
      <c r="CX182" s="129" t="n"/>
      <c r="CY182" s="129" t="n"/>
      <c r="CZ182" s="129" t="n"/>
      <c r="DA182" s="129" t="n"/>
      <c r="DB182" s="129" t="n"/>
      <c r="DC182" s="129" t="n"/>
      <c r="DD182" s="129" t="n"/>
      <c r="DE182" s="129" t="n"/>
      <c r="DF182" s="129" t="n"/>
      <c r="DG182" s="129" t="n"/>
      <c r="DH182" s="129" t="n"/>
      <c r="DI182" s="129" t="n"/>
      <c r="DJ182" s="129" t="n"/>
      <c r="DK182" s="129" t="n"/>
      <c r="DL182" s="129" t="n"/>
      <c r="DM182" s="129" t="n"/>
      <c r="DN182" s="129" t="n"/>
      <c r="DO182" s="129" t="n"/>
      <c r="DP182" s="129" t="n"/>
      <c r="DQ182" s="129" t="n"/>
      <c r="DR182" s="129" t="n"/>
      <c r="DS182" s="129" t="n"/>
      <c r="DT182" s="129" t="n"/>
      <c r="DU182" s="129" t="n"/>
      <c r="DV182" s="129" t="n"/>
      <c r="DW182" s="129" t="n"/>
      <c r="DX182" s="129" t="n"/>
      <c r="DY182" s="129" t="n"/>
      <c r="DZ182" s="129" t="n"/>
      <c r="EA182" s="129" t="n"/>
      <c r="EB182" s="129" t="n"/>
      <c r="EC182" s="129" t="n"/>
      <c r="ED182" s="129" t="n"/>
      <c r="EE182" s="129" t="n"/>
      <c r="EF182" s="129" t="n"/>
      <c r="EG182" s="129" t="n"/>
      <c r="EH182" s="129" t="n"/>
      <c r="EI182" s="129" t="n"/>
      <c r="EJ182" s="129" t="n"/>
      <c r="EK182" s="129" t="n"/>
      <c r="EL182" s="129" t="n"/>
      <c r="EM182" s="129" t="n"/>
      <c r="EN182" s="129" t="n"/>
      <c r="EO182" s="129" t="n"/>
      <c r="EP182" s="129" t="n"/>
      <c r="EQ182" s="129" t="n"/>
      <c r="ER182" s="129" t="n"/>
      <c r="ES182" s="129" t="n"/>
      <c r="ET182" s="129" t="n"/>
      <c r="EU182" s="129" t="n"/>
      <c r="EV182" s="129" t="n"/>
      <c r="EW182" s="129" t="n"/>
      <c r="EX182" s="129" t="n"/>
      <c r="EY182" s="129" t="n"/>
      <c r="EZ182" s="129" t="n"/>
      <c r="FA182" s="129" t="n"/>
      <c r="FB182" s="129" t="n"/>
      <c r="FC182" s="129" t="n"/>
      <c r="FD182" s="129" t="n"/>
      <c r="FE182" s="129" t="n"/>
      <c r="FF182" s="129" t="n"/>
      <c r="FG182" s="129" t="n"/>
      <c r="FH182" s="129" t="n"/>
      <c r="FI182" s="129" t="n"/>
      <c r="FJ182" s="129" t="n"/>
      <c r="FK182" s="129" t="n"/>
      <c r="FL182" s="129" t="n"/>
      <c r="FM182" s="129" t="n"/>
    </row>
    <row r="183" s="135">
      <c r="A183" s="52" t="n">
        <v>38260</v>
      </c>
      <c r="B183" s="30" t="n">
        <v>0.161</v>
      </c>
      <c r="C183" s="29" t="n"/>
      <c r="D183" s="129" t="n"/>
      <c r="E183" s="129" t="n"/>
      <c r="F183" s="129" t="n"/>
      <c r="G183" s="129" t="n"/>
      <c r="H183" s="129" t="n"/>
      <c r="I183" s="129" t="n"/>
      <c r="J183" s="129" t="n"/>
      <c r="K183" s="129" t="n"/>
      <c r="L183" s="129" t="n"/>
      <c r="M183" s="129" t="n"/>
      <c r="N183" s="129" t="n"/>
      <c r="O183" s="129" t="n"/>
      <c r="P183" s="129" t="n"/>
      <c r="Q183" s="129" t="n"/>
      <c r="R183" s="129" t="n"/>
      <c r="S183" s="129" t="n"/>
      <c r="T183" s="129" t="n"/>
      <c r="U183" s="129" t="n"/>
      <c r="V183" s="129" t="n"/>
      <c r="W183" s="129" t="n"/>
      <c r="X183" s="129" t="n"/>
      <c r="Y183" s="129" t="n"/>
      <c r="Z183" s="129" t="n"/>
      <c r="AA183" s="129" t="n"/>
      <c r="AB183" s="129" t="n"/>
      <c r="AC183" s="129" t="n"/>
      <c r="AD183" s="129" t="n"/>
      <c r="AE183" s="129" t="n"/>
      <c r="AF183" s="129" t="n"/>
      <c r="AG183" s="129" t="n"/>
      <c r="AH183" s="129" t="n"/>
      <c r="AI183" s="129" t="n"/>
      <c r="AJ183" s="129" t="n"/>
      <c r="AK183" s="129" t="n"/>
      <c r="AL183" s="129" t="n"/>
      <c r="AM183" s="129" t="n"/>
      <c r="AN183" s="129" t="n"/>
      <c r="AO183" s="129" t="n"/>
      <c r="AP183" s="129" t="n"/>
      <c r="AQ183" s="129" t="n"/>
      <c r="AR183" s="129" t="n"/>
      <c r="AS183" s="129" t="n"/>
      <c r="AT183" s="129" t="n"/>
      <c r="AU183" s="129" t="n"/>
      <c r="AV183" s="129" t="n"/>
      <c r="AW183" s="129" t="n"/>
      <c r="AX183" s="129" t="n"/>
      <c r="AY183" s="129" t="n"/>
      <c r="AZ183" s="129" t="n"/>
      <c r="BA183" s="129" t="n"/>
      <c r="BB183" s="129" t="n"/>
      <c r="BC183" s="129" t="n"/>
      <c r="BD183" s="129" t="n"/>
      <c r="BE183" s="129" t="n"/>
      <c r="BF183" s="129" t="n"/>
      <c r="BG183" s="129" t="n"/>
      <c r="BH183" s="129" t="n"/>
      <c r="BI183" s="129" t="n"/>
      <c r="BJ183" s="129" t="n"/>
      <c r="BK183" s="129" t="n"/>
      <c r="BL183" s="129" t="n"/>
      <c r="BM183" s="129" t="n"/>
      <c r="BN183" s="129" t="n"/>
      <c r="BO183" s="129" t="n"/>
      <c r="BP183" s="129" t="n"/>
      <c r="BQ183" s="129" t="n"/>
      <c r="BR183" s="129" t="n"/>
      <c r="BS183" s="129" t="n"/>
      <c r="BT183" s="129" t="n"/>
      <c r="BU183" s="129" t="n"/>
      <c r="BV183" s="129" t="n"/>
      <c r="BW183" s="129" t="n"/>
      <c r="BX183" s="129" t="n"/>
      <c r="BY183" s="129" t="n"/>
      <c r="BZ183" s="129" t="n"/>
      <c r="CA183" s="129" t="n"/>
      <c r="CB183" s="129" t="n"/>
      <c r="CC183" s="129" t="n"/>
      <c r="CD183" s="129" t="n"/>
      <c r="CE183" s="129" t="n"/>
      <c r="CF183" s="129" t="n"/>
      <c r="CG183" s="129" t="n"/>
      <c r="CH183" s="129" t="n"/>
      <c r="CI183" s="129" t="n"/>
      <c r="CJ183" s="129" t="n"/>
      <c r="CK183" s="129" t="n"/>
      <c r="CL183" s="129" t="n"/>
      <c r="CM183" s="129" t="n"/>
      <c r="CN183" s="129" t="n"/>
      <c r="CO183" s="129" t="n"/>
      <c r="CP183" s="129" t="n"/>
      <c r="CQ183" s="129" t="n"/>
      <c r="CR183" s="129" t="n"/>
      <c r="CS183" s="129" t="n"/>
      <c r="CT183" s="129" t="n"/>
      <c r="CU183" s="129" t="n"/>
      <c r="CV183" s="129" t="n"/>
      <c r="CW183" s="129" t="n"/>
      <c r="CX183" s="129" t="n"/>
      <c r="CY183" s="129" t="n"/>
      <c r="CZ183" s="129" t="n"/>
      <c r="DA183" s="129" t="n"/>
      <c r="DB183" s="129" t="n"/>
      <c r="DC183" s="129" t="n"/>
      <c r="DD183" s="129" t="n"/>
      <c r="DE183" s="129" t="n"/>
      <c r="DF183" s="129" t="n"/>
      <c r="DG183" s="129" t="n"/>
      <c r="DH183" s="129" t="n"/>
      <c r="DI183" s="129" t="n"/>
      <c r="DJ183" s="129" t="n"/>
      <c r="DK183" s="129" t="n"/>
      <c r="DL183" s="129" t="n"/>
      <c r="DM183" s="129" t="n"/>
      <c r="DN183" s="129" t="n"/>
      <c r="DO183" s="129" t="n"/>
      <c r="DP183" s="129" t="n"/>
      <c r="DQ183" s="129" t="n"/>
      <c r="DR183" s="129" t="n"/>
      <c r="DS183" s="129" t="n"/>
      <c r="DT183" s="129" t="n"/>
      <c r="DU183" s="129" t="n"/>
      <c r="DV183" s="129" t="n"/>
      <c r="DW183" s="129" t="n"/>
      <c r="DX183" s="129" t="n"/>
      <c r="DY183" s="129" t="n"/>
      <c r="DZ183" s="129" t="n"/>
      <c r="EA183" s="129" t="n"/>
      <c r="EB183" s="129" t="n"/>
      <c r="EC183" s="129" t="n"/>
      <c r="ED183" s="129" t="n"/>
      <c r="EE183" s="129" t="n"/>
      <c r="EF183" s="129" t="n"/>
      <c r="EG183" s="129" t="n"/>
      <c r="EH183" s="129" t="n"/>
      <c r="EI183" s="129" t="n"/>
      <c r="EJ183" s="129" t="n"/>
      <c r="EK183" s="129" t="n"/>
      <c r="EL183" s="129" t="n"/>
      <c r="EM183" s="129" t="n"/>
      <c r="EN183" s="129" t="n"/>
      <c r="EO183" s="129" t="n"/>
      <c r="EP183" s="129" t="n"/>
      <c r="EQ183" s="129" t="n"/>
      <c r="ER183" s="129" t="n"/>
      <c r="ES183" s="129" t="n"/>
      <c r="ET183" s="129" t="n"/>
      <c r="EU183" s="129" t="n"/>
      <c r="EV183" s="129" t="n"/>
      <c r="EW183" s="129" t="n"/>
      <c r="EX183" s="129" t="n"/>
      <c r="EY183" s="129" t="n"/>
      <c r="EZ183" s="129" t="n"/>
      <c r="FA183" s="129" t="n"/>
      <c r="FB183" s="129" t="n"/>
      <c r="FC183" s="129" t="n"/>
      <c r="FD183" s="129" t="n"/>
      <c r="FE183" s="129" t="n"/>
      <c r="FF183" s="129" t="n"/>
      <c r="FG183" s="129" t="n"/>
      <c r="FH183" s="129" t="n"/>
      <c r="FI183" s="129" t="n"/>
      <c r="FJ183" s="129" t="n"/>
      <c r="FK183" s="129" t="n"/>
      <c r="FL183" s="129" t="n"/>
      <c r="FM183" s="129" t="n"/>
    </row>
    <row r="184" s="135">
      <c r="A184" s="53" t="n">
        <v>38291</v>
      </c>
      <c r="B184" s="54" t="n">
        <v>0.157</v>
      </c>
      <c r="C184" s="29" t="n"/>
      <c r="D184" s="129" t="n"/>
      <c r="E184" s="129" t="n"/>
      <c r="F184" s="129" t="n"/>
      <c r="G184" s="129" t="n"/>
      <c r="H184" s="129" t="n"/>
      <c r="I184" s="129" t="n"/>
      <c r="J184" s="129" t="n"/>
      <c r="K184" s="129" t="n"/>
      <c r="L184" s="129" t="n"/>
      <c r="M184" s="129" t="n"/>
      <c r="N184" s="129" t="n"/>
      <c r="O184" s="129" t="n"/>
      <c r="P184" s="129" t="n"/>
      <c r="Q184" s="129" t="n"/>
      <c r="R184" s="129" t="n"/>
      <c r="S184" s="129" t="n"/>
      <c r="T184" s="129" t="n"/>
      <c r="U184" s="129" t="n"/>
      <c r="V184" s="129" t="n"/>
      <c r="W184" s="129" t="n"/>
      <c r="X184" s="129" t="n"/>
      <c r="Y184" s="129" t="n"/>
      <c r="Z184" s="129" t="n"/>
      <c r="AA184" s="129" t="n"/>
      <c r="AB184" s="129" t="n"/>
      <c r="AC184" s="129" t="n"/>
      <c r="AD184" s="129" t="n"/>
      <c r="AE184" s="129" t="n"/>
      <c r="AF184" s="129" t="n"/>
      <c r="AG184" s="129" t="n"/>
      <c r="AH184" s="129" t="n"/>
      <c r="AI184" s="129" t="n"/>
      <c r="AJ184" s="129" t="n"/>
      <c r="AK184" s="129" t="n"/>
      <c r="AL184" s="129" t="n"/>
      <c r="AM184" s="129" t="n"/>
      <c r="AN184" s="129" t="n"/>
      <c r="AO184" s="129" t="n"/>
      <c r="AP184" s="129" t="n"/>
      <c r="AQ184" s="129" t="n"/>
      <c r="AR184" s="129" t="n"/>
      <c r="AS184" s="129" t="n"/>
      <c r="AT184" s="129" t="n"/>
      <c r="AU184" s="129" t="n"/>
      <c r="AV184" s="129" t="n"/>
      <c r="AW184" s="129" t="n"/>
      <c r="AX184" s="129" t="n"/>
      <c r="AY184" s="129" t="n"/>
      <c r="AZ184" s="129" t="n"/>
      <c r="BA184" s="129" t="n"/>
      <c r="BB184" s="129" t="n"/>
      <c r="BC184" s="129" t="n"/>
      <c r="BD184" s="129" t="n"/>
      <c r="BE184" s="129" t="n"/>
      <c r="BF184" s="129" t="n"/>
      <c r="BG184" s="129" t="n"/>
      <c r="BH184" s="129" t="n"/>
      <c r="BI184" s="129" t="n"/>
      <c r="BJ184" s="129" t="n"/>
      <c r="BK184" s="129" t="n"/>
      <c r="BL184" s="129" t="n"/>
      <c r="BM184" s="129" t="n"/>
      <c r="BN184" s="129" t="n"/>
      <c r="BO184" s="129" t="n"/>
      <c r="BP184" s="129" t="n"/>
      <c r="BQ184" s="129" t="n"/>
      <c r="BR184" s="129" t="n"/>
      <c r="BS184" s="129" t="n"/>
      <c r="BT184" s="129" t="n"/>
      <c r="BU184" s="129" t="n"/>
      <c r="BV184" s="129" t="n"/>
      <c r="BW184" s="129" t="n"/>
      <c r="BX184" s="129" t="n"/>
      <c r="BY184" s="129" t="n"/>
      <c r="BZ184" s="129" t="n"/>
      <c r="CA184" s="129" t="n"/>
      <c r="CB184" s="129" t="n"/>
      <c r="CC184" s="129" t="n"/>
      <c r="CD184" s="129" t="n"/>
      <c r="CE184" s="129" t="n"/>
      <c r="CF184" s="129" t="n"/>
      <c r="CG184" s="129" t="n"/>
      <c r="CH184" s="129" t="n"/>
      <c r="CI184" s="129" t="n"/>
      <c r="CJ184" s="129" t="n"/>
      <c r="CK184" s="129" t="n"/>
      <c r="CL184" s="129" t="n"/>
      <c r="CM184" s="129" t="n"/>
      <c r="CN184" s="129" t="n"/>
      <c r="CO184" s="129" t="n"/>
      <c r="CP184" s="129" t="n"/>
      <c r="CQ184" s="129" t="n"/>
      <c r="CR184" s="129" t="n"/>
      <c r="CS184" s="129" t="n"/>
      <c r="CT184" s="129" t="n"/>
      <c r="CU184" s="129" t="n"/>
      <c r="CV184" s="129" t="n"/>
      <c r="CW184" s="129" t="n"/>
      <c r="CX184" s="129" t="n"/>
      <c r="CY184" s="129" t="n"/>
      <c r="CZ184" s="129" t="n"/>
      <c r="DA184" s="129" t="n"/>
      <c r="DB184" s="129" t="n"/>
      <c r="DC184" s="129" t="n"/>
      <c r="DD184" s="129" t="n"/>
      <c r="DE184" s="129" t="n"/>
      <c r="DF184" s="129" t="n"/>
      <c r="DG184" s="129" t="n"/>
      <c r="DH184" s="129" t="n"/>
      <c r="DI184" s="129" t="n"/>
      <c r="DJ184" s="129" t="n"/>
      <c r="DK184" s="129" t="n"/>
      <c r="DL184" s="129" t="n"/>
      <c r="DM184" s="129" t="n"/>
      <c r="DN184" s="129" t="n"/>
      <c r="DO184" s="129" t="n"/>
      <c r="DP184" s="129" t="n"/>
      <c r="DQ184" s="129" t="n"/>
      <c r="DR184" s="129" t="n"/>
      <c r="DS184" s="129" t="n"/>
      <c r="DT184" s="129" t="n"/>
      <c r="DU184" s="129" t="n"/>
      <c r="DV184" s="129" t="n"/>
      <c r="DW184" s="129" t="n"/>
      <c r="DX184" s="129" t="n"/>
      <c r="DY184" s="129" t="n"/>
      <c r="DZ184" s="129" t="n"/>
      <c r="EA184" s="129" t="n"/>
      <c r="EB184" s="129" t="n"/>
      <c r="EC184" s="129" t="n"/>
      <c r="ED184" s="129" t="n"/>
      <c r="EE184" s="129" t="n"/>
      <c r="EF184" s="129" t="n"/>
      <c r="EG184" s="129" t="n"/>
      <c r="EH184" s="129" t="n"/>
      <c r="EI184" s="129" t="n"/>
      <c r="EJ184" s="129" t="n"/>
      <c r="EK184" s="129" t="n"/>
      <c r="EL184" s="129" t="n"/>
      <c r="EM184" s="129" t="n"/>
      <c r="EN184" s="129" t="n"/>
      <c r="EO184" s="129" t="n"/>
      <c r="EP184" s="129" t="n"/>
      <c r="EQ184" s="129" t="n"/>
      <c r="ER184" s="129" t="n"/>
      <c r="ES184" s="129" t="n"/>
      <c r="ET184" s="129" t="n"/>
      <c r="EU184" s="129" t="n"/>
      <c r="EV184" s="129" t="n"/>
      <c r="EW184" s="129" t="n"/>
      <c r="EX184" s="129" t="n"/>
      <c r="EY184" s="129" t="n"/>
      <c r="EZ184" s="129" t="n"/>
      <c r="FA184" s="129" t="n"/>
      <c r="FB184" s="129" t="n"/>
      <c r="FC184" s="129" t="n"/>
      <c r="FD184" s="129" t="n"/>
      <c r="FE184" s="129" t="n"/>
      <c r="FF184" s="129" t="n"/>
      <c r="FG184" s="129" t="n"/>
      <c r="FH184" s="129" t="n"/>
      <c r="FI184" s="129" t="n"/>
      <c r="FJ184" s="129" t="n"/>
      <c r="FK184" s="129" t="n"/>
      <c r="FL184" s="129" t="n"/>
      <c r="FM184" s="129" t="n"/>
    </row>
    <row r="185" s="135">
      <c r="A185" s="52" t="n">
        <v>38321</v>
      </c>
      <c r="B185" s="30" t="n">
        <v>0.148</v>
      </c>
      <c r="C185" s="29" t="n"/>
      <c r="D185" s="129" t="n"/>
      <c r="E185" s="129" t="n"/>
      <c r="F185" s="129" t="n"/>
      <c r="G185" s="129" t="n"/>
      <c r="H185" s="129" t="n"/>
      <c r="I185" s="129" t="n"/>
      <c r="J185" s="129" t="n"/>
      <c r="K185" s="129" t="n"/>
      <c r="L185" s="129" t="n"/>
      <c r="M185" s="129" t="n"/>
      <c r="N185" s="129" t="n"/>
      <c r="O185" s="129" t="n"/>
      <c r="P185" s="129" t="n"/>
      <c r="Q185" s="129" t="n"/>
      <c r="R185" s="129" t="n"/>
      <c r="S185" s="129" t="n"/>
      <c r="T185" s="129" t="n"/>
      <c r="U185" s="129" t="n"/>
      <c r="V185" s="129" t="n"/>
      <c r="W185" s="129" t="n"/>
      <c r="X185" s="129" t="n"/>
      <c r="Y185" s="129" t="n"/>
      <c r="Z185" s="129" t="n"/>
      <c r="AA185" s="129" t="n"/>
      <c r="AB185" s="129" t="n"/>
      <c r="AC185" s="129" t="n"/>
      <c r="AD185" s="129" t="n"/>
      <c r="AE185" s="129" t="n"/>
      <c r="AF185" s="129" t="n"/>
      <c r="AG185" s="129" t="n"/>
      <c r="AH185" s="129" t="n"/>
      <c r="AI185" s="129" t="n"/>
      <c r="AJ185" s="129" t="n"/>
      <c r="AK185" s="129" t="n"/>
      <c r="AL185" s="129" t="n"/>
      <c r="AM185" s="129" t="n"/>
      <c r="AN185" s="129" t="n"/>
      <c r="AO185" s="129" t="n"/>
      <c r="AP185" s="129" t="n"/>
      <c r="AQ185" s="129" t="n"/>
      <c r="AR185" s="129" t="n"/>
      <c r="AS185" s="129" t="n"/>
      <c r="AT185" s="129" t="n"/>
      <c r="AU185" s="129" t="n"/>
      <c r="AV185" s="129" t="n"/>
      <c r="AW185" s="129" t="n"/>
      <c r="AX185" s="129" t="n"/>
      <c r="AY185" s="129" t="n"/>
      <c r="AZ185" s="129" t="n"/>
      <c r="BA185" s="129" t="n"/>
      <c r="BB185" s="129" t="n"/>
      <c r="BC185" s="129" t="n"/>
      <c r="BD185" s="129" t="n"/>
      <c r="BE185" s="129" t="n"/>
      <c r="BF185" s="129" t="n"/>
      <c r="BG185" s="129" t="n"/>
      <c r="BH185" s="129" t="n"/>
      <c r="BI185" s="129" t="n"/>
      <c r="BJ185" s="129" t="n"/>
      <c r="BK185" s="129" t="n"/>
      <c r="BL185" s="129" t="n"/>
      <c r="BM185" s="129" t="n"/>
      <c r="BN185" s="129" t="n"/>
      <c r="BO185" s="129" t="n"/>
      <c r="BP185" s="129" t="n"/>
      <c r="BQ185" s="129" t="n"/>
      <c r="BR185" s="129" t="n"/>
      <c r="BS185" s="129" t="n"/>
      <c r="BT185" s="129" t="n"/>
      <c r="BU185" s="129" t="n"/>
      <c r="BV185" s="129" t="n"/>
      <c r="BW185" s="129" t="n"/>
      <c r="BX185" s="129" t="n"/>
      <c r="BY185" s="129" t="n"/>
      <c r="BZ185" s="129" t="n"/>
      <c r="CA185" s="129" t="n"/>
      <c r="CB185" s="129" t="n"/>
      <c r="CC185" s="129" t="n"/>
      <c r="CD185" s="129" t="n"/>
      <c r="CE185" s="129" t="n"/>
      <c r="CF185" s="129" t="n"/>
      <c r="CG185" s="129" t="n"/>
      <c r="CH185" s="129" t="n"/>
      <c r="CI185" s="129" t="n"/>
      <c r="CJ185" s="129" t="n"/>
      <c r="CK185" s="129" t="n"/>
      <c r="CL185" s="129" t="n"/>
      <c r="CM185" s="129" t="n"/>
      <c r="CN185" s="129" t="n"/>
      <c r="CO185" s="129" t="n"/>
      <c r="CP185" s="129" t="n"/>
      <c r="CQ185" s="129" t="n"/>
      <c r="CR185" s="129" t="n"/>
      <c r="CS185" s="129" t="n"/>
      <c r="CT185" s="129" t="n"/>
      <c r="CU185" s="129" t="n"/>
      <c r="CV185" s="129" t="n"/>
      <c r="CW185" s="129" t="n"/>
      <c r="CX185" s="129" t="n"/>
      <c r="CY185" s="129" t="n"/>
      <c r="CZ185" s="129" t="n"/>
      <c r="DA185" s="129" t="n"/>
      <c r="DB185" s="129" t="n"/>
      <c r="DC185" s="129" t="n"/>
      <c r="DD185" s="129" t="n"/>
      <c r="DE185" s="129" t="n"/>
      <c r="DF185" s="129" t="n"/>
      <c r="DG185" s="129" t="n"/>
      <c r="DH185" s="129" t="n"/>
      <c r="DI185" s="129" t="n"/>
      <c r="DJ185" s="129" t="n"/>
      <c r="DK185" s="129" t="n"/>
      <c r="DL185" s="129" t="n"/>
      <c r="DM185" s="129" t="n"/>
      <c r="DN185" s="129" t="n"/>
      <c r="DO185" s="129" t="n"/>
      <c r="DP185" s="129" t="n"/>
      <c r="DQ185" s="129" t="n"/>
      <c r="DR185" s="129" t="n"/>
      <c r="DS185" s="129" t="n"/>
      <c r="DT185" s="129" t="n"/>
      <c r="DU185" s="129" t="n"/>
      <c r="DV185" s="129" t="n"/>
      <c r="DW185" s="129" t="n"/>
      <c r="DX185" s="129" t="n"/>
      <c r="DY185" s="129" t="n"/>
      <c r="DZ185" s="129" t="n"/>
      <c r="EA185" s="129" t="n"/>
      <c r="EB185" s="129" t="n"/>
      <c r="EC185" s="129" t="n"/>
      <c r="ED185" s="129" t="n"/>
      <c r="EE185" s="129" t="n"/>
      <c r="EF185" s="129" t="n"/>
      <c r="EG185" s="129" t="n"/>
      <c r="EH185" s="129" t="n"/>
      <c r="EI185" s="129" t="n"/>
      <c r="EJ185" s="129" t="n"/>
      <c r="EK185" s="129" t="n"/>
      <c r="EL185" s="129" t="n"/>
      <c r="EM185" s="129" t="n"/>
      <c r="EN185" s="129" t="n"/>
      <c r="EO185" s="129" t="n"/>
      <c r="EP185" s="129" t="n"/>
      <c r="EQ185" s="129" t="n"/>
      <c r="ER185" s="129" t="n"/>
      <c r="ES185" s="129" t="n"/>
      <c r="ET185" s="129" t="n"/>
      <c r="EU185" s="129" t="n"/>
      <c r="EV185" s="129" t="n"/>
      <c r="EW185" s="129" t="n"/>
      <c r="EX185" s="129" t="n"/>
      <c r="EY185" s="129" t="n"/>
      <c r="EZ185" s="129" t="n"/>
      <c r="FA185" s="129" t="n"/>
      <c r="FB185" s="129" t="n"/>
      <c r="FC185" s="129" t="n"/>
      <c r="FD185" s="129" t="n"/>
      <c r="FE185" s="129" t="n"/>
      <c r="FF185" s="129" t="n"/>
      <c r="FG185" s="129" t="n"/>
      <c r="FH185" s="129" t="n"/>
      <c r="FI185" s="129" t="n"/>
      <c r="FJ185" s="129" t="n"/>
      <c r="FK185" s="129" t="n"/>
      <c r="FL185" s="129" t="n"/>
      <c r="FM185" s="129" t="n"/>
    </row>
    <row r="186" s="135">
      <c r="A186" s="53" t="n">
        <v>38352</v>
      </c>
      <c r="B186" s="54" t="n">
        <v>0.144</v>
      </c>
      <c r="C186" s="29" t="n"/>
      <c r="D186" s="129" t="n"/>
      <c r="E186" s="129" t="n"/>
      <c r="F186" s="129" t="n"/>
      <c r="G186" s="129" t="n"/>
      <c r="H186" s="129" t="n"/>
      <c r="I186" s="129" t="n"/>
      <c r="J186" s="129" t="n"/>
      <c r="K186" s="129" t="n"/>
      <c r="L186" s="129" t="n"/>
      <c r="M186" s="129" t="n"/>
      <c r="N186" s="129" t="n"/>
      <c r="O186" s="129" t="n"/>
      <c r="P186" s="129" t="n"/>
      <c r="Q186" s="129" t="n"/>
      <c r="R186" s="129" t="n"/>
      <c r="S186" s="129" t="n"/>
      <c r="T186" s="129" t="n"/>
      <c r="U186" s="129" t="n"/>
      <c r="V186" s="129" t="n"/>
      <c r="W186" s="129" t="n"/>
      <c r="X186" s="129" t="n"/>
      <c r="Y186" s="129" t="n"/>
      <c r="Z186" s="129" t="n"/>
      <c r="AA186" s="129" t="n"/>
      <c r="AB186" s="129" t="n"/>
      <c r="AC186" s="129" t="n"/>
      <c r="AD186" s="129" t="n"/>
      <c r="AE186" s="129" t="n"/>
      <c r="AF186" s="129" t="n"/>
      <c r="AG186" s="129" t="n"/>
      <c r="AH186" s="129" t="n"/>
      <c r="AI186" s="129" t="n"/>
      <c r="AJ186" s="129" t="n"/>
      <c r="AK186" s="129" t="n"/>
      <c r="AL186" s="129" t="n"/>
      <c r="AM186" s="129" t="n"/>
      <c r="AN186" s="129" t="n"/>
      <c r="AO186" s="129" t="n"/>
      <c r="AP186" s="129" t="n"/>
      <c r="AQ186" s="129" t="n"/>
      <c r="AR186" s="129" t="n"/>
      <c r="AS186" s="129" t="n"/>
      <c r="AT186" s="129" t="n"/>
      <c r="AU186" s="129" t="n"/>
      <c r="AV186" s="129" t="n"/>
      <c r="AW186" s="129" t="n"/>
      <c r="AX186" s="129" t="n"/>
      <c r="AY186" s="129" t="n"/>
      <c r="AZ186" s="129" t="n"/>
      <c r="BA186" s="129" t="n"/>
      <c r="BB186" s="129" t="n"/>
      <c r="BC186" s="129" t="n"/>
      <c r="BD186" s="129" t="n"/>
      <c r="BE186" s="129" t="n"/>
      <c r="BF186" s="129" t="n"/>
      <c r="BG186" s="129" t="n"/>
      <c r="BH186" s="129" t="n"/>
      <c r="BI186" s="129" t="n"/>
      <c r="BJ186" s="129" t="n"/>
      <c r="BK186" s="129" t="n"/>
      <c r="BL186" s="129" t="n"/>
      <c r="BM186" s="129" t="n"/>
      <c r="BN186" s="129" t="n"/>
      <c r="BO186" s="129" t="n"/>
      <c r="BP186" s="129" t="n"/>
      <c r="BQ186" s="129" t="n"/>
      <c r="BR186" s="129" t="n"/>
      <c r="BS186" s="129" t="n"/>
      <c r="BT186" s="129" t="n"/>
      <c r="BU186" s="129" t="n"/>
      <c r="BV186" s="129" t="n"/>
      <c r="BW186" s="129" t="n"/>
      <c r="BX186" s="129" t="n"/>
      <c r="BY186" s="129" t="n"/>
      <c r="BZ186" s="129" t="n"/>
      <c r="CA186" s="129" t="n"/>
      <c r="CB186" s="129" t="n"/>
      <c r="CC186" s="129" t="n"/>
      <c r="CD186" s="129" t="n"/>
      <c r="CE186" s="129" t="n"/>
      <c r="CF186" s="129" t="n"/>
      <c r="CG186" s="129" t="n"/>
      <c r="CH186" s="129" t="n"/>
      <c r="CI186" s="129" t="n"/>
      <c r="CJ186" s="129" t="n"/>
      <c r="CK186" s="129" t="n"/>
      <c r="CL186" s="129" t="n"/>
      <c r="CM186" s="129" t="n"/>
      <c r="CN186" s="129" t="n"/>
      <c r="CO186" s="129" t="n"/>
      <c r="CP186" s="129" t="n"/>
      <c r="CQ186" s="129" t="n"/>
      <c r="CR186" s="129" t="n"/>
      <c r="CS186" s="129" t="n"/>
      <c r="CT186" s="129" t="n"/>
      <c r="CU186" s="129" t="n"/>
      <c r="CV186" s="129" t="n"/>
      <c r="CW186" s="129" t="n"/>
      <c r="CX186" s="129" t="n"/>
      <c r="CY186" s="129" t="n"/>
      <c r="CZ186" s="129" t="n"/>
      <c r="DA186" s="129" t="n"/>
      <c r="DB186" s="129" t="n"/>
      <c r="DC186" s="129" t="n"/>
      <c r="DD186" s="129" t="n"/>
      <c r="DE186" s="129" t="n"/>
      <c r="DF186" s="129" t="n"/>
      <c r="DG186" s="129" t="n"/>
      <c r="DH186" s="129" t="n"/>
      <c r="DI186" s="129" t="n"/>
      <c r="DJ186" s="129" t="n"/>
      <c r="DK186" s="129" t="n"/>
      <c r="DL186" s="129" t="n"/>
      <c r="DM186" s="129" t="n"/>
      <c r="DN186" s="129" t="n"/>
      <c r="DO186" s="129" t="n"/>
      <c r="DP186" s="129" t="n"/>
      <c r="DQ186" s="129" t="n"/>
      <c r="DR186" s="129" t="n"/>
      <c r="DS186" s="129" t="n"/>
      <c r="DT186" s="129" t="n"/>
      <c r="DU186" s="129" t="n"/>
      <c r="DV186" s="129" t="n"/>
      <c r="DW186" s="129" t="n"/>
      <c r="DX186" s="129" t="n"/>
      <c r="DY186" s="129" t="n"/>
      <c r="DZ186" s="129" t="n"/>
      <c r="EA186" s="129" t="n"/>
      <c r="EB186" s="129" t="n"/>
      <c r="EC186" s="129" t="n"/>
      <c r="ED186" s="129" t="n"/>
      <c r="EE186" s="129" t="n"/>
      <c r="EF186" s="129" t="n"/>
      <c r="EG186" s="129" t="n"/>
      <c r="EH186" s="129" t="n"/>
      <c r="EI186" s="129" t="n"/>
      <c r="EJ186" s="129" t="n"/>
      <c r="EK186" s="129" t="n"/>
      <c r="EL186" s="129" t="n"/>
      <c r="EM186" s="129" t="n"/>
      <c r="EN186" s="129" t="n"/>
      <c r="EO186" s="129" t="n"/>
      <c r="EP186" s="129" t="n"/>
      <c r="EQ186" s="129" t="n"/>
      <c r="ER186" s="129" t="n"/>
      <c r="ES186" s="129" t="n"/>
      <c r="ET186" s="129" t="n"/>
      <c r="EU186" s="129" t="n"/>
      <c r="EV186" s="129" t="n"/>
      <c r="EW186" s="129" t="n"/>
      <c r="EX186" s="129" t="n"/>
      <c r="EY186" s="129" t="n"/>
      <c r="EZ186" s="129" t="n"/>
      <c r="FA186" s="129" t="n"/>
      <c r="FB186" s="129" t="n"/>
      <c r="FC186" s="129" t="n"/>
      <c r="FD186" s="129" t="n"/>
      <c r="FE186" s="129" t="n"/>
      <c r="FF186" s="129" t="n"/>
      <c r="FG186" s="129" t="n"/>
      <c r="FH186" s="129" t="n"/>
      <c r="FI186" s="129" t="n"/>
      <c r="FJ186" s="129" t="n"/>
      <c r="FK186" s="129" t="n"/>
      <c r="FL186" s="129" t="n"/>
      <c r="FM186" s="129" t="n"/>
    </row>
    <row r="187" s="135">
      <c r="A187" s="52" t="n">
        <v>38383</v>
      </c>
      <c r="B187" s="30" t="n">
        <v>0.209</v>
      </c>
      <c r="C187" s="29" t="n">
        <v>52.1</v>
      </c>
      <c r="D187" s="129" t="n"/>
      <c r="E187" s="129" t="n"/>
      <c r="F187" s="129" t="n"/>
      <c r="G187" s="129" t="n"/>
      <c r="H187" s="129" t="n"/>
      <c r="I187" s="129" t="n"/>
      <c r="J187" s="129" t="n"/>
      <c r="K187" s="129" t="n"/>
      <c r="L187" s="129" t="n"/>
      <c r="M187" s="129" t="n"/>
      <c r="N187" s="129" t="n"/>
      <c r="O187" s="129" t="n"/>
      <c r="P187" s="129" t="n"/>
      <c r="Q187" s="129" t="n"/>
      <c r="R187" s="129" t="n"/>
      <c r="S187" s="129" t="n"/>
      <c r="T187" s="129" t="n"/>
      <c r="U187" s="129" t="n"/>
      <c r="V187" s="129" t="n"/>
      <c r="W187" s="129" t="n"/>
      <c r="X187" s="129" t="n"/>
      <c r="Y187" s="129" t="n"/>
      <c r="Z187" s="129" t="n"/>
      <c r="AA187" s="129" t="n"/>
      <c r="AB187" s="129" t="n"/>
      <c r="AC187" s="129" t="n"/>
      <c r="AD187" s="129" t="n"/>
      <c r="AE187" s="129" t="n"/>
      <c r="AF187" s="129" t="n"/>
      <c r="AG187" s="129" t="n"/>
      <c r="AH187" s="129" t="n"/>
      <c r="AI187" s="129" t="n"/>
      <c r="AJ187" s="129" t="n"/>
      <c r="AK187" s="129" t="n"/>
      <c r="AL187" s="129" t="n"/>
      <c r="AM187" s="129" t="n"/>
      <c r="AN187" s="129" t="n"/>
      <c r="AO187" s="129" t="n"/>
      <c r="AP187" s="129" t="n"/>
      <c r="AQ187" s="129" t="n"/>
      <c r="AR187" s="129" t="n"/>
      <c r="AS187" s="129" t="n"/>
      <c r="AT187" s="129" t="n"/>
      <c r="AU187" s="129" t="n"/>
      <c r="AV187" s="129" t="n"/>
      <c r="AW187" s="129" t="n"/>
      <c r="AX187" s="129" t="n"/>
      <c r="AY187" s="129" t="n"/>
      <c r="AZ187" s="129" t="n"/>
      <c r="BA187" s="129" t="n"/>
      <c r="BB187" s="129" t="n"/>
      <c r="BC187" s="129" t="n"/>
      <c r="BD187" s="129" t="n"/>
      <c r="BE187" s="129" t="n"/>
      <c r="BF187" s="129" t="n"/>
      <c r="BG187" s="129" t="n"/>
      <c r="BH187" s="129" t="n"/>
      <c r="BI187" s="129" t="n"/>
      <c r="BJ187" s="129" t="n"/>
      <c r="BK187" s="129" t="n"/>
      <c r="BL187" s="129" t="n"/>
      <c r="BM187" s="129" t="n"/>
      <c r="BN187" s="129" t="n"/>
      <c r="BO187" s="129" t="n"/>
      <c r="BP187" s="129" t="n"/>
      <c r="BQ187" s="129" t="n"/>
      <c r="BR187" s="129" t="n"/>
      <c r="BS187" s="129" t="n"/>
      <c r="BT187" s="129" t="n"/>
      <c r="BU187" s="129" t="n"/>
      <c r="BV187" s="129" t="n"/>
      <c r="BW187" s="129" t="n"/>
      <c r="BX187" s="129" t="n"/>
      <c r="BY187" s="129" t="n"/>
      <c r="BZ187" s="129" t="n"/>
      <c r="CA187" s="129" t="n"/>
      <c r="CB187" s="129" t="n"/>
      <c r="CC187" s="129" t="n"/>
      <c r="CD187" s="129" t="n"/>
      <c r="CE187" s="129" t="n"/>
      <c r="CF187" s="129" t="n"/>
      <c r="CG187" s="129" t="n"/>
      <c r="CH187" s="129" t="n"/>
      <c r="CI187" s="129" t="n"/>
      <c r="CJ187" s="129" t="n"/>
      <c r="CK187" s="129" t="n"/>
      <c r="CL187" s="129" t="n"/>
      <c r="CM187" s="129" t="n"/>
      <c r="CN187" s="129" t="n"/>
      <c r="CO187" s="129" t="n"/>
      <c r="CP187" s="129" t="n"/>
      <c r="CQ187" s="129" t="n"/>
      <c r="CR187" s="129" t="n"/>
      <c r="CS187" s="129" t="n"/>
      <c r="CT187" s="129" t="n"/>
      <c r="CU187" s="129" t="n"/>
      <c r="CV187" s="129" t="n"/>
      <c r="CW187" s="129" t="n"/>
      <c r="CX187" s="129" t="n"/>
      <c r="CY187" s="129" t="n"/>
      <c r="CZ187" s="129" t="n"/>
      <c r="DA187" s="129" t="n"/>
      <c r="DB187" s="129" t="n"/>
      <c r="DC187" s="129" t="n"/>
      <c r="DD187" s="129" t="n"/>
      <c r="DE187" s="129" t="n"/>
      <c r="DF187" s="129" t="n"/>
      <c r="DG187" s="129" t="n"/>
      <c r="DH187" s="129" t="n"/>
      <c r="DI187" s="129" t="n"/>
      <c r="DJ187" s="129" t="n"/>
      <c r="DK187" s="129" t="n"/>
      <c r="DL187" s="129" t="n"/>
      <c r="DM187" s="129" t="n"/>
      <c r="DN187" s="129" t="n"/>
      <c r="DO187" s="129" t="n"/>
      <c r="DP187" s="129" t="n"/>
      <c r="DQ187" s="129" t="n"/>
      <c r="DR187" s="129" t="n"/>
      <c r="DS187" s="129" t="n"/>
      <c r="DT187" s="129" t="n"/>
      <c r="DU187" s="129" t="n"/>
      <c r="DV187" s="129" t="n"/>
      <c r="DW187" s="129" t="n"/>
      <c r="DX187" s="129" t="n"/>
      <c r="DY187" s="129" t="n"/>
      <c r="DZ187" s="129" t="n"/>
      <c r="EA187" s="129" t="n"/>
      <c r="EB187" s="129" t="n"/>
      <c r="EC187" s="129" t="n"/>
      <c r="ED187" s="129" t="n"/>
      <c r="EE187" s="129" t="n"/>
      <c r="EF187" s="129" t="n"/>
      <c r="EG187" s="129" t="n"/>
      <c r="EH187" s="129" t="n"/>
      <c r="EI187" s="129" t="n"/>
      <c r="EJ187" s="129" t="n"/>
      <c r="EK187" s="129" t="n"/>
      <c r="EL187" s="129" t="n"/>
      <c r="EM187" s="129" t="n"/>
      <c r="EN187" s="129" t="n"/>
      <c r="EO187" s="129" t="n"/>
      <c r="EP187" s="129" t="n"/>
      <c r="EQ187" s="129" t="n"/>
      <c r="ER187" s="129" t="n"/>
      <c r="ES187" s="129" t="n"/>
      <c r="ET187" s="129" t="n"/>
      <c r="EU187" s="129" t="n"/>
      <c r="EV187" s="129" t="n"/>
      <c r="EW187" s="129" t="n"/>
      <c r="EX187" s="129" t="n"/>
      <c r="EY187" s="129" t="n"/>
      <c r="EZ187" s="129" t="n"/>
      <c r="FA187" s="129" t="n"/>
      <c r="FB187" s="129" t="n"/>
      <c r="FC187" s="129" t="n"/>
      <c r="FD187" s="129" t="n"/>
      <c r="FE187" s="129" t="n"/>
      <c r="FF187" s="129" t="n"/>
      <c r="FG187" s="129" t="n"/>
      <c r="FH187" s="129" t="n"/>
      <c r="FI187" s="129" t="n"/>
      <c r="FJ187" s="129" t="n"/>
      <c r="FK187" s="129" t="n"/>
      <c r="FL187" s="129" t="n"/>
      <c r="FM187" s="129" t="n"/>
    </row>
    <row r="188" s="135">
      <c r="A188" s="52" t="n">
        <v>38411</v>
      </c>
      <c r="B188" s="54" t="n">
        <v>0.076</v>
      </c>
      <c r="C188" s="29" t="n">
        <v>52.9</v>
      </c>
      <c r="D188" s="129" t="n"/>
      <c r="E188" s="129" t="n"/>
      <c r="F188" s="129" t="n"/>
      <c r="G188" s="129" t="n"/>
      <c r="H188" s="129" t="n"/>
      <c r="I188" s="129" t="n"/>
      <c r="J188" s="129" t="n"/>
      <c r="K188" s="129" t="n"/>
      <c r="L188" s="129" t="n"/>
      <c r="M188" s="129" t="n"/>
      <c r="N188" s="129" t="n"/>
      <c r="O188" s="129" t="n"/>
      <c r="P188" s="129" t="n"/>
      <c r="Q188" s="129" t="n"/>
      <c r="R188" s="129" t="n"/>
      <c r="S188" s="129" t="n"/>
      <c r="T188" s="129" t="n"/>
      <c r="U188" s="129" t="n"/>
      <c r="V188" s="129" t="n"/>
      <c r="W188" s="129" t="n"/>
      <c r="X188" s="129" t="n"/>
      <c r="Y188" s="129" t="n"/>
      <c r="Z188" s="129" t="n"/>
      <c r="AA188" s="129" t="n"/>
      <c r="AB188" s="129" t="n"/>
      <c r="AC188" s="129" t="n"/>
      <c r="AD188" s="129" t="n"/>
      <c r="AE188" s="129" t="n"/>
      <c r="AF188" s="129" t="n"/>
      <c r="AG188" s="129" t="n"/>
      <c r="AH188" s="129" t="n"/>
      <c r="AI188" s="129" t="n"/>
      <c r="AJ188" s="129" t="n"/>
      <c r="AK188" s="129" t="n"/>
      <c r="AL188" s="129" t="n"/>
      <c r="AM188" s="129" t="n"/>
      <c r="AN188" s="129" t="n"/>
      <c r="AO188" s="129" t="n"/>
      <c r="AP188" s="129" t="n"/>
      <c r="AQ188" s="129" t="n"/>
      <c r="AR188" s="129" t="n"/>
      <c r="AS188" s="129" t="n"/>
      <c r="AT188" s="129" t="n"/>
      <c r="AU188" s="129" t="n"/>
      <c r="AV188" s="129" t="n"/>
      <c r="AW188" s="129" t="n"/>
      <c r="AX188" s="129" t="n"/>
      <c r="AY188" s="129" t="n"/>
      <c r="AZ188" s="129" t="n"/>
      <c r="BA188" s="129" t="n"/>
      <c r="BB188" s="129" t="n"/>
      <c r="BC188" s="129" t="n"/>
      <c r="BD188" s="129" t="n"/>
      <c r="BE188" s="129" t="n"/>
      <c r="BF188" s="129" t="n"/>
      <c r="BG188" s="129" t="n"/>
      <c r="BH188" s="129" t="n"/>
      <c r="BI188" s="129" t="n"/>
      <c r="BJ188" s="129" t="n"/>
      <c r="BK188" s="129" t="n"/>
      <c r="BL188" s="129" t="n"/>
      <c r="BM188" s="129" t="n"/>
      <c r="BN188" s="129" t="n"/>
      <c r="BO188" s="129" t="n"/>
      <c r="BP188" s="129" t="n"/>
      <c r="BQ188" s="129" t="n"/>
      <c r="BR188" s="129" t="n"/>
      <c r="BS188" s="129" t="n"/>
      <c r="BT188" s="129" t="n"/>
      <c r="BU188" s="129" t="n"/>
      <c r="BV188" s="129" t="n"/>
      <c r="BW188" s="129" t="n"/>
      <c r="BX188" s="129" t="n"/>
      <c r="BY188" s="129" t="n"/>
      <c r="BZ188" s="129" t="n"/>
      <c r="CA188" s="129" t="n"/>
      <c r="CB188" s="129" t="n"/>
      <c r="CC188" s="129" t="n"/>
      <c r="CD188" s="129" t="n"/>
      <c r="CE188" s="129" t="n"/>
      <c r="CF188" s="129" t="n"/>
      <c r="CG188" s="129" t="n"/>
      <c r="CH188" s="129" t="n"/>
      <c r="CI188" s="129" t="n"/>
      <c r="CJ188" s="129" t="n"/>
      <c r="CK188" s="129" t="n"/>
      <c r="CL188" s="129" t="n"/>
      <c r="CM188" s="129" t="n"/>
      <c r="CN188" s="129" t="n"/>
      <c r="CO188" s="129" t="n"/>
      <c r="CP188" s="129" t="n"/>
      <c r="CQ188" s="129" t="n"/>
      <c r="CR188" s="129" t="n"/>
      <c r="CS188" s="129" t="n"/>
      <c r="CT188" s="129" t="n"/>
      <c r="CU188" s="129" t="n"/>
      <c r="CV188" s="129" t="n"/>
      <c r="CW188" s="129" t="n"/>
      <c r="CX188" s="129" t="n"/>
      <c r="CY188" s="129" t="n"/>
      <c r="CZ188" s="129" t="n"/>
      <c r="DA188" s="129" t="n"/>
      <c r="DB188" s="129" t="n"/>
      <c r="DC188" s="129" t="n"/>
      <c r="DD188" s="129" t="n"/>
      <c r="DE188" s="129" t="n"/>
      <c r="DF188" s="129" t="n"/>
      <c r="DG188" s="129" t="n"/>
      <c r="DH188" s="129" t="n"/>
      <c r="DI188" s="129" t="n"/>
      <c r="DJ188" s="129" t="n"/>
      <c r="DK188" s="129" t="n"/>
      <c r="DL188" s="129" t="n"/>
      <c r="DM188" s="129" t="n"/>
      <c r="DN188" s="129" t="n"/>
      <c r="DO188" s="129" t="n"/>
      <c r="DP188" s="129" t="n"/>
      <c r="DQ188" s="129" t="n"/>
      <c r="DR188" s="129" t="n"/>
      <c r="DS188" s="129" t="n"/>
      <c r="DT188" s="129" t="n"/>
      <c r="DU188" s="129" t="n"/>
      <c r="DV188" s="129" t="n"/>
      <c r="DW188" s="129" t="n"/>
      <c r="DX188" s="129" t="n"/>
      <c r="DY188" s="129" t="n"/>
      <c r="DZ188" s="129" t="n"/>
      <c r="EA188" s="129" t="n"/>
      <c r="EB188" s="129" t="n"/>
      <c r="EC188" s="129" t="n"/>
      <c r="ED188" s="129" t="n"/>
      <c r="EE188" s="129" t="n"/>
      <c r="EF188" s="129" t="n"/>
      <c r="EG188" s="129" t="n"/>
      <c r="EH188" s="129" t="n"/>
      <c r="EI188" s="129" t="n"/>
      <c r="EJ188" s="129" t="n"/>
      <c r="EK188" s="129" t="n"/>
      <c r="EL188" s="129" t="n"/>
      <c r="EM188" s="129" t="n"/>
      <c r="EN188" s="129" t="n"/>
      <c r="EO188" s="129" t="n"/>
      <c r="EP188" s="129" t="n"/>
      <c r="EQ188" s="129" t="n"/>
      <c r="ER188" s="129" t="n"/>
      <c r="ES188" s="129" t="n"/>
      <c r="ET188" s="129" t="n"/>
      <c r="EU188" s="129" t="n"/>
      <c r="EV188" s="129" t="n"/>
      <c r="EW188" s="129" t="n"/>
      <c r="EX188" s="129" t="n"/>
      <c r="EY188" s="129" t="n"/>
      <c r="EZ188" s="129" t="n"/>
      <c r="FA188" s="129" t="n"/>
      <c r="FB188" s="129" t="n"/>
      <c r="FC188" s="129" t="n"/>
      <c r="FD188" s="129" t="n"/>
      <c r="FE188" s="129" t="n"/>
      <c r="FF188" s="129" t="n"/>
      <c r="FG188" s="129" t="n"/>
      <c r="FH188" s="129" t="n"/>
      <c r="FI188" s="129" t="n"/>
      <c r="FJ188" s="129" t="n"/>
      <c r="FK188" s="129" t="n"/>
      <c r="FL188" s="129" t="n"/>
      <c r="FM188" s="129" t="n"/>
    </row>
    <row r="189" s="135">
      <c r="A189" s="53" t="n">
        <v>38442</v>
      </c>
      <c r="B189" s="54" t="n">
        <v>0.151</v>
      </c>
      <c r="C189" s="29" t="n">
        <v>55.2</v>
      </c>
      <c r="D189" s="129" t="n"/>
      <c r="E189" s="129" t="n"/>
      <c r="F189" s="129" t="n"/>
      <c r="G189" s="129" t="n"/>
      <c r="H189" s="129" t="n"/>
      <c r="I189" s="129" t="n"/>
      <c r="J189" s="129" t="n"/>
      <c r="K189" s="129" t="n"/>
      <c r="L189" s="129" t="n"/>
      <c r="M189" s="129" t="n"/>
      <c r="N189" s="129" t="n"/>
      <c r="O189" s="129" t="n"/>
      <c r="P189" s="129" t="n"/>
      <c r="Q189" s="129" t="n"/>
      <c r="R189" s="129" t="n"/>
      <c r="S189" s="129" t="n"/>
      <c r="T189" s="129" t="n"/>
      <c r="U189" s="129" t="n"/>
      <c r="V189" s="129" t="n"/>
      <c r="W189" s="129" t="n"/>
      <c r="X189" s="129" t="n"/>
      <c r="Y189" s="129" t="n"/>
      <c r="Z189" s="129" t="n"/>
      <c r="AA189" s="129" t="n"/>
      <c r="AB189" s="129" t="n"/>
      <c r="AC189" s="129" t="n"/>
      <c r="AD189" s="129" t="n"/>
      <c r="AE189" s="129" t="n"/>
      <c r="AF189" s="129" t="n"/>
      <c r="AG189" s="129" t="n"/>
      <c r="AH189" s="129" t="n"/>
      <c r="AI189" s="129" t="n"/>
      <c r="AJ189" s="129" t="n"/>
      <c r="AK189" s="129" t="n"/>
      <c r="AL189" s="129" t="n"/>
      <c r="AM189" s="129" t="n"/>
      <c r="AN189" s="129" t="n"/>
      <c r="AO189" s="129" t="n"/>
      <c r="AP189" s="129" t="n"/>
      <c r="AQ189" s="129" t="n"/>
      <c r="AR189" s="129" t="n"/>
      <c r="AS189" s="129" t="n"/>
      <c r="AT189" s="129" t="n"/>
      <c r="AU189" s="129" t="n"/>
      <c r="AV189" s="129" t="n"/>
      <c r="AW189" s="129" t="n"/>
      <c r="AX189" s="129" t="n"/>
      <c r="AY189" s="129" t="n"/>
      <c r="AZ189" s="129" t="n"/>
      <c r="BA189" s="129" t="n"/>
      <c r="BB189" s="129" t="n"/>
      <c r="BC189" s="129" t="n"/>
      <c r="BD189" s="129" t="n"/>
      <c r="BE189" s="129" t="n"/>
      <c r="BF189" s="129" t="n"/>
      <c r="BG189" s="129" t="n"/>
      <c r="BH189" s="129" t="n"/>
      <c r="BI189" s="129" t="n"/>
      <c r="BJ189" s="129" t="n"/>
      <c r="BK189" s="129" t="n"/>
      <c r="BL189" s="129" t="n"/>
      <c r="BM189" s="129" t="n"/>
      <c r="BN189" s="129" t="n"/>
      <c r="BO189" s="129" t="n"/>
      <c r="BP189" s="129" t="n"/>
      <c r="BQ189" s="129" t="n"/>
      <c r="BR189" s="129" t="n"/>
      <c r="BS189" s="129" t="n"/>
      <c r="BT189" s="129" t="n"/>
      <c r="BU189" s="129" t="n"/>
      <c r="BV189" s="129" t="n"/>
      <c r="BW189" s="129" t="n"/>
      <c r="BX189" s="129" t="n"/>
      <c r="BY189" s="129" t="n"/>
      <c r="BZ189" s="129" t="n"/>
      <c r="CA189" s="129" t="n"/>
      <c r="CB189" s="129" t="n"/>
      <c r="CC189" s="129" t="n"/>
      <c r="CD189" s="129" t="n"/>
      <c r="CE189" s="129" t="n"/>
      <c r="CF189" s="129" t="n"/>
      <c r="CG189" s="129" t="n"/>
      <c r="CH189" s="129" t="n"/>
      <c r="CI189" s="129" t="n"/>
      <c r="CJ189" s="129" t="n"/>
      <c r="CK189" s="129" t="n"/>
      <c r="CL189" s="129" t="n"/>
      <c r="CM189" s="129" t="n"/>
      <c r="CN189" s="129" t="n"/>
      <c r="CO189" s="129" t="n"/>
      <c r="CP189" s="129" t="n"/>
      <c r="CQ189" s="129" t="n"/>
      <c r="CR189" s="129" t="n"/>
      <c r="CS189" s="129" t="n"/>
      <c r="CT189" s="129" t="n"/>
      <c r="CU189" s="129" t="n"/>
      <c r="CV189" s="129" t="n"/>
      <c r="CW189" s="129" t="n"/>
      <c r="CX189" s="129" t="n"/>
      <c r="CY189" s="129" t="n"/>
      <c r="CZ189" s="129" t="n"/>
      <c r="DA189" s="129" t="n"/>
      <c r="DB189" s="129" t="n"/>
      <c r="DC189" s="129" t="n"/>
      <c r="DD189" s="129" t="n"/>
      <c r="DE189" s="129" t="n"/>
      <c r="DF189" s="129" t="n"/>
      <c r="DG189" s="129" t="n"/>
      <c r="DH189" s="129" t="n"/>
      <c r="DI189" s="129" t="n"/>
      <c r="DJ189" s="129" t="n"/>
      <c r="DK189" s="129" t="n"/>
      <c r="DL189" s="129" t="n"/>
      <c r="DM189" s="129" t="n"/>
      <c r="DN189" s="129" t="n"/>
      <c r="DO189" s="129" t="n"/>
      <c r="DP189" s="129" t="n"/>
      <c r="DQ189" s="129" t="n"/>
      <c r="DR189" s="129" t="n"/>
      <c r="DS189" s="129" t="n"/>
      <c r="DT189" s="129" t="n"/>
      <c r="DU189" s="129" t="n"/>
      <c r="DV189" s="129" t="n"/>
      <c r="DW189" s="129" t="n"/>
      <c r="DX189" s="129" t="n"/>
      <c r="DY189" s="129" t="n"/>
      <c r="DZ189" s="129" t="n"/>
      <c r="EA189" s="129" t="n"/>
      <c r="EB189" s="129" t="n"/>
      <c r="EC189" s="129" t="n"/>
      <c r="ED189" s="129" t="n"/>
      <c r="EE189" s="129" t="n"/>
      <c r="EF189" s="129" t="n"/>
      <c r="EG189" s="129" t="n"/>
      <c r="EH189" s="129" t="n"/>
      <c r="EI189" s="129" t="n"/>
      <c r="EJ189" s="129" t="n"/>
      <c r="EK189" s="129" t="n"/>
      <c r="EL189" s="129" t="n"/>
      <c r="EM189" s="129" t="n"/>
      <c r="EN189" s="129" t="n"/>
      <c r="EO189" s="129" t="n"/>
      <c r="EP189" s="129" t="n"/>
      <c r="EQ189" s="129" t="n"/>
      <c r="ER189" s="129" t="n"/>
      <c r="ES189" s="129" t="n"/>
      <c r="ET189" s="129" t="n"/>
      <c r="EU189" s="129" t="n"/>
      <c r="EV189" s="129" t="n"/>
      <c r="EW189" s="129" t="n"/>
      <c r="EX189" s="129" t="n"/>
      <c r="EY189" s="129" t="n"/>
      <c r="EZ189" s="129" t="n"/>
      <c r="FA189" s="129" t="n"/>
      <c r="FB189" s="129" t="n"/>
      <c r="FC189" s="129" t="n"/>
      <c r="FD189" s="129" t="n"/>
      <c r="FE189" s="129" t="n"/>
      <c r="FF189" s="129" t="n"/>
      <c r="FG189" s="129" t="n"/>
      <c r="FH189" s="129" t="n"/>
      <c r="FI189" s="129" t="n"/>
      <c r="FJ189" s="129" t="n"/>
      <c r="FK189" s="129" t="n"/>
      <c r="FL189" s="129" t="n"/>
      <c r="FM189" s="129" t="n"/>
    </row>
    <row r="190" s="135">
      <c r="A190" s="52" t="n">
        <v>38472</v>
      </c>
      <c r="B190" s="30" t="n">
        <v>0.16</v>
      </c>
      <c r="C190" s="29" t="n">
        <v>54.4</v>
      </c>
      <c r="D190" s="129" t="n"/>
      <c r="E190" s="129" t="n"/>
      <c r="F190" s="129" t="n"/>
      <c r="G190" s="129" t="n"/>
      <c r="H190" s="129" t="n"/>
      <c r="I190" s="129" t="n"/>
      <c r="J190" s="129" t="n"/>
      <c r="K190" s="129" t="n"/>
      <c r="L190" s="129" t="n"/>
      <c r="M190" s="129" t="n"/>
      <c r="N190" s="129" t="n"/>
      <c r="O190" s="129" t="n"/>
      <c r="P190" s="129" t="n"/>
      <c r="Q190" s="129" t="n"/>
      <c r="R190" s="129" t="n"/>
      <c r="S190" s="129" t="n"/>
      <c r="T190" s="129" t="n"/>
      <c r="U190" s="129" t="n"/>
      <c r="V190" s="129" t="n"/>
      <c r="W190" s="129" t="n"/>
      <c r="X190" s="129" t="n"/>
      <c r="Y190" s="129" t="n"/>
      <c r="Z190" s="129" t="n"/>
      <c r="AA190" s="129" t="n"/>
      <c r="AB190" s="129" t="n"/>
      <c r="AC190" s="129" t="n"/>
      <c r="AD190" s="129" t="n"/>
      <c r="AE190" s="129" t="n"/>
      <c r="AF190" s="129" t="n"/>
      <c r="AG190" s="129" t="n"/>
      <c r="AH190" s="129" t="n"/>
      <c r="AI190" s="129" t="n"/>
      <c r="AJ190" s="129" t="n"/>
      <c r="AK190" s="129" t="n"/>
      <c r="AL190" s="129" t="n"/>
      <c r="AM190" s="129" t="n"/>
      <c r="AN190" s="129" t="n"/>
      <c r="AO190" s="129" t="n"/>
      <c r="AP190" s="129" t="n"/>
      <c r="AQ190" s="129" t="n"/>
      <c r="AR190" s="129" t="n"/>
      <c r="AS190" s="129" t="n"/>
      <c r="AT190" s="129" t="n"/>
      <c r="AU190" s="129" t="n"/>
      <c r="AV190" s="129" t="n"/>
      <c r="AW190" s="129" t="n"/>
      <c r="AX190" s="129" t="n"/>
      <c r="AY190" s="129" t="n"/>
      <c r="AZ190" s="129" t="n"/>
      <c r="BA190" s="129" t="n"/>
      <c r="BB190" s="129" t="n"/>
      <c r="BC190" s="129" t="n"/>
      <c r="BD190" s="129" t="n"/>
      <c r="BE190" s="129" t="n"/>
      <c r="BF190" s="129" t="n"/>
      <c r="BG190" s="129" t="n"/>
      <c r="BH190" s="129" t="n"/>
      <c r="BI190" s="129" t="n"/>
      <c r="BJ190" s="129" t="n"/>
      <c r="BK190" s="129" t="n"/>
      <c r="BL190" s="129" t="n"/>
      <c r="BM190" s="129" t="n"/>
      <c r="BN190" s="129" t="n"/>
      <c r="BO190" s="129" t="n"/>
      <c r="BP190" s="129" t="n"/>
      <c r="BQ190" s="129" t="n"/>
      <c r="BR190" s="129" t="n"/>
      <c r="BS190" s="129" t="n"/>
      <c r="BT190" s="129" t="n"/>
      <c r="BU190" s="129" t="n"/>
      <c r="BV190" s="129" t="n"/>
      <c r="BW190" s="129" t="n"/>
      <c r="BX190" s="129" t="n"/>
      <c r="BY190" s="129" t="n"/>
      <c r="BZ190" s="129" t="n"/>
      <c r="CA190" s="129" t="n"/>
      <c r="CB190" s="129" t="n"/>
      <c r="CC190" s="129" t="n"/>
      <c r="CD190" s="129" t="n"/>
      <c r="CE190" s="129" t="n"/>
      <c r="CF190" s="129" t="n"/>
      <c r="CG190" s="129" t="n"/>
      <c r="CH190" s="129" t="n"/>
      <c r="CI190" s="129" t="n"/>
      <c r="CJ190" s="129" t="n"/>
      <c r="CK190" s="129" t="n"/>
      <c r="CL190" s="129" t="n"/>
      <c r="CM190" s="129" t="n"/>
      <c r="CN190" s="129" t="n"/>
      <c r="CO190" s="129" t="n"/>
      <c r="CP190" s="129" t="n"/>
      <c r="CQ190" s="129" t="n"/>
      <c r="CR190" s="129" t="n"/>
      <c r="CS190" s="129" t="n"/>
      <c r="CT190" s="129" t="n"/>
      <c r="CU190" s="129" t="n"/>
      <c r="CV190" s="129" t="n"/>
      <c r="CW190" s="129" t="n"/>
      <c r="CX190" s="129" t="n"/>
      <c r="CY190" s="129" t="n"/>
      <c r="CZ190" s="129" t="n"/>
      <c r="DA190" s="129" t="n"/>
      <c r="DB190" s="129" t="n"/>
      <c r="DC190" s="129" t="n"/>
      <c r="DD190" s="129" t="n"/>
      <c r="DE190" s="129" t="n"/>
      <c r="DF190" s="129" t="n"/>
      <c r="DG190" s="129" t="n"/>
      <c r="DH190" s="129" t="n"/>
      <c r="DI190" s="129" t="n"/>
      <c r="DJ190" s="129" t="n"/>
      <c r="DK190" s="129" t="n"/>
      <c r="DL190" s="129" t="n"/>
      <c r="DM190" s="129" t="n"/>
      <c r="DN190" s="129" t="n"/>
      <c r="DO190" s="129" t="n"/>
      <c r="DP190" s="129" t="n"/>
      <c r="DQ190" s="129" t="n"/>
      <c r="DR190" s="129" t="n"/>
      <c r="DS190" s="129" t="n"/>
      <c r="DT190" s="129" t="n"/>
      <c r="DU190" s="129" t="n"/>
      <c r="DV190" s="129" t="n"/>
      <c r="DW190" s="129" t="n"/>
      <c r="DX190" s="129" t="n"/>
      <c r="DY190" s="129" t="n"/>
      <c r="DZ190" s="129" t="n"/>
      <c r="EA190" s="129" t="n"/>
      <c r="EB190" s="129" t="n"/>
      <c r="EC190" s="129" t="n"/>
      <c r="ED190" s="129" t="n"/>
      <c r="EE190" s="129" t="n"/>
      <c r="EF190" s="129" t="n"/>
      <c r="EG190" s="129" t="n"/>
      <c r="EH190" s="129" t="n"/>
      <c r="EI190" s="129" t="n"/>
      <c r="EJ190" s="129" t="n"/>
      <c r="EK190" s="129" t="n"/>
      <c r="EL190" s="129" t="n"/>
      <c r="EM190" s="129" t="n"/>
      <c r="EN190" s="129" t="n"/>
      <c r="EO190" s="129" t="n"/>
      <c r="EP190" s="129" t="n"/>
      <c r="EQ190" s="129" t="n"/>
      <c r="ER190" s="129" t="n"/>
      <c r="ES190" s="129" t="n"/>
      <c r="ET190" s="129" t="n"/>
      <c r="EU190" s="129" t="n"/>
      <c r="EV190" s="129" t="n"/>
      <c r="EW190" s="129" t="n"/>
      <c r="EX190" s="129" t="n"/>
      <c r="EY190" s="129" t="n"/>
      <c r="EZ190" s="129" t="n"/>
      <c r="FA190" s="129" t="n"/>
      <c r="FB190" s="129" t="n"/>
      <c r="FC190" s="129" t="n"/>
      <c r="FD190" s="129" t="n"/>
      <c r="FE190" s="129" t="n"/>
      <c r="FF190" s="129" t="n"/>
      <c r="FG190" s="129" t="n"/>
      <c r="FH190" s="129" t="n"/>
      <c r="FI190" s="129" t="n"/>
      <c r="FJ190" s="129" t="n"/>
      <c r="FK190" s="129" t="n"/>
      <c r="FL190" s="129" t="n"/>
      <c r="FM190" s="129" t="n"/>
    </row>
    <row r="191" s="135">
      <c r="A191" s="53" t="n">
        <v>38503</v>
      </c>
      <c r="B191" s="54" t="n">
        <v>0.166</v>
      </c>
      <c r="C191" s="29" t="n">
        <v>53.3</v>
      </c>
      <c r="D191" s="129" t="n"/>
      <c r="E191" s="129" t="n"/>
      <c r="F191" s="129" t="n"/>
      <c r="G191" s="129" t="n"/>
      <c r="H191" s="129" t="n"/>
      <c r="I191" s="129" t="n"/>
      <c r="J191" s="129" t="n"/>
      <c r="K191" s="129" t="n"/>
      <c r="L191" s="129" t="n"/>
      <c r="M191" s="129" t="n"/>
      <c r="N191" s="129" t="n"/>
      <c r="O191" s="129" t="n"/>
      <c r="P191" s="129" t="n"/>
      <c r="Q191" s="129" t="n"/>
      <c r="R191" s="129" t="n"/>
      <c r="S191" s="129" t="n"/>
      <c r="T191" s="129" t="n"/>
      <c r="U191" s="129" t="n"/>
      <c r="V191" s="129" t="n"/>
      <c r="W191" s="129" t="n"/>
      <c r="X191" s="129" t="n"/>
      <c r="Y191" s="129" t="n"/>
      <c r="Z191" s="129" t="n"/>
      <c r="AA191" s="129" t="n"/>
      <c r="AB191" s="129" t="n"/>
      <c r="AC191" s="129" t="n"/>
      <c r="AD191" s="129" t="n"/>
      <c r="AE191" s="129" t="n"/>
      <c r="AF191" s="129" t="n"/>
      <c r="AG191" s="129" t="n"/>
      <c r="AH191" s="129" t="n"/>
      <c r="AI191" s="129" t="n"/>
      <c r="AJ191" s="129" t="n"/>
      <c r="AK191" s="129" t="n"/>
      <c r="AL191" s="129" t="n"/>
      <c r="AM191" s="129" t="n"/>
      <c r="AN191" s="129" t="n"/>
      <c r="AO191" s="129" t="n"/>
      <c r="AP191" s="129" t="n"/>
      <c r="AQ191" s="129" t="n"/>
      <c r="AR191" s="129" t="n"/>
      <c r="AS191" s="129" t="n"/>
      <c r="AT191" s="129" t="n"/>
      <c r="AU191" s="129" t="n"/>
      <c r="AV191" s="129" t="n"/>
      <c r="AW191" s="129" t="n"/>
      <c r="AX191" s="129" t="n"/>
      <c r="AY191" s="129" t="n"/>
      <c r="AZ191" s="129" t="n"/>
      <c r="BA191" s="129" t="n"/>
      <c r="BB191" s="129" t="n"/>
      <c r="BC191" s="129" t="n"/>
      <c r="BD191" s="129" t="n"/>
      <c r="BE191" s="129" t="n"/>
      <c r="BF191" s="129" t="n"/>
      <c r="BG191" s="129" t="n"/>
      <c r="BH191" s="129" t="n"/>
      <c r="BI191" s="129" t="n"/>
      <c r="BJ191" s="129" t="n"/>
      <c r="BK191" s="129" t="n"/>
      <c r="BL191" s="129" t="n"/>
      <c r="BM191" s="129" t="n"/>
      <c r="BN191" s="129" t="n"/>
      <c r="BO191" s="129" t="n"/>
      <c r="BP191" s="129" t="n"/>
      <c r="BQ191" s="129" t="n"/>
      <c r="BR191" s="129" t="n"/>
      <c r="BS191" s="129" t="n"/>
      <c r="BT191" s="129" t="n"/>
      <c r="BU191" s="129" t="n"/>
      <c r="BV191" s="129" t="n"/>
      <c r="BW191" s="129" t="n"/>
      <c r="BX191" s="129" t="n"/>
      <c r="BY191" s="129" t="n"/>
      <c r="BZ191" s="129" t="n"/>
      <c r="CA191" s="129" t="n"/>
      <c r="CB191" s="129" t="n"/>
      <c r="CC191" s="129" t="n"/>
      <c r="CD191" s="129" t="n"/>
      <c r="CE191" s="129" t="n"/>
      <c r="CF191" s="129" t="n"/>
      <c r="CG191" s="129" t="n"/>
      <c r="CH191" s="129" t="n"/>
      <c r="CI191" s="129" t="n"/>
      <c r="CJ191" s="129" t="n"/>
      <c r="CK191" s="129" t="n"/>
      <c r="CL191" s="129" t="n"/>
      <c r="CM191" s="129" t="n"/>
      <c r="CN191" s="129" t="n"/>
      <c r="CO191" s="129" t="n"/>
      <c r="CP191" s="129" t="n"/>
      <c r="CQ191" s="129" t="n"/>
      <c r="CR191" s="129" t="n"/>
      <c r="CS191" s="129" t="n"/>
      <c r="CT191" s="129" t="n"/>
      <c r="CU191" s="129" t="n"/>
      <c r="CV191" s="129" t="n"/>
      <c r="CW191" s="129" t="n"/>
      <c r="CX191" s="129" t="n"/>
      <c r="CY191" s="129" t="n"/>
      <c r="CZ191" s="129" t="n"/>
      <c r="DA191" s="129" t="n"/>
      <c r="DB191" s="129" t="n"/>
      <c r="DC191" s="129" t="n"/>
      <c r="DD191" s="129" t="n"/>
      <c r="DE191" s="129" t="n"/>
      <c r="DF191" s="129" t="n"/>
      <c r="DG191" s="129" t="n"/>
      <c r="DH191" s="129" t="n"/>
      <c r="DI191" s="129" t="n"/>
      <c r="DJ191" s="129" t="n"/>
      <c r="DK191" s="129" t="n"/>
      <c r="DL191" s="129" t="n"/>
      <c r="DM191" s="129" t="n"/>
      <c r="DN191" s="129" t="n"/>
      <c r="DO191" s="129" t="n"/>
      <c r="DP191" s="129" t="n"/>
      <c r="DQ191" s="129" t="n"/>
      <c r="DR191" s="129" t="n"/>
      <c r="DS191" s="129" t="n"/>
      <c r="DT191" s="129" t="n"/>
      <c r="DU191" s="129" t="n"/>
      <c r="DV191" s="129" t="n"/>
      <c r="DW191" s="129" t="n"/>
      <c r="DX191" s="129" t="n"/>
      <c r="DY191" s="129" t="n"/>
      <c r="DZ191" s="129" t="n"/>
      <c r="EA191" s="129" t="n"/>
      <c r="EB191" s="129" t="n"/>
      <c r="EC191" s="129" t="n"/>
      <c r="ED191" s="129" t="n"/>
      <c r="EE191" s="129" t="n"/>
      <c r="EF191" s="129" t="n"/>
      <c r="EG191" s="129" t="n"/>
      <c r="EH191" s="129" t="n"/>
      <c r="EI191" s="129" t="n"/>
      <c r="EJ191" s="129" t="n"/>
      <c r="EK191" s="129" t="n"/>
      <c r="EL191" s="129" t="n"/>
      <c r="EM191" s="129" t="n"/>
      <c r="EN191" s="129" t="n"/>
      <c r="EO191" s="129" t="n"/>
      <c r="EP191" s="129" t="n"/>
      <c r="EQ191" s="129" t="n"/>
      <c r="ER191" s="129" t="n"/>
      <c r="ES191" s="129" t="n"/>
      <c r="ET191" s="129" t="n"/>
      <c r="EU191" s="129" t="n"/>
      <c r="EV191" s="129" t="n"/>
      <c r="EW191" s="129" t="n"/>
      <c r="EX191" s="129" t="n"/>
      <c r="EY191" s="129" t="n"/>
      <c r="EZ191" s="129" t="n"/>
      <c r="FA191" s="129" t="n"/>
      <c r="FB191" s="129" t="n"/>
      <c r="FC191" s="129" t="n"/>
      <c r="FD191" s="129" t="n"/>
      <c r="FE191" s="129" t="n"/>
      <c r="FF191" s="129" t="n"/>
      <c r="FG191" s="129" t="n"/>
      <c r="FH191" s="129" t="n"/>
      <c r="FI191" s="129" t="n"/>
      <c r="FJ191" s="129" t="n"/>
      <c r="FK191" s="129" t="n"/>
      <c r="FL191" s="129" t="n"/>
      <c r="FM191" s="129" t="n"/>
    </row>
    <row r="192" s="135">
      <c r="A192" s="52" t="n">
        <v>38533</v>
      </c>
      <c r="B192" s="30" t="n">
        <v>0.168</v>
      </c>
      <c r="C192" s="29" t="n">
        <v>51</v>
      </c>
      <c r="D192" s="129" t="n"/>
      <c r="E192" s="129" t="n"/>
      <c r="F192" s="129" t="n"/>
      <c r="G192" s="129" t="n"/>
      <c r="H192" s="129" t="n"/>
      <c r="I192" s="129" t="n"/>
      <c r="J192" s="129" t="n"/>
      <c r="K192" s="129" t="n"/>
      <c r="L192" s="129" t="n"/>
      <c r="M192" s="129" t="n"/>
      <c r="N192" s="129" t="n"/>
      <c r="O192" s="129" t="n"/>
      <c r="P192" s="129" t="n"/>
      <c r="Q192" s="129" t="n"/>
      <c r="R192" s="129" t="n"/>
      <c r="S192" s="129" t="n"/>
      <c r="T192" s="129" t="n"/>
      <c r="U192" s="129" t="n"/>
      <c r="V192" s="129" t="n"/>
      <c r="W192" s="129" t="n"/>
      <c r="X192" s="129" t="n"/>
      <c r="Y192" s="129" t="n"/>
      <c r="Z192" s="129" t="n"/>
      <c r="AA192" s="129" t="n"/>
      <c r="AB192" s="129" t="n"/>
      <c r="AC192" s="129" t="n"/>
      <c r="AD192" s="129" t="n"/>
      <c r="AE192" s="129" t="n"/>
      <c r="AF192" s="129" t="n"/>
      <c r="AG192" s="129" t="n"/>
      <c r="AH192" s="129" t="n"/>
      <c r="AI192" s="129" t="n"/>
      <c r="AJ192" s="129" t="n"/>
      <c r="AK192" s="129" t="n"/>
      <c r="AL192" s="129" t="n"/>
      <c r="AM192" s="129" t="n"/>
      <c r="AN192" s="129" t="n"/>
      <c r="AO192" s="129" t="n"/>
      <c r="AP192" s="129" t="n"/>
      <c r="AQ192" s="129" t="n"/>
      <c r="AR192" s="129" t="n"/>
      <c r="AS192" s="129" t="n"/>
      <c r="AT192" s="129" t="n"/>
      <c r="AU192" s="129" t="n"/>
      <c r="AV192" s="129" t="n"/>
      <c r="AW192" s="129" t="n"/>
      <c r="AX192" s="129" t="n"/>
      <c r="AY192" s="129" t="n"/>
      <c r="AZ192" s="129" t="n"/>
      <c r="BA192" s="129" t="n"/>
      <c r="BB192" s="129" t="n"/>
      <c r="BC192" s="129" t="n"/>
      <c r="BD192" s="129" t="n"/>
      <c r="BE192" s="129" t="n"/>
      <c r="BF192" s="129" t="n"/>
      <c r="BG192" s="129" t="n"/>
      <c r="BH192" s="129" t="n"/>
      <c r="BI192" s="129" t="n"/>
      <c r="BJ192" s="129" t="n"/>
      <c r="BK192" s="129" t="n"/>
      <c r="BL192" s="129" t="n"/>
      <c r="BM192" s="129" t="n"/>
      <c r="BN192" s="129" t="n"/>
      <c r="BO192" s="129" t="n"/>
      <c r="BP192" s="129" t="n"/>
      <c r="BQ192" s="129" t="n"/>
      <c r="BR192" s="129" t="n"/>
      <c r="BS192" s="129" t="n"/>
      <c r="BT192" s="129" t="n"/>
      <c r="BU192" s="129" t="n"/>
      <c r="BV192" s="129" t="n"/>
      <c r="BW192" s="129" t="n"/>
      <c r="BX192" s="129" t="n"/>
      <c r="BY192" s="129" t="n"/>
      <c r="BZ192" s="129" t="n"/>
      <c r="CA192" s="129" t="n"/>
      <c r="CB192" s="129" t="n"/>
      <c r="CC192" s="129" t="n"/>
      <c r="CD192" s="129" t="n"/>
      <c r="CE192" s="129" t="n"/>
      <c r="CF192" s="129" t="n"/>
      <c r="CG192" s="129" t="n"/>
      <c r="CH192" s="129" t="n"/>
      <c r="CI192" s="129" t="n"/>
      <c r="CJ192" s="129" t="n"/>
      <c r="CK192" s="129" t="n"/>
      <c r="CL192" s="129" t="n"/>
      <c r="CM192" s="129" t="n"/>
      <c r="CN192" s="129" t="n"/>
      <c r="CO192" s="129" t="n"/>
      <c r="CP192" s="129" t="n"/>
      <c r="CQ192" s="129" t="n"/>
      <c r="CR192" s="129" t="n"/>
      <c r="CS192" s="129" t="n"/>
      <c r="CT192" s="129" t="n"/>
      <c r="CU192" s="129" t="n"/>
      <c r="CV192" s="129" t="n"/>
      <c r="CW192" s="129" t="n"/>
      <c r="CX192" s="129" t="n"/>
      <c r="CY192" s="129" t="n"/>
      <c r="CZ192" s="129" t="n"/>
      <c r="DA192" s="129" t="n"/>
      <c r="DB192" s="129" t="n"/>
      <c r="DC192" s="129" t="n"/>
      <c r="DD192" s="129" t="n"/>
      <c r="DE192" s="129" t="n"/>
      <c r="DF192" s="129" t="n"/>
      <c r="DG192" s="129" t="n"/>
      <c r="DH192" s="129" t="n"/>
      <c r="DI192" s="129" t="n"/>
      <c r="DJ192" s="129" t="n"/>
      <c r="DK192" s="129" t="n"/>
      <c r="DL192" s="129" t="n"/>
      <c r="DM192" s="129" t="n"/>
      <c r="DN192" s="129" t="n"/>
      <c r="DO192" s="129" t="n"/>
      <c r="DP192" s="129" t="n"/>
      <c r="DQ192" s="129" t="n"/>
      <c r="DR192" s="129" t="n"/>
      <c r="DS192" s="129" t="n"/>
      <c r="DT192" s="129" t="n"/>
      <c r="DU192" s="129" t="n"/>
      <c r="DV192" s="129" t="n"/>
      <c r="DW192" s="129" t="n"/>
      <c r="DX192" s="129" t="n"/>
      <c r="DY192" s="129" t="n"/>
      <c r="DZ192" s="129" t="n"/>
      <c r="EA192" s="129" t="n"/>
      <c r="EB192" s="129" t="n"/>
      <c r="EC192" s="129" t="n"/>
      <c r="ED192" s="129" t="n"/>
      <c r="EE192" s="129" t="n"/>
      <c r="EF192" s="129" t="n"/>
      <c r="EG192" s="129" t="n"/>
      <c r="EH192" s="129" t="n"/>
      <c r="EI192" s="129" t="n"/>
      <c r="EJ192" s="129" t="n"/>
      <c r="EK192" s="129" t="n"/>
      <c r="EL192" s="129" t="n"/>
      <c r="EM192" s="129" t="n"/>
      <c r="EN192" s="129" t="n"/>
      <c r="EO192" s="129" t="n"/>
      <c r="EP192" s="129" t="n"/>
      <c r="EQ192" s="129" t="n"/>
      <c r="ER192" s="129" t="n"/>
      <c r="ES192" s="129" t="n"/>
      <c r="ET192" s="129" t="n"/>
      <c r="EU192" s="129" t="n"/>
      <c r="EV192" s="129" t="n"/>
      <c r="EW192" s="129" t="n"/>
      <c r="EX192" s="129" t="n"/>
      <c r="EY192" s="129" t="n"/>
      <c r="EZ192" s="129" t="n"/>
      <c r="FA192" s="129" t="n"/>
      <c r="FB192" s="129" t="n"/>
      <c r="FC192" s="129" t="n"/>
      <c r="FD192" s="129" t="n"/>
      <c r="FE192" s="129" t="n"/>
      <c r="FF192" s="129" t="n"/>
      <c r="FG192" s="129" t="n"/>
      <c r="FH192" s="129" t="n"/>
      <c r="FI192" s="129" t="n"/>
      <c r="FJ192" s="129" t="n"/>
      <c r="FK192" s="129" t="n"/>
      <c r="FL192" s="129" t="n"/>
      <c r="FM192" s="129" t="n"/>
    </row>
    <row r="193" s="135">
      <c r="A193" s="53" t="n">
        <v>38564</v>
      </c>
      <c r="B193" s="54" t="n">
        <v>0.161</v>
      </c>
      <c r="C193" s="29" t="n">
        <v>51.5</v>
      </c>
      <c r="D193" s="129" t="n"/>
      <c r="E193" s="129" t="n"/>
      <c r="F193" s="129" t="n"/>
      <c r="G193" s="129" t="n"/>
      <c r="H193" s="129" t="n"/>
      <c r="I193" s="129" t="n"/>
      <c r="J193" s="129" t="n"/>
      <c r="K193" s="129" t="n"/>
      <c r="L193" s="129" t="n"/>
      <c r="M193" s="129" t="n"/>
      <c r="N193" s="129" t="n"/>
      <c r="O193" s="129" t="n"/>
      <c r="P193" s="129" t="n"/>
      <c r="Q193" s="129" t="n"/>
      <c r="R193" s="129" t="n"/>
      <c r="S193" s="129" t="n"/>
      <c r="T193" s="129" t="n"/>
      <c r="U193" s="129" t="n"/>
      <c r="V193" s="129" t="n"/>
      <c r="W193" s="129" t="n"/>
      <c r="X193" s="129" t="n"/>
      <c r="Y193" s="129" t="n"/>
      <c r="Z193" s="129" t="n"/>
      <c r="AA193" s="129" t="n"/>
      <c r="AB193" s="129" t="n"/>
      <c r="AC193" s="129" t="n"/>
      <c r="AD193" s="129" t="n"/>
      <c r="AE193" s="129" t="n"/>
      <c r="AF193" s="129" t="n"/>
      <c r="AG193" s="129" t="n"/>
      <c r="AH193" s="129" t="n"/>
      <c r="AI193" s="129" t="n"/>
      <c r="AJ193" s="129" t="n"/>
      <c r="AK193" s="129" t="n"/>
      <c r="AL193" s="129" t="n"/>
      <c r="AM193" s="129" t="n"/>
      <c r="AN193" s="129" t="n"/>
      <c r="AO193" s="129" t="n"/>
      <c r="AP193" s="129" t="n"/>
      <c r="AQ193" s="129" t="n"/>
      <c r="AR193" s="129" t="n"/>
      <c r="AS193" s="129" t="n"/>
      <c r="AT193" s="129" t="n"/>
      <c r="AU193" s="129" t="n"/>
      <c r="AV193" s="129" t="n"/>
      <c r="AW193" s="129" t="n"/>
      <c r="AX193" s="129" t="n"/>
      <c r="AY193" s="129" t="n"/>
      <c r="AZ193" s="129" t="n"/>
      <c r="BA193" s="129" t="n"/>
      <c r="BB193" s="129" t="n"/>
      <c r="BC193" s="129" t="n"/>
      <c r="BD193" s="129" t="n"/>
      <c r="BE193" s="129" t="n"/>
      <c r="BF193" s="129" t="n"/>
      <c r="BG193" s="129" t="n"/>
      <c r="BH193" s="129" t="n"/>
      <c r="BI193" s="129" t="n"/>
      <c r="BJ193" s="129" t="n"/>
      <c r="BK193" s="129" t="n"/>
      <c r="BL193" s="129" t="n"/>
      <c r="BM193" s="129" t="n"/>
      <c r="BN193" s="129" t="n"/>
      <c r="BO193" s="129" t="n"/>
      <c r="BP193" s="129" t="n"/>
      <c r="BQ193" s="129" t="n"/>
      <c r="BR193" s="129" t="n"/>
      <c r="BS193" s="129" t="n"/>
      <c r="BT193" s="129" t="n"/>
      <c r="BU193" s="129" t="n"/>
      <c r="BV193" s="129" t="n"/>
      <c r="BW193" s="129" t="n"/>
      <c r="BX193" s="129" t="n"/>
      <c r="BY193" s="129" t="n"/>
      <c r="BZ193" s="129" t="n"/>
      <c r="CA193" s="129" t="n"/>
      <c r="CB193" s="129" t="n"/>
      <c r="CC193" s="129" t="n"/>
      <c r="CD193" s="129" t="n"/>
      <c r="CE193" s="129" t="n"/>
      <c r="CF193" s="129" t="n"/>
      <c r="CG193" s="129" t="n"/>
      <c r="CH193" s="129" t="n"/>
      <c r="CI193" s="129" t="n"/>
      <c r="CJ193" s="129" t="n"/>
      <c r="CK193" s="129" t="n"/>
      <c r="CL193" s="129" t="n"/>
      <c r="CM193" s="129" t="n"/>
      <c r="CN193" s="129" t="n"/>
      <c r="CO193" s="129" t="n"/>
      <c r="CP193" s="129" t="n"/>
      <c r="CQ193" s="129" t="n"/>
      <c r="CR193" s="129" t="n"/>
      <c r="CS193" s="129" t="n"/>
      <c r="CT193" s="129" t="n"/>
      <c r="CU193" s="129" t="n"/>
      <c r="CV193" s="129" t="n"/>
      <c r="CW193" s="129" t="n"/>
      <c r="CX193" s="129" t="n"/>
      <c r="CY193" s="129" t="n"/>
      <c r="CZ193" s="129" t="n"/>
      <c r="DA193" s="129" t="n"/>
      <c r="DB193" s="129" t="n"/>
      <c r="DC193" s="129" t="n"/>
      <c r="DD193" s="129" t="n"/>
      <c r="DE193" s="129" t="n"/>
      <c r="DF193" s="129" t="n"/>
      <c r="DG193" s="129" t="n"/>
      <c r="DH193" s="129" t="n"/>
      <c r="DI193" s="129" t="n"/>
      <c r="DJ193" s="129" t="n"/>
      <c r="DK193" s="129" t="n"/>
      <c r="DL193" s="129" t="n"/>
      <c r="DM193" s="129" t="n"/>
      <c r="DN193" s="129" t="n"/>
      <c r="DO193" s="129" t="n"/>
      <c r="DP193" s="129" t="n"/>
      <c r="DQ193" s="129" t="n"/>
      <c r="DR193" s="129" t="n"/>
      <c r="DS193" s="129" t="n"/>
      <c r="DT193" s="129" t="n"/>
      <c r="DU193" s="129" t="n"/>
      <c r="DV193" s="129" t="n"/>
      <c r="DW193" s="129" t="n"/>
      <c r="DX193" s="129" t="n"/>
      <c r="DY193" s="129" t="n"/>
      <c r="DZ193" s="129" t="n"/>
      <c r="EA193" s="129" t="n"/>
      <c r="EB193" s="129" t="n"/>
      <c r="EC193" s="129" t="n"/>
      <c r="ED193" s="129" t="n"/>
      <c r="EE193" s="129" t="n"/>
      <c r="EF193" s="129" t="n"/>
      <c r="EG193" s="129" t="n"/>
      <c r="EH193" s="129" t="n"/>
      <c r="EI193" s="129" t="n"/>
      <c r="EJ193" s="129" t="n"/>
      <c r="EK193" s="129" t="n"/>
      <c r="EL193" s="129" t="n"/>
      <c r="EM193" s="129" t="n"/>
      <c r="EN193" s="129" t="n"/>
      <c r="EO193" s="129" t="n"/>
      <c r="EP193" s="129" t="n"/>
      <c r="EQ193" s="129" t="n"/>
      <c r="ER193" s="129" t="n"/>
      <c r="ES193" s="129" t="n"/>
      <c r="ET193" s="129" t="n"/>
      <c r="EU193" s="129" t="n"/>
      <c r="EV193" s="129" t="n"/>
      <c r="EW193" s="129" t="n"/>
      <c r="EX193" s="129" t="n"/>
      <c r="EY193" s="129" t="n"/>
      <c r="EZ193" s="129" t="n"/>
      <c r="FA193" s="129" t="n"/>
      <c r="FB193" s="129" t="n"/>
      <c r="FC193" s="129" t="n"/>
      <c r="FD193" s="129" t="n"/>
      <c r="FE193" s="129" t="n"/>
      <c r="FF193" s="129" t="n"/>
      <c r="FG193" s="129" t="n"/>
      <c r="FH193" s="129" t="n"/>
      <c r="FI193" s="129" t="n"/>
      <c r="FJ193" s="129" t="n"/>
      <c r="FK193" s="129" t="n"/>
      <c r="FL193" s="129" t="n"/>
      <c r="FM193" s="129" t="n"/>
    </row>
    <row r="194" s="135">
      <c r="A194" s="52" t="n">
        <v>38595</v>
      </c>
      <c r="B194" s="30" t="n">
        <v>0.16</v>
      </c>
      <c r="C194" s="29" t="n">
        <v>50.6</v>
      </c>
      <c r="D194" s="129" t="n"/>
      <c r="E194" s="129" t="n"/>
      <c r="F194" s="129" t="n"/>
      <c r="G194" s="129" t="n"/>
      <c r="H194" s="129" t="n"/>
      <c r="I194" s="129" t="n"/>
      <c r="J194" s="129" t="n"/>
      <c r="K194" s="129" t="n"/>
      <c r="L194" s="129" t="n"/>
      <c r="M194" s="129" t="n"/>
      <c r="N194" s="129" t="n"/>
      <c r="O194" s="129" t="n"/>
      <c r="P194" s="129" t="n"/>
      <c r="Q194" s="129" t="n"/>
      <c r="R194" s="129" t="n"/>
      <c r="S194" s="129" t="n"/>
      <c r="T194" s="129" t="n"/>
      <c r="U194" s="129" t="n"/>
      <c r="V194" s="129" t="n"/>
      <c r="W194" s="129" t="n"/>
      <c r="X194" s="129" t="n"/>
      <c r="Y194" s="129" t="n"/>
      <c r="Z194" s="129" t="n"/>
      <c r="AA194" s="129" t="n"/>
      <c r="AB194" s="129" t="n"/>
      <c r="AC194" s="129" t="n"/>
      <c r="AD194" s="129" t="n"/>
      <c r="AE194" s="129" t="n"/>
      <c r="AF194" s="129" t="n"/>
      <c r="AG194" s="129" t="n"/>
      <c r="AH194" s="129" t="n"/>
      <c r="AI194" s="129" t="n"/>
      <c r="AJ194" s="129" t="n"/>
      <c r="AK194" s="129" t="n"/>
      <c r="AL194" s="129" t="n"/>
      <c r="AM194" s="129" t="n"/>
      <c r="AN194" s="129" t="n"/>
      <c r="AO194" s="129" t="n"/>
      <c r="AP194" s="129" t="n"/>
      <c r="AQ194" s="129" t="n"/>
      <c r="AR194" s="129" t="n"/>
      <c r="AS194" s="129" t="n"/>
      <c r="AT194" s="129" t="n"/>
      <c r="AU194" s="129" t="n"/>
      <c r="AV194" s="129" t="n"/>
      <c r="AW194" s="129" t="n"/>
      <c r="AX194" s="129" t="n"/>
      <c r="AY194" s="129" t="n"/>
      <c r="AZ194" s="129" t="n"/>
      <c r="BA194" s="129" t="n"/>
      <c r="BB194" s="129" t="n"/>
      <c r="BC194" s="129" t="n"/>
      <c r="BD194" s="129" t="n"/>
      <c r="BE194" s="129" t="n"/>
      <c r="BF194" s="129" t="n"/>
      <c r="BG194" s="129" t="n"/>
      <c r="BH194" s="129" t="n"/>
      <c r="BI194" s="129" t="n"/>
      <c r="BJ194" s="129" t="n"/>
      <c r="BK194" s="129" t="n"/>
      <c r="BL194" s="129" t="n"/>
      <c r="BM194" s="129" t="n"/>
      <c r="BN194" s="129" t="n"/>
      <c r="BO194" s="129" t="n"/>
      <c r="BP194" s="129" t="n"/>
      <c r="BQ194" s="129" t="n"/>
      <c r="BR194" s="129" t="n"/>
      <c r="BS194" s="129" t="n"/>
      <c r="BT194" s="129" t="n"/>
      <c r="BU194" s="129" t="n"/>
      <c r="BV194" s="129" t="n"/>
      <c r="BW194" s="129" t="n"/>
      <c r="BX194" s="129" t="n"/>
      <c r="BY194" s="129" t="n"/>
      <c r="BZ194" s="129" t="n"/>
      <c r="CA194" s="129" t="n"/>
      <c r="CB194" s="129" t="n"/>
      <c r="CC194" s="129" t="n"/>
      <c r="CD194" s="129" t="n"/>
      <c r="CE194" s="129" t="n"/>
      <c r="CF194" s="129" t="n"/>
      <c r="CG194" s="129" t="n"/>
      <c r="CH194" s="129" t="n"/>
      <c r="CI194" s="129" t="n"/>
      <c r="CJ194" s="129" t="n"/>
      <c r="CK194" s="129" t="n"/>
      <c r="CL194" s="129" t="n"/>
      <c r="CM194" s="129" t="n"/>
      <c r="CN194" s="129" t="n"/>
      <c r="CO194" s="129" t="n"/>
      <c r="CP194" s="129" t="n"/>
      <c r="CQ194" s="129" t="n"/>
      <c r="CR194" s="129" t="n"/>
      <c r="CS194" s="129" t="n"/>
      <c r="CT194" s="129" t="n"/>
      <c r="CU194" s="129" t="n"/>
      <c r="CV194" s="129" t="n"/>
      <c r="CW194" s="129" t="n"/>
      <c r="CX194" s="129" t="n"/>
      <c r="CY194" s="129" t="n"/>
      <c r="CZ194" s="129" t="n"/>
      <c r="DA194" s="129" t="n"/>
      <c r="DB194" s="129" t="n"/>
      <c r="DC194" s="129" t="n"/>
      <c r="DD194" s="129" t="n"/>
      <c r="DE194" s="129" t="n"/>
      <c r="DF194" s="129" t="n"/>
      <c r="DG194" s="129" t="n"/>
      <c r="DH194" s="129" t="n"/>
      <c r="DI194" s="129" t="n"/>
      <c r="DJ194" s="129" t="n"/>
      <c r="DK194" s="129" t="n"/>
      <c r="DL194" s="129" t="n"/>
      <c r="DM194" s="129" t="n"/>
      <c r="DN194" s="129" t="n"/>
      <c r="DO194" s="129" t="n"/>
      <c r="DP194" s="129" t="n"/>
      <c r="DQ194" s="129" t="n"/>
      <c r="DR194" s="129" t="n"/>
      <c r="DS194" s="129" t="n"/>
      <c r="DT194" s="129" t="n"/>
      <c r="DU194" s="129" t="n"/>
      <c r="DV194" s="129" t="n"/>
      <c r="DW194" s="129" t="n"/>
      <c r="DX194" s="129" t="n"/>
      <c r="DY194" s="129" t="n"/>
      <c r="DZ194" s="129" t="n"/>
      <c r="EA194" s="129" t="n"/>
      <c r="EB194" s="129" t="n"/>
      <c r="EC194" s="129" t="n"/>
      <c r="ED194" s="129" t="n"/>
      <c r="EE194" s="129" t="n"/>
      <c r="EF194" s="129" t="n"/>
      <c r="EG194" s="129" t="n"/>
      <c r="EH194" s="129" t="n"/>
      <c r="EI194" s="129" t="n"/>
      <c r="EJ194" s="129" t="n"/>
      <c r="EK194" s="129" t="n"/>
      <c r="EL194" s="129" t="n"/>
      <c r="EM194" s="129" t="n"/>
      <c r="EN194" s="129" t="n"/>
      <c r="EO194" s="129" t="n"/>
      <c r="EP194" s="129" t="n"/>
      <c r="EQ194" s="129" t="n"/>
      <c r="ER194" s="129" t="n"/>
      <c r="ES194" s="129" t="n"/>
      <c r="ET194" s="129" t="n"/>
      <c r="EU194" s="129" t="n"/>
      <c r="EV194" s="129" t="n"/>
      <c r="EW194" s="129" t="n"/>
      <c r="EX194" s="129" t="n"/>
      <c r="EY194" s="129" t="n"/>
      <c r="EZ194" s="129" t="n"/>
      <c r="FA194" s="129" t="n"/>
      <c r="FB194" s="129" t="n"/>
      <c r="FC194" s="129" t="n"/>
      <c r="FD194" s="129" t="n"/>
      <c r="FE194" s="129" t="n"/>
      <c r="FF194" s="129" t="n"/>
      <c r="FG194" s="129" t="n"/>
      <c r="FH194" s="129" t="n"/>
      <c r="FI194" s="129" t="n"/>
      <c r="FJ194" s="129" t="n"/>
      <c r="FK194" s="129" t="n"/>
      <c r="FL194" s="129" t="n"/>
      <c r="FM194" s="129" t="n"/>
    </row>
    <row r="195" s="135">
      <c r="A195" s="53" t="n">
        <v>38625</v>
      </c>
      <c r="B195" s="54" t="n">
        <v>0.165</v>
      </c>
      <c r="C195" s="29" t="n">
        <v>50.9</v>
      </c>
      <c r="D195" s="129" t="n"/>
      <c r="E195" s="129" t="n"/>
      <c r="F195" s="129" t="n"/>
      <c r="G195" s="129" t="n"/>
      <c r="H195" s="129" t="n"/>
      <c r="I195" s="129" t="n"/>
      <c r="J195" s="129" t="n"/>
      <c r="K195" s="129" t="n"/>
      <c r="L195" s="129" t="n"/>
      <c r="M195" s="129" t="n"/>
      <c r="N195" s="129" t="n"/>
      <c r="O195" s="129" t="n"/>
      <c r="P195" s="129" t="n"/>
      <c r="Q195" s="129" t="n"/>
      <c r="R195" s="129" t="n"/>
      <c r="S195" s="129" t="n"/>
      <c r="T195" s="129" t="n"/>
      <c r="U195" s="129" t="n"/>
      <c r="V195" s="129" t="n"/>
      <c r="W195" s="129" t="n"/>
      <c r="X195" s="129" t="n"/>
      <c r="Y195" s="129" t="n"/>
      <c r="Z195" s="129" t="n"/>
      <c r="AA195" s="129" t="n"/>
      <c r="AB195" s="129" t="n"/>
      <c r="AC195" s="129" t="n"/>
      <c r="AD195" s="129" t="n"/>
      <c r="AE195" s="129" t="n"/>
      <c r="AF195" s="129" t="n"/>
      <c r="AG195" s="129" t="n"/>
      <c r="AH195" s="129" t="n"/>
      <c r="AI195" s="129" t="n"/>
      <c r="AJ195" s="129" t="n"/>
      <c r="AK195" s="129" t="n"/>
      <c r="AL195" s="129" t="n"/>
      <c r="AM195" s="129" t="n"/>
      <c r="AN195" s="129" t="n"/>
      <c r="AO195" s="129" t="n"/>
      <c r="AP195" s="129" t="n"/>
      <c r="AQ195" s="129" t="n"/>
      <c r="AR195" s="129" t="n"/>
      <c r="AS195" s="129" t="n"/>
      <c r="AT195" s="129" t="n"/>
      <c r="AU195" s="129" t="n"/>
      <c r="AV195" s="129" t="n"/>
      <c r="AW195" s="129" t="n"/>
      <c r="AX195" s="129" t="n"/>
      <c r="AY195" s="129" t="n"/>
      <c r="AZ195" s="129" t="n"/>
      <c r="BA195" s="129" t="n"/>
      <c r="BB195" s="129" t="n"/>
      <c r="BC195" s="129" t="n"/>
      <c r="BD195" s="129" t="n"/>
      <c r="BE195" s="129" t="n"/>
      <c r="BF195" s="129" t="n"/>
      <c r="BG195" s="129" t="n"/>
      <c r="BH195" s="129" t="n"/>
      <c r="BI195" s="129" t="n"/>
      <c r="BJ195" s="129" t="n"/>
      <c r="BK195" s="129" t="n"/>
      <c r="BL195" s="129" t="n"/>
      <c r="BM195" s="129" t="n"/>
      <c r="BN195" s="129" t="n"/>
      <c r="BO195" s="129" t="n"/>
      <c r="BP195" s="129" t="n"/>
      <c r="BQ195" s="129" t="n"/>
      <c r="BR195" s="129" t="n"/>
      <c r="BS195" s="129" t="n"/>
      <c r="BT195" s="129" t="n"/>
      <c r="BU195" s="129" t="n"/>
      <c r="BV195" s="129" t="n"/>
      <c r="BW195" s="129" t="n"/>
      <c r="BX195" s="129" t="n"/>
      <c r="BY195" s="129" t="n"/>
      <c r="BZ195" s="129" t="n"/>
      <c r="CA195" s="129" t="n"/>
      <c r="CB195" s="129" t="n"/>
      <c r="CC195" s="129" t="n"/>
      <c r="CD195" s="129" t="n"/>
      <c r="CE195" s="129" t="n"/>
      <c r="CF195" s="129" t="n"/>
      <c r="CG195" s="129" t="n"/>
      <c r="CH195" s="129" t="n"/>
      <c r="CI195" s="129" t="n"/>
      <c r="CJ195" s="129" t="n"/>
      <c r="CK195" s="129" t="n"/>
      <c r="CL195" s="129" t="n"/>
      <c r="CM195" s="129" t="n"/>
      <c r="CN195" s="129" t="n"/>
      <c r="CO195" s="129" t="n"/>
      <c r="CP195" s="129" t="n"/>
      <c r="CQ195" s="129" t="n"/>
      <c r="CR195" s="129" t="n"/>
      <c r="CS195" s="129" t="n"/>
      <c r="CT195" s="129" t="n"/>
      <c r="CU195" s="129" t="n"/>
      <c r="CV195" s="129" t="n"/>
      <c r="CW195" s="129" t="n"/>
      <c r="CX195" s="129" t="n"/>
      <c r="CY195" s="129" t="n"/>
      <c r="CZ195" s="129" t="n"/>
      <c r="DA195" s="129" t="n"/>
      <c r="DB195" s="129" t="n"/>
      <c r="DC195" s="129" t="n"/>
      <c r="DD195" s="129" t="n"/>
      <c r="DE195" s="129" t="n"/>
      <c r="DF195" s="129" t="n"/>
      <c r="DG195" s="129" t="n"/>
      <c r="DH195" s="129" t="n"/>
      <c r="DI195" s="129" t="n"/>
      <c r="DJ195" s="129" t="n"/>
      <c r="DK195" s="129" t="n"/>
      <c r="DL195" s="129" t="n"/>
      <c r="DM195" s="129" t="n"/>
      <c r="DN195" s="129" t="n"/>
      <c r="DO195" s="129" t="n"/>
      <c r="DP195" s="129" t="n"/>
      <c r="DQ195" s="129" t="n"/>
      <c r="DR195" s="129" t="n"/>
      <c r="DS195" s="129" t="n"/>
      <c r="DT195" s="129" t="n"/>
      <c r="DU195" s="129" t="n"/>
      <c r="DV195" s="129" t="n"/>
      <c r="DW195" s="129" t="n"/>
      <c r="DX195" s="129" t="n"/>
      <c r="DY195" s="129" t="n"/>
      <c r="DZ195" s="129" t="n"/>
      <c r="EA195" s="129" t="n"/>
      <c r="EB195" s="129" t="n"/>
      <c r="EC195" s="129" t="n"/>
      <c r="ED195" s="129" t="n"/>
      <c r="EE195" s="129" t="n"/>
      <c r="EF195" s="129" t="n"/>
      <c r="EG195" s="129" t="n"/>
      <c r="EH195" s="129" t="n"/>
      <c r="EI195" s="129" t="n"/>
      <c r="EJ195" s="129" t="n"/>
      <c r="EK195" s="129" t="n"/>
      <c r="EL195" s="129" t="n"/>
      <c r="EM195" s="129" t="n"/>
      <c r="EN195" s="129" t="n"/>
      <c r="EO195" s="129" t="n"/>
      <c r="EP195" s="129" t="n"/>
      <c r="EQ195" s="129" t="n"/>
      <c r="ER195" s="129" t="n"/>
      <c r="ES195" s="129" t="n"/>
      <c r="ET195" s="129" t="n"/>
      <c r="EU195" s="129" t="n"/>
      <c r="EV195" s="129" t="n"/>
      <c r="EW195" s="129" t="n"/>
      <c r="EX195" s="129" t="n"/>
      <c r="EY195" s="129" t="n"/>
      <c r="EZ195" s="129" t="n"/>
      <c r="FA195" s="129" t="n"/>
      <c r="FB195" s="129" t="n"/>
      <c r="FC195" s="129" t="n"/>
      <c r="FD195" s="129" t="n"/>
      <c r="FE195" s="129" t="n"/>
      <c r="FF195" s="129" t="n"/>
      <c r="FG195" s="129" t="n"/>
      <c r="FH195" s="129" t="n"/>
      <c r="FI195" s="129" t="n"/>
      <c r="FJ195" s="129" t="n"/>
      <c r="FK195" s="129" t="n"/>
      <c r="FL195" s="129" t="n"/>
      <c r="FM195" s="129" t="n"/>
    </row>
    <row r="196" s="135">
      <c r="A196" s="52" t="n">
        <v>38656</v>
      </c>
      <c r="B196" s="30" t="n">
        <v>0.161</v>
      </c>
      <c r="C196" s="29" t="n">
        <v>50.1</v>
      </c>
      <c r="D196" s="129" t="n"/>
      <c r="E196" s="129" t="n"/>
      <c r="F196" s="129" t="n"/>
      <c r="G196" s="129" t="n"/>
      <c r="H196" s="129" t="n"/>
      <c r="I196" s="129" t="n"/>
      <c r="J196" s="129" t="n"/>
      <c r="K196" s="129" t="n"/>
      <c r="L196" s="129" t="n"/>
      <c r="M196" s="129" t="n"/>
      <c r="N196" s="129" t="n"/>
      <c r="O196" s="129" t="n"/>
      <c r="P196" s="129" t="n"/>
      <c r="Q196" s="129" t="n"/>
      <c r="R196" s="129" t="n"/>
      <c r="S196" s="129" t="n"/>
      <c r="T196" s="129" t="n"/>
      <c r="U196" s="129" t="n"/>
      <c r="V196" s="129" t="n"/>
      <c r="W196" s="129" t="n"/>
      <c r="X196" s="129" t="n"/>
      <c r="Y196" s="129" t="n"/>
      <c r="Z196" s="129" t="n"/>
      <c r="AA196" s="129" t="n"/>
      <c r="AB196" s="129" t="n"/>
      <c r="AC196" s="129" t="n"/>
      <c r="AD196" s="129" t="n"/>
      <c r="AE196" s="129" t="n"/>
      <c r="AF196" s="129" t="n"/>
      <c r="AG196" s="129" t="n"/>
      <c r="AH196" s="129" t="n"/>
      <c r="AI196" s="129" t="n"/>
      <c r="AJ196" s="129" t="n"/>
      <c r="AK196" s="129" t="n"/>
      <c r="AL196" s="129" t="n"/>
      <c r="AM196" s="129" t="n"/>
      <c r="AN196" s="129" t="n"/>
      <c r="AO196" s="129" t="n"/>
      <c r="AP196" s="129" t="n"/>
      <c r="AQ196" s="129" t="n"/>
      <c r="AR196" s="129" t="n"/>
      <c r="AS196" s="129" t="n"/>
      <c r="AT196" s="129" t="n"/>
      <c r="AU196" s="129" t="n"/>
      <c r="AV196" s="129" t="n"/>
      <c r="AW196" s="129" t="n"/>
      <c r="AX196" s="129" t="n"/>
      <c r="AY196" s="129" t="n"/>
      <c r="AZ196" s="129" t="n"/>
      <c r="BA196" s="129" t="n"/>
      <c r="BB196" s="129" t="n"/>
      <c r="BC196" s="129" t="n"/>
      <c r="BD196" s="129" t="n"/>
      <c r="BE196" s="129" t="n"/>
      <c r="BF196" s="129" t="n"/>
      <c r="BG196" s="129" t="n"/>
      <c r="BH196" s="129" t="n"/>
      <c r="BI196" s="129" t="n"/>
      <c r="BJ196" s="129" t="n"/>
      <c r="BK196" s="129" t="n"/>
      <c r="BL196" s="129" t="n"/>
      <c r="BM196" s="129" t="n"/>
      <c r="BN196" s="129" t="n"/>
      <c r="BO196" s="129" t="n"/>
      <c r="BP196" s="129" t="n"/>
      <c r="BQ196" s="129" t="n"/>
      <c r="BR196" s="129" t="n"/>
      <c r="BS196" s="129" t="n"/>
      <c r="BT196" s="129" t="n"/>
      <c r="BU196" s="129" t="n"/>
      <c r="BV196" s="129" t="n"/>
      <c r="BW196" s="129" t="n"/>
      <c r="BX196" s="129" t="n"/>
      <c r="BY196" s="129" t="n"/>
      <c r="BZ196" s="129" t="n"/>
      <c r="CA196" s="129" t="n"/>
      <c r="CB196" s="129" t="n"/>
      <c r="CC196" s="129" t="n"/>
      <c r="CD196" s="129" t="n"/>
      <c r="CE196" s="129" t="n"/>
      <c r="CF196" s="129" t="n"/>
      <c r="CG196" s="129" t="n"/>
      <c r="CH196" s="129" t="n"/>
      <c r="CI196" s="129" t="n"/>
      <c r="CJ196" s="129" t="n"/>
      <c r="CK196" s="129" t="n"/>
      <c r="CL196" s="129" t="n"/>
      <c r="CM196" s="129" t="n"/>
      <c r="CN196" s="129" t="n"/>
      <c r="CO196" s="129" t="n"/>
      <c r="CP196" s="129" t="n"/>
      <c r="CQ196" s="129" t="n"/>
      <c r="CR196" s="129" t="n"/>
      <c r="CS196" s="129" t="n"/>
      <c r="CT196" s="129" t="n"/>
      <c r="CU196" s="129" t="n"/>
      <c r="CV196" s="129" t="n"/>
      <c r="CW196" s="129" t="n"/>
      <c r="CX196" s="129" t="n"/>
      <c r="CY196" s="129" t="n"/>
      <c r="CZ196" s="129" t="n"/>
      <c r="DA196" s="129" t="n"/>
      <c r="DB196" s="129" t="n"/>
      <c r="DC196" s="129" t="n"/>
      <c r="DD196" s="129" t="n"/>
      <c r="DE196" s="129" t="n"/>
      <c r="DF196" s="129" t="n"/>
      <c r="DG196" s="129" t="n"/>
      <c r="DH196" s="129" t="n"/>
      <c r="DI196" s="129" t="n"/>
      <c r="DJ196" s="129" t="n"/>
      <c r="DK196" s="129" t="n"/>
      <c r="DL196" s="129" t="n"/>
      <c r="DM196" s="129" t="n"/>
      <c r="DN196" s="129" t="n"/>
      <c r="DO196" s="129" t="n"/>
      <c r="DP196" s="129" t="n"/>
      <c r="DQ196" s="129" t="n"/>
      <c r="DR196" s="129" t="n"/>
      <c r="DS196" s="129" t="n"/>
      <c r="DT196" s="129" t="n"/>
      <c r="DU196" s="129" t="n"/>
      <c r="DV196" s="129" t="n"/>
      <c r="DW196" s="129" t="n"/>
      <c r="DX196" s="129" t="n"/>
      <c r="DY196" s="129" t="n"/>
      <c r="DZ196" s="129" t="n"/>
      <c r="EA196" s="129" t="n"/>
      <c r="EB196" s="129" t="n"/>
      <c r="EC196" s="129" t="n"/>
      <c r="ED196" s="129" t="n"/>
      <c r="EE196" s="129" t="n"/>
      <c r="EF196" s="129" t="n"/>
      <c r="EG196" s="129" t="n"/>
      <c r="EH196" s="129" t="n"/>
      <c r="EI196" s="129" t="n"/>
      <c r="EJ196" s="129" t="n"/>
      <c r="EK196" s="129" t="n"/>
      <c r="EL196" s="129" t="n"/>
      <c r="EM196" s="129" t="n"/>
      <c r="EN196" s="129" t="n"/>
      <c r="EO196" s="129" t="n"/>
      <c r="EP196" s="129" t="n"/>
      <c r="EQ196" s="129" t="n"/>
      <c r="ER196" s="129" t="n"/>
      <c r="ES196" s="129" t="n"/>
      <c r="ET196" s="129" t="n"/>
      <c r="EU196" s="129" t="n"/>
      <c r="EV196" s="129" t="n"/>
      <c r="EW196" s="129" t="n"/>
      <c r="EX196" s="129" t="n"/>
      <c r="EY196" s="129" t="n"/>
      <c r="EZ196" s="129" t="n"/>
      <c r="FA196" s="129" t="n"/>
      <c r="FB196" s="129" t="n"/>
      <c r="FC196" s="129" t="n"/>
      <c r="FD196" s="129" t="n"/>
      <c r="FE196" s="129" t="n"/>
      <c r="FF196" s="129" t="n"/>
      <c r="FG196" s="129" t="n"/>
      <c r="FH196" s="129" t="n"/>
      <c r="FI196" s="129" t="n"/>
      <c r="FJ196" s="129" t="n"/>
      <c r="FK196" s="129" t="n"/>
      <c r="FL196" s="129" t="n"/>
      <c r="FM196" s="129" t="n"/>
    </row>
    <row r="197" s="135">
      <c r="A197" s="53" t="n">
        <v>38686</v>
      </c>
      <c r="B197" s="54" t="n">
        <v>0.166</v>
      </c>
      <c r="C197" s="29" t="n">
        <v>49.8</v>
      </c>
      <c r="D197" s="129" t="n"/>
      <c r="E197" s="129" t="n"/>
      <c r="F197" s="129" t="n"/>
      <c r="G197" s="129" t="n"/>
      <c r="H197" s="129" t="n"/>
      <c r="I197" s="129" t="n"/>
      <c r="J197" s="129" t="n"/>
      <c r="K197" s="129" t="n"/>
      <c r="L197" s="129" t="n"/>
      <c r="M197" s="129" t="n"/>
      <c r="N197" s="129" t="n"/>
      <c r="O197" s="129" t="n"/>
      <c r="P197" s="129" t="n"/>
      <c r="Q197" s="129" t="n"/>
      <c r="R197" s="129" t="n"/>
      <c r="S197" s="129" t="n"/>
      <c r="T197" s="129" t="n"/>
      <c r="U197" s="129" t="n"/>
      <c r="V197" s="129" t="n"/>
      <c r="W197" s="129" t="n"/>
      <c r="X197" s="129" t="n"/>
      <c r="Y197" s="129" t="n"/>
      <c r="Z197" s="129" t="n"/>
      <c r="AA197" s="129" t="n"/>
      <c r="AB197" s="129" t="n"/>
      <c r="AC197" s="129" t="n"/>
      <c r="AD197" s="129" t="n"/>
      <c r="AE197" s="129" t="n"/>
      <c r="AF197" s="129" t="n"/>
      <c r="AG197" s="129" t="n"/>
      <c r="AH197" s="129" t="n"/>
      <c r="AI197" s="129" t="n"/>
      <c r="AJ197" s="129" t="n"/>
      <c r="AK197" s="129" t="n"/>
      <c r="AL197" s="129" t="n"/>
      <c r="AM197" s="129" t="n"/>
      <c r="AN197" s="129" t="n"/>
      <c r="AO197" s="129" t="n"/>
      <c r="AP197" s="129" t="n"/>
      <c r="AQ197" s="129" t="n"/>
      <c r="AR197" s="129" t="n"/>
      <c r="AS197" s="129" t="n"/>
      <c r="AT197" s="129" t="n"/>
      <c r="AU197" s="129" t="n"/>
      <c r="AV197" s="129" t="n"/>
      <c r="AW197" s="129" t="n"/>
      <c r="AX197" s="129" t="n"/>
      <c r="AY197" s="129" t="n"/>
      <c r="AZ197" s="129" t="n"/>
      <c r="BA197" s="129" t="n"/>
      <c r="BB197" s="129" t="n"/>
      <c r="BC197" s="129" t="n"/>
      <c r="BD197" s="129" t="n"/>
      <c r="BE197" s="129" t="n"/>
      <c r="BF197" s="129" t="n"/>
      <c r="BG197" s="129" t="n"/>
      <c r="BH197" s="129" t="n"/>
      <c r="BI197" s="129" t="n"/>
      <c r="BJ197" s="129" t="n"/>
      <c r="BK197" s="129" t="n"/>
      <c r="BL197" s="129" t="n"/>
      <c r="BM197" s="129" t="n"/>
      <c r="BN197" s="129" t="n"/>
      <c r="BO197" s="129" t="n"/>
      <c r="BP197" s="129" t="n"/>
      <c r="BQ197" s="129" t="n"/>
      <c r="BR197" s="129" t="n"/>
      <c r="BS197" s="129" t="n"/>
      <c r="BT197" s="129" t="n"/>
      <c r="BU197" s="129" t="n"/>
      <c r="BV197" s="129" t="n"/>
      <c r="BW197" s="129" t="n"/>
      <c r="BX197" s="129" t="n"/>
      <c r="BY197" s="129" t="n"/>
      <c r="BZ197" s="129" t="n"/>
      <c r="CA197" s="129" t="n"/>
      <c r="CB197" s="129" t="n"/>
      <c r="CC197" s="129" t="n"/>
      <c r="CD197" s="129" t="n"/>
      <c r="CE197" s="129" t="n"/>
      <c r="CF197" s="129" t="n"/>
      <c r="CG197" s="129" t="n"/>
      <c r="CH197" s="129" t="n"/>
      <c r="CI197" s="129" t="n"/>
      <c r="CJ197" s="129" t="n"/>
      <c r="CK197" s="129" t="n"/>
      <c r="CL197" s="129" t="n"/>
      <c r="CM197" s="129" t="n"/>
      <c r="CN197" s="129" t="n"/>
      <c r="CO197" s="129" t="n"/>
      <c r="CP197" s="129" t="n"/>
      <c r="CQ197" s="129" t="n"/>
      <c r="CR197" s="129" t="n"/>
      <c r="CS197" s="129" t="n"/>
      <c r="CT197" s="129" t="n"/>
      <c r="CU197" s="129" t="n"/>
      <c r="CV197" s="129" t="n"/>
      <c r="CW197" s="129" t="n"/>
      <c r="CX197" s="129" t="n"/>
      <c r="CY197" s="129" t="n"/>
      <c r="CZ197" s="129" t="n"/>
      <c r="DA197" s="129" t="n"/>
      <c r="DB197" s="129" t="n"/>
      <c r="DC197" s="129" t="n"/>
      <c r="DD197" s="129" t="n"/>
      <c r="DE197" s="129" t="n"/>
      <c r="DF197" s="129" t="n"/>
      <c r="DG197" s="129" t="n"/>
      <c r="DH197" s="129" t="n"/>
      <c r="DI197" s="129" t="n"/>
      <c r="DJ197" s="129" t="n"/>
      <c r="DK197" s="129" t="n"/>
      <c r="DL197" s="129" t="n"/>
      <c r="DM197" s="129" t="n"/>
      <c r="DN197" s="129" t="n"/>
      <c r="DO197" s="129" t="n"/>
      <c r="DP197" s="129" t="n"/>
      <c r="DQ197" s="129" t="n"/>
      <c r="DR197" s="129" t="n"/>
      <c r="DS197" s="129" t="n"/>
      <c r="DT197" s="129" t="n"/>
      <c r="DU197" s="129" t="n"/>
      <c r="DV197" s="129" t="n"/>
      <c r="DW197" s="129" t="n"/>
      <c r="DX197" s="129" t="n"/>
      <c r="DY197" s="129" t="n"/>
      <c r="DZ197" s="129" t="n"/>
      <c r="EA197" s="129" t="n"/>
      <c r="EB197" s="129" t="n"/>
      <c r="EC197" s="129" t="n"/>
      <c r="ED197" s="129" t="n"/>
      <c r="EE197" s="129" t="n"/>
      <c r="EF197" s="129" t="n"/>
      <c r="EG197" s="129" t="n"/>
      <c r="EH197" s="129" t="n"/>
      <c r="EI197" s="129" t="n"/>
      <c r="EJ197" s="129" t="n"/>
      <c r="EK197" s="129" t="n"/>
      <c r="EL197" s="129" t="n"/>
      <c r="EM197" s="129" t="n"/>
      <c r="EN197" s="129" t="n"/>
      <c r="EO197" s="129" t="n"/>
      <c r="EP197" s="129" t="n"/>
      <c r="EQ197" s="129" t="n"/>
      <c r="ER197" s="129" t="n"/>
      <c r="ES197" s="129" t="n"/>
      <c r="ET197" s="129" t="n"/>
      <c r="EU197" s="129" t="n"/>
      <c r="EV197" s="129" t="n"/>
      <c r="EW197" s="129" t="n"/>
      <c r="EX197" s="129" t="n"/>
      <c r="EY197" s="129" t="n"/>
      <c r="EZ197" s="129" t="n"/>
      <c r="FA197" s="129" t="n"/>
      <c r="FB197" s="129" t="n"/>
      <c r="FC197" s="129" t="n"/>
      <c r="FD197" s="129" t="n"/>
      <c r="FE197" s="129" t="n"/>
      <c r="FF197" s="129" t="n"/>
      <c r="FG197" s="129" t="n"/>
      <c r="FH197" s="129" t="n"/>
      <c r="FI197" s="129" t="n"/>
      <c r="FJ197" s="129" t="n"/>
      <c r="FK197" s="129" t="n"/>
      <c r="FL197" s="129" t="n"/>
      <c r="FM197" s="129" t="n"/>
    </row>
    <row r="198" s="135">
      <c r="A198" s="52" t="n">
        <v>38717</v>
      </c>
      <c r="B198" s="30" t="n">
        <v>0.165</v>
      </c>
      <c r="C198" s="29" t="n">
        <v>50.1</v>
      </c>
      <c r="D198" s="129" t="n"/>
      <c r="E198" s="129" t="n"/>
      <c r="F198" s="129" t="n"/>
      <c r="G198" s="129" t="n"/>
      <c r="H198" s="129" t="n"/>
      <c r="I198" s="129" t="n"/>
      <c r="J198" s="129" t="n"/>
      <c r="K198" s="129" t="n"/>
      <c r="L198" s="129" t="n"/>
      <c r="M198" s="129" t="n"/>
      <c r="N198" s="129" t="n"/>
      <c r="O198" s="129" t="n"/>
      <c r="P198" s="129" t="n"/>
      <c r="Q198" s="129" t="n"/>
      <c r="R198" s="129" t="n"/>
      <c r="S198" s="129" t="n"/>
      <c r="T198" s="129" t="n"/>
      <c r="U198" s="129" t="n"/>
      <c r="V198" s="129" t="n"/>
      <c r="W198" s="129" t="n"/>
      <c r="X198" s="129" t="n"/>
      <c r="Y198" s="129" t="n"/>
      <c r="Z198" s="129" t="n"/>
      <c r="AA198" s="129" t="n"/>
      <c r="AB198" s="129" t="n"/>
      <c r="AC198" s="129" t="n"/>
      <c r="AD198" s="129" t="n"/>
      <c r="AE198" s="129" t="n"/>
      <c r="AF198" s="129" t="n"/>
      <c r="AG198" s="129" t="n"/>
      <c r="AH198" s="129" t="n"/>
      <c r="AI198" s="129" t="n"/>
      <c r="AJ198" s="129" t="n"/>
      <c r="AK198" s="129" t="n"/>
      <c r="AL198" s="129" t="n"/>
      <c r="AM198" s="129" t="n"/>
      <c r="AN198" s="129" t="n"/>
      <c r="AO198" s="129" t="n"/>
      <c r="AP198" s="129" t="n"/>
      <c r="AQ198" s="129" t="n"/>
      <c r="AR198" s="129" t="n"/>
      <c r="AS198" s="129" t="n"/>
      <c r="AT198" s="129" t="n"/>
      <c r="AU198" s="129" t="n"/>
      <c r="AV198" s="129" t="n"/>
      <c r="AW198" s="129" t="n"/>
      <c r="AX198" s="129" t="n"/>
      <c r="AY198" s="129" t="n"/>
      <c r="AZ198" s="129" t="n"/>
      <c r="BA198" s="129" t="n"/>
      <c r="BB198" s="129" t="n"/>
      <c r="BC198" s="129" t="n"/>
      <c r="BD198" s="129" t="n"/>
      <c r="BE198" s="129" t="n"/>
      <c r="BF198" s="129" t="n"/>
      <c r="BG198" s="129" t="n"/>
      <c r="BH198" s="129" t="n"/>
      <c r="BI198" s="129" t="n"/>
      <c r="BJ198" s="129" t="n"/>
      <c r="BK198" s="129" t="n"/>
      <c r="BL198" s="129" t="n"/>
      <c r="BM198" s="129" t="n"/>
      <c r="BN198" s="129" t="n"/>
      <c r="BO198" s="129" t="n"/>
      <c r="BP198" s="129" t="n"/>
      <c r="BQ198" s="129" t="n"/>
      <c r="BR198" s="129" t="n"/>
      <c r="BS198" s="129" t="n"/>
      <c r="BT198" s="129" t="n"/>
      <c r="BU198" s="129" t="n"/>
      <c r="BV198" s="129" t="n"/>
      <c r="BW198" s="129" t="n"/>
      <c r="BX198" s="129" t="n"/>
      <c r="BY198" s="129" t="n"/>
      <c r="BZ198" s="129" t="n"/>
      <c r="CA198" s="129" t="n"/>
      <c r="CB198" s="129" t="n"/>
      <c r="CC198" s="129" t="n"/>
      <c r="CD198" s="129" t="n"/>
      <c r="CE198" s="129" t="n"/>
      <c r="CF198" s="129" t="n"/>
      <c r="CG198" s="129" t="n"/>
      <c r="CH198" s="129" t="n"/>
      <c r="CI198" s="129" t="n"/>
      <c r="CJ198" s="129" t="n"/>
      <c r="CK198" s="129" t="n"/>
      <c r="CL198" s="129" t="n"/>
      <c r="CM198" s="129" t="n"/>
      <c r="CN198" s="129" t="n"/>
      <c r="CO198" s="129" t="n"/>
      <c r="CP198" s="129" t="n"/>
      <c r="CQ198" s="129" t="n"/>
      <c r="CR198" s="129" t="n"/>
      <c r="CS198" s="129" t="n"/>
      <c r="CT198" s="129" t="n"/>
      <c r="CU198" s="129" t="n"/>
      <c r="CV198" s="129" t="n"/>
      <c r="CW198" s="129" t="n"/>
      <c r="CX198" s="129" t="n"/>
      <c r="CY198" s="129" t="n"/>
      <c r="CZ198" s="129" t="n"/>
      <c r="DA198" s="129" t="n"/>
      <c r="DB198" s="129" t="n"/>
      <c r="DC198" s="129" t="n"/>
      <c r="DD198" s="129" t="n"/>
      <c r="DE198" s="129" t="n"/>
      <c r="DF198" s="129" t="n"/>
      <c r="DG198" s="129" t="n"/>
      <c r="DH198" s="129" t="n"/>
      <c r="DI198" s="129" t="n"/>
      <c r="DJ198" s="129" t="n"/>
      <c r="DK198" s="129" t="n"/>
      <c r="DL198" s="129" t="n"/>
      <c r="DM198" s="129" t="n"/>
      <c r="DN198" s="129" t="n"/>
      <c r="DO198" s="129" t="n"/>
      <c r="DP198" s="129" t="n"/>
      <c r="DQ198" s="129" t="n"/>
      <c r="DR198" s="129" t="n"/>
      <c r="DS198" s="129" t="n"/>
      <c r="DT198" s="129" t="n"/>
      <c r="DU198" s="129" t="n"/>
      <c r="DV198" s="129" t="n"/>
      <c r="DW198" s="129" t="n"/>
      <c r="DX198" s="129" t="n"/>
      <c r="DY198" s="129" t="n"/>
      <c r="DZ198" s="129" t="n"/>
      <c r="EA198" s="129" t="n"/>
      <c r="EB198" s="129" t="n"/>
      <c r="EC198" s="129" t="n"/>
      <c r="ED198" s="129" t="n"/>
      <c r="EE198" s="129" t="n"/>
      <c r="EF198" s="129" t="n"/>
      <c r="EG198" s="129" t="n"/>
      <c r="EH198" s="129" t="n"/>
      <c r="EI198" s="129" t="n"/>
      <c r="EJ198" s="129" t="n"/>
      <c r="EK198" s="129" t="n"/>
      <c r="EL198" s="129" t="n"/>
      <c r="EM198" s="129" t="n"/>
      <c r="EN198" s="129" t="n"/>
      <c r="EO198" s="129" t="n"/>
      <c r="EP198" s="129" t="n"/>
      <c r="EQ198" s="129" t="n"/>
      <c r="ER198" s="129" t="n"/>
      <c r="ES198" s="129" t="n"/>
      <c r="ET198" s="129" t="n"/>
      <c r="EU198" s="129" t="n"/>
      <c r="EV198" s="129" t="n"/>
      <c r="EW198" s="129" t="n"/>
      <c r="EX198" s="129" t="n"/>
      <c r="EY198" s="129" t="n"/>
      <c r="EZ198" s="129" t="n"/>
      <c r="FA198" s="129" t="n"/>
      <c r="FB198" s="129" t="n"/>
      <c r="FC198" s="129" t="n"/>
      <c r="FD198" s="129" t="n"/>
      <c r="FE198" s="129" t="n"/>
      <c r="FF198" s="129" t="n"/>
      <c r="FG198" s="129" t="n"/>
      <c r="FH198" s="129" t="n"/>
      <c r="FI198" s="129" t="n"/>
      <c r="FJ198" s="129" t="n"/>
      <c r="FK198" s="129" t="n"/>
      <c r="FL198" s="129" t="n"/>
      <c r="FM198" s="129" t="n"/>
    </row>
    <row r="199" s="135">
      <c r="A199" s="52" t="n">
        <v>38776</v>
      </c>
      <c r="B199" s="30" t="n">
        <v>0.201</v>
      </c>
      <c r="C199" s="29" t="n">
        <v>50.7</v>
      </c>
      <c r="D199" s="129" t="n"/>
      <c r="E199" s="129" t="n"/>
      <c r="F199" s="129" t="n"/>
      <c r="G199" s="129" t="n"/>
      <c r="H199" s="129" t="n"/>
      <c r="I199" s="129" t="n"/>
      <c r="J199" s="129" t="n"/>
      <c r="K199" s="129" t="n"/>
      <c r="L199" s="129" t="n"/>
      <c r="M199" s="129" t="n"/>
      <c r="N199" s="129" t="n"/>
      <c r="O199" s="129" t="n"/>
      <c r="P199" s="129" t="n"/>
      <c r="Q199" s="129" t="n"/>
      <c r="R199" s="129" t="n"/>
      <c r="S199" s="129" t="n"/>
      <c r="T199" s="129" t="n"/>
      <c r="U199" s="129" t="n"/>
      <c r="V199" s="129" t="n"/>
      <c r="W199" s="129" t="n"/>
      <c r="X199" s="129" t="n"/>
      <c r="Y199" s="129" t="n"/>
      <c r="Z199" s="129" t="n"/>
      <c r="AA199" s="129" t="n"/>
      <c r="AB199" s="129" t="n"/>
      <c r="AC199" s="129" t="n"/>
      <c r="AD199" s="129" t="n"/>
      <c r="AE199" s="129" t="n"/>
      <c r="AF199" s="129" t="n"/>
      <c r="AG199" s="129" t="n"/>
      <c r="AH199" s="129" t="n"/>
      <c r="AI199" s="129" t="n"/>
      <c r="AJ199" s="129" t="n"/>
      <c r="AK199" s="129" t="n"/>
      <c r="AL199" s="129" t="n"/>
      <c r="AM199" s="129" t="n"/>
      <c r="AN199" s="129" t="n"/>
      <c r="AO199" s="129" t="n"/>
      <c r="AP199" s="129" t="n"/>
      <c r="AQ199" s="129" t="n"/>
      <c r="AR199" s="129" t="n"/>
      <c r="AS199" s="129" t="n"/>
      <c r="AT199" s="129" t="n"/>
      <c r="AU199" s="129" t="n"/>
      <c r="AV199" s="129" t="n"/>
      <c r="AW199" s="129" t="n"/>
      <c r="AX199" s="129" t="n"/>
      <c r="AY199" s="129" t="n"/>
      <c r="AZ199" s="129" t="n"/>
      <c r="BA199" s="129" t="n"/>
      <c r="BB199" s="129" t="n"/>
      <c r="BC199" s="129" t="n"/>
      <c r="BD199" s="129" t="n"/>
      <c r="BE199" s="129" t="n"/>
      <c r="BF199" s="129" t="n"/>
      <c r="BG199" s="129" t="n"/>
      <c r="BH199" s="129" t="n"/>
      <c r="BI199" s="129" t="n"/>
      <c r="BJ199" s="129" t="n"/>
      <c r="BK199" s="129" t="n"/>
      <c r="BL199" s="129" t="n"/>
      <c r="BM199" s="129" t="n"/>
      <c r="BN199" s="129" t="n"/>
      <c r="BO199" s="129" t="n"/>
      <c r="BP199" s="129" t="n"/>
      <c r="BQ199" s="129" t="n"/>
      <c r="BR199" s="129" t="n"/>
      <c r="BS199" s="129" t="n"/>
      <c r="BT199" s="129" t="n"/>
      <c r="BU199" s="129" t="n"/>
      <c r="BV199" s="129" t="n"/>
      <c r="BW199" s="129" t="n"/>
      <c r="BX199" s="129" t="n"/>
      <c r="BY199" s="129" t="n"/>
      <c r="BZ199" s="129" t="n"/>
      <c r="CA199" s="129" t="n"/>
      <c r="CB199" s="129" t="n"/>
      <c r="CC199" s="129" t="n"/>
      <c r="CD199" s="129" t="n"/>
      <c r="CE199" s="129" t="n"/>
      <c r="CF199" s="129" t="n"/>
      <c r="CG199" s="129" t="n"/>
      <c r="CH199" s="129" t="n"/>
      <c r="CI199" s="129" t="n"/>
      <c r="CJ199" s="129" t="n"/>
      <c r="CK199" s="129" t="n"/>
      <c r="CL199" s="129" t="n"/>
      <c r="CM199" s="129" t="n"/>
      <c r="CN199" s="129" t="n"/>
      <c r="CO199" s="129" t="n"/>
      <c r="CP199" s="129" t="n"/>
      <c r="CQ199" s="129" t="n"/>
      <c r="CR199" s="129" t="n"/>
      <c r="CS199" s="129" t="n"/>
      <c r="CT199" s="129" t="n"/>
      <c r="CU199" s="129" t="n"/>
      <c r="CV199" s="129" t="n"/>
      <c r="CW199" s="129" t="n"/>
      <c r="CX199" s="129" t="n"/>
      <c r="CY199" s="129" t="n"/>
      <c r="CZ199" s="129" t="n"/>
      <c r="DA199" s="129" t="n"/>
      <c r="DB199" s="129" t="n"/>
      <c r="DC199" s="129" t="n"/>
      <c r="DD199" s="129" t="n"/>
      <c r="DE199" s="129" t="n"/>
      <c r="DF199" s="129" t="n"/>
      <c r="DG199" s="129" t="n"/>
      <c r="DH199" s="129" t="n"/>
      <c r="DI199" s="129" t="n"/>
      <c r="DJ199" s="129" t="n"/>
      <c r="DK199" s="129" t="n"/>
      <c r="DL199" s="129" t="n"/>
      <c r="DM199" s="129" t="n"/>
      <c r="DN199" s="129" t="n"/>
      <c r="DO199" s="129" t="n"/>
      <c r="DP199" s="129" t="n"/>
      <c r="DQ199" s="129" t="n"/>
      <c r="DR199" s="129" t="n"/>
      <c r="DS199" s="129" t="n"/>
      <c r="DT199" s="129" t="n"/>
      <c r="DU199" s="129" t="n"/>
      <c r="DV199" s="129" t="n"/>
      <c r="DW199" s="129" t="n"/>
      <c r="DX199" s="129" t="n"/>
      <c r="DY199" s="129" t="n"/>
      <c r="DZ199" s="129" t="n"/>
      <c r="EA199" s="129" t="n"/>
      <c r="EB199" s="129" t="n"/>
      <c r="EC199" s="129" t="n"/>
      <c r="ED199" s="129" t="n"/>
      <c r="EE199" s="129" t="n"/>
      <c r="EF199" s="129" t="n"/>
      <c r="EG199" s="129" t="n"/>
      <c r="EH199" s="129" t="n"/>
      <c r="EI199" s="129" t="n"/>
      <c r="EJ199" s="129" t="n"/>
      <c r="EK199" s="129" t="n"/>
      <c r="EL199" s="129" t="n"/>
      <c r="EM199" s="129" t="n"/>
      <c r="EN199" s="129" t="n"/>
      <c r="EO199" s="129" t="n"/>
      <c r="EP199" s="129" t="n"/>
      <c r="EQ199" s="129" t="n"/>
      <c r="ER199" s="129" t="n"/>
      <c r="ES199" s="129" t="n"/>
      <c r="ET199" s="129" t="n"/>
      <c r="EU199" s="129" t="n"/>
      <c r="EV199" s="129" t="n"/>
      <c r="EW199" s="129" t="n"/>
      <c r="EX199" s="129" t="n"/>
      <c r="EY199" s="129" t="n"/>
      <c r="EZ199" s="129" t="n"/>
      <c r="FA199" s="129" t="n"/>
      <c r="FB199" s="129" t="n"/>
      <c r="FC199" s="129" t="n"/>
      <c r="FD199" s="129" t="n"/>
      <c r="FE199" s="129" t="n"/>
      <c r="FF199" s="129" t="n"/>
      <c r="FG199" s="129" t="n"/>
      <c r="FH199" s="129" t="n"/>
      <c r="FI199" s="129" t="n"/>
      <c r="FJ199" s="129" t="n"/>
      <c r="FK199" s="129" t="n"/>
      <c r="FL199" s="129" t="n"/>
      <c r="FM199" s="129" t="n"/>
    </row>
    <row r="200" s="135">
      <c r="A200" s="53" t="n">
        <v>38807</v>
      </c>
      <c r="B200" s="54" t="n">
        <v>0.178</v>
      </c>
      <c r="C200" s="29" t="n">
        <v>51</v>
      </c>
      <c r="D200" s="129" t="n"/>
      <c r="E200" s="129" t="n"/>
      <c r="F200" s="129" t="n"/>
      <c r="G200" s="129" t="n"/>
      <c r="H200" s="129" t="n"/>
      <c r="I200" s="129" t="n"/>
      <c r="J200" s="129" t="n"/>
      <c r="K200" s="129" t="n"/>
      <c r="L200" s="129" t="n"/>
      <c r="M200" s="129" t="n"/>
      <c r="N200" s="129" t="n"/>
      <c r="O200" s="129" t="n"/>
      <c r="P200" s="129" t="n"/>
      <c r="Q200" s="129" t="n"/>
      <c r="R200" s="129" t="n"/>
      <c r="S200" s="129" t="n"/>
      <c r="T200" s="129" t="n"/>
      <c r="U200" s="129" t="n"/>
      <c r="V200" s="129" t="n"/>
      <c r="W200" s="129" t="n"/>
      <c r="X200" s="129" t="n"/>
      <c r="Y200" s="129" t="n"/>
      <c r="Z200" s="129" t="n"/>
      <c r="AA200" s="129" t="n"/>
      <c r="AB200" s="129" t="n"/>
      <c r="AC200" s="129" t="n"/>
      <c r="AD200" s="129" t="n"/>
      <c r="AE200" s="129" t="n"/>
      <c r="AF200" s="129" t="n"/>
      <c r="AG200" s="129" t="n"/>
      <c r="AH200" s="129" t="n"/>
      <c r="AI200" s="129" t="n"/>
      <c r="AJ200" s="129" t="n"/>
      <c r="AK200" s="129" t="n"/>
      <c r="AL200" s="129" t="n"/>
      <c r="AM200" s="129" t="n"/>
      <c r="AN200" s="129" t="n"/>
      <c r="AO200" s="129" t="n"/>
      <c r="AP200" s="129" t="n"/>
      <c r="AQ200" s="129" t="n"/>
      <c r="AR200" s="129" t="n"/>
      <c r="AS200" s="129" t="n"/>
      <c r="AT200" s="129" t="n"/>
      <c r="AU200" s="129" t="n"/>
      <c r="AV200" s="129" t="n"/>
      <c r="AW200" s="129" t="n"/>
      <c r="AX200" s="129" t="n"/>
      <c r="AY200" s="129" t="n"/>
      <c r="AZ200" s="129" t="n"/>
      <c r="BA200" s="129" t="n"/>
      <c r="BB200" s="129" t="n"/>
      <c r="BC200" s="129" t="n"/>
      <c r="BD200" s="129" t="n"/>
      <c r="BE200" s="129" t="n"/>
      <c r="BF200" s="129" t="n"/>
      <c r="BG200" s="129" t="n"/>
      <c r="BH200" s="129" t="n"/>
      <c r="BI200" s="129" t="n"/>
      <c r="BJ200" s="129" t="n"/>
      <c r="BK200" s="129" t="n"/>
      <c r="BL200" s="129" t="n"/>
      <c r="BM200" s="129" t="n"/>
      <c r="BN200" s="129" t="n"/>
      <c r="BO200" s="129" t="n"/>
      <c r="BP200" s="129" t="n"/>
      <c r="BQ200" s="129" t="n"/>
      <c r="BR200" s="129" t="n"/>
      <c r="BS200" s="129" t="n"/>
      <c r="BT200" s="129" t="n"/>
      <c r="BU200" s="129" t="n"/>
      <c r="BV200" s="129" t="n"/>
      <c r="BW200" s="129" t="n"/>
      <c r="BX200" s="129" t="n"/>
      <c r="BY200" s="129" t="n"/>
      <c r="BZ200" s="129" t="n"/>
      <c r="CA200" s="129" t="n"/>
      <c r="CB200" s="129" t="n"/>
      <c r="CC200" s="129" t="n"/>
      <c r="CD200" s="129" t="n"/>
      <c r="CE200" s="129" t="n"/>
      <c r="CF200" s="129" t="n"/>
      <c r="CG200" s="129" t="n"/>
      <c r="CH200" s="129" t="n"/>
      <c r="CI200" s="129" t="n"/>
      <c r="CJ200" s="129" t="n"/>
      <c r="CK200" s="129" t="n"/>
      <c r="CL200" s="129" t="n"/>
      <c r="CM200" s="129" t="n"/>
      <c r="CN200" s="129" t="n"/>
      <c r="CO200" s="129" t="n"/>
      <c r="CP200" s="129" t="n"/>
      <c r="CQ200" s="129" t="n"/>
      <c r="CR200" s="129" t="n"/>
      <c r="CS200" s="129" t="n"/>
      <c r="CT200" s="129" t="n"/>
      <c r="CU200" s="129" t="n"/>
      <c r="CV200" s="129" t="n"/>
      <c r="CW200" s="129" t="n"/>
      <c r="CX200" s="129" t="n"/>
      <c r="CY200" s="129" t="n"/>
      <c r="CZ200" s="129" t="n"/>
      <c r="DA200" s="129" t="n"/>
      <c r="DB200" s="129" t="n"/>
      <c r="DC200" s="129" t="n"/>
      <c r="DD200" s="129" t="n"/>
      <c r="DE200" s="129" t="n"/>
      <c r="DF200" s="129" t="n"/>
      <c r="DG200" s="129" t="n"/>
      <c r="DH200" s="129" t="n"/>
      <c r="DI200" s="129" t="n"/>
      <c r="DJ200" s="129" t="n"/>
      <c r="DK200" s="129" t="n"/>
      <c r="DL200" s="129" t="n"/>
      <c r="DM200" s="129" t="n"/>
      <c r="DN200" s="129" t="n"/>
      <c r="DO200" s="129" t="n"/>
      <c r="DP200" s="129" t="n"/>
      <c r="DQ200" s="129" t="n"/>
      <c r="DR200" s="129" t="n"/>
      <c r="DS200" s="129" t="n"/>
      <c r="DT200" s="129" t="n"/>
      <c r="DU200" s="129" t="n"/>
      <c r="DV200" s="129" t="n"/>
      <c r="DW200" s="129" t="n"/>
      <c r="DX200" s="129" t="n"/>
      <c r="DY200" s="129" t="n"/>
      <c r="DZ200" s="129" t="n"/>
      <c r="EA200" s="129" t="n"/>
      <c r="EB200" s="129" t="n"/>
      <c r="EC200" s="129" t="n"/>
      <c r="ED200" s="129" t="n"/>
      <c r="EE200" s="129" t="n"/>
      <c r="EF200" s="129" t="n"/>
      <c r="EG200" s="129" t="n"/>
      <c r="EH200" s="129" t="n"/>
      <c r="EI200" s="129" t="n"/>
      <c r="EJ200" s="129" t="n"/>
      <c r="EK200" s="129" t="n"/>
      <c r="EL200" s="129" t="n"/>
      <c r="EM200" s="129" t="n"/>
      <c r="EN200" s="129" t="n"/>
      <c r="EO200" s="129" t="n"/>
      <c r="EP200" s="129" t="n"/>
      <c r="EQ200" s="129" t="n"/>
      <c r="ER200" s="129" t="n"/>
      <c r="ES200" s="129" t="n"/>
      <c r="ET200" s="129" t="n"/>
      <c r="EU200" s="129" t="n"/>
      <c r="EV200" s="129" t="n"/>
      <c r="EW200" s="129" t="n"/>
      <c r="EX200" s="129" t="n"/>
      <c r="EY200" s="129" t="n"/>
      <c r="EZ200" s="129" t="n"/>
      <c r="FA200" s="129" t="n"/>
      <c r="FB200" s="129" t="n"/>
      <c r="FC200" s="129" t="n"/>
      <c r="FD200" s="129" t="n"/>
      <c r="FE200" s="129" t="n"/>
      <c r="FF200" s="129" t="n"/>
      <c r="FG200" s="129" t="n"/>
      <c r="FH200" s="129" t="n"/>
      <c r="FI200" s="129" t="n"/>
      <c r="FJ200" s="129" t="n"/>
      <c r="FK200" s="129" t="n"/>
      <c r="FL200" s="129" t="n"/>
      <c r="FM200" s="129" t="n"/>
    </row>
    <row r="201" s="135">
      <c r="A201" s="52" t="n">
        <v>38837</v>
      </c>
      <c r="B201" s="30" t="n">
        <v>0.166</v>
      </c>
      <c r="C201" s="29" t="n">
        <v>52.7</v>
      </c>
      <c r="D201" s="129" t="n"/>
      <c r="E201" s="129" t="n"/>
      <c r="F201" s="129" t="n"/>
      <c r="G201" s="129" t="n"/>
      <c r="H201" s="129" t="n"/>
      <c r="I201" s="129" t="n"/>
      <c r="J201" s="129" t="n"/>
      <c r="K201" s="129" t="n"/>
      <c r="L201" s="129" t="n"/>
      <c r="M201" s="129" t="n"/>
      <c r="N201" s="129" t="n"/>
      <c r="O201" s="129" t="n"/>
      <c r="P201" s="129" t="n"/>
      <c r="Q201" s="129" t="n"/>
      <c r="R201" s="129" t="n"/>
      <c r="S201" s="129" t="n"/>
      <c r="T201" s="129" t="n"/>
      <c r="U201" s="129" t="n"/>
      <c r="V201" s="129" t="n"/>
      <c r="W201" s="129" t="n"/>
      <c r="X201" s="129" t="n"/>
      <c r="Y201" s="129" t="n"/>
      <c r="Z201" s="129" t="n"/>
      <c r="AA201" s="129" t="n"/>
      <c r="AB201" s="129" t="n"/>
      <c r="AC201" s="129" t="n"/>
      <c r="AD201" s="129" t="n"/>
      <c r="AE201" s="129" t="n"/>
      <c r="AF201" s="129" t="n"/>
      <c r="AG201" s="129" t="n"/>
      <c r="AH201" s="129" t="n"/>
      <c r="AI201" s="129" t="n"/>
      <c r="AJ201" s="129" t="n"/>
      <c r="AK201" s="129" t="n"/>
      <c r="AL201" s="129" t="n"/>
      <c r="AM201" s="129" t="n"/>
      <c r="AN201" s="129" t="n"/>
      <c r="AO201" s="129" t="n"/>
      <c r="AP201" s="129" t="n"/>
      <c r="AQ201" s="129" t="n"/>
      <c r="AR201" s="129" t="n"/>
      <c r="AS201" s="129" t="n"/>
      <c r="AT201" s="129" t="n"/>
      <c r="AU201" s="129" t="n"/>
      <c r="AV201" s="129" t="n"/>
      <c r="AW201" s="129" t="n"/>
      <c r="AX201" s="129" t="n"/>
      <c r="AY201" s="129" t="n"/>
      <c r="AZ201" s="129" t="n"/>
      <c r="BA201" s="129" t="n"/>
      <c r="BB201" s="129" t="n"/>
      <c r="BC201" s="129" t="n"/>
      <c r="BD201" s="129" t="n"/>
      <c r="BE201" s="129" t="n"/>
      <c r="BF201" s="129" t="n"/>
      <c r="BG201" s="129" t="n"/>
      <c r="BH201" s="129" t="n"/>
      <c r="BI201" s="129" t="n"/>
      <c r="BJ201" s="129" t="n"/>
      <c r="BK201" s="129" t="n"/>
      <c r="BL201" s="129" t="n"/>
      <c r="BM201" s="129" t="n"/>
      <c r="BN201" s="129" t="n"/>
      <c r="BO201" s="129" t="n"/>
      <c r="BP201" s="129" t="n"/>
      <c r="BQ201" s="129" t="n"/>
      <c r="BR201" s="129" t="n"/>
      <c r="BS201" s="129" t="n"/>
      <c r="BT201" s="129" t="n"/>
      <c r="BU201" s="129" t="n"/>
      <c r="BV201" s="129" t="n"/>
      <c r="BW201" s="129" t="n"/>
      <c r="BX201" s="129" t="n"/>
      <c r="BY201" s="129" t="n"/>
      <c r="BZ201" s="129" t="n"/>
      <c r="CA201" s="129" t="n"/>
      <c r="CB201" s="129" t="n"/>
      <c r="CC201" s="129" t="n"/>
      <c r="CD201" s="129" t="n"/>
      <c r="CE201" s="129" t="n"/>
      <c r="CF201" s="129" t="n"/>
      <c r="CG201" s="129" t="n"/>
      <c r="CH201" s="129" t="n"/>
      <c r="CI201" s="129" t="n"/>
      <c r="CJ201" s="129" t="n"/>
      <c r="CK201" s="129" t="n"/>
      <c r="CL201" s="129" t="n"/>
      <c r="CM201" s="129" t="n"/>
      <c r="CN201" s="129" t="n"/>
      <c r="CO201" s="129" t="n"/>
      <c r="CP201" s="129" t="n"/>
      <c r="CQ201" s="129" t="n"/>
      <c r="CR201" s="129" t="n"/>
      <c r="CS201" s="129" t="n"/>
      <c r="CT201" s="129" t="n"/>
      <c r="CU201" s="129" t="n"/>
      <c r="CV201" s="129" t="n"/>
      <c r="CW201" s="129" t="n"/>
      <c r="CX201" s="129" t="n"/>
      <c r="CY201" s="129" t="n"/>
      <c r="CZ201" s="129" t="n"/>
      <c r="DA201" s="129" t="n"/>
      <c r="DB201" s="129" t="n"/>
      <c r="DC201" s="129" t="n"/>
      <c r="DD201" s="129" t="n"/>
      <c r="DE201" s="129" t="n"/>
      <c r="DF201" s="129" t="n"/>
      <c r="DG201" s="129" t="n"/>
      <c r="DH201" s="129" t="n"/>
      <c r="DI201" s="129" t="n"/>
      <c r="DJ201" s="129" t="n"/>
      <c r="DK201" s="129" t="n"/>
      <c r="DL201" s="129" t="n"/>
      <c r="DM201" s="129" t="n"/>
      <c r="DN201" s="129" t="n"/>
      <c r="DO201" s="129" t="n"/>
      <c r="DP201" s="129" t="n"/>
      <c r="DQ201" s="129" t="n"/>
      <c r="DR201" s="129" t="n"/>
      <c r="DS201" s="129" t="n"/>
      <c r="DT201" s="129" t="n"/>
      <c r="DU201" s="129" t="n"/>
      <c r="DV201" s="129" t="n"/>
      <c r="DW201" s="129" t="n"/>
      <c r="DX201" s="129" t="n"/>
      <c r="DY201" s="129" t="n"/>
      <c r="DZ201" s="129" t="n"/>
      <c r="EA201" s="129" t="n"/>
      <c r="EB201" s="129" t="n"/>
      <c r="EC201" s="129" t="n"/>
      <c r="ED201" s="129" t="n"/>
      <c r="EE201" s="129" t="n"/>
      <c r="EF201" s="129" t="n"/>
      <c r="EG201" s="129" t="n"/>
      <c r="EH201" s="129" t="n"/>
      <c r="EI201" s="129" t="n"/>
      <c r="EJ201" s="129" t="n"/>
      <c r="EK201" s="129" t="n"/>
      <c r="EL201" s="129" t="n"/>
      <c r="EM201" s="129" t="n"/>
      <c r="EN201" s="129" t="n"/>
      <c r="EO201" s="129" t="n"/>
      <c r="EP201" s="129" t="n"/>
      <c r="EQ201" s="129" t="n"/>
      <c r="ER201" s="129" t="n"/>
      <c r="ES201" s="129" t="n"/>
      <c r="ET201" s="129" t="n"/>
      <c r="EU201" s="129" t="n"/>
      <c r="EV201" s="129" t="n"/>
      <c r="EW201" s="129" t="n"/>
      <c r="EX201" s="129" t="n"/>
      <c r="EY201" s="129" t="n"/>
      <c r="EZ201" s="129" t="n"/>
      <c r="FA201" s="129" t="n"/>
      <c r="FB201" s="129" t="n"/>
      <c r="FC201" s="129" t="n"/>
      <c r="FD201" s="129" t="n"/>
      <c r="FE201" s="129" t="n"/>
      <c r="FF201" s="129" t="n"/>
      <c r="FG201" s="129" t="n"/>
      <c r="FH201" s="129" t="n"/>
      <c r="FI201" s="129" t="n"/>
      <c r="FJ201" s="129" t="n"/>
      <c r="FK201" s="129" t="n"/>
      <c r="FL201" s="129" t="n"/>
      <c r="FM201" s="129" t="n"/>
    </row>
    <row r="202" s="135">
      <c r="A202" s="53" t="n">
        <v>38868</v>
      </c>
      <c r="B202" s="54" t="n">
        <v>0.179</v>
      </c>
      <c r="C202" s="29" t="n">
        <v>52.8</v>
      </c>
      <c r="D202" s="129" t="n"/>
      <c r="E202" s="129" t="n"/>
      <c r="F202" s="129" t="n"/>
      <c r="G202" s="129" t="n"/>
      <c r="H202" s="129" t="n"/>
      <c r="I202" s="129" t="n"/>
      <c r="J202" s="129" t="n"/>
      <c r="K202" s="129" t="n"/>
      <c r="L202" s="129" t="n"/>
      <c r="M202" s="129" t="n"/>
      <c r="N202" s="129" t="n"/>
      <c r="O202" s="129" t="n"/>
      <c r="P202" s="129" t="n"/>
      <c r="Q202" s="129" t="n"/>
      <c r="R202" s="129" t="n"/>
      <c r="S202" s="129" t="n"/>
      <c r="T202" s="129" t="n"/>
      <c r="U202" s="129" t="n"/>
      <c r="V202" s="129" t="n"/>
      <c r="W202" s="129" t="n"/>
      <c r="X202" s="129" t="n"/>
      <c r="Y202" s="129" t="n"/>
      <c r="Z202" s="129" t="n"/>
      <c r="AA202" s="129" t="n"/>
      <c r="AB202" s="129" t="n"/>
      <c r="AC202" s="129" t="n"/>
      <c r="AD202" s="129" t="n"/>
      <c r="AE202" s="129" t="n"/>
      <c r="AF202" s="129" t="n"/>
      <c r="AG202" s="129" t="n"/>
      <c r="AH202" s="129" t="n"/>
      <c r="AI202" s="129" t="n"/>
      <c r="AJ202" s="129" t="n"/>
      <c r="AK202" s="129" t="n"/>
      <c r="AL202" s="129" t="n"/>
      <c r="AM202" s="129" t="n"/>
      <c r="AN202" s="129" t="n"/>
      <c r="AO202" s="129" t="n"/>
      <c r="AP202" s="129" t="n"/>
      <c r="AQ202" s="129" t="n"/>
      <c r="AR202" s="129" t="n"/>
      <c r="AS202" s="129" t="n"/>
      <c r="AT202" s="129" t="n"/>
      <c r="AU202" s="129" t="n"/>
      <c r="AV202" s="129" t="n"/>
      <c r="AW202" s="129" t="n"/>
      <c r="AX202" s="129" t="n"/>
      <c r="AY202" s="129" t="n"/>
      <c r="AZ202" s="129" t="n"/>
      <c r="BA202" s="129" t="n"/>
      <c r="BB202" s="129" t="n"/>
      <c r="BC202" s="129" t="n"/>
      <c r="BD202" s="129" t="n"/>
      <c r="BE202" s="129" t="n"/>
      <c r="BF202" s="129" t="n"/>
      <c r="BG202" s="129" t="n"/>
      <c r="BH202" s="129" t="n"/>
      <c r="BI202" s="129" t="n"/>
      <c r="BJ202" s="129" t="n"/>
      <c r="BK202" s="129" t="n"/>
      <c r="BL202" s="129" t="n"/>
      <c r="BM202" s="129" t="n"/>
      <c r="BN202" s="129" t="n"/>
      <c r="BO202" s="129" t="n"/>
      <c r="BP202" s="129" t="n"/>
      <c r="BQ202" s="129" t="n"/>
      <c r="BR202" s="129" t="n"/>
      <c r="BS202" s="129" t="n"/>
      <c r="BT202" s="129" t="n"/>
      <c r="BU202" s="129" t="n"/>
      <c r="BV202" s="129" t="n"/>
      <c r="BW202" s="129" t="n"/>
      <c r="BX202" s="129" t="n"/>
      <c r="BY202" s="129" t="n"/>
      <c r="BZ202" s="129" t="n"/>
      <c r="CA202" s="129" t="n"/>
      <c r="CB202" s="129" t="n"/>
      <c r="CC202" s="129" t="n"/>
      <c r="CD202" s="129" t="n"/>
      <c r="CE202" s="129" t="n"/>
      <c r="CF202" s="129" t="n"/>
      <c r="CG202" s="129" t="n"/>
      <c r="CH202" s="129" t="n"/>
      <c r="CI202" s="129" t="n"/>
      <c r="CJ202" s="129" t="n"/>
      <c r="CK202" s="129" t="n"/>
      <c r="CL202" s="129" t="n"/>
      <c r="CM202" s="129" t="n"/>
      <c r="CN202" s="129" t="n"/>
      <c r="CO202" s="129" t="n"/>
      <c r="CP202" s="129" t="n"/>
      <c r="CQ202" s="129" t="n"/>
      <c r="CR202" s="129" t="n"/>
      <c r="CS202" s="129" t="n"/>
      <c r="CT202" s="129" t="n"/>
      <c r="CU202" s="129" t="n"/>
      <c r="CV202" s="129" t="n"/>
      <c r="CW202" s="129" t="n"/>
      <c r="CX202" s="129" t="n"/>
      <c r="CY202" s="129" t="n"/>
      <c r="CZ202" s="129" t="n"/>
      <c r="DA202" s="129" t="n"/>
      <c r="DB202" s="129" t="n"/>
      <c r="DC202" s="129" t="n"/>
      <c r="DD202" s="129" t="n"/>
      <c r="DE202" s="129" t="n"/>
      <c r="DF202" s="129" t="n"/>
      <c r="DG202" s="129" t="n"/>
      <c r="DH202" s="129" t="n"/>
      <c r="DI202" s="129" t="n"/>
      <c r="DJ202" s="129" t="n"/>
      <c r="DK202" s="129" t="n"/>
      <c r="DL202" s="129" t="n"/>
      <c r="DM202" s="129" t="n"/>
      <c r="DN202" s="129" t="n"/>
      <c r="DO202" s="129" t="n"/>
      <c r="DP202" s="129" t="n"/>
      <c r="DQ202" s="129" t="n"/>
      <c r="DR202" s="129" t="n"/>
      <c r="DS202" s="129" t="n"/>
      <c r="DT202" s="129" t="n"/>
      <c r="DU202" s="129" t="n"/>
      <c r="DV202" s="129" t="n"/>
      <c r="DW202" s="129" t="n"/>
      <c r="DX202" s="129" t="n"/>
      <c r="DY202" s="129" t="n"/>
      <c r="DZ202" s="129" t="n"/>
      <c r="EA202" s="129" t="n"/>
      <c r="EB202" s="129" t="n"/>
      <c r="EC202" s="129" t="n"/>
      <c r="ED202" s="129" t="n"/>
      <c r="EE202" s="129" t="n"/>
      <c r="EF202" s="129" t="n"/>
      <c r="EG202" s="129" t="n"/>
      <c r="EH202" s="129" t="n"/>
      <c r="EI202" s="129" t="n"/>
      <c r="EJ202" s="129" t="n"/>
      <c r="EK202" s="129" t="n"/>
      <c r="EL202" s="129" t="n"/>
      <c r="EM202" s="129" t="n"/>
      <c r="EN202" s="129" t="n"/>
      <c r="EO202" s="129" t="n"/>
      <c r="EP202" s="129" t="n"/>
      <c r="EQ202" s="129" t="n"/>
      <c r="ER202" s="129" t="n"/>
      <c r="ES202" s="129" t="n"/>
      <c r="ET202" s="129" t="n"/>
      <c r="EU202" s="129" t="n"/>
      <c r="EV202" s="129" t="n"/>
      <c r="EW202" s="129" t="n"/>
      <c r="EX202" s="129" t="n"/>
      <c r="EY202" s="129" t="n"/>
      <c r="EZ202" s="129" t="n"/>
      <c r="FA202" s="129" t="n"/>
      <c r="FB202" s="129" t="n"/>
      <c r="FC202" s="129" t="n"/>
      <c r="FD202" s="129" t="n"/>
      <c r="FE202" s="129" t="n"/>
      <c r="FF202" s="129" t="n"/>
      <c r="FG202" s="129" t="n"/>
      <c r="FH202" s="129" t="n"/>
      <c r="FI202" s="129" t="n"/>
      <c r="FJ202" s="129" t="n"/>
      <c r="FK202" s="129" t="n"/>
      <c r="FL202" s="129" t="n"/>
      <c r="FM202" s="129" t="n"/>
    </row>
    <row r="203" s="135">
      <c r="A203" s="52" t="n">
        <v>38898</v>
      </c>
      <c r="B203" s="30" t="n">
        <v>0.195</v>
      </c>
      <c r="C203" s="29" t="n">
        <v>52.9</v>
      </c>
      <c r="D203" s="129" t="n"/>
      <c r="E203" s="129" t="n"/>
      <c r="F203" s="129" t="n"/>
      <c r="G203" s="129" t="n"/>
      <c r="H203" s="129" t="n"/>
      <c r="I203" s="129" t="n"/>
      <c r="J203" s="129" t="n"/>
      <c r="K203" s="129" t="n"/>
      <c r="L203" s="129" t="n"/>
      <c r="M203" s="129" t="n"/>
      <c r="N203" s="129" t="n"/>
      <c r="O203" s="129" t="n"/>
      <c r="P203" s="129" t="n"/>
      <c r="Q203" s="129" t="n"/>
      <c r="R203" s="129" t="n"/>
      <c r="S203" s="129" t="n"/>
      <c r="T203" s="129" t="n"/>
      <c r="U203" s="129" t="n"/>
      <c r="V203" s="129" t="n"/>
      <c r="W203" s="129" t="n"/>
      <c r="X203" s="129" t="n"/>
      <c r="Y203" s="129" t="n"/>
      <c r="Z203" s="129" t="n"/>
      <c r="AA203" s="129" t="n"/>
      <c r="AB203" s="129" t="n"/>
      <c r="AC203" s="129" t="n"/>
      <c r="AD203" s="129" t="n"/>
      <c r="AE203" s="129" t="n"/>
      <c r="AF203" s="129" t="n"/>
      <c r="AG203" s="129" t="n"/>
      <c r="AH203" s="129" t="n"/>
      <c r="AI203" s="129" t="n"/>
      <c r="AJ203" s="129" t="n"/>
      <c r="AK203" s="129" t="n"/>
      <c r="AL203" s="129" t="n"/>
      <c r="AM203" s="129" t="n"/>
      <c r="AN203" s="129" t="n"/>
      <c r="AO203" s="129" t="n"/>
      <c r="AP203" s="129" t="n"/>
      <c r="AQ203" s="129" t="n"/>
      <c r="AR203" s="129" t="n"/>
      <c r="AS203" s="129" t="n"/>
      <c r="AT203" s="129" t="n"/>
      <c r="AU203" s="129" t="n"/>
      <c r="AV203" s="129" t="n"/>
      <c r="AW203" s="129" t="n"/>
      <c r="AX203" s="129" t="n"/>
      <c r="AY203" s="129" t="n"/>
      <c r="AZ203" s="129" t="n"/>
      <c r="BA203" s="129" t="n"/>
      <c r="BB203" s="129" t="n"/>
      <c r="BC203" s="129" t="n"/>
      <c r="BD203" s="129" t="n"/>
      <c r="BE203" s="129" t="n"/>
      <c r="BF203" s="129" t="n"/>
      <c r="BG203" s="129" t="n"/>
      <c r="BH203" s="129" t="n"/>
      <c r="BI203" s="129" t="n"/>
      <c r="BJ203" s="129" t="n"/>
      <c r="BK203" s="129" t="n"/>
      <c r="BL203" s="129" t="n"/>
      <c r="BM203" s="129" t="n"/>
      <c r="BN203" s="129" t="n"/>
      <c r="BO203" s="129" t="n"/>
      <c r="BP203" s="129" t="n"/>
      <c r="BQ203" s="129" t="n"/>
      <c r="BR203" s="129" t="n"/>
      <c r="BS203" s="129" t="n"/>
      <c r="BT203" s="129" t="n"/>
      <c r="BU203" s="129" t="n"/>
      <c r="BV203" s="129" t="n"/>
      <c r="BW203" s="129" t="n"/>
      <c r="BX203" s="129" t="n"/>
      <c r="BY203" s="129" t="n"/>
      <c r="BZ203" s="129" t="n"/>
      <c r="CA203" s="129" t="n"/>
      <c r="CB203" s="129" t="n"/>
      <c r="CC203" s="129" t="n"/>
      <c r="CD203" s="129" t="n"/>
      <c r="CE203" s="129" t="n"/>
      <c r="CF203" s="129" t="n"/>
      <c r="CG203" s="129" t="n"/>
      <c r="CH203" s="129" t="n"/>
      <c r="CI203" s="129" t="n"/>
      <c r="CJ203" s="129" t="n"/>
      <c r="CK203" s="129" t="n"/>
      <c r="CL203" s="129" t="n"/>
      <c r="CM203" s="129" t="n"/>
      <c r="CN203" s="129" t="n"/>
      <c r="CO203" s="129" t="n"/>
      <c r="CP203" s="129" t="n"/>
      <c r="CQ203" s="129" t="n"/>
      <c r="CR203" s="129" t="n"/>
      <c r="CS203" s="129" t="n"/>
      <c r="CT203" s="129" t="n"/>
      <c r="CU203" s="129" t="n"/>
      <c r="CV203" s="129" t="n"/>
      <c r="CW203" s="129" t="n"/>
      <c r="CX203" s="129" t="n"/>
      <c r="CY203" s="129" t="n"/>
      <c r="CZ203" s="129" t="n"/>
      <c r="DA203" s="129" t="n"/>
      <c r="DB203" s="129" t="n"/>
      <c r="DC203" s="129" t="n"/>
      <c r="DD203" s="129" t="n"/>
      <c r="DE203" s="129" t="n"/>
      <c r="DF203" s="129" t="n"/>
      <c r="DG203" s="129" t="n"/>
      <c r="DH203" s="129" t="n"/>
      <c r="DI203" s="129" t="n"/>
      <c r="DJ203" s="129" t="n"/>
      <c r="DK203" s="129" t="n"/>
      <c r="DL203" s="129" t="n"/>
      <c r="DM203" s="129" t="n"/>
      <c r="DN203" s="129" t="n"/>
      <c r="DO203" s="129" t="n"/>
      <c r="DP203" s="129" t="n"/>
      <c r="DQ203" s="129" t="n"/>
      <c r="DR203" s="129" t="n"/>
      <c r="DS203" s="129" t="n"/>
      <c r="DT203" s="129" t="n"/>
      <c r="DU203" s="129" t="n"/>
      <c r="DV203" s="129" t="n"/>
      <c r="DW203" s="129" t="n"/>
      <c r="DX203" s="129" t="n"/>
      <c r="DY203" s="129" t="n"/>
      <c r="DZ203" s="129" t="n"/>
      <c r="EA203" s="129" t="n"/>
      <c r="EB203" s="129" t="n"/>
      <c r="EC203" s="129" t="n"/>
      <c r="ED203" s="129" t="n"/>
      <c r="EE203" s="129" t="n"/>
      <c r="EF203" s="129" t="n"/>
      <c r="EG203" s="129" t="n"/>
      <c r="EH203" s="129" t="n"/>
      <c r="EI203" s="129" t="n"/>
      <c r="EJ203" s="129" t="n"/>
      <c r="EK203" s="129" t="n"/>
      <c r="EL203" s="129" t="n"/>
      <c r="EM203" s="129" t="n"/>
      <c r="EN203" s="129" t="n"/>
      <c r="EO203" s="129" t="n"/>
      <c r="EP203" s="129" t="n"/>
      <c r="EQ203" s="129" t="n"/>
      <c r="ER203" s="129" t="n"/>
      <c r="ES203" s="129" t="n"/>
      <c r="ET203" s="129" t="n"/>
      <c r="EU203" s="129" t="n"/>
      <c r="EV203" s="129" t="n"/>
      <c r="EW203" s="129" t="n"/>
      <c r="EX203" s="129" t="n"/>
      <c r="EY203" s="129" t="n"/>
      <c r="EZ203" s="129" t="n"/>
      <c r="FA203" s="129" t="n"/>
      <c r="FB203" s="129" t="n"/>
      <c r="FC203" s="129" t="n"/>
      <c r="FD203" s="129" t="n"/>
      <c r="FE203" s="129" t="n"/>
      <c r="FF203" s="129" t="n"/>
      <c r="FG203" s="129" t="n"/>
      <c r="FH203" s="129" t="n"/>
      <c r="FI203" s="129" t="n"/>
      <c r="FJ203" s="129" t="n"/>
      <c r="FK203" s="129" t="n"/>
      <c r="FL203" s="129" t="n"/>
      <c r="FM203" s="129" t="n"/>
    </row>
    <row r="204" s="135">
      <c r="A204" s="53" t="n">
        <v>38929</v>
      </c>
      <c r="B204" s="54" t="n">
        <v>0.167</v>
      </c>
      <c r="C204" s="29" t="n">
        <v>53</v>
      </c>
      <c r="D204" s="129" t="n"/>
      <c r="E204" s="129" t="n"/>
      <c r="F204" s="129" t="n"/>
      <c r="G204" s="129" t="n"/>
      <c r="H204" s="129" t="n"/>
      <c r="I204" s="129" t="n"/>
      <c r="J204" s="129" t="n"/>
      <c r="K204" s="129" t="n"/>
      <c r="L204" s="129" t="n"/>
      <c r="M204" s="129" t="n"/>
      <c r="N204" s="129" t="n"/>
      <c r="O204" s="129" t="n"/>
      <c r="P204" s="129" t="n"/>
      <c r="Q204" s="129" t="n"/>
      <c r="R204" s="129" t="n"/>
      <c r="S204" s="129" t="n"/>
      <c r="T204" s="129" t="n"/>
      <c r="U204" s="129" t="n"/>
      <c r="V204" s="129" t="n"/>
      <c r="W204" s="129" t="n"/>
      <c r="X204" s="129" t="n"/>
      <c r="Y204" s="129" t="n"/>
      <c r="Z204" s="129" t="n"/>
      <c r="AA204" s="129" t="n"/>
      <c r="AB204" s="129" t="n"/>
      <c r="AC204" s="129" t="n"/>
      <c r="AD204" s="129" t="n"/>
      <c r="AE204" s="129" t="n"/>
      <c r="AF204" s="129" t="n"/>
      <c r="AG204" s="129" t="n"/>
      <c r="AH204" s="129" t="n"/>
      <c r="AI204" s="129" t="n"/>
      <c r="AJ204" s="129" t="n"/>
      <c r="AK204" s="129" t="n"/>
      <c r="AL204" s="129" t="n"/>
      <c r="AM204" s="129" t="n"/>
      <c r="AN204" s="129" t="n"/>
      <c r="AO204" s="129" t="n"/>
      <c r="AP204" s="129" t="n"/>
      <c r="AQ204" s="129" t="n"/>
      <c r="AR204" s="129" t="n"/>
      <c r="AS204" s="129" t="n"/>
      <c r="AT204" s="129" t="n"/>
      <c r="AU204" s="129" t="n"/>
      <c r="AV204" s="129" t="n"/>
      <c r="AW204" s="129" t="n"/>
      <c r="AX204" s="129" t="n"/>
      <c r="AY204" s="129" t="n"/>
      <c r="AZ204" s="129" t="n"/>
      <c r="BA204" s="129" t="n"/>
      <c r="BB204" s="129" t="n"/>
      <c r="BC204" s="129" t="n"/>
      <c r="BD204" s="129" t="n"/>
      <c r="BE204" s="129" t="n"/>
      <c r="BF204" s="129" t="n"/>
      <c r="BG204" s="129" t="n"/>
      <c r="BH204" s="129" t="n"/>
      <c r="BI204" s="129" t="n"/>
      <c r="BJ204" s="129" t="n"/>
      <c r="BK204" s="129" t="n"/>
      <c r="BL204" s="129" t="n"/>
      <c r="BM204" s="129" t="n"/>
      <c r="BN204" s="129" t="n"/>
      <c r="BO204" s="129" t="n"/>
      <c r="BP204" s="129" t="n"/>
      <c r="BQ204" s="129" t="n"/>
      <c r="BR204" s="129" t="n"/>
      <c r="BS204" s="129" t="n"/>
      <c r="BT204" s="129" t="n"/>
      <c r="BU204" s="129" t="n"/>
      <c r="BV204" s="129" t="n"/>
      <c r="BW204" s="129" t="n"/>
      <c r="BX204" s="129" t="n"/>
      <c r="BY204" s="129" t="n"/>
      <c r="BZ204" s="129" t="n"/>
      <c r="CA204" s="129" t="n"/>
      <c r="CB204" s="129" t="n"/>
      <c r="CC204" s="129" t="n"/>
      <c r="CD204" s="129" t="n"/>
      <c r="CE204" s="129" t="n"/>
      <c r="CF204" s="129" t="n"/>
      <c r="CG204" s="129" t="n"/>
      <c r="CH204" s="129" t="n"/>
      <c r="CI204" s="129" t="n"/>
      <c r="CJ204" s="129" t="n"/>
      <c r="CK204" s="129" t="n"/>
      <c r="CL204" s="129" t="n"/>
      <c r="CM204" s="129" t="n"/>
      <c r="CN204" s="129" t="n"/>
      <c r="CO204" s="129" t="n"/>
      <c r="CP204" s="129" t="n"/>
      <c r="CQ204" s="129" t="n"/>
      <c r="CR204" s="129" t="n"/>
      <c r="CS204" s="129" t="n"/>
      <c r="CT204" s="129" t="n"/>
      <c r="CU204" s="129" t="n"/>
      <c r="CV204" s="129" t="n"/>
      <c r="CW204" s="129" t="n"/>
      <c r="CX204" s="129" t="n"/>
      <c r="CY204" s="129" t="n"/>
      <c r="CZ204" s="129" t="n"/>
      <c r="DA204" s="129" t="n"/>
      <c r="DB204" s="129" t="n"/>
      <c r="DC204" s="129" t="n"/>
      <c r="DD204" s="129" t="n"/>
      <c r="DE204" s="129" t="n"/>
      <c r="DF204" s="129" t="n"/>
      <c r="DG204" s="129" t="n"/>
      <c r="DH204" s="129" t="n"/>
      <c r="DI204" s="129" t="n"/>
      <c r="DJ204" s="129" t="n"/>
      <c r="DK204" s="129" t="n"/>
      <c r="DL204" s="129" t="n"/>
      <c r="DM204" s="129" t="n"/>
      <c r="DN204" s="129" t="n"/>
      <c r="DO204" s="129" t="n"/>
      <c r="DP204" s="129" t="n"/>
      <c r="DQ204" s="129" t="n"/>
      <c r="DR204" s="129" t="n"/>
      <c r="DS204" s="129" t="n"/>
      <c r="DT204" s="129" t="n"/>
      <c r="DU204" s="129" t="n"/>
      <c r="DV204" s="129" t="n"/>
      <c r="DW204" s="129" t="n"/>
      <c r="DX204" s="129" t="n"/>
      <c r="DY204" s="129" t="n"/>
      <c r="DZ204" s="129" t="n"/>
      <c r="EA204" s="129" t="n"/>
      <c r="EB204" s="129" t="n"/>
      <c r="EC204" s="129" t="n"/>
      <c r="ED204" s="129" t="n"/>
      <c r="EE204" s="129" t="n"/>
      <c r="EF204" s="129" t="n"/>
      <c r="EG204" s="129" t="n"/>
      <c r="EH204" s="129" t="n"/>
      <c r="EI204" s="129" t="n"/>
      <c r="EJ204" s="129" t="n"/>
      <c r="EK204" s="129" t="n"/>
      <c r="EL204" s="129" t="n"/>
      <c r="EM204" s="129" t="n"/>
      <c r="EN204" s="129" t="n"/>
      <c r="EO204" s="129" t="n"/>
      <c r="EP204" s="129" t="n"/>
      <c r="EQ204" s="129" t="n"/>
      <c r="ER204" s="129" t="n"/>
      <c r="ES204" s="129" t="n"/>
      <c r="ET204" s="129" t="n"/>
      <c r="EU204" s="129" t="n"/>
      <c r="EV204" s="129" t="n"/>
      <c r="EW204" s="129" t="n"/>
      <c r="EX204" s="129" t="n"/>
      <c r="EY204" s="129" t="n"/>
      <c r="EZ204" s="129" t="n"/>
      <c r="FA204" s="129" t="n"/>
      <c r="FB204" s="129" t="n"/>
      <c r="FC204" s="129" t="n"/>
      <c r="FD204" s="129" t="n"/>
      <c r="FE204" s="129" t="n"/>
      <c r="FF204" s="129" t="n"/>
      <c r="FG204" s="129" t="n"/>
      <c r="FH204" s="129" t="n"/>
      <c r="FI204" s="129" t="n"/>
      <c r="FJ204" s="129" t="n"/>
      <c r="FK204" s="129" t="n"/>
      <c r="FL204" s="129" t="n"/>
      <c r="FM204" s="129" t="n"/>
    </row>
    <row r="205" s="135">
      <c r="A205" s="52" t="n">
        <v>38960</v>
      </c>
      <c r="B205" s="30" t="n">
        <v>0.157</v>
      </c>
      <c r="C205" s="29" t="n">
        <v>52.6</v>
      </c>
      <c r="D205" s="129" t="n"/>
      <c r="E205" s="129" t="n"/>
      <c r="F205" s="129" t="n"/>
      <c r="G205" s="129" t="n"/>
      <c r="H205" s="129" t="n"/>
      <c r="I205" s="129" t="n"/>
      <c r="J205" s="129" t="n"/>
      <c r="K205" s="129" t="n"/>
      <c r="L205" s="129" t="n"/>
      <c r="M205" s="129" t="n"/>
      <c r="N205" s="129" t="n"/>
      <c r="O205" s="129" t="n"/>
      <c r="P205" s="129" t="n"/>
      <c r="Q205" s="129" t="n"/>
      <c r="R205" s="129" t="n"/>
      <c r="S205" s="129" t="n"/>
      <c r="T205" s="129" t="n"/>
      <c r="U205" s="129" t="n"/>
      <c r="V205" s="129" t="n"/>
      <c r="W205" s="129" t="n"/>
      <c r="X205" s="129" t="n"/>
      <c r="Y205" s="129" t="n"/>
      <c r="Z205" s="129" t="n"/>
      <c r="AA205" s="129" t="n"/>
      <c r="AB205" s="129" t="n"/>
      <c r="AC205" s="129" t="n"/>
      <c r="AD205" s="129" t="n"/>
      <c r="AE205" s="129" t="n"/>
      <c r="AF205" s="129" t="n"/>
      <c r="AG205" s="129" t="n"/>
      <c r="AH205" s="129" t="n"/>
      <c r="AI205" s="129" t="n"/>
      <c r="AJ205" s="129" t="n"/>
      <c r="AK205" s="129" t="n"/>
      <c r="AL205" s="129" t="n"/>
      <c r="AM205" s="129" t="n"/>
      <c r="AN205" s="129" t="n"/>
      <c r="AO205" s="129" t="n"/>
      <c r="AP205" s="129" t="n"/>
      <c r="AQ205" s="129" t="n"/>
      <c r="AR205" s="129" t="n"/>
      <c r="AS205" s="129" t="n"/>
      <c r="AT205" s="129" t="n"/>
      <c r="AU205" s="129" t="n"/>
      <c r="AV205" s="129" t="n"/>
      <c r="AW205" s="129" t="n"/>
      <c r="AX205" s="129" t="n"/>
      <c r="AY205" s="129" t="n"/>
      <c r="AZ205" s="129" t="n"/>
      <c r="BA205" s="129" t="n"/>
      <c r="BB205" s="129" t="n"/>
      <c r="BC205" s="129" t="n"/>
      <c r="BD205" s="129" t="n"/>
      <c r="BE205" s="129" t="n"/>
      <c r="BF205" s="129" t="n"/>
      <c r="BG205" s="129" t="n"/>
      <c r="BH205" s="129" t="n"/>
      <c r="BI205" s="129" t="n"/>
      <c r="BJ205" s="129" t="n"/>
      <c r="BK205" s="129" t="n"/>
      <c r="BL205" s="129" t="n"/>
      <c r="BM205" s="129" t="n"/>
      <c r="BN205" s="129" t="n"/>
      <c r="BO205" s="129" t="n"/>
      <c r="BP205" s="129" t="n"/>
      <c r="BQ205" s="129" t="n"/>
      <c r="BR205" s="129" t="n"/>
      <c r="BS205" s="129" t="n"/>
      <c r="BT205" s="129" t="n"/>
      <c r="BU205" s="129" t="n"/>
      <c r="BV205" s="129" t="n"/>
      <c r="BW205" s="129" t="n"/>
      <c r="BX205" s="129" t="n"/>
      <c r="BY205" s="129" t="n"/>
      <c r="BZ205" s="129" t="n"/>
      <c r="CA205" s="129" t="n"/>
      <c r="CB205" s="129" t="n"/>
      <c r="CC205" s="129" t="n"/>
      <c r="CD205" s="129" t="n"/>
      <c r="CE205" s="129" t="n"/>
      <c r="CF205" s="129" t="n"/>
      <c r="CG205" s="129" t="n"/>
      <c r="CH205" s="129" t="n"/>
      <c r="CI205" s="129" t="n"/>
      <c r="CJ205" s="129" t="n"/>
      <c r="CK205" s="129" t="n"/>
      <c r="CL205" s="129" t="n"/>
      <c r="CM205" s="129" t="n"/>
      <c r="CN205" s="129" t="n"/>
      <c r="CO205" s="129" t="n"/>
      <c r="CP205" s="129" t="n"/>
      <c r="CQ205" s="129" t="n"/>
      <c r="CR205" s="129" t="n"/>
      <c r="CS205" s="129" t="n"/>
      <c r="CT205" s="129" t="n"/>
      <c r="CU205" s="129" t="n"/>
      <c r="CV205" s="129" t="n"/>
      <c r="CW205" s="129" t="n"/>
      <c r="CX205" s="129" t="n"/>
      <c r="CY205" s="129" t="n"/>
      <c r="CZ205" s="129" t="n"/>
      <c r="DA205" s="129" t="n"/>
      <c r="DB205" s="129" t="n"/>
      <c r="DC205" s="129" t="n"/>
      <c r="DD205" s="129" t="n"/>
      <c r="DE205" s="129" t="n"/>
      <c r="DF205" s="129" t="n"/>
      <c r="DG205" s="129" t="n"/>
      <c r="DH205" s="129" t="n"/>
      <c r="DI205" s="129" t="n"/>
      <c r="DJ205" s="129" t="n"/>
      <c r="DK205" s="129" t="n"/>
      <c r="DL205" s="129" t="n"/>
      <c r="DM205" s="129" t="n"/>
      <c r="DN205" s="129" t="n"/>
      <c r="DO205" s="129" t="n"/>
      <c r="DP205" s="129" t="n"/>
      <c r="DQ205" s="129" t="n"/>
      <c r="DR205" s="129" t="n"/>
      <c r="DS205" s="129" t="n"/>
      <c r="DT205" s="129" t="n"/>
      <c r="DU205" s="129" t="n"/>
      <c r="DV205" s="129" t="n"/>
      <c r="DW205" s="129" t="n"/>
      <c r="DX205" s="129" t="n"/>
      <c r="DY205" s="129" t="n"/>
      <c r="DZ205" s="129" t="n"/>
      <c r="EA205" s="129" t="n"/>
      <c r="EB205" s="129" t="n"/>
      <c r="EC205" s="129" t="n"/>
      <c r="ED205" s="129" t="n"/>
      <c r="EE205" s="129" t="n"/>
      <c r="EF205" s="129" t="n"/>
      <c r="EG205" s="129" t="n"/>
      <c r="EH205" s="129" t="n"/>
      <c r="EI205" s="129" t="n"/>
      <c r="EJ205" s="129" t="n"/>
      <c r="EK205" s="129" t="n"/>
      <c r="EL205" s="129" t="n"/>
      <c r="EM205" s="129" t="n"/>
      <c r="EN205" s="129" t="n"/>
      <c r="EO205" s="129" t="n"/>
      <c r="EP205" s="129" t="n"/>
      <c r="EQ205" s="129" t="n"/>
      <c r="ER205" s="129" t="n"/>
      <c r="ES205" s="129" t="n"/>
      <c r="ET205" s="129" t="n"/>
      <c r="EU205" s="129" t="n"/>
      <c r="EV205" s="129" t="n"/>
      <c r="EW205" s="129" t="n"/>
      <c r="EX205" s="129" t="n"/>
      <c r="EY205" s="129" t="n"/>
      <c r="EZ205" s="129" t="n"/>
      <c r="FA205" s="129" t="n"/>
      <c r="FB205" s="129" t="n"/>
      <c r="FC205" s="129" t="n"/>
      <c r="FD205" s="129" t="n"/>
      <c r="FE205" s="129" t="n"/>
      <c r="FF205" s="129" t="n"/>
      <c r="FG205" s="129" t="n"/>
      <c r="FH205" s="129" t="n"/>
      <c r="FI205" s="129" t="n"/>
      <c r="FJ205" s="129" t="n"/>
      <c r="FK205" s="129" t="n"/>
      <c r="FL205" s="129" t="n"/>
      <c r="FM205" s="129" t="n"/>
    </row>
    <row r="206" s="135">
      <c r="A206" s="53" t="n">
        <v>38990</v>
      </c>
      <c r="B206" s="54" t="n">
        <v>0.161</v>
      </c>
      <c r="C206" s="29" t="n">
        <v>52.4</v>
      </c>
      <c r="D206" s="129" t="n"/>
      <c r="E206" s="129" t="n"/>
      <c r="F206" s="129" t="n"/>
      <c r="G206" s="129" t="n"/>
      <c r="H206" s="129" t="n"/>
      <c r="I206" s="129" t="n"/>
      <c r="J206" s="129" t="n"/>
      <c r="K206" s="129" t="n"/>
      <c r="L206" s="129" t="n"/>
      <c r="M206" s="129" t="n"/>
      <c r="N206" s="129" t="n"/>
      <c r="O206" s="129" t="n"/>
      <c r="P206" s="129" t="n"/>
      <c r="Q206" s="129" t="n"/>
      <c r="R206" s="129" t="n"/>
      <c r="S206" s="129" t="n"/>
      <c r="T206" s="129" t="n"/>
      <c r="U206" s="129" t="n"/>
      <c r="V206" s="129" t="n"/>
      <c r="W206" s="129" t="n"/>
      <c r="X206" s="129" t="n"/>
      <c r="Y206" s="129" t="n"/>
      <c r="Z206" s="129" t="n"/>
      <c r="AA206" s="129" t="n"/>
      <c r="AB206" s="129" t="n"/>
      <c r="AC206" s="129" t="n"/>
      <c r="AD206" s="129" t="n"/>
      <c r="AE206" s="129" t="n"/>
      <c r="AF206" s="129" t="n"/>
      <c r="AG206" s="129" t="n"/>
      <c r="AH206" s="129" t="n"/>
      <c r="AI206" s="129" t="n"/>
      <c r="AJ206" s="129" t="n"/>
      <c r="AK206" s="129" t="n"/>
      <c r="AL206" s="129" t="n"/>
      <c r="AM206" s="129" t="n"/>
      <c r="AN206" s="129" t="n"/>
      <c r="AO206" s="129" t="n"/>
      <c r="AP206" s="129" t="n"/>
      <c r="AQ206" s="129" t="n"/>
      <c r="AR206" s="129" t="n"/>
      <c r="AS206" s="129" t="n"/>
      <c r="AT206" s="129" t="n"/>
      <c r="AU206" s="129" t="n"/>
      <c r="AV206" s="129" t="n"/>
      <c r="AW206" s="129" t="n"/>
      <c r="AX206" s="129" t="n"/>
      <c r="AY206" s="129" t="n"/>
      <c r="AZ206" s="129" t="n"/>
      <c r="BA206" s="129" t="n"/>
      <c r="BB206" s="129" t="n"/>
      <c r="BC206" s="129" t="n"/>
      <c r="BD206" s="129" t="n"/>
      <c r="BE206" s="129" t="n"/>
      <c r="BF206" s="129" t="n"/>
      <c r="BG206" s="129" t="n"/>
      <c r="BH206" s="129" t="n"/>
      <c r="BI206" s="129" t="n"/>
      <c r="BJ206" s="129" t="n"/>
      <c r="BK206" s="129" t="n"/>
      <c r="BL206" s="129" t="n"/>
      <c r="BM206" s="129" t="n"/>
      <c r="BN206" s="129" t="n"/>
      <c r="BO206" s="129" t="n"/>
      <c r="BP206" s="129" t="n"/>
      <c r="BQ206" s="129" t="n"/>
      <c r="BR206" s="129" t="n"/>
      <c r="BS206" s="129" t="n"/>
      <c r="BT206" s="129" t="n"/>
      <c r="BU206" s="129" t="n"/>
      <c r="BV206" s="129" t="n"/>
      <c r="BW206" s="129" t="n"/>
      <c r="BX206" s="129" t="n"/>
      <c r="BY206" s="129" t="n"/>
      <c r="BZ206" s="129" t="n"/>
      <c r="CA206" s="129" t="n"/>
      <c r="CB206" s="129" t="n"/>
      <c r="CC206" s="129" t="n"/>
      <c r="CD206" s="129" t="n"/>
      <c r="CE206" s="129" t="n"/>
      <c r="CF206" s="129" t="n"/>
      <c r="CG206" s="129" t="n"/>
      <c r="CH206" s="129" t="n"/>
      <c r="CI206" s="129" t="n"/>
      <c r="CJ206" s="129" t="n"/>
      <c r="CK206" s="129" t="n"/>
      <c r="CL206" s="129" t="n"/>
      <c r="CM206" s="129" t="n"/>
      <c r="CN206" s="129" t="n"/>
      <c r="CO206" s="129" t="n"/>
      <c r="CP206" s="129" t="n"/>
      <c r="CQ206" s="129" t="n"/>
      <c r="CR206" s="129" t="n"/>
      <c r="CS206" s="129" t="n"/>
      <c r="CT206" s="129" t="n"/>
      <c r="CU206" s="129" t="n"/>
      <c r="CV206" s="129" t="n"/>
      <c r="CW206" s="129" t="n"/>
      <c r="CX206" s="129" t="n"/>
      <c r="CY206" s="129" t="n"/>
      <c r="CZ206" s="129" t="n"/>
      <c r="DA206" s="129" t="n"/>
      <c r="DB206" s="129" t="n"/>
      <c r="DC206" s="129" t="n"/>
      <c r="DD206" s="129" t="n"/>
      <c r="DE206" s="129" t="n"/>
      <c r="DF206" s="129" t="n"/>
      <c r="DG206" s="129" t="n"/>
      <c r="DH206" s="129" t="n"/>
      <c r="DI206" s="129" t="n"/>
      <c r="DJ206" s="129" t="n"/>
      <c r="DK206" s="129" t="n"/>
      <c r="DL206" s="129" t="n"/>
      <c r="DM206" s="129" t="n"/>
      <c r="DN206" s="129" t="n"/>
      <c r="DO206" s="129" t="n"/>
      <c r="DP206" s="129" t="n"/>
      <c r="DQ206" s="129" t="n"/>
      <c r="DR206" s="129" t="n"/>
      <c r="DS206" s="129" t="n"/>
      <c r="DT206" s="129" t="n"/>
      <c r="DU206" s="129" t="n"/>
      <c r="DV206" s="129" t="n"/>
      <c r="DW206" s="129" t="n"/>
      <c r="DX206" s="129" t="n"/>
      <c r="DY206" s="129" t="n"/>
      <c r="DZ206" s="129" t="n"/>
      <c r="EA206" s="129" t="n"/>
      <c r="EB206" s="129" t="n"/>
      <c r="EC206" s="129" t="n"/>
      <c r="ED206" s="129" t="n"/>
      <c r="EE206" s="129" t="n"/>
      <c r="EF206" s="129" t="n"/>
      <c r="EG206" s="129" t="n"/>
      <c r="EH206" s="129" t="n"/>
      <c r="EI206" s="129" t="n"/>
      <c r="EJ206" s="129" t="n"/>
      <c r="EK206" s="129" t="n"/>
      <c r="EL206" s="129" t="n"/>
      <c r="EM206" s="129" t="n"/>
      <c r="EN206" s="129" t="n"/>
      <c r="EO206" s="129" t="n"/>
      <c r="EP206" s="129" t="n"/>
      <c r="EQ206" s="129" t="n"/>
      <c r="ER206" s="129" t="n"/>
      <c r="ES206" s="129" t="n"/>
      <c r="ET206" s="129" t="n"/>
      <c r="EU206" s="129" t="n"/>
      <c r="EV206" s="129" t="n"/>
      <c r="EW206" s="129" t="n"/>
      <c r="EX206" s="129" t="n"/>
      <c r="EY206" s="129" t="n"/>
      <c r="EZ206" s="129" t="n"/>
      <c r="FA206" s="129" t="n"/>
      <c r="FB206" s="129" t="n"/>
      <c r="FC206" s="129" t="n"/>
      <c r="FD206" s="129" t="n"/>
      <c r="FE206" s="129" t="n"/>
      <c r="FF206" s="129" t="n"/>
      <c r="FG206" s="129" t="n"/>
      <c r="FH206" s="129" t="n"/>
      <c r="FI206" s="129" t="n"/>
      <c r="FJ206" s="129" t="n"/>
      <c r="FK206" s="129" t="n"/>
      <c r="FL206" s="129" t="n"/>
      <c r="FM206" s="129" t="n"/>
    </row>
    <row r="207" s="135">
      <c r="A207" s="52" t="n">
        <v>39021</v>
      </c>
      <c r="B207" s="30" t="n">
        <v>0.147</v>
      </c>
      <c r="C207" s="29" t="n">
        <v>52.1</v>
      </c>
      <c r="D207" s="129" t="n"/>
      <c r="E207" s="129" t="n"/>
      <c r="F207" s="129" t="n"/>
      <c r="G207" s="129" t="n"/>
      <c r="H207" s="129" t="n"/>
      <c r="I207" s="129" t="n"/>
      <c r="J207" s="129" t="n"/>
      <c r="K207" s="129" t="n"/>
      <c r="L207" s="129" t="n"/>
      <c r="M207" s="129" t="n"/>
      <c r="N207" s="129" t="n"/>
      <c r="O207" s="129" t="n"/>
      <c r="P207" s="129" t="n"/>
      <c r="Q207" s="129" t="n"/>
      <c r="R207" s="129" t="n"/>
      <c r="S207" s="129" t="n"/>
      <c r="T207" s="129" t="n"/>
      <c r="U207" s="129" t="n"/>
      <c r="V207" s="129" t="n"/>
      <c r="W207" s="129" t="n"/>
      <c r="X207" s="129" t="n"/>
      <c r="Y207" s="129" t="n"/>
      <c r="Z207" s="129" t="n"/>
      <c r="AA207" s="129" t="n"/>
      <c r="AB207" s="129" t="n"/>
      <c r="AC207" s="129" t="n"/>
      <c r="AD207" s="129" t="n"/>
      <c r="AE207" s="129" t="n"/>
      <c r="AF207" s="129" t="n"/>
      <c r="AG207" s="129" t="n"/>
      <c r="AH207" s="129" t="n"/>
      <c r="AI207" s="129" t="n"/>
      <c r="AJ207" s="129" t="n"/>
      <c r="AK207" s="129" t="n"/>
      <c r="AL207" s="129" t="n"/>
      <c r="AM207" s="129" t="n"/>
      <c r="AN207" s="129" t="n"/>
      <c r="AO207" s="129" t="n"/>
      <c r="AP207" s="129" t="n"/>
      <c r="AQ207" s="129" t="n"/>
      <c r="AR207" s="129" t="n"/>
      <c r="AS207" s="129" t="n"/>
      <c r="AT207" s="129" t="n"/>
      <c r="AU207" s="129" t="n"/>
      <c r="AV207" s="129" t="n"/>
      <c r="AW207" s="129" t="n"/>
      <c r="AX207" s="129" t="n"/>
      <c r="AY207" s="129" t="n"/>
      <c r="AZ207" s="129" t="n"/>
      <c r="BA207" s="129" t="n"/>
      <c r="BB207" s="129" t="n"/>
      <c r="BC207" s="129" t="n"/>
      <c r="BD207" s="129" t="n"/>
      <c r="BE207" s="129" t="n"/>
      <c r="BF207" s="129" t="n"/>
      <c r="BG207" s="129" t="n"/>
      <c r="BH207" s="129" t="n"/>
      <c r="BI207" s="129" t="n"/>
      <c r="BJ207" s="129" t="n"/>
      <c r="BK207" s="129" t="n"/>
      <c r="BL207" s="129" t="n"/>
      <c r="BM207" s="129" t="n"/>
      <c r="BN207" s="129" t="n"/>
      <c r="BO207" s="129" t="n"/>
      <c r="BP207" s="129" t="n"/>
      <c r="BQ207" s="129" t="n"/>
      <c r="BR207" s="129" t="n"/>
      <c r="BS207" s="129" t="n"/>
      <c r="BT207" s="129" t="n"/>
      <c r="BU207" s="129" t="n"/>
      <c r="BV207" s="129" t="n"/>
      <c r="BW207" s="129" t="n"/>
      <c r="BX207" s="129" t="n"/>
      <c r="BY207" s="129" t="n"/>
      <c r="BZ207" s="129" t="n"/>
      <c r="CA207" s="129" t="n"/>
      <c r="CB207" s="129" t="n"/>
      <c r="CC207" s="129" t="n"/>
      <c r="CD207" s="129" t="n"/>
      <c r="CE207" s="129" t="n"/>
      <c r="CF207" s="129" t="n"/>
      <c r="CG207" s="129" t="n"/>
      <c r="CH207" s="129" t="n"/>
      <c r="CI207" s="129" t="n"/>
      <c r="CJ207" s="129" t="n"/>
      <c r="CK207" s="129" t="n"/>
      <c r="CL207" s="129" t="n"/>
      <c r="CM207" s="129" t="n"/>
      <c r="CN207" s="129" t="n"/>
      <c r="CO207" s="129" t="n"/>
      <c r="CP207" s="129" t="n"/>
      <c r="CQ207" s="129" t="n"/>
      <c r="CR207" s="129" t="n"/>
      <c r="CS207" s="129" t="n"/>
      <c r="CT207" s="129" t="n"/>
      <c r="CU207" s="129" t="n"/>
      <c r="CV207" s="129" t="n"/>
      <c r="CW207" s="129" t="n"/>
      <c r="CX207" s="129" t="n"/>
      <c r="CY207" s="129" t="n"/>
      <c r="CZ207" s="129" t="n"/>
      <c r="DA207" s="129" t="n"/>
      <c r="DB207" s="129" t="n"/>
      <c r="DC207" s="129" t="n"/>
      <c r="DD207" s="129" t="n"/>
      <c r="DE207" s="129" t="n"/>
      <c r="DF207" s="129" t="n"/>
      <c r="DG207" s="129" t="n"/>
      <c r="DH207" s="129" t="n"/>
      <c r="DI207" s="129" t="n"/>
      <c r="DJ207" s="129" t="n"/>
      <c r="DK207" s="129" t="n"/>
      <c r="DL207" s="129" t="n"/>
      <c r="DM207" s="129" t="n"/>
      <c r="DN207" s="129" t="n"/>
      <c r="DO207" s="129" t="n"/>
      <c r="DP207" s="129" t="n"/>
      <c r="DQ207" s="129" t="n"/>
      <c r="DR207" s="129" t="n"/>
      <c r="DS207" s="129" t="n"/>
      <c r="DT207" s="129" t="n"/>
      <c r="DU207" s="129" t="n"/>
      <c r="DV207" s="129" t="n"/>
      <c r="DW207" s="129" t="n"/>
      <c r="DX207" s="129" t="n"/>
      <c r="DY207" s="129" t="n"/>
      <c r="DZ207" s="129" t="n"/>
      <c r="EA207" s="129" t="n"/>
      <c r="EB207" s="129" t="n"/>
      <c r="EC207" s="129" t="n"/>
      <c r="ED207" s="129" t="n"/>
      <c r="EE207" s="129" t="n"/>
      <c r="EF207" s="129" t="n"/>
      <c r="EG207" s="129" t="n"/>
      <c r="EH207" s="129" t="n"/>
      <c r="EI207" s="129" t="n"/>
      <c r="EJ207" s="129" t="n"/>
      <c r="EK207" s="129" t="n"/>
      <c r="EL207" s="129" t="n"/>
      <c r="EM207" s="129" t="n"/>
      <c r="EN207" s="129" t="n"/>
      <c r="EO207" s="129" t="n"/>
      <c r="EP207" s="129" t="n"/>
      <c r="EQ207" s="129" t="n"/>
      <c r="ER207" s="129" t="n"/>
      <c r="ES207" s="129" t="n"/>
      <c r="ET207" s="129" t="n"/>
      <c r="EU207" s="129" t="n"/>
      <c r="EV207" s="129" t="n"/>
      <c r="EW207" s="129" t="n"/>
      <c r="EX207" s="129" t="n"/>
      <c r="EY207" s="129" t="n"/>
      <c r="EZ207" s="129" t="n"/>
      <c r="FA207" s="129" t="n"/>
      <c r="FB207" s="129" t="n"/>
      <c r="FC207" s="129" t="n"/>
      <c r="FD207" s="129" t="n"/>
      <c r="FE207" s="129" t="n"/>
      <c r="FF207" s="129" t="n"/>
      <c r="FG207" s="129" t="n"/>
      <c r="FH207" s="129" t="n"/>
      <c r="FI207" s="129" t="n"/>
      <c r="FJ207" s="129" t="n"/>
      <c r="FK207" s="129" t="n"/>
      <c r="FL207" s="129" t="n"/>
      <c r="FM207" s="129" t="n"/>
    </row>
    <row r="208" s="135">
      <c r="A208" s="53" t="n">
        <v>39051</v>
      </c>
      <c r="B208" s="54" t="n">
        <v>0.149</v>
      </c>
      <c r="C208" s="29" t="n">
        <v>53</v>
      </c>
      <c r="D208" s="129" t="n"/>
      <c r="E208" s="129" t="n"/>
      <c r="F208" s="129" t="n"/>
      <c r="G208" s="129" t="n"/>
      <c r="H208" s="129" t="n"/>
      <c r="I208" s="129" t="n"/>
      <c r="J208" s="129" t="n"/>
      <c r="K208" s="129" t="n"/>
      <c r="L208" s="129" t="n"/>
      <c r="M208" s="129" t="n"/>
      <c r="N208" s="129" t="n"/>
      <c r="O208" s="129" t="n"/>
      <c r="P208" s="129" t="n"/>
      <c r="Q208" s="129" t="n"/>
      <c r="R208" s="129" t="n"/>
      <c r="S208" s="129" t="n"/>
      <c r="T208" s="129" t="n"/>
      <c r="U208" s="129" t="n"/>
      <c r="V208" s="129" t="n"/>
      <c r="W208" s="129" t="n"/>
      <c r="X208" s="129" t="n"/>
      <c r="Y208" s="129" t="n"/>
      <c r="Z208" s="129" t="n"/>
      <c r="AA208" s="129" t="n"/>
      <c r="AB208" s="129" t="n"/>
      <c r="AC208" s="129" t="n"/>
      <c r="AD208" s="129" t="n"/>
      <c r="AE208" s="129" t="n"/>
      <c r="AF208" s="129" t="n"/>
      <c r="AG208" s="129" t="n"/>
      <c r="AH208" s="129" t="n"/>
      <c r="AI208" s="129" t="n"/>
      <c r="AJ208" s="129" t="n"/>
      <c r="AK208" s="129" t="n"/>
      <c r="AL208" s="129" t="n"/>
      <c r="AM208" s="129" t="n"/>
      <c r="AN208" s="129" t="n"/>
      <c r="AO208" s="129" t="n"/>
      <c r="AP208" s="129" t="n"/>
      <c r="AQ208" s="129" t="n"/>
      <c r="AR208" s="129" t="n"/>
      <c r="AS208" s="129" t="n"/>
      <c r="AT208" s="129" t="n"/>
      <c r="AU208" s="129" t="n"/>
      <c r="AV208" s="129" t="n"/>
      <c r="AW208" s="129" t="n"/>
      <c r="AX208" s="129" t="n"/>
      <c r="AY208" s="129" t="n"/>
      <c r="AZ208" s="129" t="n"/>
      <c r="BA208" s="129" t="n"/>
      <c r="BB208" s="129" t="n"/>
      <c r="BC208" s="129" t="n"/>
      <c r="BD208" s="129" t="n"/>
      <c r="BE208" s="129" t="n"/>
      <c r="BF208" s="129" t="n"/>
      <c r="BG208" s="129" t="n"/>
      <c r="BH208" s="129" t="n"/>
      <c r="BI208" s="129" t="n"/>
      <c r="BJ208" s="129" t="n"/>
      <c r="BK208" s="129" t="n"/>
      <c r="BL208" s="129" t="n"/>
      <c r="BM208" s="129" t="n"/>
      <c r="BN208" s="129" t="n"/>
      <c r="BO208" s="129" t="n"/>
      <c r="BP208" s="129" t="n"/>
      <c r="BQ208" s="129" t="n"/>
      <c r="BR208" s="129" t="n"/>
      <c r="BS208" s="129" t="n"/>
      <c r="BT208" s="129" t="n"/>
      <c r="BU208" s="129" t="n"/>
      <c r="BV208" s="129" t="n"/>
      <c r="BW208" s="129" t="n"/>
      <c r="BX208" s="129" t="n"/>
      <c r="BY208" s="129" t="n"/>
      <c r="BZ208" s="129" t="n"/>
      <c r="CA208" s="129" t="n"/>
      <c r="CB208" s="129" t="n"/>
      <c r="CC208" s="129" t="n"/>
      <c r="CD208" s="129" t="n"/>
      <c r="CE208" s="129" t="n"/>
      <c r="CF208" s="129" t="n"/>
      <c r="CG208" s="129" t="n"/>
      <c r="CH208" s="129" t="n"/>
      <c r="CI208" s="129" t="n"/>
      <c r="CJ208" s="129" t="n"/>
      <c r="CK208" s="129" t="n"/>
      <c r="CL208" s="129" t="n"/>
      <c r="CM208" s="129" t="n"/>
      <c r="CN208" s="129" t="n"/>
      <c r="CO208" s="129" t="n"/>
      <c r="CP208" s="129" t="n"/>
      <c r="CQ208" s="129" t="n"/>
      <c r="CR208" s="129" t="n"/>
      <c r="CS208" s="129" t="n"/>
      <c r="CT208" s="129" t="n"/>
      <c r="CU208" s="129" t="n"/>
      <c r="CV208" s="129" t="n"/>
      <c r="CW208" s="129" t="n"/>
      <c r="CX208" s="129" t="n"/>
      <c r="CY208" s="129" t="n"/>
      <c r="CZ208" s="129" t="n"/>
      <c r="DA208" s="129" t="n"/>
      <c r="DB208" s="129" t="n"/>
      <c r="DC208" s="129" t="n"/>
      <c r="DD208" s="129" t="n"/>
      <c r="DE208" s="129" t="n"/>
      <c r="DF208" s="129" t="n"/>
      <c r="DG208" s="129" t="n"/>
      <c r="DH208" s="129" t="n"/>
      <c r="DI208" s="129" t="n"/>
      <c r="DJ208" s="129" t="n"/>
      <c r="DK208" s="129" t="n"/>
      <c r="DL208" s="129" t="n"/>
      <c r="DM208" s="129" t="n"/>
      <c r="DN208" s="129" t="n"/>
      <c r="DO208" s="129" t="n"/>
      <c r="DP208" s="129" t="n"/>
      <c r="DQ208" s="129" t="n"/>
      <c r="DR208" s="129" t="n"/>
      <c r="DS208" s="129" t="n"/>
      <c r="DT208" s="129" t="n"/>
      <c r="DU208" s="129" t="n"/>
      <c r="DV208" s="129" t="n"/>
      <c r="DW208" s="129" t="n"/>
      <c r="DX208" s="129" t="n"/>
      <c r="DY208" s="129" t="n"/>
      <c r="DZ208" s="129" t="n"/>
      <c r="EA208" s="129" t="n"/>
      <c r="EB208" s="129" t="n"/>
      <c r="EC208" s="129" t="n"/>
      <c r="ED208" s="129" t="n"/>
      <c r="EE208" s="129" t="n"/>
      <c r="EF208" s="129" t="n"/>
      <c r="EG208" s="129" t="n"/>
      <c r="EH208" s="129" t="n"/>
      <c r="EI208" s="129" t="n"/>
      <c r="EJ208" s="129" t="n"/>
      <c r="EK208" s="129" t="n"/>
      <c r="EL208" s="129" t="n"/>
      <c r="EM208" s="129" t="n"/>
      <c r="EN208" s="129" t="n"/>
      <c r="EO208" s="129" t="n"/>
      <c r="EP208" s="129" t="n"/>
      <c r="EQ208" s="129" t="n"/>
      <c r="ER208" s="129" t="n"/>
      <c r="ES208" s="129" t="n"/>
      <c r="ET208" s="129" t="n"/>
      <c r="EU208" s="129" t="n"/>
      <c r="EV208" s="129" t="n"/>
      <c r="EW208" s="129" t="n"/>
      <c r="EX208" s="129" t="n"/>
      <c r="EY208" s="129" t="n"/>
      <c r="EZ208" s="129" t="n"/>
      <c r="FA208" s="129" t="n"/>
      <c r="FB208" s="129" t="n"/>
      <c r="FC208" s="129" t="n"/>
      <c r="FD208" s="129" t="n"/>
      <c r="FE208" s="129" t="n"/>
      <c r="FF208" s="129" t="n"/>
      <c r="FG208" s="129" t="n"/>
      <c r="FH208" s="129" t="n"/>
      <c r="FI208" s="129" t="n"/>
      <c r="FJ208" s="129" t="n"/>
      <c r="FK208" s="129" t="n"/>
      <c r="FL208" s="129" t="n"/>
      <c r="FM208" s="129" t="n"/>
    </row>
    <row r="209" s="135">
      <c r="A209" s="52" t="n">
        <v>39082</v>
      </c>
      <c r="B209" s="30" t="n">
        <v>0.147</v>
      </c>
      <c r="C209" s="29" t="n">
        <v>52.4</v>
      </c>
      <c r="D209" s="129" t="n"/>
      <c r="E209" s="129" t="n"/>
      <c r="F209" s="129" t="n"/>
      <c r="G209" s="129" t="n"/>
      <c r="H209" s="129" t="n"/>
      <c r="I209" s="129" t="n"/>
      <c r="J209" s="129" t="n"/>
      <c r="K209" s="129" t="n"/>
      <c r="L209" s="129" t="n"/>
      <c r="M209" s="129" t="n"/>
      <c r="N209" s="129" t="n"/>
      <c r="O209" s="129" t="n"/>
      <c r="P209" s="129" t="n"/>
      <c r="Q209" s="129" t="n"/>
      <c r="R209" s="129" t="n"/>
      <c r="S209" s="129" t="n"/>
      <c r="T209" s="129" t="n"/>
      <c r="U209" s="129" t="n"/>
      <c r="V209" s="129" t="n"/>
      <c r="W209" s="129" t="n"/>
      <c r="X209" s="129" t="n"/>
      <c r="Y209" s="129" t="n"/>
      <c r="Z209" s="129" t="n"/>
      <c r="AA209" s="129" t="n"/>
      <c r="AB209" s="129" t="n"/>
      <c r="AC209" s="129" t="n"/>
      <c r="AD209" s="129" t="n"/>
      <c r="AE209" s="129" t="n"/>
      <c r="AF209" s="129" t="n"/>
      <c r="AG209" s="129" t="n"/>
      <c r="AH209" s="129" t="n"/>
      <c r="AI209" s="129" t="n"/>
      <c r="AJ209" s="129" t="n"/>
      <c r="AK209" s="129" t="n"/>
      <c r="AL209" s="129" t="n"/>
      <c r="AM209" s="129" t="n"/>
      <c r="AN209" s="129" t="n"/>
      <c r="AO209" s="129" t="n"/>
      <c r="AP209" s="129" t="n"/>
      <c r="AQ209" s="129" t="n"/>
      <c r="AR209" s="129" t="n"/>
      <c r="AS209" s="129" t="n"/>
      <c r="AT209" s="129" t="n"/>
      <c r="AU209" s="129" t="n"/>
      <c r="AV209" s="129" t="n"/>
      <c r="AW209" s="129" t="n"/>
      <c r="AX209" s="129" t="n"/>
      <c r="AY209" s="129" t="n"/>
      <c r="AZ209" s="129" t="n"/>
      <c r="BA209" s="129" t="n"/>
      <c r="BB209" s="129" t="n"/>
      <c r="BC209" s="129" t="n"/>
      <c r="BD209" s="129" t="n"/>
      <c r="BE209" s="129" t="n"/>
      <c r="BF209" s="129" t="n"/>
      <c r="BG209" s="129" t="n"/>
      <c r="BH209" s="129" t="n"/>
      <c r="BI209" s="129" t="n"/>
      <c r="BJ209" s="129" t="n"/>
      <c r="BK209" s="129" t="n"/>
      <c r="BL209" s="129" t="n"/>
      <c r="BM209" s="129" t="n"/>
      <c r="BN209" s="129" t="n"/>
      <c r="BO209" s="129" t="n"/>
      <c r="BP209" s="129" t="n"/>
      <c r="BQ209" s="129" t="n"/>
      <c r="BR209" s="129" t="n"/>
      <c r="BS209" s="129" t="n"/>
      <c r="BT209" s="129" t="n"/>
      <c r="BU209" s="129" t="n"/>
      <c r="BV209" s="129" t="n"/>
      <c r="BW209" s="129" t="n"/>
      <c r="BX209" s="129" t="n"/>
      <c r="BY209" s="129" t="n"/>
      <c r="BZ209" s="129" t="n"/>
      <c r="CA209" s="129" t="n"/>
      <c r="CB209" s="129" t="n"/>
      <c r="CC209" s="129" t="n"/>
      <c r="CD209" s="129" t="n"/>
      <c r="CE209" s="129" t="n"/>
      <c r="CF209" s="129" t="n"/>
      <c r="CG209" s="129" t="n"/>
      <c r="CH209" s="129" t="n"/>
      <c r="CI209" s="129" t="n"/>
      <c r="CJ209" s="129" t="n"/>
      <c r="CK209" s="129" t="n"/>
      <c r="CL209" s="129" t="n"/>
      <c r="CM209" s="129" t="n"/>
      <c r="CN209" s="129" t="n"/>
      <c r="CO209" s="129" t="n"/>
      <c r="CP209" s="129" t="n"/>
      <c r="CQ209" s="129" t="n"/>
      <c r="CR209" s="129" t="n"/>
      <c r="CS209" s="129" t="n"/>
      <c r="CT209" s="129" t="n"/>
      <c r="CU209" s="129" t="n"/>
      <c r="CV209" s="129" t="n"/>
      <c r="CW209" s="129" t="n"/>
      <c r="CX209" s="129" t="n"/>
      <c r="CY209" s="129" t="n"/>
      <c r="CZ209" s="129" t="n"/>
      <c r="DA209" s="129" t="n"/>
      <c r="DB209" s="129" t="n"/>
      <c r="DC209" s="129" t="n"/>
      <c r="DD209" s="129" t="n"/>
      <c r="DE209" s="129" t="n"/>
      <c r="DF209" s="129" t="n"/>
      <c r="DG209" s="129" t="n"/>
      <c r="DH209" s="129" t="n"/>
      <c r="DI209" s="129" t="n"/>
      <c r="DJ209" s="129" t="n"/>
      <c r="DK209" s="129" t="n"/>
      <c r="DL209" s="129" t="n"/>
      <c r="DM209" s="129" t="n"/>
      <c r="DN209" s="129" t="n"/>
      <c r="DO209" s="129" t="n"/>
      <c r="DP209" s="129" t="n"/>
      <c r="DQ209" s="129" t="n"/>
      <c r="DR209" s="129" t="n"/>
      <c r="DS209" s="129" t="n"/>
      <c r="DT209" s="129" t="n"/>
      <c r="DU209" s="129" t="n"/>
      <c r="DV209" s="129" t="n"/>
      <c r="DW209" s="129" t="n"/>
      <c r="DX209" s="129" t="n"/>
      <c r="DY209" s="129" t="n"/>
      <c r="DZ209" s="129" t="n"/>
      <c r="EA209" s="129" t="n"/>
      <c r="EB209" s="129" t="n"/>
      <c r="EC209" s="129" t="n"/>
      <c r="ED209" s="129" t="n"/>
      <c r="EE209" s="129" t="n"/>
      <c r="EF209" s="129" t="n"/>
      <c r="EG209" s="129" t="n"/>
      <c r="EH209" s="129" t="n"/>
      <c r="EI209" s="129" t="n"/>
      <c r="EJ209" s="129" t="n"/>
      <c r="EK209" s="129" t="n"/>
      <c r="EL209" s="129" t="n"/>
      <c r="EM209" s="129" t="n"/>
      <c r="EN209" s="129" t="n"/>
      <c r="EO209" s="129" t="n"/>
      <c r="EP209" s="129" t="n"/>
      <c r="EQ209" s="129" t="n"/>
      <c r="ER209" s="129" t="n"/>
      <c r="ES209" s="129" t="n"/>
      <c r="ET209" s="129" t="n"/>
      <c r="EU209" s="129" t="n"/>
      <c r="EV209" s="129" t="n"/>
      <c r="EW209" s="129" t="n"/>
      <c r="EX209" s="129" t="n"/>
      <c r="EY209" s="129" t="n"/>
      <c r="EZ209" s="129" t="n"/>
      <c r="FA209" s="129" t="n"/>
      <c r="FB209" s="129" t="n"/>
      <c r="FC209" s="129" t="n"/>
      <c r="FD209" s="129" t="n"/>
      <c r="FE209" s="129" t="n"/>
      <c r="FF209" s="129" t="n"/>
      <c r="FG209" s="129" t="n"/>
      <c r="FH209" s="129" t="n"/>
      <c r="FI209" s="129" t="n"/>
      <c r="FJ209" s="129" t="n"/>
      <c r="FK209" s="129" t="n"/>
      <c r="FL209" s="129" t="n"/>
      <c r="FM209" s="129" t="n"/>
    </row>
    <row r="210" s="135">
      <c r="A210" s="53" t="n">
        <v>39141</v>
      </c>
      <c r="B210" s="54" t="n">
        <v>0.126</v>
      </c>
      <c r="C210" s="29" t="n">
        <v>53</v>
      </c>
      <c r="D210" s="129" t="n"/>
      <c r="E210" s="129" t="n"/>
      <c r="F210" s="129" t="n"/>
      <c r="G210" s="129" t="n"/>
      <c r="H210" s="129" t="n"/>
      <c r="I210" s="129" t="n"/>
      <c r="J210" s="129" t="n"/>
      <c r="K210" s="129" t="n"/>
      <c r="L210" s="129" t="n"/>
      <c r="M210" s="129" t="n"/>
      <c r="N210" s="129" t="n"/>
      <c r="O210" s="129" t="n"/>
      <c r="P210" s="129" t="n"/>
      <c r="Q210" s="129" t="n"/>
      <c r="R210" s="129" t="n"/>
      <c r="S210" s="129" t="n"/>
      <c r="T210" s="129" t="n"/>
      <c r="U210" s="129" t="n"/>
      <c r="V210" s="129" t="n"/>
      <c r="W210" s="129" t="n"/>
      <c r="X210" s="129" t="n"/>
      <c r="Y210" s="129" t="n"/>
      <c r="Z210" s="129" t="n"/>
      <c r="AA210" s="129" t="n"/>
      <c r="AB210" s="129" t="n"/>
      <c r="AC210" s="129" t="n"/>
      <c r="AD210" s="129" t="n"/>
      <c r="AE210" s="129" t="n"/>
      <c r="AF210" s="129" t="n"/>
      <c r="AG210" s="129" t="n"/>
      <c r="AH210" s="129" t="n"/>
      <c r="AI210" s="129" t="n"/>
      <c r="AJ210" s="129" t="n"/>
      <c r="AK210" s="129" t="n"/>
      <c r="AL210" s="129" t="n"/>
      <c r="AM210" s="129" t="n"/>
      <c r="AN210" s="129" t="n"/>
      <c r="AO210" s="129" t="n"/>
      <c r="AP210" s="129" t="n"/>
      <c r="AQ210" s="129" t="n"/>
      <c r="AR210" s="129" t="n"/>
      <c r="AS210" s="129" t="n"/>
      <c r="AT210" s="129" t="n"/>
      <c r="AU210" s="129" t="n"/>
      <c r="AV210" s="129" t="n"/>
      <c r="AW210" s="129" t="n"/>
      <c r="AX210" s="129" t="n"/>
      <c r="AY210" s="129" t="n"/>
      <c r="AZ210" s="129" t="n"/>
      <c r="BA210" s="129" t="n"/>
      <c r="BB210" s="129" t="n"/>
      <c r="BC210" s="129" t="n"/>
      <c r="BD210" s="129" t="n"/>
      <c r="BE210" s="129" t="n"/>
      <c r="BF210" s="129" t="n"/>
      <c r="BG210" s="129" t="n"/>
      <c r="BH210" s="129" t="n"/>
      <c r="BI210" s="129" t="n"/>
      <c r="BJ210" s="129" t="n"/>
      <c r="BK210" s="129" t="n"/>
      <c r="BL210" s="129" t="n"/>
      <c r="BM210" s="129" t="n"/>
      <c r="BN210" s="129" t="n"/>
      <c r="BO210" s="129" t="n"/>
      <c r="BP210" s="129" t="n"/>
      <c r="BQ210" s="129" t="n"/>
      <c r="BR210" s="129" t="n"/>
      <c r="BS210" s="129" t="n"/>
      <c r="BT210" s="129" t="n"/>
      <c r="BU210" s="129" t="n"/>
      <c r="BV210" s="129" t="n"/>
      <c r="BW210" s="129" t="n"/>
      <c r="BX210" s="129" t="n"/>
      <c r="BY210" s="129" t="n"/>
      <c r="BZ210" s="129" t="n"/>
      <c r="CA210" s="129" t="n"/>
      <c r="CB210" s="129" t="n"/>
      <c r="CC210" s="129" t="n"/>
      <c r="CD210" s="129" t="n"/>
      <c r="CE210" s="129" t="n"/>
      <c r="CF210" s="129" t="n"/>
      <c r="CG210" s="129" t="n"/>
      <c r="CH210" s="129" t="n"/>
      <c r="CI210" s="129" t="n"/>
      <c r="CJ210" s="129" t="n"/>
      <c r="CK210" s="129" t="n"/>
      <c r="CL210" s="129" t="n"/>
      <c r="CM210" s="129" t="n"/>
      <c r="CN210" s="129" t="n"/>
      <c r="CO210" s="129" t="n"/>
      <c r="CP210" s="129" t="n"/>
      <c r="CQ210" s="129" t="n"/>
      <c r="CR210" s="129" t="n"/>
      <c r="CS210" s="129" t="n"/>
      <c r="CT210" s="129" t="n"/>
      <c r="CU210" s="129" t="n"/>
      <c r="CV210" s="129" t="n"/>
      <c r="CW210" s="129" t="n"/>
      <c r="CX210" s="129" t="n"/>
      <c r="CY210" s="129" t="n"/>
      <c r="CZ210" s="129" t="n"/>
      <c r="DA210" s="129" t="n"/>
      <c r="DB210" s="129" t="n"/>
      <c r="DC210" s="129" t="n"/>
      <c r="DD210" s="129" t="n"/>
      <c r="DE210" s="129" t="n"/>
      <c r="DF210" s="129" t="n"/>
      <c r="DG210" s="129" t="n"/>
      <c r="DH210" s="129" t="n"/>
      <c r="DI210" s="129" t="n"/>
      <c r="DJ210" s="129" t="n"/>
      <c r="DK210" s="129" t="n"/>
      <c r="DL210" s="129" t="n"/>
      <c r="DM210" s="129" t="n"/>
      <c r="DN210" s="129" t="n"/>
      <c r="DO210" s="129" t="n"/>
      <c r="DP210" s="129" t="n"/>
      <c r="DQ210" s="129" t="n"/>
      <c r="DR210" s="129" t="n"/>
      <c r="DS210" s="129" t="n"/>
      <c r="DT210" s="129" t="n"/>
      <c r="DU210" s="129" t="n"/>
      <c r="DV210" s="129" t="n"/>
      <c r="DW210" s="129" t="n"/>
      <c r="DX210" s="129" t="n"/>
      <c r="DY210" s="129" t="n"/>
      <c r="DZ210" s="129" t="n"/>
      <c r="EA210" s="129" t="n"/>
      <c r="EB210" s="129" t="n"/>
      <c r="EC210" s="129" t="n"/>
      <c r="ED210" s="129" t="n"/>
      <c r="EE210" s="129" t="n"/>
      <c r="EF210" s="129" t="n"/>
      <c r="EG210" s="129" t="n"/>
      <c r="EH210" s="129" t="n"/>
      <c r="EI210" s="129" t="n"/>
      <c r="EJ210" s="129" t="n"/>
      <c r="EK210" s="129" t="n"/>
      <c r="EL210" s="129" t="n"/>
      <c r="EM210" s="129" t="n"/>
      <c r="EN210" s="129" t="n"/>
      <c r="EO210" s="129" t="n"/>
      <c r="EP210" s="129" t="n"/>
      <c r="EQ210" s="129" t="n"/>
      <c r="ER210" s="129" t="n"/>
      <c r="ES210" s="129" t="n"/>
      <c r="ET210" s="129" t="n"/>
      <c r="EU210" s="129" t="n"/>
      <c r="EV210" s="129" t="n"/>
      <c r="EW210" s="129" t="n"/>
      <c r="EX210" s="129" t="n"/>
      <c r="EY210" s="129" t="n"/>
      <c r="EZ210" s="129" t="n"/>
      <c r="FA210" s="129" t="n"/>
      <c r="FB210" s="129" t="n"/>
      <c r="FC210" s="129" t="n"/>
      <c r="FD210" s="129" t="n"/>
      <c r="FE210" s="129" t="n"/>
      <c r="FF210" s="129" t="n"/>
      <c r="FG210" s="129" t="n"/>
      <c r="FH210" s="129" t="n"/>
      <c r="FI210" s="129" t="n"/>
      <c r="FJ210" s="129" t="n"/>
      <c r="FK210" s="129" t="n"/>
      <c r="FL210" s="129" t="n"/>
      <c r="FM210" s="129" t="n"/>
    </row>
    <row r="211" s="135">
      <c r="A211" s="53" t="n">
        <v>39172</v>
      </c>
      <c r="B211" s="54" t="n">
        <v>0.176</v>
      </c>
      <c r="C211" s="29" t="n">
        <v>52.3</v>
      </c>
      <c r="D211" s="129" t="n"/>
      <c r="E211" s="129" t="n"/>
      <c r="F211" s="129" t="n"/>
      <c r="G211" s="129" t="n"/>
      <c r="H211" s="129" t="n"/>
      <c r="I211" s="129" t="n"/>
      <c r="J211" s="129" t="n"/>
      <c r="K211" s="129" t="n"/>
      <c r="L211" s="129" t="n"/>
      <c r="M211" s="129" t="n"/>
      <c r="N211" s="129" t="n"/>
      <c r="O211" s="129" t="n"/>
      <c r="P211" s="129" t="n"/>
      <c r="Q211" s="129" t="n"/>
      <c r="R211" s="129" t="n"/>
      <c r="S211" s="129" t="n"/>
      <c r="T211" s="129" t="n"/>
      <c r="U211" s="129" t="n"/>
      <c r="V211" s="129" t="n"/>
      <c r="W211" s="129" t="n"/>
      <c r="X211" s="129" t="n"/>
      <c r="Y211" s="129" t="n"/>
      <c r="Z211" s="129" t="n"/>
      <c r="AA211" s="129" t="n"/>
      <c r="AB211" s="129" t="n"/>
      <c r="AC211" s="129" t="n"/>
      <c r="AD211" s="129" t="n"/>
      <c r="AE211" s="129" t="n"/>
      <c r="AF211" s="129" t="n"/>
      <c r="AG211" s="129" t="n"/>
      <c r="AH211" s="129" t="n"/>
      <c r="AI211" s="129" t="n"/>
      <c r="AJ211" s="129" t="n"/>
      <c r="AK211" s="129" t="n"/>
      <c r="AL211" s="129" t="n"/>
      <c r="AM211" s="129" t="n"/>
      <c r="AN211" s="129" t="n"/>
      <c r="AO211" s="129" t="n"/>
      <c r="AP211" s="129" t="n"/>
      <c r="AQ211" s="129" t="n"/>
      <c r="AR211" s="129" t="n"/>
      <c r="AS211" s="129" t="n"/>
      <c r="AT211" s="129" t="n"/>
      <c r="AU211" s="129" t="n"/>
      <c r="AV211" s="129" t="n"/>
      <c r="AW211" s="129" t="n"/>
      <c r="AX211" s="129" t="n"/>
      <c r="AY211" s="129" t="n"/>
      <c r="AZ211" s="129" t="n"/>
      <c r="BA211" s="129" t="n"/>
      <c r="BB211" s="129" t="n"/>
      <c r="BC211" s="129" t="n"/>
      <c r="BD211" s="129" t="n"/>
      <c r="BE211" s="129" t="n"/>
      <c r="BF211" s="129" t="n"/>
      <c r="BG211" s="129" t="n"/>
      <c r="BH211" s="129" t="n"/>
      <c r="BI211" s="129" t="n"/>
      <c r="BJ211" s="129" t="n"/>
      <c r="BK211" s="129" t="n"/>
      <c r="BL211" s="129" t="n"/>
      <c r="BM211" s="129" t="n"/>
      <c r="BN211" s="129" t="n"/>
      <c r="BO211" s="129" t="n"/>
      <c r="BP211" s="129" t="n"/>
      <c r="BQ211" s="129" t="n"/>
      <c r="BR211" s="129" t="n"/>
      <c r="BS211" s="129" t="n"/>
      <c r="BT211" s="129" t="n"/>
      <c r="BU211" s="129" t="n"/>
      <c r="BV211" s="129" t="n"/>
      <c r="BW211" s="129" t="n"/>
      <c r="BX211" s="129" t="n"/>
      <c r="BY211" s="129" t="n"/>
      <c r="BZ211" s="129" t="n"/>
      <c r="CA211" s="129" t="n"/>
      <c r="CB211" s="129" t="n"/>
      <c r="CC211" s="129" t="n"/>
      <c r="CD211" s="129" t="n"/>
      <c r="CE211" s="129" t="n"/>
      <c r="CF211" s="129" t="n"/>
      <c r="CG211" s="129" t="n"/>
      <c r="CH211" s="129" t="n"/>
      <c r="CI211" s="129" t="n"/>
      <c r="CJ211" s="129" t="n"/>
      <c r="CK211" s="129" t="n"/>
      <c r="CL211" s="129" t="n"/>
      <c r="CM211" s="129" t="n"/>
      <c r="CN211" s="129" t="n"/>
      <c r="CO211" s="129" t="n"/>
      <c r="CP211" s="129" t="n"/>
      <c r="CQ211" s="129" t="n"/>
      <c r="CR211" s="129" t="n"/>
      <c r="CS211" s="129" t="n"/>
      <c r="CT211" s="129" t="n"/>
      <c r="CU211" s="129" t="n"/>
      <c r="CV211" s="129" t="n"/>
      <c r="CW211" s="129" t="n"/>
      <c r="CX211" s="129" t="n"/>
      <c r="CY211" s="129" t="n"/>
      <c r="CZ211" s="129" t="n"/>
      <c r="DA211" s="129" t="n"/>
      <c r="DB211" s="129" t="n"/>
      <c r="DC211" s="129" t="n"/>
      <c r="DD211" s="129" t="n"/>
      <c r="DE211" s="129" t="n"/>
      <c r="DF211" s="129" t="n"/>
      <c r="DG211" s="129" t="n"/>
      <c r="DH211" s="129" t="n"/>
      <c r="DI211" s="129" t="n"/>
      <c r="DJ211" s="129" t="n"/>
      <c r="DK211" s="129" t="n"/>
      <c r="DL211" s="129" t="n"/>
      <c r="DM211" s="129" t="n"/>
      <c r="DN211" s="129" t="n"/>
      <c r="DO211" s="129" t="n"/>
      <c r="DP211" s="129" t="n"/>
      <c r="DQ211" s="129" t="n"/>
      <c r="DR211" s="129" t="n"/>
      <c r="DS211" s="129" t="n"/>
      <c r="DT211" s="129" t="n"/>
      <c r="DU211" s="129" t="n"/>
      <c r="DV211" s="129" t="n"/>
      <c r="DW211" s="129" t="n"/>
      <c r="DX211" s="129" t="n"/>
      <c r="DY211" s="129" t="n"/>
      <c r="DZ211" s="129" t="n"/>
      <c r="EA211" s="129" t="n"/>
      <c r="EB211" s="129" t="n"/>
      <c r="EC211" s="129" t="n"/>
      <c r="ED211" s="129" t="n"/>
      <c r="EE211" s="129" t="n"/>
      <c r="EF211" s="129" t="n"/>
      <c r="EG211" s="129" t="n"/>
      <c r="EH211" s="129" t="n"/>
      <c r="EI211" s="129" t="n"/>
      <c r="EJ211" s="129" t="n"/>
      <c r="EK211" s="129" t="n"/>
      <c r="EL211" s="129" t="n"/>
      <c r="EM211" s="129" t="n"/>
      <c r="EN211" s="129" t="n"/>
      <c r="EO211" s="129" t="n"/>
      <c r="EP211" s="129" t="n"/>
      <c r="EQ211" s="129" t="n"/>
      <c r="ER211" s="129" t="n"/>
      <c r="ES211" s="129" t="n"/>
      <c r="ET211" s="129" t="n"/>
      <c r="EU211" s="129" t="n"/>
      <c r="EV211" s="129" t="n"/>
      <c r="EW211" s="129" t="n"/>
      <c r="EX211" s="129" t="n"/>
      <c r="EY211" s="129" t="n"/>
      <c r="EZ211" s="129" t="n"/>
      <c r="FA211" s="129" t="n"/>
      <c r="FB211" s="129" t="n"/>
      <c r="FC211" s="129" t="n"/>
      <c r="FD211" s="129" t="n"/>
      <c r="FE211" s="129" t="n"/>
      <c r="FF211" s="129" t="n"/>
      <c r="FG211" s="129" t="n"/>
      <c r="FH211" s="129" t="n"/>
      <c r="FI211" s="129" t="n"/>
      <c r="FJ211" s="129" t="n"/>
      <c r="FK211" s="129" t="n"/>
      <c r="FL211" s="129" t="n"/>
      <c r="FM211" s="129" t="n"/>
    </row>
    <row r="212" s="135">
      <c r="A212" s="52" t="n">
        <v>39202</v>
      </c>
      <c r="B212" s="30" t="n">
        <v>0.174</v>
      </c>
      <c r="C212" s="29" t="n">
        <v>53.3</v>
      </c>
      <c r="D212" s="129" t="n"/>
      <c r="E212" s="129" t="n"/>
      <c r="F212" s="129" t="n"/>
      <c r="G212" s="129" t="n"/>
      <c r="H212" s="129" t="n"/>
      <c r="I212" s="129" t="n"/>
      <c r="J212" s="129" t="n"/>
      <c r="K212" s="129" t="n"/>
      <c r="L212" s="129" t="n"/>
      <c r="M212" s="129" t="n"/>
      <c r="N212" s="129" t="n"/>
      <c r="O212" s="129" t="n"/>
      <c r="P212" s="129" t="n"/>
      <c r="Q212" s="129" t="n"/>
      <c r="R212" s="129" t="n"/>
      <c r="S212" s="129" t="n"/>
      <c r="T212" s="129" t="n"/>
      <c r="U212" s="129" t="n"/>
      <c r="V212" s="129" t="n"/>
      <c r="W212" s="129" t="n"/>
      <c r="X212" s="129" t="n"/>
      <c r="Y212" s="129" t="n"/>
      <c r="Z212" s="129" t="n"/>
      <c r="AA212" s="129" t="n"/>
      <c r="AB212" s="129" t="n"/>
      <c r="AC212" s="129" t="n"/>
      <c r="AD212" s="129" t="n"/>
      <c r="AE212" s="129" t="n"/>
      <c r="AF212" s="129" t="n"/>
      <c r="AG212" s="129" t="n"/>
      <c r="AH212" s="129" t="n"/>
      <c r="AI212" s="129" t="n"/>
      <c r="AJ212" s="129" t="n"/>
      <c r="AK212" s="129" t="n"/>
      <c r="AL212" s="129" t="n"/>
      <c r="AM212" s="129" t="n"/>
      <c r="AN212" s="129" t="n"/>
      <c r="AO212" s="129" t="n"/>
      <c r="AP212" s="129" t="n"/>
      <c r="AQ212" s="129" t="n"/>
      <c r="AR212" s="129" t="n"/>
      <c r="AS212" s="129" t="n"/>
      <c r="AT212" s="129" t="n"/>
      <c r="AU212" s="129" t="n"/>
      <c r="AV212" s="129" t="n"/>
      <c r="AW212" s="129" t="n"/>
      <c r="AX212" s="129" t="n"/>
      <c r="AY212" s="129" t="n"/>
      <c r="AZ212" s="129" t="n"/>
      <c r="BA212" s="129" t="n"/>
      <c r="BB212" s="129" t="n"/>
      <c r="BC212" s="129" t="n"/>
      <c r="BD212" s="129" t="n"/>
      <c r="BE212" s="129" t="n"/>
      <c r="BF212" s="129" t="n"/>
      <c r="BG212" s="129" t="n"/>
      <c r="BH212" s="129" t="n"/>
      <c r="BI212" s="129" t="n"/>
      <c r="BJ212" s="129" t="n"/>
      <c r="BK212" s="129" t="n"/>
      <c r="BL212" s="129" t="n"/>
      <c r="BM212" s="129" t="n"/>
      <c r="BN212" s="129" t="n"/>
      <c r="BO212" s="129" t="n"/>
      <c r="BP212" s="129" t="n"/>
      <c r="BQ212" s="129" t="n"/>
      <c r="BR212" s="129" t="n"/>
      <c r="BS212" s="129" t="n"/>
      <c r="BT212" s="129" t="n"/>
      <c r="BU212" s="129" t="n"/>
      <c r="BV212" s="129" t="n"/>
      <c r="BW212" s="129" t="n"/>
      <c r="BX212" s="129" t="n"/>
      <c r="BY212" s="129" t="n"/>
      <c r="BZ212" s="129" t="n"/>
      <c r="CA212" s="129" t="n"/>
      <c r="CB212" s="129" t="n"/>
      <c r="CC212" s="129" t="n"/>
      <c r="CD212" s="129" t="n"/>
      <c r="CE212" s="129" t="n"/>
      <c r="CF212" s="129" t="n"/>
      <c r="CG212" s="129" t="n"/>
      <c r="CH212" s="129" t="n"/>
      <c r="CI212" s="129" t="n"/>
      <c r="CJ212" s="129" t="n"/>
      <c r="CK212" s="129" t="n"/>
      <c r="CL212" s="129" t="n"/>
      <c r="CM212" s="129" t="n"/>
      <c r="CN212" s="129" t="n"/>
      <c r="CO212" s="129" t="n"/>
      <c r="CP212" s="129" t="n"/>
      <c r="CQ212" s="129" t="n"/>
      <c r="CR212" s="129" t="n"/>
      <c r="CS212" s="129" t="n"/>
      <c r="CT212" s="129" t="n"/>
      <c r="CU212" s="129" t="n"/>
      <c r="CV212" s="129" t="n"/>
      <c r="CW212" s="129" t="n"/>
      <c r="CX212" s="129" t="n"/>
      <c r="CY212" s="129" t="n"/>
      <c r="CZ212" s="129" t="n"/>
      <c r="DA212" s="129" t="n"/>
      <c r="DB212" s="129" t="n"/>
      <c r="DC212" s="129" t="n"/>
      <c r="DD212" s="129" t="n"/>
      <c r="DE212" s="129" t="n"/>
      <c r="DF212" s="129" t="n"/>
      <c r="DG212" s="129" t="n"/>
      <c r="DH212" s="129" t="n"/>
      <c r="DI212" s="129" t="n"/>
      <c r="DJ212" s="129" t="n"/>
      <c r="DK212" s="129" t="n"/>
      <c r="DL212" s="129" t="n"/>
      <c r="DM212" s="129" t="n"/>
      <c r="DN212" s="129" t="n"/>
      <c r="DO212" s="129" t="n"/>
      <c r="DP212" s="129" t="n"/>
      <c r="DQ212" s="129" t="n"/>
      <c r="DR212" s="129" t="n"/>
      <c r="DS212" s="129" t="n"/>
      <c r="DT212" s="129" t="n"/>
      <c r="DU212" s="129" t="n"/>
      <c r="DV212" s="129" t="n"/>
      <c r="DW212" s="129" t="n"/>
      <c r="DX212" s="129" t="n"/>
      <c r="DY212" s="129" t="n"/>
      <c r="DZ212" s="129" t="n"/>
      <c r="EA212" s="129" t="n"/>
      <c r="EB212" s="129" t="n"/>
      <c r="EC212" s="129" t="n"/>
      <c r="ED212" s="129" t="n"/>
      <c r="EE212" s="129" t="n"/>
      <c r="EF212" s="129" t="n"/>
      <c r="EG212" s="129" t="n"/>
      <c r="EH212" s="129" t="n"/>
      <c r="EI212" s="129" t="n"/>
      <c r="EJ212" s="129" t="n"/>
      <c r="EK212" s="129" t="n"/>
      <c r="EL212" s="129" t="n"/>
      <c r="EM212" s="129" t="n"/>
      <c r="EN212" s="129" t="n"/>
      <c r="EO212" s="129" t="n"/>
      <c r="EP212" s="129" t="n"/>
      <c r="EQ212" s="129" t="n"/>
      <c r="ER212" s="129" t="n"/>
      <c r="ES212" s="129" t="n"/>
      <c r="ET212" s="129" t="n"/>
      <c r="EU212" s="129" t="n"/>
      <c r="EV212" s="129" t="n"/>
      <c r="EW212" s="129" t="n"/>
      <c r="EX212" s="129" t="n"/>
      <c r="EY212" s="129" t="n"/>
      <c r="EZ212" s="129" t="n"/>
      <c r="FA212" s="129" t="n"/>
      <c r="FB212" s="129" t="n"/>
      <c r="FC212" s="129" t="n"/>
      <c r="FD212" s="129" t="n"/>
      <c r="FE212" s="129" t="n"/>
      <c r="FF212" s="129" t="n"/>
      <c r="FG212" s="129" t="n"/>
      <c r="FH212" s="129" t="n"/>
      <c r="FI212" s="129" t="n"/>
      <c r="FJ212" s="129" t="n"/>
      <c r="FK212" s="129" t="n"/>
      <c r="FL212" s="129" t="n"/>
      <c r="FM212" s="129" t="n"/>
    </row>
    <row r="213" s="135">
      <c r="A213" s="53" t="n">
        <v>39233</v>
      </c>
      <c r="B213" s="54" t="n">
        <v>0.181</v>
      </c>
      <c r="C213" s="29" t="n">
        <v>54.1</v>
      </c>
      <c r="D213" s="129" t="n"/>
      <c r="E213" s="129" t="n"/>
      <c r="F213" s="129" t="n"/>
      <c r="G213" s="129" t="n"/>
      <c r="H213" s="129" t="n"/>
      <c r="I213" s="129" t="n"/>
      <c r="J213" s="129" t="n"/>
      <c r="K213" s="129" t="n"/>
      <c r="L213" s="129" t="n"/>
      <c r="M213" s="129" t="n"/>
      <c r="N213" s="129" t="n"/>
      <c r="O213" s="129" t="n"/>
      <c r="P213" s="129" t="n"/>
      <c r="Q213" s="129" t="n"/>
      <c r="R213" s="129" t="n"/>
      <c r="S213" s="129" t="n"/>
      <c r="T213" s="129" t="n"/>
      <c r="U213" s="129" t="n"/>
      <c r="V213" s="129" t="n"/>
      <c r="W213" s="129" t="n"/>
      <c r="X213" s="129" t="n"/>
      <c r="Y213" s="129" t="n"/>
      <c r="Z213" s="129" t="n"/>
      <c r="AA213" s="129" t="n"/>
      <c r="AB213" s="129" t="n"/>
      <c r="AC213" s="129" t="n"/>
      <c r="AD213" s="129" t="n"/>
      <c r="AE213" s="129" t="n"/>
      <c r="AF213" s="129" t="n"/>
      <c r="AG213" s="129" t="n"/>
      <c r="AH213" s="129" t="n"/>
      <c r="AI213" s="129" t="n"/>
      <c r="AJ213" s="129" t="n"/>
      <c r="AK213" s="129" t="n"/>
      <c r="AL213" s="129" t="n"/>
      <c r="AM213" s="129" t="n"/>
      <c r="AN213" s="129" t="n"/>
      <c r="AO213" s="129" t="n"/>
      <c r="AP213" s="129" t="n"/>
      <c r="AQ213" s="129" t="n"/>
      <c r="AR213" s="129" t="n"/>
      <c r="AS213" s="129" t="n"/>
      <c r="AT213" s="129" t="n"/>
      <c r="AU213" s="129" t="n"/>
      <c r="AV213" s="129" t="n"/>
      <c r="AW213" s="129" t="n"/>
      <c r="AX213" s="129" t="n"/>
      <c r="AY213" s="129" t="n"/>
      <c r="AZ213" s="129" t="n"/>
      <c r="BA213" s="129" t="n"/>
      <c r="BB213" s="129" t="n"/>
      <c r="BC213" s="129" t="n"/>
      <c r="BD213" s="129" t="n"/>
      <c r="BE213" s="129" t="n"/>
      <c r="BF213" s="129" t="n"/>
      <c r="BG213" s="129" t="n"/>
      <c r="BH213" s="129" t="n"/>
      <c r="BI213" s="129" t="n"/>
      <c r="BJ213" s="129" t="n"/>
      <c r="BK213" s="129" t="n"/>
      <c r="BL213" s="129" t="n"/>
      <c r="BM213" s="129" t="n"/>
      <c r="BN213" s="129" t="n"/>
      <c r="BO213" s="129" t="n"/>
      <c r="BP213" s="129" t="n"/>
      <c r="BQ213" s="129" t="n"/>
      <c r="BR213" s="129" t="n"/>
      <c r="BS213" s="129" t="n"/>
      <c r="BT213" s="129" t="n"/>
      <c r="BU213" s="129" t="n"/>
      <c r="BV213" s="129" t="n"/>
      <c r="BW213" s="129" t="n"/>
      <c r="BX213" s="129" t="n"/>
      <c r="BY213" s="129" t="n"/>
      <c r="BZ213" s="129" t="n"/>
      <c r="CA213" s="129" t="n"/>
      <c r="CB213" s="129" t="n"/>
      <c r="CC213" s="129" t="n"/>
      <c r="CD213" s="129" t="n"/>
      <c r="CE213" s="129" t="n"/>
      <c r="CF213" s="129" t="n"/>
      <c r="CG213" s="129" t="n"/>
      <c r="CH213" s="129" t="n"/>
      <c r="CI213" s="129" t="n"/>
      <c r="CJ213" s="129" t="n"/>
      <c r="CK213" s="129" t="n"/>
      <c r="CL213" s="129" t="n"/>
      <c r="CM213" s="129" t="n"/>
      <c r="CN213" s="129" t="n"/>
      <c r="CO213" s="129" t="n"/>
      <c r="CP213" s="129" t="n"/>
      <c r="CQ213" s="129" t="n"/>
      <c r="CR213" s="129" t="n"/>
      <c r="CS213" s="129" t="n"/>
      <c r="CT213" s="129" t="n"/>
      <c r="CU213" s="129" t="n"/>
      <c r="CV213" s="129" t="n"/>
      <c r="CW213" s="129" t="n"/>
      <c r="CX213" s="129" t="n"/>
      <c r="CY213" s="129" t="n"/>
      <c r="CZ213" s="129" t="n"/>
      <c r="DA213" s="129" t="n"/>
      <c r="DB213" s="129" t="n"/>
      <c r="DC213" s="129" t="n"/>
      <c r="DD213" s="129" t="n"/>
      <c r="DE213" s="129" t="n"/>
      <c r="DF213" s="129" t="n"/>
      <c r="DG213" s="129" t="n"/>
      <c r="DH213" s="129" t="n"/>
      <c r="DI213" s="129" t="n"/>
      <c r="DJ213" s="129" t="n"/>
      <c r="DK213" s="129" t="n"/>
      <c r="DL213" s="129" t="n"/>
      <c r="DM213" s="129" t="n"/>
      <c r="DN213" s="129" t="n"/>
      <c r="DO213" s="129" t="n"/>
      <c r="DP213" s="129" t="n"/>
      <c r="DQ213" s="129" t="n"/>
      <c r="DR213" s="129" t="n"/>
      <c r="DS213" s="129" t="n"/>
      <c r="DT213" s="129" t="n"/>
      <c r="DU213" s="129" t="n"/>
      <c r="DV213" s="129" t="n"/>
      <c r="DW213" s="129" t="n"/>
      <c r="DX213" s="129" t="n"/>
      <c r="DY213" s="129" t="n"/>
      <c r="DZ213" s="129" t="n"/>
      <c r="EA213" s="129" t="n"/>
      <c r="EB213" s="129" t="n"/>
      <c r="EC213" s="129" t="n"/>
      <c r="ED213" s="129" t="n"/>
      <c r="EE213" s="129" t="n"/>
      <c r="EF213" s="129" t="n"/>
      <c r="EG213" s="129" t="n"/>
      <c r="EH213" s="129" t="n"/>
      <c r="EI213" s="129" t="n"/>
      <c r="EJ213" s="129" t="n"/>
      <c r="EK213" s="129" t="n"/>
      <c r="EL213" s="129" t="n"/>
      <c r="EM213" s="129" t="n"/>
      <c r="EN213" s="129" t="n"/>
      <c r="EO213" s="129" t="n"/>
      <c r="EP213" s="129" t="n"/>
      <c r="EQ213" s="129" t="n"/>
      <c r="ER213" s="129" t="n"/>
      <c r="ES213" s="129" t="n"/>
      <c r="ET213" s="129" t="n"/>
      <c r="EU213" s="129" t="n"/>
      <c r="EV213" s="129" t="n"/>
      <c r="EW213" s="129" t="n"/>
      <c r="EX213" s="129" t="n"/>
      <c r="EY213" s="129" t="n"/>
      <c r="EZ213" s="129" t="n"/>
      <c r="FA213" s="129" t="n"/>
      <c r="FB213" s="129" t="n"/>
      <c r="FC213" s="129" t="n"/>
      <c r="FD213" s="129" t="n"/>
      <c r="FE213" s="129" t="n"/>
      <c r="FF213" s="129" t="n"/>
      <c r="FG213" s="129" t="n"/>
      <c r="FH213" s="129" t="n"/>
      <c r="FI213" s="129" t="n"/>
      <c r="FJ213" s="129" t="n"/>
      <c r="FK213" s="129" t="n"/>
      <c r="FL213" s="129" t="n"/>
      <c r="FM213" s="129" t="n"/>
    </row>
    <row r="214" s="135">
      <c r="A214" s="52" t="n">
        <v>39263</v>
      </c>
      <c r="B214" s="30" t="n">
        <v>0.194</v>
      </c>
      <c r="C214" s="29" t="n">
        <v>55</v>
      </c>
      <c r="D214" s="129" t="n"/>
      <c r="E214" s="129" t="n"/>
      <c r="F214" s="129" t="n"/>
      <c r="G214" s="129" t="n"/>
      <c r="H214" s="129" t="n"/>
      <c r="I214" s="129" t="n"/>
      <c r="J214" s="129" t="n"/>
      <c r="K214" s="129" t="n"/>
      <c r="L214" s="129" t="n"/>
      <c r="M214" s="129" t="n"/>
      <c r="N214" s="129" t="n"/>
      <c r="O214" s="129" t="n"/>
      <c r="P214" s="129" t="n"/>
      <c r="Q214" s="129" t="n"/>
      <c r="R214" s="129" t="n"/>
      <c r="S214" s="129" t="n"/>
      <c r="T214" s="129" t="n"/>
      <c r="U214" s="129" t="n"/>
      <c r="V214" s="129" t="n"/>
      <c r="W214" s="129" t="n"/>
      <c r="X214" s="129" t="n"/>
      <c r="Y214" s="129" t="n"/>
      <c r="Z214" s="129" t="n"/>
      <c r="AA214" s="129" t="n"/>
      <c r="AB214" s="129" t="n"/>
      <c r="AC214" s="129" t="n"/>
      <c r="AD214" s="129" t="n"/>
      <c r="AE214" s="129" t="n"/>
      <c r="AF214" s="129" t="n"/>
      <c r="AG214" s="129" t="n"/>
      <c r="AH214" s="129" t="n"/>
      <c r="AI214" s="129" t="n"/>
      <c r="AJ214" s="129" t="n"/>
      <c r="AK214" s="129" t="n"/>
      <c r="AL214" s="129" t="n"/>
      <c r="AM214" s="129" t="n"/>
      <c r="AN214" s="129" t="n"/>
      <c r="AO214" s="129" t="n"/>
      <c r="AP214" s="129" t="n"/>
      <c r="AQ214" s="129" t="n"/>
      <c r="AR214" s="129" t="n"/>
      <c r="AS214" s="129" t="n"/>
      <c r="AT214" s="129" t="n"/>
      <c r="AU214" s="129" t="n"/>
      <c r="AV214" s="129" t="n"/>
      <c r="AW214" s="129" t="n"/>
      <c r="AX214" s="129" t="n"/>
      <c r="AY214" s="129" t="n"/>
      <c r="AZ214" s="129" t="n"/>
      <c r="BA214" s="129" t="n"/>
      <c r="BB214" s="129" t="n"/>
      <c r="BC214" s="129" t="n"/>
      <c r="BD214" s="129" t="n"/>
      <c r="BE214" s="129" t="n"/>
      <c r="BF214" s="129" t="n"/>
      <c r="BG214" s="129" t="n"/>
      <c r="BH214" s="129" t="n"/>
      <c r="BI214" s="129" t="n"/>
      <c r="BJ214" s="129" t="n"/>
      <c r="BK214" s="129" t="n"/>
      <c r="BL214" s="129" t="n"/>
      <c r="BM214" s="129" t="n"/>
      <c r="BN214" s="129" t="n"/>
      <c r="BO214" s="129" t="n"/>
      <c r="BP214" s="129" t="n"/>
      <c r="BQ214" s="129" t="n"/>
      <c r="BR214" s="129" t="n"/>
      <c r="BS214" s="129" t="n"/>
      <c r="BT214" s="129" t="n"/>
      <c r="BU214" s="129" t="n"/>
      <c r="BV214" s="129" t="n"/>
      <c r="BW214" s="129" t="n"/>
      <c r="BX214" s="129" t="n"/>
      <c r="BY214" s="129" t="n"/>
      <c r="BZ214" s="129" t="n"/>
      <c r="CA214" s="129" t="n"/>
      <c r="CB214" s="129" t="n"/>
      <c r="CC214" s="129" t="n"/>
      <c r="CD214" s="129" t="n"/>
      <c r="CE214" s="129" t="n"/>
      <c r="CF214" s="129" t="n"/>
      <c r="CG214" s="129" t="n"/>
      <c r="CH214" s="129" t="n"/>
      <c r="CI214" s="129" t="n"/>
      <c r="CJ214" s="129" t="n"/>
      <c r="CK214" s="129" t="n"/>
      <c r="CL214" s="129" t="n"/>
      <c r="CM214" s="129" t="n"/>
      <c r="CN214" s="129" t="n"/>
      <c r="CO214" s="129" t="n"/>
      <c r="CP214" s="129" t="n"/>
      <c r="CQ214" s="129" t="n"/>
      <c r="CR214" s="129" t="n"/>
      <c r="CS214" s="129" t="n"/>
      <c r="CT214" s="129" t="n"/>
      <c r="CU214" s="129" t="n"/>
      <c r="CV214" s="129" t="n"/>
      <c r="CW214" s="129" t="n"/>
      <c r="CX214" s="129" t="n"/>
      <c r="CY214" s="129" t="n"/>
      <c r="CZ214" s="129" t="n"/>
      <c r="DA214" s="129" t="n"/>
      <c r="DB214" s="129" t="n"/>
      <c r="DC214" s="129" t="n"/>
      <c r="DD214" s="129" t="n"/>
      <c r="DE214" s="129" t="n"/>
      <c r="DF214" s="129" t="n"/>
      <c r="DG214" s="129" t="n"/>
      <c r="DH214" s="129" t="n"/>
      <c r="DI214" s="129" t="n"/>
      <c r="DJ214" s="129" t="n"/>
      <c r="DK214" s="129" t="n"/>
      <c r="DL214" s="129" t="n"/>
      <c r="DM214" s="129" t="n"/>
      <c r="DN214" s="129" t="n"/>
      <c r="DO214" s="129" t="n"/>
      <c r="DP214" s="129" t="n"/>
      <c r="DQ214" s="129" t="n"/>
      <c r="DR214" s="129" t="n"/>
      <c r="DS214" s="129" t="n"/>
      <c r="DT214" s="129" t="n"/>
      <c r="DU214" s="129" t="n"/>
      <c r="DV214" s="129" t="n"/>
      <c r="DW214" s="129" t="n"/>
      <c r="DX214" s="129" t="n"/>
      <c r="DY214" s="129" t="n"/>
      <c r="DZ214" s="129" t="n"/>
      <c r="EA214" s="129" t="n"/>
      <c r="EB214" s="129" t="n"/>
      <c r="EC214" s="129" t="n"/>
      <c r="ED214" s="129" t="n"/>
      <c r="EE214" s="129" t="n"/>
      <c r="EF214" s="129" t="n"/>
      <c r="EG214" s="129" t="n"/>
      <c r="EH214" s="129" t="n"/>
      <c r="EI214" s="129" t="n"/>
      <c r="EJ214" s="129" t="n"/>
      <c r="EK214" s="129" t="n"/>
      <c r="EL214" s="129" t="n"/>
      <c r="EM214" s="129" t="n"/>
      <c r="EN214" s="129" t="n"/>
      <c r="EO214" s="129" t="n"/>
      <c r="EP214" s="129" t="n"/>
      <c r="EQ214" s="129" t="n"/>
      <c r="ER214" s="129" t="n"/>
      <c r="ES214" s="129" t="n"/>
      <c r="ET214" s="129" t="n"/>
      <c r="EU214" s="129" t="n"/>
      <c r="EV214" s="129" t="n"/>
      <c r="EW214" s="129" t="n"/>
      <c r="EX214" s="129" t="n"/>
      <c r="EY214" s="129" t="n"/>
      <c r="EZ214" s="129" t="n"/>
      <c r="FA214" s="129" t="n"/>
      <c r="FB214" s="129" t="n"/>
      <c r="FC214" s="129" t="n"/>
      <c r="FD214" s="129" t="n"/>
      <c r="FE214" s="129" t="n"/>
      <c r="FF214" s="129" t="n"/>
      <c r="FG214" s="129" t="n"/>
      <c r="FH214" s="129" t="n"/>
      <c r="FI214" s="129" t="n"/>
      <c r="FJ214" s="129" t="n"/>
      <c r="FK214" s="129" t="n"/>
      <c r="FL214" s="129" t="n"/>
      <c r="FM214" s="129" t="n"/>
    </row>
    <row r="215" s="135">
      <c r="A215" s="53" t="n">
        <v>39294</v>
      </c>
      <c r="B215" s="54" t="n">
        <v>0.18</v>
      </c>
      <c r="C215" s="29" t="n">
        <v>53.2</v>
      </c>
      <c r="D215" s="129" t="n"/>
      <c r="E215" s="129" t="n"/>
      <c r="F215" s="129" t="n"/>
      <c r="G215" s="129" t="n"/>
      <c r="H215" s="129" t="n"/>
      <c r="I215" s="129" t="n"/>
      <c r="J215" s="129" t="n"/>
      <c r="K215" s="129" t="n"/>
      <c r="L215" s="129" t="n"/>
      <c r="M215" s="129" t="n"/>
      <c r="N215" s="129" t="n"/>
      <c r="O215" s="129" t="n"/>
      <c r="P215" s="129" t="n"/>
      <c r="Q215" s="129" t="n"/>
      <c r="R215" s="129" t="n"/>
      <c r="S215" s="129" t="n"/>
      <c r="T215" s="129" t="n"/>
      <c r="U215" s="129" t="n"/>
      <c r="V215" s="129" t="n"/>
      <c r="W215" s="129" t="n"/>
      <c r="X215" s="129" t="n"/>
      <c r="Y215" s="129" t="n"/>
      <c r="Z215" s="129" t="n"/>
      <c r="AA215" s="129" t="n"/>
      <c r="AB215" s="129" t="n"/>
      <c r="AC215" s="129" t="n"/>
      <c r="AD215" s="129" t="n"/>
      <c r="AE215" s="129" t="n"/>
      <c r="AF215" s="129" t="n"/>
      <c r="AG215" s="129" t="n"/>
      <c r="AH215" s="129" t="n"/>
      <c r="AI215" s="129" t="n"/>
      <c r="AJ215" s="129" t="n"/>
      <c r="AK215" s="129" t="n"/>
      <c r="AL215" s="129" t="n"/>
      <c r="AM215" s="129" t="n"/>
      <c r="AN215" s="129" t="n"/>
      <c r="AO215" s="129" t="n"/>
      <c r="AP215" s="129" t="n"/>
      <c r="AQ215" s="129" t="n"/>
      <c r="AR215" s="129" t="n"/>
      <c r="AS215" s="129" t="n"/>
      <c r="AT215" s="129" t="n"/>
      <c r="AU215" s="129" t="n"/>
      <c r="AV215" s="129" t="n"/>
      <c r="AW215" s="129" t="n"/>
      <c r="AX215" s="129" t="n"/>
      <c r="AY215" s="129" t="n"/>
      <c r="AZ215" s="129" t="n"/>
      <c r="BA215" s="129" t="n"/>
      <c r="BB215" s="129" t="n"/>
      <c r="BC215" s="129" t="n"/>
      <c r="BD215" s="129" t="n"/>
      <c r="BE215" s="129" t="n"/>
      <c r="BF215" s="129" t="n"/>
      <c r="BG215" s="129" t="n"/>
      <c r="BH215" s="129" t="n"/>
      <c r="BI215" s="129" t="n"/>
      <c r="BJ215" s="129" t="n"/>
      <c r="BK215" s="129" t="n"/>
      <c r="BL215" s="129" t="n"/>
      <c r="BM215" s="129" t="n"/>
      <c r="BN215" s="129" t="n"/>
      <c r="BO215" s="129" t="n"/>
      <c r="BP215" s="129" t="n"/>
      <c r="BQ215" s="129" t="n"/>
      <c r="BR215" s="129" t="n"/>
      <c r="BS215" s="129" t="n"/>
      <c r="BT215" s="129" t="n"/>
      <c r="BU215" s="129" t="n"/>
      <c r="BV215" s="129" t="n"/>
      <c r="BW215" s="129" t="n"/>
      <c r="BX215" s="129" t="n"/>
      <c r="BY215" s="129" t="n"/>
      <c r="BZ215" s="129" t="n"/>
      <c r="CA215" s="129" t="n"/>
      <c r="CB215" s="129" t="n"/>
      <c r="CC215" s="129" t="n"/>
      <c r="CD215" s="129" t="n"/>
      <c r="CE215" s="129" t="n"/>
      <c r="CF215" s="129" t="n"/>
      <c r="CG215" s="129" t="n"/>
      <c r="CH215" s="129" t="n"/>
      <c r="CI215" s="129" t="n"/>
      <c r="CJ215" s="129" t="n"/>
      <c r="CK215" s="129" t="n"/>
      <c r="CL215" s="129" t="n"/>
      <c r="CM215" s="129" t="n"/>
      <c r="CN215" s="129" t="n"/>
      <c r="CO215" s="129" t="n"/>
      <c r="CP215" s="129" t="n"/>
      <c r="CQ215" s="129" t="n"/>
      <c r="CR215" s="129" t="n"/>
      <c r="CS215" s="129" t="n"/>
      <c r="CT215" s="129" t="n"/>
      <c r="CU215" s="129" t="n"/>
      <c r="CV215" s="129" t="n"/>
      <c r="CW215" s="129" t="n"/>
      <c r="CX215" s="129" t="n"/>
      <c r="CY215" s="129" t="n"/>
      <c r="CZ215" s="129" t="n"/>
      <c r="DA215" s="129" t="n"/>
      <c r="DB215" s="129" t="n"/>
      <c r="DC215" s="129" t="n"/>
      <c r="DD215" s="129" t="n"/>
      <c r="DE215" s="129" t="n"/>
      <c r="DF215" s="129" t="n"/>
      <c r="DG215" s="129" t="n"/>
      <c r="DH215" s="129" t="n"/>
      <c r="DI215" s="129" t="n"/>
      <c r="DJ215" s="129" t="n"/>
      <c r="DK215" s="129" t="n"/>
      <c r="DL215" s="129" t="n"/>
      <c r="DM215" s="129" t="n"/>
      <c r="DN215" s="129" t="n"/>
      <c r="DO215" s="129" t="n"/>
      <c r="DP215" s="129" t="n"/>
      <c r="DQ215" s="129" t="n"/>
      <c r="DR215" s="129" t="n"/>
      <c r="DS215" s="129" t="n"/>
      <c r="DT215" s="129" t="n"/>
      <c r="DU215" s="129" t="n"/>
      <c r="DV215" s="129" t="n"/>
      <c r="DW215" s="129" t="n"/>
      <c r="DX215" s="129" t="n"/>
      <c r="DY215" s="129" t="n"/>
      <c r="DZ215" s="129" t="n"/>
      <c r="EA215" s="129" t="n"/>
      <c r="EB215" s="129" t="n"/>
      <c r="EC215" s="129" t="n"/>
      <c r="ED215" s="129" t="n"/>
      <c r="EE215" s="129" t="n"/>
      <c r="EF215" s="129" t="n"/>
      <c r="EG215" s="129" t="n"/>
      <c r="EH215" s="129" t="n"/>
      <c r="EI215" s="129" t="n"/>
      <c r="EJ215" s="129" t="n"/>
      <c r="EK215" s="129" t="n"/>
      <c r="EL215" s="129" t="n"/>
      <c r="EM215" s="129" t="n"/>
      <c r="EN215" s="129" t="n"/>
      <c r="EO215" s="129" t="n"/>
      <c r="EP215" s="129" t="n"/>
      <c r="EQ215" s="129" t="n"/>
      <c r="ER215" s="129" t="n"/>
      <c r="ES215" s="129" t="n"/>
      <c r="ET215" s="129" t="n"/>
      <c r="EU215" s="129" t="n"/>
      <c r="EV215" s="129" t="n"/>
      <c r="EW215" s="129" t="n"/>
      <c r="EX215" s="129" t="n"/>
      <c r="EY215" s="129" t="n"/>
      <c r="EZ215" s="129" t="n"/>
      <c r="FA215" s="129" t="n"/>
      <c r="FB215" s="129" t="n"/>
      <c r="FC215" s="129" t="n"/>
      <c r="FD215" s="129" t="n"/>
      <c r="FE215" s="129" t="n"/>
      <c r="FF215" s="129" t="n"/>
      <c r="FG215" s="129" t="n"/>
      <c r="FH215" s="129" t="n"/>
      <c r="FI215" s="129" t="n"/>
      <c r="FJ215" s="129" t="n"/>
      <c r="FK215" s="129" t="n"/>
      <c r="FL215" s="129" t="n"/>
      <c r="FM215" s="129" t="n"/>
    </row>
    <row r="216" s="135">
      <c r="A216" s="52" t="n">
        <v>39325</v>
      </c>
      <c r="B216" s="30" t="n">
        <v>0.175</v>
      </c>
      <c r="C216" s="29" t="n">
        <v>53.4</v>
      </c>
      <c r="D216" s="129" t="n"/>
      <c r="E216" s="129" t="n"/>
      <c r="F216" s="129" t="n"/>
      <c r="G216" s="129" t="n"/>
      <c r="H216" s="129" t="n"/>
      <c r="I216" s="129" t="n"/>
      <c r="J216" s="129" t="n"/>
      <c r="K216" s="129" t="n"/>
      <c r="L216" s="129" t="n"/>
      <c r="M216" s="129" t="n"/>
      <c r="N216" s="129" t="n"/>
      <c r="O216" s="129" t="n"/>
      <c r="P216" s="129" t="n"/>
      <c r="Q216" s="129" t="n"/>
      <c r="R216" s="129" t="n"/>
      <c r="S216" s="129" t="n"/>
      <c r="T216" s="129" t="n"/>
      <c r="U216" s="129" t="n"/>
      <c r="V216" s="129" t="n"/>
      <c r="W216" s="129" t="n"/>
      <c r="X216" s="129" t="n"/>
      <c r="Y216" s="129" t="n"/>
      <c r="Z216" s="129" t="n"/>
      <c r="AA216" s="129" t="n"/>
      <c r="AB216" s="129" t="n"/>
      <c r="AC216" s="129" t="n"/>
      <c r="AD216" s="129" t="n"/>
      <c r="AE216" s="129" t="n"/>
      <c r="AF216" s="129" t="n"/>
      <c r="AG216" s="129" t="n"/>
      <c r="AH216" s="129" t="n"/>
      <c r="AI216" s="129" t="n"/>
      <c r="AJ216" s="129" t="n"/>
      <c r="AK216" s="129" t="n"/>
      <c r="AL216" s="129" t="n"/>
      <c r="AM216" s="129" t="n"/>
      <c r="AN216" s="129" t="n"/>
      <c r="AO216" s="129" t="n"/>
      <c r="AP216" s="129" t="n"/>
      <c r="AQ216" s="129" t="n"/>
      <c r="AR216" s="129" t="n"/>
      <c r="AS216" s="129" t="n"/>
      <c r="AT216" s="129" t="n"/>
      <c r="AU216" s="129" t="n"/>
      <c r="AV216" s="129" t="n"/>
      <c r="AW216" s="129" t="n"/>
      <c r="AX216" s="129" t="n"/>
      <c r="AY216" s="129" t="n"/>
      <c r="AZ216" s="129" t="n"/>
      <c r="BA216" s="129" t="n"/>
      <c r="BB216" s="129" t="n"/>
      <c r="BC216" s="129" t="n"/>
      <c r="BD216" s="129" t="n"/>
      <c r="BE216" s="129" t="n"/>
      <c r="BF216" s="129" t="n"/>
      <c r="BG216" s="129" t="n"/>
      <c r="BH216" s="129" t="n"/>
      <c r="BI216" s="129" t="n"/>
      <c r="BJ216" s="129" t="n"/>
      <c r="BK216" s="129" t="n"/>
      <c r="BL216" s="129" t="n"/>
      <c r="BM216" s="129" t="n"/>
      <c r="BN216" s="129" t="n"/>
      <c r="BO216" s="129" t="n"/>
      <c r="BP216" s="129" t="n"/>
      <c r="BQ216" s="129" t="n"/>
      <c r="BR216" s="129" t="n"/>
      <c r="BS216" s="129" t="n"/>
      <c r="BT216" s="129" t="n"/>
      <c r="BU216" s="129" t="n"/>
      <c r="BV216" s="129" t="n"/>
      <c r="BW216" s="129" t="n"/>
      <c r="BX216" s="129" t="n"/>
      <c r="BY216" s="129" t="n"/>
      <c r="BZ216" s="129" t="n"/>
      <c r="CA216" s="129" t="n"/>
      <c r="CB216" s="129" t="n"/>
      <c r="CC216" s="129" t="n"/>
      <c r="CD216" s="129" t="n"/>
      <c r="CE216" s="129" t="n"/>
      <c r="CF216" s="129" t="n"/>
      <c r="CG216" s="129" t="n"/>
      <c r="CH216" s="129" t="n"/>
      <c r="CI216" s="129" t="n"/>
      <c r="CJ216" s="129" t="n"/>
      <c r="CK216" s="129" t="n"/>
      <c r="CL216" s="129" t="n"/>
      <c r="CM216" s="129" t="n"/>
      <c r="CN216" s="129" t="n"/>
      <c r="CO216" s="129" t="n"/>
      <c r="CP216" s="129" t="n"/>
      <c r="CQ216" s="129" t="n"/>
      <c r="CR216" s="129" t="n"/>
      <c r="CS216" s="129" t="n"/>
      <c r="CT216" s="129" t="n"/>
      <c r="CU216" s="129" t="n"/>
      <c r="CV216" s="129" t="n"/>
      <c r="CW216" s="129" t="n"/>
      <c r="CX216" s="129" t="n"/>
      <c r="CY216" s="129" t="n"/>
      <c r="CZ216" s="129" t="n"/>
      <c r="DA216" s="129" t="n"/>
      <c r="DB216" s="129" t="n"/>
      <c r="DC216" s="129" t="n"/>
      <c r="DD216" s="129" t="n"/>
      <c r="DE216" s="129" t="n"/>
      <c r="DF216" s="129" t="n"/>
      <c r="DG216" s="129" t="n"/>
      <c r="DH216" s="129" t="n"/>
      <c r="DI216" s="129" t="n"/>
      <c r="DJ216" s="129" t="n"/>
      <c r="DK216" s="129" t="n"/>
      <c r="DL216" s="129" t="n"/>
      <c r="DM216" s="129" t="n"/>
      <c r="DN216" s="129" t="n"/>
      <c r="DO216" s="129" t="n"/>
      <c r="DP216" s="129" t="n"/>
      <c r="DQ216" s="129" t="n"/>
      <c r="DR216" s="129" t="n"/>
      <c r="DS216" s="129" t="n"/>
      <c r="DT216" s="129" t="n"/>
      <c r="DU216" s="129" t="n"/>
      <c r="DV216" s="129" t="n"/>
      <c r="DW216" s="129" t="n"/>
      <c r="DX216" s="129" t="n"/>
      <c r="DY216" s="129" t="n"/>
      <c r="DZ216" s="129" t="n"/>
      <c r="EA216" s="129" t="n"/>
      <c r="EB216" s="129" t="n"/>
      <c r="EC216" s="129" t="n"/>
      <c r="ED216" s="129" t="n"/>
      <c r="EE216" s="129" t="n"/>
      <c r="EF216" s="129" t="n"/>
      <c r="EG216" s="129" t="n"/>
      <c r="EH216" s="129" t="n"/>
      <c r="EI216" s="129" t="n"/>
      <c r="EJ216" s="129" t="n"/>
      <c r="EK216" s="129" t="n"/>
      <c r="EL216" s="129" t="n"/>
      <c r="EM216" s="129" t="n"/>
      <c r="EN216" s="129" t="n"/>
      <c r="EO216" s="129" t="n"/>
      <c r="EP216" s="129" t="n"/>
      <c r="EQ216" s="129" t="n"/>
      <c r="ER216" s="129" t="n"/>
      <c r="ES216" s="129" t="n"/>
      <c r="ET216" s="129" t="n"/>
      <c r="EU216" s="129" t="n"/>
      <c r="EV216" s="129" t="n"/>
      <c r="EW216" s="129" t="n"/>
      <c r="EX216" s="129" t="n"/>
      <c r="EY216" s="129" t="n"/>
      <c r="EZ216" s="129" t="n"/>
      <c r="FA216" s="129" t="n"/>
      <c r="FB216" s="129" t="n"/>
      <c r="FC216" s="129" t="n"/>
      <c r="FD216" s="129" t="n"/>
      <c r="FE216" s="129" t="n"/>
      <c r="FF216" s="129" t="n"/>
      <c r="FG216" s="129" t="n"/>
      <c r="FH216" s="129" t="n"/>
      <c r="FI216" s="129" t="n"/>
      <c r="FJ216" s="129" t="n"/>
      <c r="FK216" s="129" t="n"/>
      <c r="FL216" s="129" t="n"/>
      <c r="FM216" s="129" t="n"/>
    </row>
    <row r="217" s="135">
      <c r="A217" s="53" t="n">
        <v>39355</v>
      </c>
      <c r="B217" s="54" t="n">
        <v>0.189</v>
      </c>
      <c r="C217" s="29" t="n">
        <v>55</v>
      </c>
      <c r="D217" s="129" t="n"/>
      <c r="E217" s="129" t="n"/>
      <c r="F217" s="129" t="n"/>
      <c r="G217" s="129" t="n"/>
      <c r="H217" s="129" t="n"/>
      <c r="I217" s="129" t="n"/>
      <c r="J217" s="129" t="n"/>
      <c r="K217" s="129" t="n"/>
      <c r="L217" s="129" t="n"/>
      <c r="M217" s="129" t="n"/>
      <c r="N217" s="129" t="n"/>
      <c r="O217" s="129" t="n"/>
      <c r="P217" s="129" t="n"/>
      <c r="Q217" s="129" t="n"/>
      <c r="R217" s="129" t="n"/>
      <c r="S217" s="129" t="n"/>
      <c r="T217" s="129" t="n"/>
      <c r="U217" s="129" t="n"/>
      <c r="V217" s="129" t="n"/>
      <c r="W217" s="129" t="n"/>
      <c r="X217" s="129" t="n"/>
      <c r="Y217" s="129" t="n"/>
      <c r="Z217" s="129" t="n"/>
      <c r="AA217" s="129" t="n"/>
      <c r="AB217" s="129" t="n"/>
      <c r="AC217" s="129" t="n"/>
      <c r="AD217" s="129" t="n"/>
      <c r="AE217" s="129" t="n"/>
      <c r="AF217" s="129" t="n"/>
      <c r="AG217" s="129" t="n"/>
      <c r="AH217" s="129" t="n"/>
      <c r="AI217" s="129" t="n"/>
      <c r="AJ217" s="129" t="n"/>
      <c r="AK217" s="129" t="n"/>
      <c r="AL217" s="129" t="n"/>
      <c r="AM217" s="129" t="n"/>
      <c r="AN217" s="129" t="n"/>
      <c r="AO217" s="129" t="n"/>
      <c r="AP217" s="129" t="n"/>
      <c r="AQ217" s="129" t="n"/>
      <c r="AR217" s="129" t="n"/>
      <c r="AS217" s="129" t="n"/>
      <c r="AT217" s="129" t="n"/>
      <c r="AU217" s="129" t="n"/>
      <c r="AV217" s="129" t="n"/>
      <c r="AW217" s="129" t="n"/>
      <c r="AX217" s="129" t="n"/>
      <c r="AY217" s="129" t="n"/>
      <c r="AZ217" s="129" t="n"/>
      <c r="BA217" s="129" t="n"/>
      <c r="BB217" s="129" t="n"/>
      <c r="BC217" s="129" t="n"/>
      <c r="BD217" s="129" t="n"/>
      <c r="BE217" s="129" t="n"/>
      <c r="BF217" s="129" t="n"/>
      <c r="BG217" s="129" t="n"/>
      <c r="BH217" s="129" t="n"/>
      <c r="BI217" s="129" t="n"/>
      <c r="BJ217" s="129" t="n"/>
      <c r="BK217" s="129" t="n"/>
      <c r="BL217" s="129" t="n"/>
      <c r="BM217" s="129" t="n"/>
      <c r="BN217" s="129" t="n"/>
      <c r="BO217" s="129" t="n"/>
      <c r="BP217" s="129" t="n"/>
      <c r="BQ217" s="129" t="n"/>
      <c r="BR217" s="129" t="n"/>
      <c r="BS217" s="129" t="n"/>
      <c r="BT217" s="129" t="n"/>
      <c r="BU217" s="129" t="n"/>
      <c r="BV217" s="129" t="n"/>
      <c r="BW217" s="129" t="n"/>
      <c r="BX217" s="129" t="n"/>
      <c r="BY217" s="129" t="n"/>
      <c r="BZ217" s="129" t="n"/>
      <c r="CA217" s="129" t="n"/>
      <c r="CB217" s="129" t="n"/>
      <c r="CC217" s="129" t="n"/>
      <c r="CD217" s="129" t="n"/>
      <c r="CE217" s="129" t="n"/>
      <c r="CF217" s="129" t="n"/>
      <c r="CG217" s="129" t="n"/>
      <c r="CH217" s="129" t="n"/>
      <c r="CI217" s="129" t="n"/>
      <c r="CJ217" s="129" t="n"/>
      <c r="CK217" s="129" t="n"/>
      <c r="CL217" s="129" t="n"/>
      <c r="CM217" s="129" t="n"/>
      <c r="CN217" s="129" t="n"/>
      <c r="CO217" s="129" t="n"/>
      <c r="CP217" s="129" t="n"/>
      <c r="CQ217" s="129" t="n"/>
      <c r="CR217" s="129" t="n"/>
      <c r="CS217" s="129" t="n"/>
      <c r="CT217" s="129" t="n"/>
      <c r="CU217" s="129" t="n"/>
      <c r="CV217" s="129" t="n"/>
      <c r="CW217" s="129" t="n"/>
      <c r="CX217" s="129" t="n"/>
      <c r="CY217" s="129" t="n"/>
      <c r="CZ217" s="129" t="n"/>
      <c r="DA217" s="129" t="n"/>
      <c r="DB217" s="129" t="n"/>
      <c r="DC217" s="129" t="n"/>
      <c r="DD217" s="129" t="n"/>
      <c r="DE217" s="129" t="n"/>
      <c r="DF217" s="129" t="n"/>
      <c r="DG217" s="129" t="n"/>
      <c r="DH217" s="129" t="n"/>
      <c r="DI217" s="129" t="n"/>
      <c r="DJ217" s="129" t="n"/>
      <c r="DK217" s="129" t="n"/>
      <c r="DL217" s="129" t="n"/>
      <c r="DM217" s="129" t="n"/>
      <c r="DN217" s="129" t="n"/>
      <c r="DO217" s="129" t="n"/>
      <c r="DP217" s="129" t="n"/>
      <c r="DQ217" s="129" t="n"/>
      <c r="DR217" s="129" t="n"/>
      <c r="DS217" s="129" t="n"/>
      <c r="DT217" s="129" t="n"/>
      <c r="DU217" s="129" t="n"/>
      <c r="DV217" s="129" t="n"/>
      <c r="DW217" s="129" t="n"/>
      <c r="DX217" s="129" t="n"/>
      <c r="DY217" s="129" t="n"/>
      <c r="DZ217" s="129" t="n"/>
      <c r="EA217" s="129" t="n"/>
      <c r="EB217" s="129" t="n"/>
      <c r="EC217" s="129" t="n"/>
      <c r="ED217" s="129" t="n"/>
      <c r="EE217" s="129" t="n"/>
      <c r="EF217" s="129" t="n"/>
      <c r="EG217" s="129" t="n"/>
      <c r="EH217" s="129" t="n"/>
      <c r="EI217" s="129" t="n"/>
      <c r="EJ217" s="129" t="n"/>
      <c r="EK217" s="129" t="n"/>
      <c r="EL217" s="129" t="n"/>
      <c r="EM217" s="129" t="n"/>
      <c r="EN217" s="129" t="n"/>
      <c r="EO217" s="129" t="n"/>
      <c r="EP217" s="129" t="n"/>
      <c r="EQ217" s="129" t="n"/>
      <c r="ER217" s="129" t="n"/>
      <c r="ES217" s="129" t="n"/>
      <c r="ET217" s="129" t="n"/>
      <c r="EU217" s="129" t="n"/>
      <c r="EV217" s="129" t="n"/>
      <c r="EW217" s="129" t="n"/>
      <c r="EX217" s="129" t="n"/>
      <c r="EY217" s="129" t="n"/>
      <c r="EZ217" s="129" t="n"/>
      <c r="FA217" s="129" t="n"/>
      <c r="FB217" s="129" t="n"/>
      <c r="FC217" s="129" t="n"/>
      <c r="FD217" s="129" t="n"/>
      <c r="FE217" s="129" t="n"/>
      <c r="FF217" s="129" t="n"/>
      <c r="FG217" s="129" t="n"/>
      <c r="FH217" s="129" t="n"/>
      <c r="FI217" s="129" t="n"/>
      <c r="FJ217" s="129" t="n"/>
      <c r="FK217" s="129" t="n"/>
      <c r="FL217" s="129" t="n"/>
      <c r="FM217" s="129" t="n"/>
    </row>
    <row r="218" s="135">
      <c r="A218" s="52" t="n">
        <v>39386</v>
      </c>
      <c r="B218" s="30" t="n">
        <v>0.179</v>
      </c>
      <c r="C218" s="29" t="n">
        <v>55.2</v>
      </c>
      <c r="D218" s="129" t="n"/>
      <c r="E218" s="129" t="n"/>
      <c r="F218" s="129" t="n"/>
      <c r="G218" s="129" t="n"/>
      <c r="H218" s="129" t="n"/>
      <c r="I218" s="129" t="n"/>
      <c r="J218" s="129" t="n"/>
      <c r="K218" s="129" t="n"/>
      <c r="L218" s="129" t="n"/>
      <c r="M218" s="129" t="n"/>
      <c r="N218" s="129" t="n"/>
      <c r="O218" s="129" t="n"/>
      <c r="P218" s="129" t="n"/>
      <c r="Q218" s="129" t="n"/>
      <c r="R218" s="129" t="n"/>
      <c r="S218" s="129" t="n"/>
      <c r="T218" s="129" t="n"/>
      <c r="U218" s="129" t="n"/>
      <c r="V218" s="129" t="n"/>
      <c r="W218" s="129" t="n"/>
      <c r="X218" s="129" t="n"/>
      <c r="Y218" s="129" t="n"/>
      <c r="Z218" s="129" t="n"/>
      <c r="AA218" s="129" t="n"/>
      <c r="AB218" s="129" t="n"/>
      <c r="AC218" s="129" t="n"/>
      <c r="AD218" s="129" t="n"/>
      <c r="AE218" s="129" t="n"/>
      <c r="AF218" s="129" t="n"/>
      <c r="AG218" s="129" t="n"/>
      <c r="AH218" s="129" t="n"/>
      <c r="AI218" s="129" t="n"/>
      <c r="AJ218" s="129" t="n"/>
      <c r="AK218" s="129" t="n"/>
      <c r="AL218" s="129" t="n"/>
      <c r="AM218" s="129" t="n"/>
      <c r="AN218" s="129" t="n"/>
      <c r="AO218" s="129" t="n"/>
      <c r="AP218" s="129" t="n"/>
      <c r="AQ218" s="129" t="n"/>
      <c r="AR218" s="129" t="n"/>
      <c r="AS218" s="129" t="n"/>
      <c r="AT218" s="129" t="n"/>
      <c r="AU218" s="129" t="n"/>
      <c r="AV218" s="129" t="n"/>
      <c r="AW218" s="129" t="n"/>
      <c r="AX218" s="129" t="n"/>
      <c r="AY218" s="129" t="n"/>
      <c r="AZ218" s="129" t="n"/>
      <c r="BA218" s="129" t="n"/>
      <c r="BB218" s="129" t="n"/>
      <c r="BC218" s="129" t="n"/>
      <c r="BD218" s="129" t="n"/>
      <c r="BE218" s="129" t="n"/>
      <c r="BF218" s="129" t="n"/>
      <c r="BG218" s="129" t="n"/>
      <c r="BH218" s="129" t="n"/>
      <c r="BI218" s="129" t="n"/>
      <c r="BJ218" s="129" t="n"/>
      <c r="BK218" s="129" t="n"/>
      <c r="BL218" s="129" t="n"/>
      <c r="BM218" s="129" t="n"/>
      <c r="BN218" s="129" t="n"/>
      <c r="BO218" s="129" t="n"/>
      <c r="BP218" s="129" t="n"/>
      <c r="BQ218" s="129" t="n"/>
      <c r="BR218" s="129" t="n"/>
      <c r="BS218" s="129" t="n"/>
      <c r="BT218" s="129" t="n"/>
      <c r="BU218" s="129" t="n"/>
      <c r="BV218" s="129" t="n"/>
      <c r="BW218" s="129" t="n"/>
      <c r="BX218" s="129" t="n"/>
      <c r="BY218" s="129" t="n"/>
      <c r="BZ218" s="129" t="n"/>
      <c r="CA218" s="129" t="n"/>
      <c r="CB218" s="129" t="n"/>
      <c r="CC218" s="129" t="n"/>
      <c r="CD218" s="129" t="n"/>
      <c r="CE218" s="129" t="n"/>
      <c r="CF218" s="129" t="n"/>
      <c r="CG218" s="129" t="n"/>
      <c r="CH218" s="129" t="n"/>
      <c r="CI218" s="129" t="n"/>
      <c r="CJ218" s="129" t="n"/>
      <c r="CK218" s="129" t="n"/>
      <c r="CL218" s="129" t="n"/>
      <c r="CM218" s="129" t="n"/>
      <c r="CN218" s="129" t="n"/>
      <c r="CO218" s="129" t="n"/>
      <c r="CP218" s="129" t="n"/>
      <c r="CQ218" s="129" t="n"/>
      <c r="CR218" s="129" t="n"/>
      <c r="CS218" s="129" t="n"/>
      <c r="CT218" s="129" t="n"/>
      <c r="CU218" s="129" t="n"/>
      <c r="CV218" s="129" t="n"/>
      <c r="CW218" s="129" t="n"/>
      <c r="CX218" s="129" t="n"/>
      <c r="CY218" s="129" t="n"/>
      <c r="CZ218" s="129" t="n"/>
      <c r="DA218" s="129" t="n"/>
      <c r="DB218" s="129" t="n"/>
      <c r="DC218" s="129" t="n"/>
      <c r="DD218" s="129" t="n"/>
      <c r="DE218" s="129" t="n"/>
      <c r="DF218" s="129" t="n"/>
      <c r="DG218" s="129" t="n"/>
      <c r="DH218" s="129" t="n"/>
      <c r="DI218" s="129" t="n"/>
      <c r="DJ218" s="129" t="n"/>
      <c r="DK218" s="129" t="n"/>
      <c r="DL218" s="129" t="n"/>
      <c r="DM218" s="129" t="n"/>
      <c r="DN218" s="129" t="n"/>
      <c r="DO218" s="129" t="n"/>
      <c r="DP218" s="129" t="n"/>
      <c r="DQ218" s="129" t="n"/>
      <c r="DR218" s="129" t="n"/>
      <c r="DS218" s="129" t="n"/>
      <c r="DT218" s="129" t="n"/>
      <c r="DU218" s="129" t="n"/>
      <c r="DV218" s="129" t="n"/>
      <c r="DW218" s="129" t="n"/>
      <c r="DX218" s="129" t="n"/>
      <c r="DY218" s="129" t="n"/>
      <c r="DZ218" s="129" t="n"/>
      <c r="EA218" s="129" t="n"/>
      <c r="EB218" s="129" t="n"/>
      <c r="EC218" s="129" t="n"/>
      <c r="ED218" s="129" t="n"/>
      <c r="EE218" s="129" t="n"/>
      <c r="EF218" s="129" t="n"/>
      <c r="EG218" s="129" t="n"/>
      <c r="EH218" s="129" t="n"/>
      <c r="EI218" s="129" t="n"/>
      <c r="EJ218" s="129" t="n"/>
      <c r="EK218" s="129" t="n"/>
      <c r="EL218" s="129" t="n"/>
      <c r="EM218" s="129" t="n"/>
      <c r="EN218" s="129" t="n"/>
      <c r="EO218" s="129" t="n"/>
      <c r="EP218" s="129" t="n"/>
      <c r="EQ218" s="129" t="n"/>
      <c r="ER218" s="129" t="n"/>
      <c r="ES218" s="129" t="n"/>
      <c r="ET218" s="129" t="n"/>
      <c r="EU218" s="129" t="n"/>
      <c r="EV218" s="129" t="n"/>
      <c r="EW218" s="129" t="n"/>
      <c r="EX218" s="129" t="n"/>
      <c r="EY218" s="129" t="n"/>
      <c r="EZ218" s="129" t="n"/>
      <c r="FA218" s="129" t="n"/>
      <c r="FB218" s="129" t="n"/>
      <c r="FC218" s="129" t="n"/>
      <c r="FD218" s="129" t="n"/>
      <c r="FE218" s="129" t="n"/>
      <c r="FF218" s="129" t="n"/>
      <c r="FG218" s="129" t="n"/>
      <c r="FH218" s="129" t="n"/>
      <c r="FI218" s="129" t="n"/>
      <c r="FJ218" s="129" t="n"/>
      <c r="FK218" s="129" t="n"/>
      <c r="FL218" s="129" t="n"/>
      <c r="FM218" s="129" t="n"/>
    </row>
    <row r="219" s="135">
      <c r="A219" s="53" t="n">
        <v>39416</v>
      </c>
      <c r="B219" s="54" t="n">
        <v>0.173</v>
      </c>
      <c r="C219" s="29" t="n">
        <v>52.8</v>
      </c>
      <c r="D219" s="129" t="n"/>
      <c r="E219" s="129" t="n"/>
      <c r="F219" s="129" t="n"/>
      <c r="G219" s="129" t="n"/>
      <c r="H219" s="129" t="n"/>
      <c r="I219" s="129" t="n"/>
      <c r="J219" s="129" t="n"/>
      <c r="K219" s="129" t="n"/>
      <c r="L219" s="129" t="n"/>
      <c r="M219" s="129" t="n"/>
      <c r="N219" s="129" t="n"/>
      <c r="O219" s="129" t="n"/>
      <c r="P219" s="129" t="n"/>
      <c r="Q219" s="129" t="n"/>
      <c r="R219" s="129" t="n"/>
      <c r="S219" s="129" t="n"/>
      <c r="T219" s="129" t="n"/>
      <c r="U219" s="129" t="n"/>
      <c r="V219" s="129" t="n"/>
      <c r="W219" s="129" t="n"/>
      <c r="X219" s="129" t="n"/>
      <c r="Y219" s="129" t="n"/>
      <c r="Z219" s="129" t="n"/>
      <c r="AA219" s="129" t="n"/>
      <c r="AB219" s="129" t="n"/>
      <c r="AC219" s="129" t="n"/>
      <c r="AD219" s="129" t="n"/>
      <c r="AE219" s="129" t="n"/>
      <c r="AF219" s="129" t="n"/>
      <c r="AG219" s="129" t="n"/>
      <c r="AH219" s="129" t="n"/>
      <c r="AI219" s="129" t="n"/>
      <c r="AJ219" s="129" t="n"/>
      <c r="AK219" s="129" t="n"/>
      <c r="AL219" s="129" t="n"/>
      <c r="AM219" s="129" t="n"/>
      <c r="AN219" s="129" t="n"/>
      <c r="AO219" s="129" t="n"/>
      <c r="AP219" s="129" t="n"/>
      <c r="AQ219" s="129" t="n"/>
      <c r="AR219" s="129" t="n"/>
      <c r="AS219" s="129" t="n"/>
      <c r="AT219" s="129" t="n"/>
      <c r="AU219" s="129" t="n"/>
      <c r="AV219" s="129" t="n"/>
      <c r="AW219" s="129" t="n"/>
      <c r="AX219" s="129" t="n"/>
      <c r="AY219" s="129" t="n"/>
      <c r="AZ219" s="129" t="n"/>
      <c r="BA219" s="129" t="n"/>
      <c r="BB219" s="129" t="n"/>
      <c r="BC219" s="129" t="n"/>
      <c r="BD219" s="129" t="n"/>
      <c r="BE219" s="129" t="n"/>
      <c r="BF219" s="129" t="n"/>
      <c r="BG219" s="129" t="n"/>
      <c r="BH219" s="129" t="n"/>
      <c r="BI219" s="129" t="n"/>
      <c r="BJ219" s="129" t="n"/>
      <c r="BK219" s="129" t="n"/>
      <c r="BL219" s="129" t="n"/>
      <c r="BM219" s="129" t="n"/>
      <c r="BN219" s="129" t="n"/>
      <c r="BO219" s="129" t="n"/>
      <c r="BP219" s="129" t="n"/>
      <c r="BQ219" s="129" t="n"/>
      <c r="BR219" s="129" t="n"/>
      <c r="BS219" s="129" t="n"/>
      <c r="BT219" s="129" t="n"/>
      <c r="BU219" s="129" t="n"/>
      <c r="BV219" s="129" t="n"/>
      <c r="BW219" s="129" t="n"/>
      <c r="BX219" s="129" t="n"/>
      <c r="BY219" s="129" t="n"/>
      <c r="BZ219" s="129" t="n"/>
      <c r="CA219" s="129" t="n"/>
      <c r="CB219" s="129" t="n"/>
      <c r="CC219" s="129" t="n"/>
      <c r="CD219" s="129" t="n"/>
      <c r="CE219" s="129" t="n"/>
      <c r="CF219" s="129" t="n"/>
      <c r="CG219" s="129" t="n"/>
      <c r="CH219" s="129" t="n"/>
      <c r="CI219" s="129" t="n"/>
      <c r="CJ219" s="129" t="n"/>
      <c r="CK219" s="129" t="n"/>
      <c r="CL219" s="129" t="n"/>
      <c r="CM219" s="129" t="n"/>
      <c r="CN219" s="129" t="n"/>
      <c r="CO219" s="129" t="n"/>
      <c r="CP219" s="129" t="n"/>
      <c r="CQ219" s="129" t="n"/>
      <c r="CR219" s="129" t="n"/>
      <c r="CS219" s="129" t="n"/>
      <c r="CT219" s="129" t="n"/>
      <c r="CU219" s="129" t="n"/>
      <c r="CV219" s="129" t="n"/>
      <c r="CW219" s="129" t="n"/>
      <c r="CX219" s="129" t="n"/>
      <c r="CY219" s="129" t="n"/>
      <c r="CZ219" s="129" t="n"/>
      <c r="DA219" s="129" t="n"/>
      <c r="DB219" s="129" t="n"/>
      <c r="DC219" s="129" t="n"/>
      <c r="DD219" s="129" t="n"/>
      <c r="DE219" s="129" t="n"/>
      <c r="DF219" s="129" t="n"/>
      <c r="DG219" s="129" t="n"/>
      <c r="DH219" s="129" t="n"/>
      <c r="DI219" s="129" t="n"/>
      <c r="DJ219" s="129" t="n"/>
      <c r="DK219" s="129" t="n"/>
      <c r="DL219" s="129" t="n"/>
      <c r="DM219" s="129" t="n"/>
      <c r="DN219" s="129" t="n"/>
      <c r="DO219" s="129" t="n"/>
      <c r="DP219" s="129" t="n"/>
      <c r="DQ219" s="129" t="n"/>
      <c r="DR219" s="129" t="n"/>
      <c r="DS219" s="129" t="n"/>
      <c r="DT219" s="129" t="n"/>
      <c r="DU219" s="129" t="n"/>
      <c r="DV219" s="129" t="n"/>
      <c r="DW219" s="129" t="n"/>
      <c r="DX219" s="129" t="n"/>
      <c r="DY219" s="129" t="n"/>
      <c r="DZ219" s="129" t="n"/>
      <c r="EA219" s="129" t="n"/>
      <c r="EB219" s="129" t="n"/>
      <c r="EC219" s="129" t="n"/>
      <c r="ED219" s="129" t="n"/>
      <c r="EE219" s="129" t="n"/>
      <c r="EF219" s="129" t="n"/>
      <c r="EG219" s="129" t="n"/>
      <c r="EH219" s="129" t="n"/>
      <c r="EI219" s="129" t="n"/>
      <c r="EJ219" s="129" t="n"/>
      <c r="EK219" s="129" t="n"/>
      <c r="EL219" s="129" t="n"/>
      <c r="EM219" s="129" t="n"/>
      <c r="EN219" s="129" t="n"/>
      <c r="EO219" s="129" t="n"/>
      <c r="EP219" s="129" t="n"/>
      <c r="EQ219" s="129" t="n"/>
      <c r="ER219" s="129" t="n"/>
      <c r="ES219" s="129" t="n"/>
      <c r="ET219" s="129" t="n"/>
      <c r="EU219" s="129" t="n"/>
      <c r="EV219" s="129" t="n"/>
      <c r="EW219" s="129" t="n"/>
      <c r="EX219" s="129" t="n"/>
      <c r="EY219" s="129" t="n"/>
      <c r="EZ219" s="129" t="n"/>
      <c r="FA219" s="129" t="n"/>
      <c r="FB219" s="129" t="n"/>
      <c r="FC219" s="129" t="n"/>
      <c r="FD219" s="129" t="n"/>
      <c r="FE219" s="129" t="n"/>
      <c r="FF219" s="129" t="n"/>
      <c r="FG219" s="129" t="n"/>
      <c r="FH219" s="129" t="n"/>
      <c r="FI219" s="129" t="n"/>
      <c r="FJ219" s="129" t="n"/>
      <c r="FK219" s="129" t="n"/>
      <c r="FL219" s="129" t="n"/>
      <c r="FM219" s="129" t="n"/>
    </row>
    <row r="220" s="135">
      <c r="A220" s="52" t="n">
        <v>39447</v>
      </c>
      <c r="B220" s="30" t="n">
        <v>0.174</v>
      </c>
      <c r="C220" s="29" t="n">
        <v>53.3</v>
      </c>
      <c r="D220" s="129" t="n"/>
      <c r="E220" s="129" t="n"/>
      <c r="F220" s="129" t="n"/>
      <c r="G220" s="129" t="n"/>
      <c r="H220" s="129" t="n"/>
      <c r="I220" s="129" t="n"/>
      <c r="J220" s="129" t="n"/>
      <c r="K220" s="129" t="n"/>
      <c r="L220" s="129" t="n"/>
      <c r="M220" s="129" t="n"/>
      <c r="N220" s="129" t="n"/>
      <c r="O220" s="129" t="n"/>
      <c r="P220" s="129" t="n"/>
      <c r="Q220" s="129" t="n"/>
      <c r="R220" s="129" t="n"/>
      <c r="S220" s="129" t="n"/>
      <c r="T220" s="129" t="n"/>
      <c r="U220" s="129" t="n"/>
      <c r="V220" s="129" t="n"/>
      <c r="W220" s="129" t="n"/>
      <c r="X220" s="129" t="n"/>
      <c r="Y220" s="129" t="n"/>
      <c r="Z220" s="129" t="n"/>
      <c r="AA220" s="129" t="n"/>
      <c r="AB220" s="129" t="n"/>
      <c r="AC220" s="129" t="n"/>
      <c r="AD220" s="129" t="n"/>
      <c r="AE220" s="129" t="n"/>
      <c r="AF220" s="129" t="n"/>
      <c r="AG220" s="129" t="n"/>
      <c r="AH220" s="129" t="n"/>
      <c r="AI220" s="129" t="n"/>
      <c r="AJ220" s="129" t="n"/>
      <c r="AK220" s="129" t="n"/>
      <c r="AL220" s="129" t="n"/>
      <c r="AM220" s="129" t="n"/>
      <c r="AN220" s="129" t="n"/>
      <c r="AO220" s="129" t="n"/>
      <c r="AP220" s="129" t="n"/>
      <c r="AQ220" s="129" t="n"/>
      <c r="AR220" s="129" t="n"/>
      <c r="AS220" s="129" t="n"/>
      <c r="AT220" s="129" t="n"/>
      <c r="AU220" s="129" t="n"/>
      <c r="AV220" s="129" t="n"/>
      <c r="AW220" s="129" t="n"/>
      <c r="AX220" s="129" t="n"/>
      <c r="AY220" s="129" t="n"/>
      <c r="AZ220" s="129" t="n"/>
      <c r="BA220" s="129" t="n"/>
      <c r="BB220" s="129" t="n"/>
      <c r="BC220" s="129" t="n"/>
      <c r="BD220" s="129" t="n"/>
      <c r="BE220" s="129" t="n"/>
      <c r="BF220" s="129" t="n"/>
      <c r="BG220" s="129" t="n"/>
      <c r="BH220" s="129" t="n"/>
      <c r="BI220" s="129" t="n"/>
      <c r="BJ220" s="129" t="n"/>
      <c r="BK220" s="129" t="n"/>
      <c r="BL220" s="129" t="n"/>
      <c r="BM220" s="129" t="n"/>
      <c r="BN220" s="129" t="n"/>
      <c r="BO220" s="129" t="n"/>
      <c r="BP220" s="129" t="n"/>
      <c r="BQ220" s="129" t="n"/>
      <c r="BR220" s="129" t="n"/>
      <c r="BS220" s="129" t="n"/>
      <c r="BT220" s="129" t="n"/>
      <c r="BU220" s="129" t="n"/>
      <c r="BV220" s="129" t="n"/>
      <c r="BW220" s="129" t="n"/>
      <c r="BX220" s="129" t="n"/>
      <c r="BY220" s="129" t="n"/>
      <c r="BZ220" s="129" t="n"/>
      <c r="CA220" s="129" t="n"/>
      <c r="CB220" s="129" t="n"/>
      <c r="CC220" s="129" t="n"/>
      <c r="CD220" s="129" t="n"/>
      <c r="CE220" s="129" t="n"/>
      <c r="CF220" s="129" t="n"/>
      <c r="CG220" s="129" t="n"/>
      <c r="CH220" s="129" t="n"/>
      <c r="CI220" s="129" t="n"/>
      <c r="CJ220" s="129" t="n"/>
      <c r="CK220" s="129" t="n"/>
      <c r="CL220" s="129" t="n"/>
      <c r="CM220" s="129" t="n"/>
      <c r="CN220" s="129" t="n"/>
      <c r="CO220" s="129" t="n"/>
      <c r="CP220" s="129" t="n"/>
      <c r="CQ220" s="129" t="n"/>
      <c r="CR220" s="129" t="n"/>
      <c r="CS220" s="129" t="n"/>
      <c r="CT220" s="129" t="n"/>
      <c r="CU220" s="129" t="n"/>
      <c r="CV220" s="129" t="n"/>
      <c r="CW220" s="129" t="n"/>
      <c r="CX220" s="129" t="n"/>
      <c r="CY220" s="129" t="n"/>
      <c r="CZ220" s="129" t="n"/>
      <c r="DA220" s="129" t="n"/>
      <c r="DB220" s="129" t="n"/>
      <c r="DC220" s="129" t="n"/>
      <c r="DD220" s="129" t="n"/>
      <c r="DE220" s="129" t="n"/>
      <c r="DF220" s="129" t="n"/>
      <c r="DG220" s="129" t="n"/>
      <c r="DH220" s="129" t="n"/>
      <c r="DI220" s="129" t="n"/>
      <c r="DJ220" s="129" t="n"/>
      <c r="DK220" s="129" t="n"/>
      <c r="DL220" s="129" t="n"/>
      <c r="DM220" s="129" t="n"/>
      <c r="DN220" s="129" t="n"/>
      <c r="DO220" s="129" t="n"/>
      <c r="DP220" s="129" t="n"/>
      <c r="DQ220" s="129" t="n"/>
      <c r="DR220" s="129" t="n"/>
      <c r="DS220" s="129" t="n"/>
      <c r="DT220" s="129" t="n"/>
      <c r="DU220" s="129" t="n"/>
      <c r="DV220" s="129" t="n"/>
      <c r="DW220" s="129" t="n"/>
      <c r="DX220" s="129" t="n"/>
      <c r="DY220" s="129" t="n"/>
      <c r="DZ220" s="129" t="n"/>
      <c r="EA220" s="129" t="n"/>
      <c r="EB220" s="129" t="n"/>
      <c r="EC220" s="129" t="n"/>
      <c r="ED220" s="129" t="n"/>
      <c r="EE220" s="129" t="n"/>
      <c r="EF220" s="129" t="n"/>
      <c r="EG220" s="129" t="n"/>
      <c r="EH220" s="129" t="n"/>
      <c r="EI220" s="129" t="n"/>
      <c r="EJ220" s="129" t="n"/>
      <c r="EK220" s="129" t="n"/>
      <c r="EL220" s="129" t="n"/>
      <c r="EM220" s="129" t="n"/>
      <c r="EN220" s="129" t="n"/>
      <c r="EO220" s="129" t="n"/>
      <c r="EP220" s="129" t="n"/>
      <c r="EQ220" s="129" t="n"/>
      <c r="ER220" s="129" t="n"/>
      <c r="ES220" s="129" t="n"/>
      <c r="ET220" s="129" t="n"/>
      <c r="EU220" s="129" t="n"/>
      <c r="EV220" s="129" t="n"/>
      <c r="EW220" s="129" t="n"/>
      <c r="EX220" s="129" t="n"/>
      <c r="EY220" s="129" t="n"/>
      <c r="EZ220" s="129" t="n"/>
      <c r="FA220" s="129" t="n"/>
      <c r="FB220" s="129" t="n"/>
      <c r="FC220" s="129" t="n"/>
      <c r="FD220" s="129" t="n"/>
      <c r="FE220" s="129" t="n"/>
      <c r="FF220" s="129" t="n"/>
      <c r="FG220" s="129" t="n"/>
      <c r="FH220" s="129" t="n"/>
      <c r="FI220" s="129" t="n"/>
      <c r="FJ220" s="129" t="n"/>
      <c r="FK220" s="129" t="n"/>
      <c r="FL220" s="129" t="n"/>
      <c r="FM220" s="129" t="n"/>
    </row>
    <row r="221" s="135">
      <c r="A221" s="53" t="n">
        <v>39507</v>
      </c>
      <c r="B221" s="54" t="n">
        <v>0.154</v>
      </c>
      <c r="C221" s="29" t="n">
        <v>52.8</v>
      </c>
      <c r="D221" s="129" t="n"/>
      <c r="E221" s="129" t="n"/>
      <c r="F221" s="129" t="n"/>
      <c r="G221" s="129" t="n"/>
      <c r="H221" s="129" t="n"/>
      <c r="I221" s="129" t="n"/>
      <c r="J221" s="129" t="n"/>
      <c r="K221" s="129" t="n"/>
      <c r="L221" s="129" t="n"/>
      <c r="M221" s="129" t="n"/>
      <c r="N221" s="129" t="n"/>
      <c r="O221" s="129" t="n"/>
      <c r="P221" s="129" t="n"/>
      <c r="Q221" s="129" t="n"/>
      <c r="R221" s="129" t="n"/>
      <c r="S221" s="129" t="n"/>
      <c r="T221" s="129" t="n"/>
      <c r="U221" s="129" t="n"/>
      <c r="V221" s="129" t="n"/>
      <c r="W221" s="129" t="n"/>
      <c r="X221" s="129" t="n"/>
      <c r="Y221" s="129" t="n"/>
      <c r="Z221" s="129" t="n"/>
      <c r="AA221" s="129" t="n"/>
      <c r="AB221" s="129" t="n"/>
      <c r="AC221" s="129" t="n"/>
      <c r="AD221" s="129" t="n"/>
      <c r="AE221" s="129" t="n"/>
      <c r="AF221" s="129" t="n"/>
      <c r="AG221" s="129" t="n"/>
      <c r="AH221" s="129" t="n"/>
      <c r="AI221" s="129" t="n"/>
      <c r="AJ221" s="129" t="n"/>
      <c r="AK221" s="129" t="n"/>
      <c r="AL221" s="129" t="n"/>
      <c r="AM221" s="129" t="n"/>
      <c r="AN221" s="129" t="n"/>
      <c r="AO221" s="129" t="n"/>
      <c r="AP221" s="129" t="n"/>
      <c r="AQ221" s="129" t="n"/>
      <c r="AR221" s="129" t="n"/>
      <c r="AS221" s="129" t="n"/>
      <c r="AT221" s="129" t="n"/>
      <c r="AU221" s="129" t="n"/>
      <c r="AV221" s="129" t="n"/>
      <c r="AW221" s="129" t="n"/>
      <c r="AX221" s="129" t="n"/>
      <c r="AY221" s="129" t="n"/>
      <c r="AZ221" s="129" t="n"/>
      <c r="BA221" s="129" t="n"/>
      <c r="BB221" s="129" t="n"/>
      <c r="BC221" s="129" t="n"/>
      <c r="BD221" s="129" t="n"/>
      <c r="BE221" s="129" t="n"/>
      <c r="BF221" s="129" t="n"/>
      <c r="BG221" s="129" t="n"/>
      <c r="BH221" s="129" t="n"/>
      <c r="BI221" s="129" t="n"/>
      <c r="BJ221" s="129" t="n"/>
      <c r="BK221" s="129" t="n"/>
      <c r="BL221" s="129" t="n"/>
      <c r="BM221" s="129" t="n"/>
      <c r="BN221" s="129" t="n"/>
      <c r="BO221" s="129" t="n"/>
      <c r="BP221" s="129" t="n"/>
      <c r="BQ221" s="129" t="n"/>
      <c r="BR221" s="129" t="n"/>
      <c r="BS221" s="129" t="n"/>
      <c r="BT221" s="129" t="n"/>
      <c r="BU221" s="129" t="n"/>
      <c r="BV221" s="129" t="n"/>
      <c r="BW221" s="129" t="n"/>
      <c r="BX221" s="129" t="n"/>
      <c r="BY221" s="129" t="n"/>
      <c r="BZ221" s="129" t="n"/>
      <c r="CA221" s="129" t="n"/>
      <c r="CB221" s="129" t="n"/>
      <c r="CC221" s="129" t="n"/>
      <c r="CD221" s="129" t="n"/>
      <c r="CE221" s="129" t="n"/>
      <c r="CF221" s="129" t="n"/>
      <c r="CG221" s="129" t="n"/>
      <c r="CH221" s="129" t="n"/>
      <c r="CI221" s="129" t="n"/>
      <c r="CJ221" s="129" t="n"/>
      <c r="CK221" s="129" t="n"/>
      <c r="CL221" s="129" t="n"/>
      <c r="CM221" s="129" t="n"/>
      <c r="CN221" s="129" t="n"/>
      <c r="CO221" s="129" t="n"/>
      <c r="CP221" s="129" t="n"/>
      <c r="CQ221" s="129" t="n"/>
      <c r="CR221" s="129" t="n"/>
      <c r="CS221" s="129" t="n"/>
      <c r="CT221" s="129" t="n"/>
      <c r="CU221" s="129" t="n"/>
      <c r="CV221" s="129" t="n"/>
      <c r="CW221" s="129" t="n"/>
      <c r="CX221" s="129" t="n"/>
      <c r="CY221" s="129" t="n"/>
      <c r="CZ221" s="129" t="n"/>
      <c r="DA221" s="129" t="n"/>
      <c r="DB221" s="129" t="n"/>
      <c r="DC221" s="129" t="n"/>
      <c r="DD221" s="129" t="n"/>
      <c r="DE221" s="129" t="n"/>
      <c r="DF221" s="129" t="n"/>
      <c r="DG221" s="129" t="n"/>
      <c r="DH221" s="129" t="n"/>
      <c r="DI221" s="129" t="n"/>
      <c r="DJ221" s="129" t="n"/>
      <c r="DK221" s="129" t="n"/>
      <c r="DL221" s="129" t="n"/>
      <c r="DM221" s="129" t="n"/>
      <c r="DN221" s="129" t="n"/>
      <c r="DO221" s="129" t="n"/>
      <c r="DP221" s="129" t="n"/>
      <c r="DQ221" s="129" t="n"/>
      <c r="DR221" s="129" t="n"/>
      <c r="DS221" s="129" t="n"/>
      <c r="DT221" s="129" t="n"/>
      <c r="DU221" s="129" t="n"/>
      <c r="DV221" s="129" t="n"/>
      <c r="DW221" s="129" t="n"/>
      <c r="DX221" s="129" t="n"/>
      <c r="DY221" s="129" t="n"/>
      <c r="DZ221" s="129" t="n"/>
      <c r="EA221" s="129" t="n"/>
      <c r="EB221" s="129" t="n"/>
      <c r="EC221" s="129" t="n"/>
      <c r="ED221" s="129" t="n"/>
      <c r="EE221" s="129" t="n"/>
      <c r="EF221" s="129" t="n"/>
      <c r="EG221" s="129" t="n"/>
      <c r="EH221" s="129" t="n"/>
      <c r="EI221" s="129" t="n"/>
      <c r="EJ221" s="129" t="n"/>
      <c r="EK221" s="129" t="n"/>
      <c r="EL221" s="129" t="n"/>
      <c r="EM221" s="129" t="n"/>
      <c r="EN221" s="129" t="n"/>
      <c r="EO221" s="129" t="n"/>
      <c r="EP221" s="129" t="n"/>
      <c r="EQ221" s="129" t="n"/>
      <c r="ER221" s="129" t="n"/>
      <c r="ES221" s="129" t="n"/>
      <c r="ET221" s="129" t="n"/>
      <c r="EU221" s="129" t="n"/>
      <c r="EV221" s="129" t="n"/>
      <c r="EW221" s="129" t="n"/>
      <c r="EX221" s="129" t="n"/>
      <c r="EY221" s="129" t="n"/>
      <c r="EZ221" s="129" t="n"/>
      <c r="FA221" s="129" t="n"/>
      <c r="FB221" s="129" t="n"/>
      <c r="FC221" s="129" t="n"/>
      <c r="FD221" s="129" t="n"/>
      <c r="FE221" s="129" t="n"/>
      <c r="FF221" s="129" t="n"/>
      <c r="FG221" s="129" t="n"/>
      <c r="FH221" s="129" t="n"/>
      <c r="FI221" s="129" t="n"/>
      <c r="FJ221" s="129" t="n"/>
      <c r="FK221" s="129" t="n"/>
      <c r="FL221" s="129" t="n"/>
      <c r="FM221" s="129" t="n"/>
    </row>
    <row r="222" s="135">
      <c r="A222" s="52" t="n">
        <v>39538</v>
      </c>
      <c r="B222" s="30" t="n">
        <v>0.178</v>
      </c>
      <c r="C222" s="29" t="n">
        <v>54.4</v>
      </c>
      <c r="D222" s="129" t="n"/>
      <c r="E222" s="129" t="n"/>
      <c r="F222" s="129" t="n"/>
      <c r="G222" s="129" t="n"/>
      <c r="H222" s="129" t="n"/>
      <c r="I222" s="129" t="n"/>
      <c r="J222" s="129" t="n"/>
      <c r="K222" s="129" t="n"/>
      <c r="L222" s="129" t="n"/>
      <c r="M222" s="129" t="n"/>
      <c r="N222" s="129" t="n"/>
      <c r="O222" s="129" t="n"/>
      <c r="P222" s="129" t="n"/>
      <c r="Q222" s="129" t="n"/>
      <c r="R222" s="129" t="n"/>
      <c r="S222" s="129" t="n"/>
      <c r="T222" s="129" t="n"/>
      <c r="U222" s="129" t="n"/>
      <c r="V222" s="129" t="n"/>
      <c r="W222" s="129" t="n"/>
      <c r="X222" s="129" t="n"/>
      <c r="Y222" s="129" t="n"/>
      <c r="Z222" s="129" t="n"/>
      <c r="AA222" s="129" t="n"/>
      <c r="AB222" s="129" t="n"/>
      <c r="AC222" s="129" t="n"/>
      <c r="AD222" s="129" t="n"/>
      <c r="AE222" s="129" t="n"/>
      <c r="AF222" s="129" t="n"/>
      <c r="AG222" s="129" t="n"/>
      <c r="AH222" s="129" t="n"/>
      <c r="AI222" s="129" t="n"/>
      <c r="AJ222" s="129" t="n"/>
      <c r="AK222" s="129" t="n"/>
      <c r="AL222" s="129" t="n"/>
      <c r="AM222" s="129" t="n"/>
      <c r="AN222" s="129" t="n"/>
      <c r="AO222" s="129" t="n"/>
      <c r="AP222" s="129" t="n"/>
      <c r="AQ222" s="129" t="n"/>
      <c r="AR222" s="129" t="n"/>
      <c r="AS222" s="129" t="n"/>
      <c r="AT222" s="129" t="n"/>
      <c r="AU222" s="129" t="n"/>
      <c r="AV222" s="129" t="n"/>
      <c r="AW222" s="129" t="n"/>
      <c r="AX222" s="129" t="n"/>
      <c r="AY222" s="129" t="n"/>
      <c r="AZ222" s="129" t="n"/>
      <c r="BA222" s="129" t="n"/>
      <c r="BB222" s="129" t="n"/>
      <c r="BC222" s="129" t="n"/>
      <c r="BD222" s="129" t="n"/>
      <c r="BE222" s="129" t="n"/>
      <c r="BF222" s="129" t="n"/>
      <c r="BG222" s="129" t="n"/>
      <c r="BH222" s="129" t="n"/>
      <c r="BI222" s="129" t="n"/>
      <c r="BJ222" s="129" t="n"/>
      <c r="BK222" s="129" t="n"/>
      <c r="BL222" s="129" t="n"/>
      <c r="BM222" s="129" t="n"/>
      <c r="BN222" s="129" t="n"/>
      <c r="BO222" s="129" t="n"/>
      <c r="BP222" s="129" t="n"/>
      <c r="BQ222" s="129" t="n"/>
      <c r="BR222" s="129" t="n"/>
      <c r="BS222" s="129" t="n"/>
      <c r="BT222" s="129" t="n"/>
      <c r="BU222" s="129" t="n"/>
      <c r="BV222" s="129" t="n"/>
      <c r="BW222" s="129" t="n"/>
      <c r="BX222" s="129" t="n"/>
      <c r="BY222" s="129" t="n"/>
      <c r="BZ222" s="129" t="n"/>
      <c r="CA222" s="129" t="n"/>
      <c r="CB222" s="129" t="n"/>
      <c r="CC222" s="129" t="n"/>
      <c r="CD222" s="129" t="n"/>
      <c r="CE222" s="129" t="n"/>
      <c r="CF222" s="129" t="n"/>
      <c r="CG222" s="129" t="n"/>
      <c r="CH222" s="129" t="n"/>
      <c r="CI222" s="129" t="n"/>
      <c r="CJ222" s="129" t="n"/>
      <c r="CK222" s="129" t="n"/>
      <c r="CL222" s="129" t="n"/>
      <c r="CM222" s="129" t="n"/>
      <c r="CN222" s="129" t="n"/>
      <c r="CO222" s="129" t="n"/>
      <c r="CP222" s="129" t="n"/>
      <c r="CQ222" s="129" t="n"/>
      <c r="CR222" s="129" t="n"/>
      <c r="CS222" s="129" t="n"/>
      <c r="CT222" s="129" t="n"/>
      <c r="CU222" s="129" t="n"/>
      <c r="CV222" s="129" t="n"/>
      <c r="CW222" s="129" t="n"/>
      <c r="CX222" s="129" t="n"/>
      <c r="CY222" s="129" t="n"/>
      <c r="CZ222" s="129" t="n"/>
      <c r="DA222" s="129" t="n"/>
      <c r="DB222" s="129" t="n"/>
      <c r="DC222" s="129" t="n"/>
      <c r="DD222" s="129" t="n"/>
      <c r="DE222" s="129" t="n"/>
      <c r="DF222" s="129" t="n"/>
      <c r="DG222" s="129" t="n"/>
      <c r="DH222" s="129" t="n"/>
      <c r="DI222" s="129" t="n"/>
      <c r="DJ222" s="129" t="n"/>
      <c r="DK222" s="129" t="n"/>
      <c r="DL222" s="129" t="n"/>
      <c r="DM222" s="129" t="n"/>
      <c r="DN222" s="129" t="n"/>
      <c r="DO222" s="129" t="n"/>
      <c r="DP222" s="129" t="n"/>
      <c r="DQ222" s="129" t="n"/>
      <c r="DR222" s="129" t="n"/>
      <c r="DS222" s="129" t="n"/>
      <c r="DT222" s="129" t="n"/>
      <c r="DU222" s="129" t="n"/>
      <c r="DV222" s="129" t="n"/>
      <c r="DW222" s="129" t="n"/>
      <c r="DX222" s="129" t="n"/>
      <c r="DY222" s="129" t="n"/>
      <c r="DZ222" s="129" t="n"/>
      <c r="EA222" s="129" t="n"/>
      <c r="EB222" s="129" t="n"/>
      <c r="EC222" s="129" t="n"/>
      <c r="ED222" s="129" t="n"/>
      <c r="EE222" s="129" t="n"/>
      <c r="EF222" s="129" t="n"/>
      <c r="EG222" s="129" t="n"/>
      <c r="EH222" s="129" t="n"/>
      <c r="EI222" s="129" t="n"/>
      <c r="EJ222" s="129" t="n"/>
      <c r="EK222" s="129" t="n"/>
      <c r="EL222" s="129" t="n"/>
      <c r="EM222" s="129" t="n"/>
      <c r="EN222" s="129" t="n"/>
      <c r="EO222" s="129" t="n"/>
      <c r="EP222" s="129" t="n"/>
      <c r="EQ222" s="129" t="n"/>
      <c r="ER222" s="129" t="n"/>
      <c r="ES222" s="129" t="n"/>
      <c r="ET222" s="129" t="n"/>
      <c r="EU222" s="129" t="n"/>
      <c r="EV222" s="129" t="n"/>
      <c r="EW222" s="129" t="n"/>
      <c r="EX222" s="129" t="n"/>
      <c r="EY222" s="129" t="n"/>
      <c r="EZ222" s="129" t="n"/>
      <c r="FA222" s="129" t="n"/>
      <c r="FB222" s="129" t="n"/>
      <c r="FC222" s="129" t="n"/>
      <c r="FD222" s="129" t="n"/>
      <c r="FE222" s="129" t="n"/>
      <c r="FF222" s="129" t="n"/>
      <c r="FG222" s="129" t="n"/>
      <c r="FH222" s="129" t="n"/>
      <c r="FI222" s="129" t="n"/>
      <c r="FJ222" s="129" t="n"/>
      <c r="FK222" s="129" t="n"/>
      <c r="FL222" s="129" t="n"/>
      <c r="FM222" s="129" t="n"/>
    </row>
    <row r="223" s="135">
      <c r="A223" s="53" t="n">
        <v>39568</v>
      </c>
      <c r="B223" s="54" t="n">
        <v>0.157</v>
      </c>
      <c r="C223" s="29" t="n">
        <v>55.4</v>
      </c>
      <c r="D223" s="129" t="n"/>
      <c r="E223" s="129" t="n"/>
      <c r="F223" s="129" t="n"/>
      <c r="G223" s="129" t="n"/>
      <c r="H223" s="129" t="n"/>
      <c r="I223" s="129" t="n"/>
      <c r="J223" s="129" t="n"/>
      <c r="K223" s="129" t="n"/>
      <c r="L223" s="129" t="n"/>
      <c r="M223" s="129" t="n"/>
      <c r="N223" s="129" t="n"/>
      <c r="O223" s="129" t="n"/>
      <c r="P223" s="129" t="n"/>
      <c r="Q223" s="129" t="n"/>
      <c r="R223" s="129" t="n"/>
      <c r="S223" s="129" t="n"/>
      <c r="T223" s="129" t="n"/>
      <c r="U223" s="129" t="n"/>
      <c r="V223" s="129" t="n"/>
      <c r="W223" s="129" t="n"/>
      <c r="X223" s="129" t="n"/>
      <c r="Y223" s="129" t="n"/>
      <c r="Z223" s="129" t="n"/>
      <c r="AA223" s="129" t="n"/>
      <c r="AB223" s="129" t="n"/>
      <c r="AC223" s="129" t="n"/>
      <c r="AD223" s="129" t="n"/>
      <c r="AE223" s="129" t="n"/>
      <c r="AF223" s="129" t="n"/>
      <c r="AG223" s="129" t="n"/>
      <c r="AH223" s="129" t="n"/>
      <c r="AI223" s="129" t="n"/>
      <c r="AJ223" s="129" t="n"/>
      <c r="AK223" s="129" t="n"/>
      <c r="AL223" s="129" t="n"/>
      <c r="AM223" s="129" t="n"/>
      <c r="AN223" s="129" t="n"/>
      <c r="AO223" s="129" t="n"/>
      <c r="AP223" s="129" t="n"/>
      <c r="AQ223" s="129" t="n"/>
      <c r="AR223" s="129" t="n"/>
      <c r="AS223" s="129" t="n"/>
      <c r="AT223" s="129" t="n"/>
      <c r="AU223" s="129" t="n"/>
      <c r="AV223" s="129" t="n"/>
      <c r="AW223" s="129" t="n"/>
      <c r="AX223" s="129" t="n"/>
      <c r="AY223" s="129" t="n"/>
      <c r="AZ223" s="129" t="n"/>
      <c r="BA223" s="129" t="n"/>
      <c r="BB223" s="129" t="n"/>
      <c r="BC223" s="129" t="n"/>
      <c r="BD223" s="129" t="n"/>
      <c r="BE223" s="129" t="n"/>
      <c r="BF223" s="129" t="n"/>
      <c r="BG223" s="129" t="n"/>
      <c r="BH223" s="129" t="n"/>
      <c r="BI223" s="129" t="n"/>
      <c r="BJ223" s="129" t="n"/>
      <c r="BK223" s="129" t="n"/>
      <c r="BL223" s="129" t="n"/>
      <c r="BM223" s="129" t="n"/>
      <c r="BN223" s="129" t="n"/>
      <c r="BO223" s="129" t="n"/>
      <c r="BP223" s="129" t="n"/>
      <c r="BQ223" s="129" t="n"/>
      <c r="BR223" s="129" t="n"/>
      <c r="BS223" s="129" t="n"/>
      <c r="BT223" s="129" t="n"/>
      <c r="BU223" s="129" t="n"/>
      <c r="BV223" s="129" t="n"/>
      <c r="BW223" s="129" t="n"/>
      <c r="BX223" s="129" t="n"/>
      <c r="BY223" s="129" t="n"/>
      <c r="BZ223" s="129" t="n"/>
      <c r="CA223" s="129" t="n"/>
      <c r="CB223" s="129" t="n"/>
      <c r="CC223" s="129" t="n"/>
      <c r="CD223" s="129" t="n"/>
      <c r="CE223" s="129" t="n"/>
      <c r="CF223" s="129" t="n"/>
      <c r="CG223" s="129" t="n"/>
      <c r="CH223" s="129" t="n"/>
      <c r="CI223" s="129" t="n"/>
      <c r="CJ223" s="129" t="n"/>
      <c r="CK223" s="129" t="n"/>
      <c r="CL223" s="129" t="n"/>
      <c r="CM223" s="129" t="n"/>
      <c r="CN223" s="129" t="n"/>
      <c r="CO223" s="129" t="n"/>
      <c r="CP223" s="129" t="n"/>
      <c r="CQ223" s="129" t="n"/>
      <c r="CR223" s="129" t="n"/>
      <c r="CS223" s="129" t="n"/>
      <c r="CT223" s="129" t="n"/>
      <c r="CU223" s="129" t="n"/>
      <c r="CV223" s="129" t="n"/>
      <c r="CW223" s="129" t="n"/>
      <c r="CX223" s="129" t="n"/>
      <c r="CY223" s="129" t="n"/>
      <c r="CZ223" s="129" t="n"/>
      <c r="DA223" s="129" t="n"/>
      <c r="DB223" s="129" t="n"/>
      <c r="DC223" s="129" t="n"/>
      <c r="DD223" s="129" t="n"/>
      <c r="DE223" s="129" t="n"/>
      <c r="DF223" s="129" t="n"/>
      <c r="DG223" s="129" t="n"/>
      <c r="DH223" s="129" t="n"/>
      <c r="DI223" s="129" t="n"/>
      <c r="DJ223" s="129" t="n"/>
      <c r="DK223" s="129" t="n"/>
      <c r="DL223" s="129" t="n"/>
      <c r="DM223" s="129" t="n"/>
      <c r="DN223" s="129" t="n"/>
      <c r="DO223" s="129" t="n"/>
      <c r="DP223" s="129" t="n"/>
      <c r="DQ223" s="129" t="n"/>
      <c r="DR223" s="129" t="n"/>
      <c r="DS223" s="129" t="n"/>
      <c r="DT223" s="129" t="n"/>
      <c r="DU223" s="129" t="n"/>
      <c r="DV223" s="129" t="n"/>
      <c r="DW223" s="129" t="n"/>
      <c r="DX223" s="129" t="n"/>
      <c r="DY223" s="129" t="n"/>
      <c r="DZ223" s="129" t="n"/>
      <c r="EA223" s="129" t="n"/>
      <c r="EB223" s="129" t="n"/>
      <c r="EC223" s="129" t="n"/>
      <c r="ED223" s="129" t="n"/>
      <c r="EE223" s="129" t="n"/>
      <c r="EF223" s="129" t="n"/>
      <c r="EG223" s="129" t="n"/>
      <c r="EH223" s="129" t="n"/>
      <c r="EI223" s="129" t="n"/>
      <c r="EJ223" s="129" t="n"/>
      <c r="EK223" s="129" t="n"/>
      <c r="EL223" s="129" t="n"/>
      <c r="EM223" s="129" t="n"/>
      <c r="EN223" s="129" t="n"/>
      <c r="EO223" s="129" t="n"/>
      <c r="EP223" s="129" t="n"/>
      <c r="EQ223" s="129" t="n"/>
      <c r="ER223" s="129" t="n"/>
      <c r="ES223" s="129" t="n"/>
      <c r="ET223" s="129" t="n"/>
      <c r="EU223" s="129" t="n"/>
      <c r="EV223" s="129" t="n"/>
      <c r="EW223" s="129" t="n"/>
      <c r="EX223" s="129" t="n"/>
      <c r="EY223" s="129" t="n"/>
      <c r="EZ223" s="129" t="n"/>
      <c r="FA223" s="129" t="n"/>
      <c r="FB223" s="129" t="n"/>
      <c r="FC223" s="129" t="n"/>
      <c r="FD223" s="129" t="n"/>
      <c r="FE223" s="129" t="n"/>
      <c r="FF223" s="129" t="n"/>
      <c r="FG223" s="129" t="n"/>
      <c r="FH223" s="129" t="n"/>
      <c r="FI223" s="129" t="n"/>
      <c r="FJ223" s="129" t="n"/>
      <c r="FK223" s="129" t="n"/>
      <c r="FL223" s="129" t="n"/>
      <c r="FM223" s="129" t="n"/>
    </row>
    <row r="224" s="135">
      <c r="A224" s="52" t="n">
        <v>39599</v>
      </c>
      <c r="B224" s="30" t="n">
        <v>0.16</v>
      </c>
      <c r="C224" s="29" t="n">
        <v>54.7</v>
      </c>
      <c r="D224" s="129" t="n"/>
      <c r="E224" s="129" t="n"/>
      <c r="F224" s="129" t="n"/>
      <c r="G224" s="129" t="n"/>
      <c r="H224" s="129" t="n"/>
      <c r="I224" s="129" t="n"/>
      <c r="J224" s="129" t="n"/>
      <c r="K224" s="129" t="n"/>
      <c r="L224" s="129" t="n"/>
      <c r="M224" s="129" t="n"/>
      <c r="N224" s="129" t="n"/>
      <c r="O224" s="129" t="n"/>
      <c r="P224" s="129" t="n"/>
      <c r="Q224" s="129" t="n"/>
      <c r="R224" s="129" t="n"/>
      <c r="S224" s="129" t="n"/>
      <c r="T224" s="129" t="n"/>
      <c r="U224" s="129" t="n"/>
      <c r="V224" s="129" t="n"/>
      <c r="W224" s="129" t="n"/>
      <c r="X224" s="129" t="n"/>
      <c r="Y224" s="129" t="n"/>
      <c r="Z224" s="129" t="n"/>
      <c r="AA224" s="129" t="n"/>
      <c r="AB224" s="129" t="n"/>
      <c r="AC224" s="129" t="n"/>
      <c r="AD224" s="129" t="n"/>
      <c r="AE224" s="129" t="n"/>
      <c r="AF224" s="129" t="n"/>
      <c r="AG224" s="129" t="n"/>
      <c r="AH224" s="129" t="n"/>
      <c r="AI224" s="129" t="n"/>
      <c r="AJ224" s="129" t="n"/>
      <c r="AK224" s="129" t="n"/>
      <c r="AL224" s="129" t="n"/>
      <c r="AM224" s="129" t="n"/>
      <c r="AN224" s="129" t="n"/>
      <c r="AO224" s="129" t="n"/>
      <c r="AP224" s="129" t="n"/>
      <c r="AQ224" s="129" t="n"/>
      <c r="AR224" s="129" t="n"/>
      <c r="AS224" s="129" t="n"/>
      <c r="AT224" s="129" t="n"/>
      <c r="AU224" s="129" t="n"/>
      <c r="AV224" s="129" t="n"/>
      <c r="AW224" s="129" t="n"/>
      <c r="AX224" s="129" t="n"/>
      <c r="AY224" s="129" t="n"/>
      <c r="AZ224" s="129" t="n"/>
      <c r="BA224" s="129" t="n"/>
      <c r="BB224" s="129" t="n"/>
      <c r="BC224" s="129" t="n"/>
      <c r="BD224" s="129" t="n"/>
      <c r="BE224" s="129" t="n"/>
      <c r="BF224" s="129" t="n"/>
      <c r="BG224" s="129" t="n"/>
      <c r="BH224" s="129" t="n"/>
      <c r="BI224" s="129" t="n"/>
      <c r="BJ224" s="129" t="n"/>
      <c r="BK224" s="129" t="n"/>
      <c r="BL224" s="129" t="n"/>
      <c r="BM224" s="129" t="n"/>
      <c r="BN224" s="129" t="n"/>
      <c r="BO224" s="129" t="n"/>
      <c r="BP224" s="129" t="n"/>
      <c r="BQ224" s="129" t="n"/>
      <c r="BR224" s="129" t="n"/>
      <c r="BS224" s="129" t="n"/>
      <c r="BT224" s="129" t="n"/>
      <c r="BU224" s="129" t="n"/>
      <c r="BV224" s="129" t="n"/>
      <c r="BW224" s="129" t="n"/>
      <c r="BX224" s="129" t="n"/>
      <c r="BY224" s="129" t="n"/>
      <c r="BZ224" s="129" t="n"/>
      <c r="CA224" s="129" t="n"/>
      <c r="CB224" s="129" t="n"/>
      <c r="CC224" s="129" t="n"/>
      <c r="CD224" s="129" t="n"/>
      <c r="CE224" s="129" t="n"/>
      <c r="CF224" s="129" t="n"/>
      <c r="CG224" s="129" t="n"/>
      <c r="CH224" s="129" t="n"/>
      <c r="CI224" s="129" t="n"/>
      <c r="CJ224" s="129" t="n"/>
      <c r="CK224" s="129" t="n"/>
      <c r="CL224" s="129" t="n"/>
      <c r="CM224" s="129" t="n"/>
      <c r="CN224" s="129" t="n"/>
      <c r="CO224" s="129" t="n"/>
      <c r="CP224" s="129" t="n"/>
      <c r="CQ224" s="129" t="n"/>
      <c r="CR224" s="129" t="n"/>
      <c r="CS224" s="129" t="n"/>
      <c r="CT224" s="129" t="n"/>
      <c r="CU224" s="129" t="n"/>
      <c r="CV224" s="129" t="n"/>
      <c r="CW224" s="129" t="n"/>
      <c r="CX224" s="129" t="n"/>
      <c r="CY224" s="129" t="n"/>
      <c r="CZ224" s="129" t="n"/>
      <c r="DA224" s="129" t="n"/>
      <c r="DB224" s="129" t="n"/>
      <c r="DC224" s="129" t="n"/>
      <c r="DD224" s="129" t="n"/>
      <c r="DE224" s="129" t="n"/>
      <c r="DF224" s="129" t="n"/>
      <c r="DG224" s="129" t="n"/>
      <c r="DH224" s="129" t="n"/>
      <c r="DI224" s="129" t="n"/>
      <c r="DJ224" s="129" t="n"/>
      <c r="DK224" s="129" t="n"/>
      <c r="DL224" s="129" t="n"/>
      <c r="DM224" s="129" t="n"/>
      <c r="DN224" s="129" t="n"/>
      <c r="DO224" s="129" t="n"/>
      <c r="DP224" s="129" t="n"/>
      <c r="DQ224" s="129" t="n"/>
      <c r="DR224" s="129" t="n"/>
      <c r="DS224" s="129" t="n"/>
      <c r="DT224" s="129" t="n"/>
      <c r="DU224" s="129" t="n"/>
      <c r="DV224" s="129" t="n"/>
      <c r="DW224" s="129" t="n"/>
      <c r="DX224" s="129" t="n"/>
      <c r="DY224" s="129" t="n"/>
      <c r="DZ224" s="129" t="n"/>
      <c r="EA224" s="129" t="n"/>
      <c r="EB224" s="129" t="n"/>
      <c r="EC224" s="129" t="n"/>
      <c r="ED224" s="129" t="n"/>
      <c r="EE224" s="129" t="n"/>
      <c r="EF224" s="129" t="n"/>
      <c r="EG224" s="129" t="n"/>
      <c r="EH224" s="129" t="n"/>
      <c r="EI224" s="129" t="n"/>
      <c r="EJ224" s="129" t="n"/>
      <c r="EK224" s="129" t="n"/>
      <c r="EL224" s="129" t="n"/>
      <c r="EM224" s="129" t="n"/>
      <c r="EN224" s="129" t="n"/>
      <c r="EO224" s="129" t="n"/>
      <c r="EP224" s="129" t="n"/>
      <c r="EQ224" s="129" t="n"/>
      <c r="ER224" s="129" t="n"/>
      <c r="ES224" s="129" t="n"/>
      <c r="ET224" s="129" t="n"/>
      <c r="EU224" s="129" t="n"/>
      <c r="EV224" s="129" t="n"/>
      <c r="EW224" s="129" t="n"/>
      <c r="EX224" s="129" t="n"/>
      <c r="EY224" s="129" t="n"/>
      <c r="EZ224" s="129" t="n"/>
      <c r="FA224" s="129" t="n"/>
      <c r="FB224" s="129" t="n"/>
      <c r="FC224" s="129" t="n"/>
      <c r="FD224" s="129" t="n"/>
      <c r="FE224" s="129" t="n"/>
      <c r="FF224" s="129" t="n"/>
      <c r="FG224" s="129" t="n"/>
      <c r="FH224" s="129" t="n"/>
      <c r="FI224" s="129" t="n"/>
      <c r="FJ224" s="129" t="n"/>
      <c r="FK224" s="129" t="n"/>
      <c r="FL224" s="129" t="n"/>
      <c r="FM224" s="129" t="n"/>
    </row>
    <row r="225" s="135">
      <c r="A225" s="53" t="n">
        <v>39629</v>
      </c>
      <c r="B225" s="54" t="n">
        <v>0.16</v>
      </c>
      <c r="C225" s="29" t="n">
        <v>53.3</v>
      </c>
      <c r="D225" s="129" t="n"/>
      <c r="E225" s="129" t="n"/>
      <c r="F225" s="129" t="n"/>
      <c r="G225" s="129" t="n"/>
      <c r="H225" s="129" t="n"/>
      <c r="I225" s="129" t="n"/>
      <c r="J225" s="129" t="n"/>
      <c r="K225" s="129" t="n"/>
      <c r="L225" s="129" t="n"/>
      <c r="M225" s="129" t="n"/>
      <c r="N225" s="129" t="n"/>
      <c r="O225" s="129" t="n"/>
      <c r="P225" s="129" t="n"/>
      <c r="Q225" s="129" t="n"/>
      <c r="R225" s="129" t="n"/>
      <c r="S225" s="129" t="n"/>
      <c r="T225" s="129" t="n"/>
      <c r="U225" s="129" t="n"/>
      <c r="V225" s="129" t="n"/>
      <c r="W225" s="129" t="n"/>
      <c r="X225" s="129" t="n"/>
      <c r="Y225" s="129" t="n"/>
      <c r="Z225" s="129" t="n"/>
      <c r="AA225" s="129" t="n"/>
      <c r="AB225" s="129" t="n"/>
      <c r="AC225" s="129" t="n"/>
      <c r="AD225" s="129" t="n"/>
      <c r="AE225" s="129" t="n"/>
      <c r="AF225" s="129" t="n"/>
      <c r="AG225" s="129" t="n"/>
      <c r="AH225" s="129" t="n"/>
      <c r="AI225" s="129" t="n"/>
      <c r="AJ225" s="129" t="n"/>
      <c r="AK225" s="129" t="n"/>
      <c r="AL225" s="129" t="n"/>
      <c r="AM225" s="129" t="n"/>
      <c r="AN225" s="129" t="n"/>
      <c r="AO225" s="129" t="n"/>
      <c r="AP225" s="129" t="n"/>
      <c r="AQ225" s="129" t="n"/>
      <c r="AR225" s="129" t="n"/>
      <c r="AS225" s="129" t="n"/>
      <c r="AT225" s="129" t="n"/>
      <c r="AU225" s="129" t="n"/>
      <c r="AV225" s="129" t="n"/>
      <c r="AW225" s="129" t="n"/>
      <c r="AX225" s="129" t="n"/>
      <c r="AY225" s="129" t="n"/>
      <c r="AZ225" s="129" t="n"/>
      <c r="BA225" s="129" t="n"/>
      <c r="BB225" s="129" t="n"/>
      <c r="BC225" s="129" t="n"/>
      <c r="BD225" s="129" t="n"/>
      <c r="BE225" s="129" t="n"/>
      <c r="BF225" s="129" t="n"/>
      <c r="BG225" s="129" t="n"/>
      <c r="BH225" s="129" t="n"/>
      <c r="BI225" s="129" t="n"/>
      <c r="BJ225" s="129" t="n"/>
      <c r="BK225" s="129" t="n"/>
      <c r="BL225" s="129" t="n"/>
      <c r="BM225" s="129" t="n"/>
      <c r="BN225" s="129" t="n"/>
      <c r="BO225" s="129" t="n"/>
      <c r="BP225" s="129" t="n"/>
      <c r="BQ225" s="129" t="n"/>
      <c r="BR225" s="129" t="n"/>
      <c r="BS225" s="129" t="n"/>
      <c r="BT225" s="129" t="n"/>
      <c r="BU225" s="129" t="n"/>
      <c r="BV225" s="129" t="n"/>
      <c r="BW225" s="129" t="n"/>
      <c r="BX225" s="129" t="n"/>
      <c r="BY225" s="129" t="n"/>
      <c r="BZ225" s="129" t="n"/>
      <c r="CA225" s="129" t="n"/>
      <c r="CB225" s="129" t="n"/>
      <c r="CC225" s="129" t="n"/>
      <c r="CD225" s="129" t="n"/>
      <c r="CE225" s="129" t="n"/>
      <c r="CF225" s="129" t="n"/>
      <c r="CG225" s="129" t="n"/>
      <c r="CH225" s="129" t="n"/>
      <c r="CI225" s="129" t="n"/>
      <c r="CJ225" s="129" t="n"/>
      <c r="CK225" s="129" t="n"/>
      <c r="CL225" s="129" t="n"/>
      <c r="CM225" s="129" t="n"/>
      <c r="CN225" s="129" t="n"/>
      <c r="CO225" s="129" t="n"/>
      <c r="CP225" s="129" t="n"/>
      <c r="CQ225" s="129" t="n"/>
      <c r="CR225" s="129" t="n"/>
      <c r="CS225" s="129" t="n"/>
      <c r="CT225" s="129" t="n"/>
      <c r="CU225" s="129" t="n"/>
      <c r="CV225" s="129" t="n"/>
      <c r="CW225" s="129" t="n"/>
      <c r="CX225" s="129" t="n"/>
      <c r="CY225" s="129" t="n"/>
      <c r="CZ225" s="129" t="n"/>
      <c r="DA225" s="129" t="n"/>
      <c r="DB225" s="129" t="n"/>
      <c r="DC225" s="129" t="n"/>
      <c r="DD225" s="129" t="n"/>
      <c r="DE225" s="129" t="n"/>
      <c r="DF225" s="129" t="n"/>
      <c r="DG225" s="129" t="n"/>
      <c r="DH225" s="129" t="n"/>
      <c r="DI225" s="129" t="n"/>
      <c r="DJ225" s="129" t="n"/>
      <c r="DK225" s="129" t="n"/>
      <c r="DL225" s="129" t="n"/>
      <c r="DM225" s="129" t="n"/>
      <c r="DN225" s="129" t="n"/>
      <c r="DO225" s="129" t="n"/>
      <c r="DP225" s="129" t="n"/>
      <c r="DQ225" s="129" t="n"/>
      <c r="DR225" s="129" t="n"/>
      <c r="DS225" s="129" t="n"/>
      <c r="DT225" s="129" t="n"/>
      <c r="DU225" s="129" t="n"/>
      <c r="DV225" s="129" t="n"/>
      <c r="DW225" s="129" t="n"/>
      <c r="DX225" s="129" t="n"/>
      <c r="DY225" s="129" t="n"/>
      <c r="DZ225" s="129" t="n"/>
      <c r="EA225" s="129" t="n"/>
      <c r="EB225" s="129" t="n"/>
      <c r="EC225" s="129" t="n"/>
      <c r="ED225" s="129" t="n"/>
      <c r="EE225" s="129" t="n"/>
      <c r="EF225" s="129" t="n"/>
      <c r="EG225" s="129" t="n"/>
      <c r="EH225" s="129" t="n"/>
      <c r="EI225" s="129" t="n"/>
      <c r="EJ225" s="129" t="n"/>
      <c r="EK225" s="129" t="n"/>
      <c r="EL225" s="129" t="n"/>
      <c r="EM225" s="129" t="n"/>
      <c r="EN225" s="129" t="n"/>
      <c r="EO225" s="129" t="n"/>
      <c r="EP225" s="129" t="n"/>
      <c r="EQ225" s="129" t="n"/>
      <c r="ER225" s="129" t="n"/>
      <c r="ES225" s="129" t="n"/>
      <c r="ET225" s="129" t="n"/>
      <c r="EU225" s="129" t="n"/>
      <c r="EV225" s="129" t="n"/>
      <c r="EW225" s="129" t="n"/>
      <c r="EX225" s="129" t="n"/>
      <c r="EY225" s="129" t="n"/>
      <c r="EZ225" s="129" t="n"/>
      <c r="FA225" s="129" t="n"/>
      <c r="FB225" s="129" t="n"/>
      <c r="FC225" s="129" t="n"/>
      <c r="FD225" s="129" t="n"/>
      <c r="FE225" s="129" t="n"/>
      <c r="FF225" s="129" t="n"/>
      <c r="FG225" s="129" t="n"/>
      <c r="FH225" s="129" t="n"/>
      <c r="FI225" s="129" t="n"/>
      <c r="FJ225" s="129" t="n"/>
      <c r="FK225" s="129" t="n"/>
      <c r="FL225" s="129" t="n"/>
      <c r="FM225" s="129" t="n"/>
    </row>
    <row r="226" s="135">
      <c r="A226" s="52" t="n">
        <v>39660</v>
      </c>
      <c r="B226" s="30" t="n">
        <v>0.147</v>
      </c>
      <c r="C226" s="29" t="n">
        <v>53.3</v>
      </c>
      <c r="D226" s="129" t="n"/>
      <c r="E226" s="129" t="n"/>
      <c r="F226" s="129" t="n"/>
      <c r="G226" s="129" t="n"/>
      <c r="H226" s="129" t="n"/>
      <c r="I226" s="129" t="n"/>
      <c r="J226" s="129" t="n"/>
      <c r="K226" s="129" t="n"/>
      <c r="L226" s="129" t="n"/>
      <c r="M226" s="129" t="n"/>
      <c r="N226" s="129" t="n"/>
      <c r="O226" s="129" t="n"/>
      <c r="P226" s="129" t="n"/>
      <c r="Q226" s="129" t="n"/>
      <c r="R226" s="129" t="n"/>
      <c r="S226" s="129" t="n"/>
      <c r="T226" s="129" t="n"/>
      <c r="U226" s="129" t="n"/>
      <c r="V226" s="129" t="n"/>
      <c r="W226" s="129" t="n"/>
      <c r="X226" s="129" t="n"/>
      <c r="Y226" s="129" t="n"/>
      <c r="Z226" s="129" t="n"/>
      <c r="AA226" s="129" t="n"/>
      <c r="AB226" s="129" t="n"/>
      <c r="AC226" s="129" t="n"/>
      <c r="AD226" s="129" t="n"/>
      <c r="AE226" s="129" t="n"/>
      <c r="AF226" s="129" t="n"/>
      <c r="AG226" s="129" t="n"/>
      <c r="AH226" s="129" t="n"/>
      <c r="AI226" s="129" t="n"/>
      <c r="AJ226" s="129" t="n"/>
      <c r="AK226" s="129" t="n"/>
      <c r="AL226" s="129" t="n"/>
      <c r="AM226" s="129" t="n"/>
      <c r="AN226" s="129" t="n"/>
      <c r="AO226" s="129" t="n"/>
      <c r="AP226" s="129" t="n"/>
      <c r="AQ226" s="129" t="n"/>
      <c r="AR226" s="129" t="n"/>
      <c r="AS226" s="129" t="n"/>
      <c r="AT226" s="129" t="n"/>
      <c r="AU226" s="129" t="n"/>
      <c r="AV226" s="129" t="n"/>
      <c r="AW226" s="129" t="n"/>
      <c r="AX226" s="129" t="n"/>
      <c r="AY226" s="129" t="n"/>
      <c r="AZ226" s="129" t="n"/>
      <c r="BA226" s="129" t="n"/>
      <c r="BB226" s="129" t="n"/>
      <c r="BC226" s="129" t="n"/>
      <c r="BD226" s="129" t="n"/>
      <c r="BE226" s="129" t="n"/>
      <c r="BF226" s="129" t="n"/>
      <c r="BG226" s="129" t="n"/>
      <c r="BH226" s="129" t="n"/>
      <c r="BI226" s="129" t="n"/>
      <c r="BJ226" s="129" t="n"/>
      <c r="BK226" s="129" t="n"/>
      <c r="BL226" s="129" t="n"/>
      <c r="BM226" s="129" t="n"/>
      <c r="BN226" s="129" t="n"/>
      <c r="BO226" s="129" t="n"/>
      <c r="BP226" s="129" t="n"/>
      <c r="BQ226" s="129" t="n"/>
      <c r="BR226" s="129" t="n"/>
      <c r="BS226" s="129" t="n"/>
      <c r="BT226" s="129" t="n"/>
      <c r="BU226" s="129" t="n"/>
      <c r="BV226" s="129" t="n"/>
      <c r="BW226" s="129" t="n"/>
      <c r="BX226" s="129" t="n"/>
      <c r="BY226" s="129" t="n"/>
      <c r="BZ226" s="129" t="n"/>
      <c r="CA226" s="129" t="n"/>
      <c r="CB226" s="129" t="n"/>
      <c r="CC226" s="129" t="n"/>
      <c r="CD226" s="129" t="n"/>
      <c r="CE226" s="129" t="n"/>
      <c r="CF226" s="129" t="n"/>
      <c r="CG226" s="129" t="n"/>
      <c r="CH226" s="129" t="n"/>
      <c r="CI226" s="129" t="n"/>
      <c r="CJ226" s="129" t="n"/>
      <c r="CK226" s="129" t="n"/>
      <c r="CL226" s="129" t="n"/>
      <c r="CM226" s="129" t="n"/>
      <c r="CN226" s="129" t="n"/>
      <c r="CO226" s="129" t="n"/>
      <c r="CP226" s="129" t="n"/>
      <c r="CQ226" s="129" t="n"/>
      <c r="CR226" s="129" t="n"/>
      <c r="CS226" s="129" t="n"/>
      <c r="CT226" s="129" t="n"/>
      <c r="CU226" s="129" t="n"/>
      <c r="CV226" s="129" t="n"/>
      <c r="CW226" s="129" t="n"/>
      <c r="CX226" s="129" t="n"/>
      <c r="CY226" s="129" t="n"/>
      <c r="CZ226" s="129" t="n"/>
      <c r="DA226" s="129" t="n"/>
      <c r="DB226" s="129" t="n"/>
      <c r="DC226" s="129" t="n"/>
      <c r="DD226" s="129" t="n"/>
      <c r="DE226" s="129" t="n"/>
      <c r="DF226" s="129" t="n"/>
      <c r="DG226" s="129" t="n"/>
      <c r="DH226" s="129" t="n"/>
      <c r="DI226" s="129" t="n"/>
      <c r="DJ226" s="129" t="n"/>
      <c r="DK226" s="129" t="n"/>
      <c r="DL226" s="129" t="n"/>
      <c r="DM226" s="129" t="n"/>
      <c r="DN226" s="129" t="n"/>
      <c r="DO226" s="129" t="n"/>
      <c r="DP226" s="129" t="n"/>
      <c r="DQ226" s="129" t="n"/>
      <c r="DR226" s="129" t="n"/>
      <c r="DS226" s="129" t="n"/>
      <c r="DT226" s="129" t="n"/>
      <c r="DU226" s="129" t="n"/>
      <c r="DV226" s="129" t="n"/>
      <c r="DW226" s="129" t="n"/>
      <c r="DX226" s="129" t="n"/>
      <c r="DY226" s="129" t="n"/>
      <c r="DZ226" s="129" t="n"/>
      <c r="EA226" s="129" t="n"/>
      <c r="EB226" s="129" t="n"/>
      <c r="EC226" s="129" t="n"/>
      <c r="ED226" s="129" t="n"/>
      <c r="EE226" s="129" t="n"/>
      <c r="EF226" s="129" t="n"/>
      <c r="EG226" s="129" t="n"/>
      <c r="EH226" s="129" t="n"/>
      <c r="EI226" s="129" t="n"/>
      <c r="EJ226" s="129" t="n"/>
      <c r="EK226" s="129" t="n"/>
      <c r="EL226" s="129" t="n"/>
      <c r="EM226" s="129" t="n"/>
      <c r="EN226" s="129" t="n"/>
      <c r="EO226" s="129" t="n"/>
      <c r="EP226" s="129" t="n"/>
      <c r="EQ226" s="129" t="n"/>
      <c r="ER226" s="129" t="n"/>
      <c r="ES226" s="129" t="n"/>
      <c r="ET226" s="129" t="n"/>
      <c r="EU226" s="129" t="n"/>
      <c r="EV226" s="129" t="n"/>
      <c r="EW226" s="129" t="n"/>
      <c r="EX226" s="129" t="n"/>
      <c r="EY226" s="129" t="n"/>
      <c r="EZ226" s="129" t="n"/>
      <c r="FA226" s="129" t="n"/>
      <c r="FB226" s="129" t="n"/>
      <c r="FC226" s="129" t="n"/>
      <c r="FD226" s="129" t="n"/>
      <c r="FE226" s="129" t="n"/>
      <c r="FF226" s="129" t="n"/>
      <c r="FG226" s="129" t="n"/>
      <c r="FH226" s="129" t="n"/>
      <c r="FI226" s="129" t="n"/>
      <c r="FJ226" s="129" t="n"/>
      <c r="FK226" s="129" t="n"/>
      <c r="FL226" s="129" t="n"/>
      <c r="FM226" s="129" t="n"/>
    </row>
    <row r="227" s="135">
      <c r="A227" s="53" t="n">
        <v>39691</v>
      </c>
      <c r="B227" s="54" t="n">
        <v>0.128</v>
      </c>
      <c r="C227" s="29" t="n">
        <v>49.2</v>
      </c>
      <c r="D227" s="129" t="n"/>
      <c r="E227" s="129" t="n"/>
      <c r="F227" s="129" t="n"/>
      <c r="G227" s="129" t="n"/>
      <c r="H227" s="129" t="n"/>
      <c r="I227" s="129" t="n"/>
      <c r="J227" s="129" t="n"/>
      <c r="K227" s="129" t="n"/>
      <c r="L227" s="129" t="n"/>
      <c r="M227" s="129" t="n"/>
      <c r="N227" s="129" t="n"/>
      <c r="O227" s="129" t="n"/>
      <c r="P227" s="129" t="n"/>
      <c r="Q227" s="129" t="n"/>
      <c r="R227" s="129" t="n"/>
      <c r="S227" s="129" t="n"/>
      <c r="T227" s="129" t="n"/>
      <c r="U227" s="129" t="n"/>
      <c r="V227" s="129" t="n"/>
      <c r="W227" s="129" t="n"/>
      <c r="X227" s="129" t="n"/>
      <c r="Y227" s="129" t="n"/>
      <c r="Z227" s="129" t="n"/>
      <c r="AA227" s="129" t="n"/>
      <c r="AB227" s="129" t="n"/>
      <c r="AC227" s="129" t="n"/>
      <c r="AD227" s="129" t="n"/>
      <c r="AE227" s="129" t="n"/>
      <c r="AF227" s="129" t="n"/>
      <c r="AG227" s="129" t="n"/>
      <c r="AH227" s="129" t="n"/>
      <c r="AI227" s="129" t="n"/>
      <c r="AJ227" s="129" t="n"/>
      <c r="AK227" s="129" t="n"/>
      <c r="AL227" s="129" t="n"/>
      <c r="AM227" s="129" t="n"/>
      <c r="AN227" s="129" t="n"/>
      <c r="AO227" s="129" t="n"/>
      <c r="AP227" s="129" t="n"/>
      <c r="AQ227" s="129" t="n"/>
      <c r="AR227" s="129" t="n"/>
      <c r="AS227" s="129" t="n"/>
      <c r="AT227" s="129" t="n"/>
      <c r="AU227" s="129" t="n"/>
      <c r="AV227" s="129" t="n"/>
      <c r="AW227" s="129" t="n"/>
      <c r="AX227" s="129" t="n"/>
      <c r="AY227" s="129" t="n"/>
      <c r="AZ227" s="129" t="n"/>
      <c r="BA227" s="129" t="n"/>
      <c r="BB227" s="129" t="n"/>
      <c r="BC227" s="129" t="n"/>
      <c r="BD227" s="129" t="n"/>
      <c r="BE227" s="129" t="n"/>
      <c r="BF227" s="129" t="n"/>
      <c r="BG227" s="129" t="n"/>
      <c r="BH227" s="129" t="n"/>
      <c r="BI227" s="129" t="n"/>
      <c r="BJ227" s="129" t="n"/>
      <c r="BK227" s="129" t="n"/>
      <c r="BL227" s="129" t="n"/>
      <c r="BM227" s="129" t="n"/>
      <c r="BN227" s="129" t="n"/>
      <c r="BO227" s="129" t="n"/>
      <c r="BP227" s="129" t="n"/>
      <c r="BQ227" s="129" t="n"/>
      <c r="BR227" s="129" t="n"/>
      <c r="BS227" s="129" t="n"/>
      <c r="BT227" s="129" t="n"/>
      <c r="BU227" s="129" t="n"/>
      <c r="BV227" s="129" t="n"/>
      <c r="BW227" s="129" t="n"/>
      <c r="BX227" s="129" t="n"/>
      <c r="BY227" s="129" t="n"/>
      <c r="BZ227" s="129" t="n"/>
      <c r="CA227" s="129" t="n"/>
      <c r="CB227" s="129" t="n"/>
      <c r="CC227" s="129" t="n"/>
      <c r="CD227" s="129" t="n"/>
      <c r="CE227" s="129" t="n"/>
      <c r="CF227" s="129" t="n"/>
      <c r="CG227" s="129" t="n"/>
      <c r="CH227" s="129" t="n"/>
      <c r="CI227" s="129" t="n"/>
      <c r="CJ227" s="129" t="n"/>
      <c r="CK227" s="129" t="n"/>
      <c r="CL227" s="129" t="n"/>
      <c r="CM227" s="129" t="n"/>
      <c r="CN227" s="129" t="n"/>
      <c r="CO227" s="129" t="n"/>
      <c r="CP227" s="129" t="n"/>
      <c r="CQ227" s="129" t="n"/>
      <c r="CR227" s="129" t="n"/>
      <c r="CS227" s="129" t="n"/>
      <c r="CT227" s="129" t="n"/>
      <c r="CU227" s="129" t="n"/>
      <c r="CV227" s="129" t="n"/>
      <c r="CW227" s="129" t="n"/>
      <c r="CX227" s="129" t="n"/>
      <c r="CY227" s="129" t="n"/>
      <c r="CZ227" s="129" t="n"/>
      <c r="DA227" s="129" t="n"/>
      <c r="DB227" s="129" t="n"/>
      <c r="DC227" s="129" t="n"/>
      <c r="DD227" s="129" t="n"/>
      <c r="DE227" s="129" t="n"/>
      <c r="DF227" s="129" t="n"/>
      <c r="DG227" s="129" t="n"/>
      <c r="DH227" s="129" t="n"/>
      <c r="DI227" s="129" t="n"/>
      <c r="DJ227" s="129" t="n"/>
      <c r="DK227" s="129" t="n"/>
      <c r="DL227" s="129" t="n"/>
      <c r="DM227" s="129" t="n"/>
      <c r="DN227" s="129" t="n"/>
      <c r="DO227" s="129" t="n"/>
      <c r="DP227" s="129" t="n"/>
      <c r="DQ227" s="129" t="n"/>
      <c r="DR227" s="129" t="n"/>
      <c r="DS227" s="129" t="n"/>
      <c r="DT227" s="129" t="n"/>
      <c r="DU227" s="129" t="n"/>
      <c r="DV227" s="129" t="n"/>
      <c r="DW227" s="129" t="n"/>
      <c r="DX227" s="129" t="n"/>
      <c r="DY227" s="129" t="n"/>
      <c r="DZ227" s="129" t="n"/>
      <c r="EA227" s="129" t="n"/>
      <c r="EB227" s="129" t="n"/>
      <c r="EC227" s="129" t="n"/>
      <c r="ED227" s="129" t="n"/>
      <c r="EE227" s="129" t="n"/>
      <c r="EF227" s="129" t="n"/>
      <c r="EG227" s="129" t="n"/>
      <c r="EH227" s="129" t="n"/>
      <c r="EI227" s="129" t="n"/>
      <c r="EJ227" s="129" t="n"/>
      <c r="EK227" s="129" t="n"/>
      <c r="EL227" s="129" t="n"/>
      <c r="EM227" s="129" t="n"/>
      <c r="EN227" s="129" t="n"/>
      <c r="EO227" s="129" t="n"/>
      <c r="EP227" s="129" t="n"/>
      <c r="EQ227" s="129" t="n"/>
      <c r="ER227" s="129" t="n"/>
      <c r="ES227" s="129" t="n"/>
      <c r="ET227" s="129" t="n"/>
      <c r="EU227" s="129" t="n"/>
      <c r="EV227" s="129" t="n"/>
      <c r="EW227" s="129" t="n"/>
      <c r="EX227" s="129" t="n"/>
      <c r="EY227" s="129" t="n"/>
      <c r="EZ227" s="129" t="n"/>
      <c r="FA227" s="129" t="n"/>
      <c r="FB227" s="129" t="n"/>
      <c r="FC227" s="129" t="n"/>
      <c r="FD227" s="129" t="n"/>
      <c r="FE227" s="129" t="n"/>
      <c r="FF227" s="129" t="n"/>
      <c r="FG227" s="129" t="n"/>
      <c r="FH227" s="129" t="n"/>
      <c r="FI227" s="129" t="n"/>
      <c r="FJ227" s="129" t="n"/>
      <c r="FK227" s="129" t="n"/>
      <c r="FL227" s="129" t="n"/>
      <c r="FM227" s="129" t="n"/>
    </row>
    <row r="228" s="135">
      <c r="A228" s="52" t="n">
        <v>39721</v>
      </c>
      <c r="B228" s="30" t="n">
        <v>0.114</v>
      </c>
      <c r="C228" s="29" t="n">
        <v>47.7</v>
      </c>
      <c r="D228" s="129" t="n"/>
      <c r="E228" s="129" t="n"/>
      <c r="F228" s="129" t="n"/>
      <c r="G228" s="129" t="n"/>
      <c r="H228" s="129" t="n"/>
      <c r="I228" s="129" t="n"/>
      <c r="J228" s="129" t="n"/>
      <c r="K228" s="129" t="n"/>
      <c r="L228" s="129" t="n"/>
      <c r="M228" s="129" t="n"/>
      <c r="N228" s="129" t="n"/>
      <c r="O228" s="129" t="n"/>
      <c r="P228" s="129" t="n"/>
      <c r="Q228" s="129" t="n"/>
      <c r="R228" s="129" t="n"/>
      <c r="S228" s="129" t="n"/>
      <c r="T228" s="129" t="n"/>
      <c r="U228" s="129" t="n"/>
      <c r="V228" s="129" t="n"/>
      <c r="W228" s="129" t="n"/>
      <c r="X228" s="129" t="n"/>
      <c r="Y228" s="129" t="n"/>
      <c r="Z228" s="129" t="n"/>
      <c r="AA228" s="129" t="n"/>
      <c r="AB228" s="129" t="n"/>
      <c r="AC228" s="129" t="n"/>
      <c r="AD228" s="129" t="n"/>
      <c r="AE228" s="129" t="n"/>
      <c r="AF228" s="129" t="n"/>
      <c r="AG228" s="129" t="n"/>
      <c r="AH228" s="129" t="n"/>
      <c r="AI228" s="129" t="n"/>
      <c r="AJ228" s="129" t="n"/>
      <c r="AK228" s="129" t="n"/>
      <c r="AL228" s="129" t="n"/>
      <c r="AM228" s="129" t="n"/>
      <c r="AN228" s="129" t="n"/>
      <c r="AO228" s="129" t="n"/>
      <c r="AP228" s="129" t="n"/>
      <c r="AQ228" s="129" t="n"/>
      <c r="AR228" s="129" t="n"/>
      <c r="AS228" s="129" t="n"/>
      <c r="AT228" s="129" t="n"/>
      <c r="AU228" s="129" t="n"/>
      <c r="AV228" s="129" t="n"/>
      <c r="AW228" s="129" t="n"/>
      <c r="AX228" s="129" t="n"/>
      <c r="AY228" s="129" t="n"/>
      <c r="AZ228" s="129" t="n"/>
      <c r="BA228" s="129" t="n"/>
      <c r="BB228" s="129" t="n"/>
      <c r="BC228" s="129" t="n"/>
      <c r="BD228" s="129" t="n"/>
      <c r="BE228" s="129" t="n"/>
      <c r="BF228" s="129" t="n"/>
      <c r="BG228" s="129" t="n"/>
      <c r="BH228" s="129" t="n"/>
      <c r="BI228" s="129" t="n"/>
      <c r="BJ228" s="129" t="n"/>
      <c r="BK228" s="129" t="n"/>
      <c r="BL228" s="129" t="n"/>
      <c r="BM228" s="129" t="n"/>
      <c r="BN228" s="129" t="n"/>
      <c r="BO228" s="129" t="n"/>
      <c r="BP228" s="129" t="n"/>
      <c r="BQ228" s="129" t="n"/>
      <c r="BR228" s="129" t="n"/>
      <c r="BS228" s="129" t="n"/>
      <c r="BT228" s="129" t="n"/>
      <c r="BU228" s="129" t="n"/>
      <c r="BV228" s="129" t="n"/>
      <c r="BW228" s="129" t="n"/>
      <c r="BX228" s="129" t="n"/>
      <c r="BY228" s="129" t="n"/>
      <c r="BZ228" s="129" t="n"/>
      <c r="CA228" s="129" t="n"/>
      <c r="CB228" s="129" t="n"/>
      <c r="CC228" s="129" t="n"/>
      <c r="CD228" s="129" t="n"/>
      <c r="CE228" s="129" t="n"/>
      <c r="CF228" s="129" t="n"/>
      <c r="CG228" s="129" t="n"/>
      <c r="CH228" s="129" t="n"/>
      <c r="CI228" s="129" t="n"/>
      <c r="CJ228" s="129" t="n"/>
      <c r="CK228" s="129" t="n"/>
      <c r="CL228" s="129" t="n"/>
      <c r="CM228" s="129" t="n"/>
      <c r="CN228" s="129" t="n"/>
      <c r="CO228" s="129" t="n"/>
      <c r="CP228" s="129" t="n"/>
      <c r="CQ228" s="129" t="n"/>
      <c r="CR228" s="129" t="n"/>
      <c r="CS228" s="129" t="n"/>
      <c r="CT228" s="129" t="n"/>
      <c r="CU228" s="129" t="n"/>
      <c r="CV228" s="129" t="n"/>
      <c r="CW228" s="129" t="n"/>
      <c r="CX228" s="129" t="n"/>
      <c r="CY228" s="129" t="n"/>
      <c r="CZ228" s="129" t="n"/>
      <c r="DA228" s="129" t="n"/>
      <c r="DB228" s="129" t="n"/>
      <c r="DC228" s="129" t="n"/>
      <c r="DD228" s="129" t="n"/>
      <c r="DE228" s="129" t="n"/>
      <c r="DF228" s="129" t="n"/>
      <c r="DG228" s="129" t="n"/>
      <c r="DH228" s="129" t="n"/>
      <c r="DI228" s="129" t="n"/>
      <c r="DJ228" s="129" t="n"/>
      <c r="DK228" s="129" t="n"/>
      <c r="DL228" s="129" t="n"/>
      <c r="DM228" s="129" t="n"/>
      <c r="DN228" s="129" t="n"/>
      <c r="DO228" s="129" t="n"/>
      <c r="DP228" s="129" t="n"/>
      <c r="DQ228" s="129" t="n"/>
      <c r="DR228" s="129" t="n"/>
      <c r="DS228" s="129" t="n"/>
      <c r="DT228" s="129" t="n"/>
      <c r="DU228" s="129" t="n"/>
      <c r="DV228" s="129" t="n"/>
      <c r="DW228" s="129" t="n"/>
      <c r="DX228" s="129" t="n"/>
      <c r="DY228" s="129" t="n"/>
      <c r="DZ228" s="129" t="n"/>
      <c r="EA228" s="129" t="n"/>
      <c r="EB228" s="129" t="n"/>
      <c r="EC228" s="129" t="n"/>
      <c r="ED228" s="129" t="n"/>
      <c r="EE228" s="129" t="n"/>
      <c r="EF228" s="129" t="n"/>
      <c r="EG228" s="129" t="n"/>
      <c r="EH228" s="129" t="n"/>
      <c r="EI228" s="129" t="n"/>
      <c r="EJ228" s="129" t="n"/>
      <c r="EK228" s="129" t="n"/>
      <c r="EL228" s="129" t="n"/>
      <c r="EM228" s="129" t="n"/>
      <c r="EN228" s="129" t="n"/>
      <c r="EO228" s="129" t="n"/>
      <c r="EP228" s="129" t="n"/>
      <c r="EQ228" s="129" t="n"/>
      <c r="ER228" s="129" t="n"/>
      <c r="ES228" s="129" t="n"/>
      <c r="ET228" s="129" t="n"/>
      <c r="EU228" s="129" t="n"/>
      <c r="EV228" s="129" t="n"/>
      <c r="EW228" s="129" t="n"/>
      <c r="EX228" s="129" t="n"/>
      <c r="EY228" s="129" t="n"/>
      <c r="EZ228" s="129" t="n"/>
      <c r="FA228" s="129" t="n"/>
      <c r="FB228" s="129" t="n"/>
      <c r="FC228" s="129" t="n"/>
      <c r="FD228" s="129" t="n"/>
      <c r="FE228" s="129" t="n"/>
      <c r="FF228" s="129" t="n"/>
      <c r="FG228" s="129" t="n"/>
      <c r="FH228" s="129" t="n"/>
      <c r="FI228" s="129" t="n"/>
      <c r="FJ228" s="129" t="n"/>
      <c r="FK228" s="129" t="n"/>
      <c r="FL228" s="129" t="n"/>
      <c r="FM228" s="129" t="n"/>
    </row>
    <row r="229" s="135">
      <c r="A229" s="53" t="n">
        <v>39752</v>
      </c>
      <c r="B229" s="54" t="n">
        <v>0.082</v>
      </c>
      <c r="C229" s="29" t="n">
        <v>45.2</v>
      </c>
      <c r="D229" s="129" t="n"/>
      <c r="E229" s="129" t="n"/>
      <c r="F229" s="129" t="n"/>
      <c r="G229" s="129" t="n"/>
      <c r="H229" s="129" t="n"/>
      <c r="I229" s="129" t="n"/>
      <c r="J229" s="129" t="n"/>
      <c r="K229" s="129" t="n"/>
      <c r="L229" s="129" t="n"/>
      <c r="M229" s="129" t="n"/>
      <c r="N229" s="129" t="n"/>
      <c r="O229" s="129" t="n"/>
      <c r="P229" s="129" t="n"/>
      <c r="Q229" s="129" t="n"/>
      <c r="R229" s="129" t="n"/>
      <c r="S229" s="129" t="n"/>
      <c r="T229" s="129" t="n"/>
      <c r="U229" s="129" t="n"/>
      <c r="V229" s="129" t="n"/>
      <c r="W229" s="129" t="n"/>
      <c r="X229" s="129" t="n"/>
      <c r="Y229" s="129" t="n"/>
      <c r="Z229" s="129" t="n"/>
      <c r="AA229" s="129" t="n"/>
      <c r="AB229" s="129" t="n"/>
      <c r="AC229" s="129" t="n"/>
      <c r="AD229" s="129" t="n"/>
      <c r="AE229" s="129" t="n"/>
      <c r="AF229" s="129" t="n"/>
      <c r="AG229" s="129" t="n"/>
      <c r="AH229" s="129" t="n"/>
      <c r="AI229" s="129" t="n"/>
      <c r="AJ229" s="129" t="n"/>
      <c r="AK229" s="129" t="n"/>
      <c r="AL229" s="129" t="n"/>
      <c r="AM229" s="129" t="n"/>
      <c r="AN229" s="129" t="n"/>
      <c r="AO229" s="129" t="n"/>
      <c r="AP229" s="129" t="n"/>
      <c r="AQ229" s="129" t="n"/>
      <c r="AR229" s="129" t="n"/>
      <c r="AS229" s="129" t="n"/>
      <c r="AT229" s="129" t="n"/>
      <c r="AU229" s="129" t="n"/>
      <c r="AV229" s="129" t="n"/>
      <c r="AW229" s="129" t="n"/>
      <c r="AX229" s="129" t="n"/>
      <c r="AY229" s="129" t="n"/>
      <c r="AZ229" s="129" t="n"/>
      <c r="BA229" s="129" t="n"/>
      <c r="BB229" s="129" t="n"/>
      <c r="BC229" s="129" t="n"/>
      <c r="BD229" s="129" t="n"/>
      <c r="BE229" s="129" t="n"/>
      <c r="BF229" s="129" t="n"/>
      <c r="BG229" s="129" t="n"/>
      <c r="BH229" s="129" t="n"/>
      <c r="BI229" s="129" t="n"/>
      <c r="BJ229" s="129" t="n"/>
      <c r="BK229" s="129" t="n"/>
      <c r="BL229" s="129" t="n"/>
      <c r="BM229" s="129" t="n"/>
      <c r="BN229" s="129" t="n"/>
      <c r="BO229" s="129" t="n"/>
      <c r="BP229" s="129" t="n"/>
      <c r="BQ229" s="129" t="n"/>
      <c r="BR229" s="129" t="n"/>
      <c r="BS229" s="129" t="n"/>
      <c r="BT229" s="129" t="n"/>
      <c r="BU229" s="129" t="n"/>
      <c r="BV229" s="129" t="n"/>
      <c r="BW229" s="129" t="n"/>
      <c r="BX229" s="129" t="n"/>
      <c r="BY229" s="129" t="n"/>
      <c r="BZ229" s="129" t="n"/>
      <c r="CA229" s="129" t="n"/>
      <c r="CB229" s="129" t="n"/>
      <c r="CC229" s="129" t="n"/>
      <c r="CD229" s="129" t="n"/>
      <c r="CE229" s="129" t="n"/>
      <c r="CF229" s="129" t="n"/>
      <c r="CG229" s="129" t="n"/>
      <c r="CH229" s="129" t="n"/>
      <c r="CI229" s="129" t="n"/>
      <c r="CJ229" s="129" t="n"/>
      <c r="CK229" s="129" t="n"/>
      <c r="CL229" s="129" t="n"/>
      <c r="CM229" s="129" t="n"/>
      <c r="CN229" s="129" t="n"/>
      <c r="CO229" s="129" t="n"/>
      <c r="CP229" s="129" t="n"/>
      <c r="CQ229" s="129" t="n"/>
      <c r="CR229" s="129" t="n"/>
      <c r="CS229" s="129" t="n"/>
      <c r="CT229" s="129" t="n"/>
      <c r="CU229" s="129" t="n"/>
      <c r="CV229" s="129" t="n"/>
      <c r="CW229" s="129" t="n"/>
      <c r="CX229" s="129" t="n"/>
      <c r="CY229" s="129" t="n"/>
      <c r="CZ229" s="129" t="n"/>
      <c r="DA229" s="129" t="n"/>
      <c r="DB229" s="129" t="n"/>
      <c r="DC229" s="129" t="n"/>
      <c r="DD229" s="129" t="n"/>
      <c r="DE229" s="129" t="n"/>
      <c r="DF229" s="129" t="n"/>
      <c r="DG229" s="129" t="n"/>
      <c r="DH229" s="129" t="n"/>
      <c r="DI229" s="129" t="n"/>
      <c r="DJ229" s="129" t="n"/>
      <c r="DK229" s="129" t="n"/>
      <c r="DL229" s="129" t="n"/>
      <c r="DM229" s="129" t="n"/>
      <c r="DN229" s="129" t="n"/>
      <c r="DO229" s="129" t="n"/>
      <c r="DP229" s="129" t="n"/>
      <c r="DQ229" s="129" t="n"/>
      <c r="DR229" s="129" t="n"/>
      <c r="DS229" s="129" t="n"/>
      <c r="DT229" s="129" t="n"/>
      <c r="DU229" s="129" t="n"/>
      <c r="DV229" s="129" t="n"/>
      <c r="DW229" s="129" t="n"/>
      <c r="DX229" s="129" t="n"/>
      <c r="DY229" s="129" t="n"/>
      <c r="DZ229" s="129" t="n"/>
      <c r="EA229" s="129" t="n"/>
      <c r="EB229" s="129" t="n"/>
      <c r="EC229" s="129" t="n"/>
      <c r="ED229" s="129" t="n"/>
      <c r="EE229" s="129" t="n"/>
      <c r="EF229" s="129" t="n"/>
      <c r="EG229" s="129" t="n"/>
      <c r="EH229" s="129" t="n"/>
      <c r="EI229" s="129" t="n"/>
      <c r="EJ229" s="129" t="n"/>
      <c r="EK229" s="129" t="n"/>
      <c r="EL229" s="129" t="n"/>
      <c r="EM229" s="129" t="n"/>
      <c r="EN229" s="129" t="n"/>
      <c r="EO229" s="129" t="n"/>
      <c r="EP229" s="129" t="n"/>
      <c r="EQ229" s="129" t="n"/>
      <c r="ER229" s="129" t="n"/>
      <c r="ES229" s="129" t="n"/>
      <c r="ET229" s="129" t="n"/>
      <c r="EU229" s="129" t="n"/>
      <c r="EV229" s="129" t="n"/>
      <c r="EW229" s="129" t="n"/>
      <c r="EX229" s="129" t="n"/>
      <c r="EY229" s="129" t="n"/>
      <c r="EZ229" s="129" t="n"/>
      <c r="FA229" s="129" t="n"/>
      <c r="FB229" s="129" t="n"/>
      <c r="FC229" s="129" t="n"/>
      <c r="FD229" s="129" t="n"/>
      <c r="FE229" s="129" t="n"/>
      <c r="FF229" s="129" t="n"/>
      <c r="FG229" s="129" t="n"/>
      <c r="FH229" s="129" t="n"/>
      <c r="FI229" s="129" t="n"/>
      <c r="FJ229" s="129" t="n"/>
      <c r="FK229" s="129" t="n"/>
      <c r="FL229" s="129" t="n"/>
      <c r="FM229" s="129" t="n"/>
    </row>
    <row r="230" s="135">
      <c r="A230" s="52" t="n">
        <v>39782</v>
      </c>
      <c r="B230" s="30" t="n">
        <v>0.054</v>
      </c>
      <c r="C230" s="29" t="n">
        <v>40.9</v>
      </c>
      <c r="D230" s="129" t="n"/>
      <c r="E230" s="129" t="n"/>
      <c r="F230" s="129" t="n"/>
      <c r="G230" s="129" t="n"/>
      <c r="H230" s="129" t="n"/>
      <c r="I230" s="129" t="n"/>
      <c r="J230" s="129" t="n"/>
      <c r="K230" s="129" t="n"/>
      <c r="L230" s="129" t="n"/>
      <c r="M230" s="129" t="n"/>
      <c r="N230" s="129" t="n"/>
      <c r="O230" s="129" t="n"/>
      <c r="P230" s="129" t="n"/>
      <c r="Q230" s="129" t="n"/>
      <c r="R230" s="129" t="n"/>
      <c r="S230" s="129" t="n"/>
      <c r="T230" s="129" t="n"/>
      <c r="U230" s="129" t="n"/>
      <c r="V230" s="129" t="n"/>
      <c r="W230" s="129" t="n"/>
      <c r="X230" s="129" t="n"/>
      <c r="Y230" s="129" t="n"/>
      <c r="Z230" s="129" t="n"/>
      <c r="AA230" s="129" t="n"/>
      <c r="AB230" s="129" t="n"/>
      <c r="AC230" s="129" t="n"/>
      <c r="AD230" s="129" t="n"/>
      <c r="AE230" s="129" t="n"/>
      <c r="AF230" s="129" t="n"/>
      <c r="AG230" s="129" t="n"/>
      <c r="AH230" s="129" t="n"/>
      <c r="AI230" s="129" t="n"/>
      <c r="AJ230" s="129" t="n"/>
      <c r="AK230" s="129" t="n"/>
      <c r="AL230" s="129" t="n"/>
      <c r="AM230" s="129" t="n"/>
      <c r="AN230" s="129" t="n"/>
      <c r="AO230" s="129" t="n"/>
      <c r="AP230" s="129" t="n"/>
      <c r="AQ230" s="129" t="n"/>
      <c r="AR230" s="129" t="n"/>
      <c r="AS230" s="129" t="n"/>
      <c r="AT230" s="129" t="n"/>
      <c r="AU230" s="129" t="n"/>
      <c r="AV230" s="129" t="n"/>
      <c r="AW230" s="129" t="n"/>
      <c r="AX230" s="129" t="n"/>
      <c r="AY230" s="129" t="n"/>
      <c r="AZ230" s="129" t="n"/>
      <c r="BA230" s="129" t="n"/>
      <c r="BB230" s="129" t="n"/>
      <c r="BC230" s="129" t="n"/>
      <c r="BD230" s="129" t="n"/>
      <c r="BE230" s="129" t="n"/>
      <c r="BF230" s="129" t="n"/>
      <c r="BG230" s="129" t="n"/>
      <c r="BH230" s="129" t="n"/>
      <c r="BI230" s="129" t="n"/>
      <c r="BJ230" s="129" t="n"/>
      <c r="BK230" s="129" t="n"/>
      <c r="BL230" s="129" t="n"/>
      <c r="BM230" s="129" t="n"/>
      <c r="BN230" s="129" t="n"/>
      <c r="BO230" s="129" t="n"/>
      <c r="BP230" s="129" t="n"/>
      <c r="BQ230" s="129" t="n"/>
      <c r="BR230" s="129" t="n"/>
      <c r="BS230" s="129" t="n"/>
      <c r="BT230" s="129" t="n"/>
      <c r="BU230" s="129" t="n"/>
      <c r="BV230" s="129" t="n"/>
      <c r="BW230" s="129" t="n"/>
      <c r="BX230" s="129" t="n"/>
      <c r="BY230" s="129" t="n"/>
      <c r="BZ230" s="129" t="n"/>
      <c r="CA230" s="129" t="n"/>
      <c r="CB230" s="129" t="n"/>
      <c r="CC230" s="129" t="n"/>
      <c r="CD230" s="129" t="n"/>
      <c r="CE230" s="129" t="n"/>
      <c r="CF230" s="129" t="n"/>
      <c r="CG230" s="129" t="n"/>
      <c r="CH230" s="129" t="n"/>
      <c r="CI230" s="129" t="n"/>
      <c r="CJ230" s="129" t="n"/>
      <c r="CK230" s="129" t="n"/>
      <c r="CL230" s="129" t="n"/>
      <c r="CM230" s="129" t="n"/>
      <c r="CN230" s="129" t="n"/>
      <c r="CO230" s="129" t="n"/>
      <c r="CP230" s="129" t="n"/>
      <c r="CQ230" s="129" t="n"/>
      <c r="CR230" s="129" t="n"/>
      <c r="CS230" s="129" t="n"/>
      <c r="CT230" s="129" t="n"/>
      <c r="CU230" s="129" t="n"/>
      <c r="CV230" s="129" t="n"/>
      <c r="CW230" s="129" t="n"/>
      <c r="CX230" s="129" t="n"/>
      <c r="CY230" s="129" t="n"/>
      <c r="CZ230" s="129" t="n"/>
      <c r="DA230" s="129" t="n"/>
      <c r="DB230" s="129" t="n"/>
      <c r="DC230" s="129" t="n"/>
      <c r="DD230" s="129" t="n"/>
      <c r="DE230" s="129" t="n"/>
      <c r="DF230" s="129" t="n"/>
      <c r="DG230" s="129" t="n"/>
      <c r="DH230" s="129" t="n"/>
      <c r="DI230" s="129" t="n"/>
      <c r="DJ230" s="129" t="n"/>
      <c r="DK230" s="129" t="n"/>
      <c r="DL230" s="129" t="n"/>
      <c r="DM230" s="129" t="n"/>
      <c r="DN230" s="129" t="n"/>
      <c r="DO230" s="129" t="n"/>
      <c r="DP230" s="129" t="n"/>
      <c r="DQ230" s="129" t="n"/>
      <c r="DR230" s="129" t="n"/>
      <c r="DS230" s="129" t="n"/>
      <c r="DT230" s="129" t="n"/>
      <c r="DU230" s="129" t="n"/>
      <c r="DV230" s="129" t="n"/>
      <c r="DW230" s="129" t="n"/>
      <c r="DX230" s="129" t="n"/>
      <c r="DY230" s="129" t="n"/>
      <c r="DZ230" s="129" t="n"/>
      <c r="EA230" s="129" t="n"/>
      <c r="EB230" s="129" t="n"/>
      <c r="EC230" s="129" t="n"/>
      <c r="ED230" s="129" t="n"/>
      <c r="EE230" s="129" t="n"/>
      <c r="EF230" s="129" t="n"/>
      <c r="EG230" s="129" t="n"/>
      <c r="EH230" s="129" t="n"/>
      <c r="EI230" s="129" t="n"/>
      <c r="EJ230" s="129" t="n"/>
      <c r="EK230" s="129" t="n"/>
      <c r="EL230" s="129" t="n"/>
      <c r="EM230" s="129" t="n"/>
      <c r="EN230" s="129" t="n"/>
      <c r="EO230" s="129" t="n"/>
      <c r="EP230" s="129" t="n"/>
      <c r="EQ230" s="129" t="n"/>
      <c r="ER230" s="129" t="n"/>
      <c r="ES230" s="129" t="n"/>
      <c r="ET230" s="129" t="n"/>
      <c r="EU230" s="129" t="n"/>
      <c r="EV230" s="129" t="n"/>
      <c r="EW230" s="129" t="n"/>
      <c r="EX230" s="129" t="n"/>
      <c r="EY230" s="129" t="n"/>
      <c r="EZ230" s="129" t="n"/>
      <c r="FA230" s="129" t="n"/>
      <c r="FB230" s="129" t="n"/>
      <c r="FC230" s="129" t="n"/>
      <c r="FD230" s="129" t="n"/>
      <c r="FE230" s="129" t="n"/>
      <c r="FF230" s="129" t="n"/>
      <c r="FG230" s="129" t="n"/>
      <c r="FH230" s="129" t="n"/>
      <c r="FI230" s="129" t="n"/>
      <c r="FJ230" s="129" t="n"/>
      <c r="FK230" s="129" t="n"/>
      <c r="FL230" s="129" t="n"/>
      <c r="FM230" s="129" t="n"/>
    </row>
    <row r="231" s="135">
      <c r="A231" s="53" t="n">
        <v>39813</v>
      </c>
      <c r="B231" s="54" t="n">
        <v>0.057</v>
      </c>
      <c r="C231" s="29" t="n">
        <v>41.2</v>
      </c>
      <c r="D231" s="129" t="n"/>
      <c r="E231" s="129" t="n"/>
      <c r="F231" s="129" t="n"/>
      <c r="G231" s="129" t="n"/>
      <c r="H231" s="129" t="n"/>
      <c r="I231" s="129" t="n"/>
      <c r="J231" s="129" t="n"/>
      <c r="K231" s="129" t="n"/>
      <c r="L231" s="129" t="n"/>
      <c r="M231" s="129" t="n"/>
      <c r="N231" s="129" t="n"/>
      <c r="O231" s="129" t="n"/>
      <c r="P231" s="129" t="n"/>
      <c r="Q231" s="129" t="n"/>
      <c r="R231" s="129" t="n"/>
      <c r="S231" s="129" t="n"/>
      <c r="T231" s="129" t="n"/>
      <c r="U231" s="129" t="n"/>
      <c r="V231" s="129" t="n"/>
      <c r="W231" s="129" t="n"/>
      <c r="X231" s="129" t="n"/>
      <c r="Y231" s="129" t="n"/>
      <c r="Z231" s="129" t="n"/>
      <c r="AA231" s="129" t="n"/>
      <c r="AB231" s="129" t="n"/>
      <c r="AC231" s="129" t="n"/>
      <c r="AD231" s="129" t="n"/>
      <c r="AE231" s="129" t="n"/>
      <c r="AF231" s="129" t="n"/>
      <c r="AG231" s="129" t="n"/>
      <c r="AH231" s="129" t="n"/>
      <c r="AI231" s="129" t="n"/>
      <c r="AJ231" s="129" t="n"/>
      <c r="AK231" s="129" t="n"/>
      <c r="AL231" s="129" t="n"/>
      <c r="AM231" s="129" t="n"/>
      <c r="AN231" s="129" t="n"/>
      <c r="AO231" s="129" t="n"/>
      <c r="AP231" s="129" t="n"/>
      <c r="AQ231" s="129" t="n"/>
      <c r="AR231" s="129" t="n"/>
      <c r="AS231" s="129" t="n"/>
      <c r="AT231" s="129" t="n"/>
      <c r="AU231" s="129" t="n"/>
      <c r="AV231" s="129" t="n"/>
      <c r="AW231" s="129" t="n"/>
      <c r="AX231" s="129" t="n"/>
      <c r="AY231" s="129" t="n"/>
      <c r="AZ231" s="129" t="n"/>
      <c r="BA231" s="129" t="n"/>
      <c r="BB231" s="129" t="n"/>
      <c r="BC231" s="129" t="n"/>
      <c r="BD231" s="129" t="n"/>
      <c r="BE231" s="129" t="n"/>
      <c r="BF231" s="129" t="n"/>
      <c r="BG231" s="129" t="n"/>
      <c r="BH231" s="129" t="n"/>
      <c r="BI231" s="129" t="n"/>
      <c r="BJ231" s="129" t="n"/>
      <c r="BK231" s="129" t="n"/>
      <c r="BL231" s="129" t="n"/>
      <c r="BM231" s="129" t="n"/>
      <c r="BN231" s="129" t="n"/>
      <c r="BO231" s="129" t="n"/>
      <c r="BP231" s="129" t="n"/>
      <c r="BQ231" s="129" t="n"/>
      <c r="BR231" s="129" t="n"/>
      <c r="BS231" s="129" t="n"/>
      <c r="BT231" s="129" t="n"/>
      <c r="BU231" s="129" t="n"/>
      <c r="BV231" s="129" t="n"/>
      <c r="BW231" s="129" t="n"/>
      <c r="BX231" s="129" t="n"/>
      <c r="BY231" s="129" t="n"/>
      <c r="BZ231" s="129" t="n"/>
      <c r="CA231" s="129" t="n"/>
      <c r="CB231" s="129" t="n"/>
      <c r="CC231" s="129" t="n"/>
      <c r="CD231" s="129" t="n"/>
      <c r="CE231" s="129" t="n"/>
      <c r="CF231" s="129" t="n"/>
      <c r="CG231" s="129" t="n"/>
      <c r="CH231" s="129" t="n"/>
      <c r="CI231" s="129" t="n"/>
      <c r="CJ231" s="129" t="n"/>
      <c r="CK231" s="129" t="n"/>
      <c r="CL231" s="129" t="n"/>
      <c r="CM231" s="129" t="n"/>
      <c r="CN231" s="129" t="n"/>
      <c r="CO231" s="129" t="n"/>
      <c r="CP231" s="129" t="n"/>
      <c r="CQ231" s="129" t="n"/>
      <c r="CR231" s="129" t="n"/>
      <c r="CS231" s="129" t="n"/>
      <c r="CT231" s="129" t="n"/>
      <c r="CU231" s="129" t="n"/>
      <c r="CV231" s="129" t="n"/>
      <c r="CW231" s="129" t="n"/>
      <c r="CX231" s="129" t="n"/>
      <c r="CY231" s="129" t="n"/>
      <c r="CZ231" s="129" t="n"/>
      <c r="DA231" s="129" t="n"/>
      <c r="DB231" s="129" t="n"/>
      <c r="DC231" s="129" t="n"/>
      <c r="DD231" s="129" t="n"/>
      <c r="DE231" s="129" t="n"/>
      <c r="DF231" s="129" t="n"/>
      <c r="DG231" s="129" t="n"/>
      <c r="DH231" s="129" t="n"/>
      <c r="DI231" s="129" t="n"/>
      <c r="DJ231" s="129" t="n"/>
      <c r="DK231" s="129" t="n"/>
      <c r="DL231" s="129" t="n"/>
      <c r="DM231" s="129" t="n"/>
      <c r="DN231" s="129" t="n"/>
      <c r="DO231" s="129" t="n"/>
      <c r="DP231" s="129" t="n"/>
      <c r="DQ231" s="129" t="n"/>
      <c r="DR231" s="129" t="n"/>
      <c r="DS231" s="129" t="n"/>
      <c r="DT231" s="129" t="n"/>
      <c r="DU231" s="129" t="n"/>
      <c r="DV231" s="129" t="n"/>
      <c r="DW231" s="129" t="n"/>
      <c r="DX231" s="129" t="n"/>
      <c r="DY231" s="129" t="n"/>
      <c r="DZ231" s="129" t="n"/>
      <c r="EA231" s="129" t="n"/>
      <c r="EB231" s="129" t="n"/>
      <c r="EC231" s="129" t="n"/>
      <c r="ED231" s="129" t="n"/>
      <c r="EE231" s="129" t="n"/>
      <c r="EF231" s="129" t="n"/>
      <c r="EG231" s="129" t="n"/>
      <c r="EH231" s="129" t="n"/>
      <c r="EI231" s="129" t="n"/>
      <c r="EJ231" s="129" t="n"/>
      <c r="EK231" s="129" t="n"/>
      <c r="EL231" s="129" t="n"/>
      <c r="EM231" s="129" t="n"/>
      <c r="EN231" s="129" t="n"/>
      <c r="EO231" s="129" t="n"/>
      <c r="EP231" s="129" t="n"/>
      <c r="EQ231" s="129" t="n"/>
      <c r="ER231" s="129" t="n"/>
      <c r="ES231" s="129" t="n"/>
      <c r="ET231" s="129" t="n"/>
      <c r="EU231" s="129" t="n"/>
      <c r="EV231" s="129" t="n"/>
      <c r="EW231" s="129" t="n"/>
      <c r="EX231" s="129" t="n"/>
      <c r="EY231" s="129" t="n"/>
      <c r="EZ231" s="129" t="n"/>
      <c r="FA231" s="129" t="n"/>
      <c r="FB231" s="129" t="n"/>
      <c r="FC231" s="129" t="n"/>
      <c r="FD231" s="129" t="n"/>
      <c r="FE231" s="129" t="n"/>
      <c r="FF231" s="129" t="n"/>
      <c r="FG231" s="129" t="n"/>
      <c r="FH231" s="129" t="n"/>
      <c r="FI231" s="129" t="n"/>
      <c r="FJ231" s="129" t="n"/>
      <c r="FK231" s="129" t="n"/>
      <c r="FL231" s="129" t="n"/>
      <c r="FM231" s="129" t="n"/>
    </row>
    <row r="232" s="135">
      <c r="A232" s="52" t="n">
        <v>39872</v>
      </c>
      <c r="B232" s="30" t="n">
        <v>0.11</v>
      </c>
      <c r="C232" s="29" t="n">
        <v>45.1</v>
      </c>
      <c r="D232" s="129" t="n"/>
      <c r="E232" s="129" t="n"/>
      <c r="F232" s="129" t="n"/>
      <c r="G232" s="129" t="n"/>
      <c r="H232" s="129" t="n"/>
      <c r="I232" s="129" t="n"/>
      <c r="J232" s="129" t="n"/>
      <c r="K232" s="129" t="n"/>
      <c r="L232" s="129" t="n"/>
      <c r="M232" s="129" t="n"/>
      <c r="N232" s="129" t="n"/>
      <c r="O232" s="129" t="n"/>
      <c r="P232" s="129" t="n"/>
      <c r="Q232" s="129" t="n"/>
      <c r="R232" s="129" t="n"/>
      <c r="S232" s="129" t="n"/>
      <c r="T232" s="129" t="n"/>
      <c r="U232" s="129" t="n"/>
      <c r="V232" s="129" t="n"/>
      <c r="W232" s="129" t="n"/>
      <c r="X232" s="129" t="n"/>
      <c r="Y232" s="129" t="n"/>
      <c r="Z232" s="129" t="n"/>
      <c r="AA232" s="129" t="n"/>
      <c r="AB232" s="129" t="n"/>
      <c r="AC232" s="129" t="n"/>
      <c r="AD232" s="129" t="n"/>
      <c r="AE232" s="129" t="n"/>
      <c r="AF232" s="129" t="n"/>
      <c r="AG232" s="129" t="n"/>
      <c r="AH232" s="129" t="n"/>
      <c r="AI232" s="129" t="n"/>
      <c r="AJ232" s="129" t="n"/>
      <c r="AK232" s="129" t="n"/>
      <c r="AL232" s="129" t="n"/>
      <c r="AM232" s="129" t="n"/>
      <c r="AN232" s="129" t="n"/>
      <c r="AO232" s="129" t="n"/>
      <c r="AP232" s="129" t="n"/>
      <c r="AQ232" s="129" t="n"/>
      <c r="AR232" s="129" t="n"/>
      <c r="AS232" s="129" t="n"/>
      <c r="AT232" s="129" t="n"/>
      <c r="AU232" s="129" t="n"/>
      <c r="AV232" s="129" t="n"/>
      <c r="AW232" s="129" t="n"/>
      <c r="AX232" s="129" t="n"/>
      <c r="AY232" s="129" t="n"/>
      <c r="AZ232" s="129" t="n"/>
      <c r="BA232" s="129" t="n"/>
      <c r="BB232" s="129" t="n"/>
      <c r="BC232" s="129" t="n"/>
      <c r="BD232" s="129" t="n"/>
      <c r="BE232" s="129" t="n"/>
      <c r="BF232" s="129" t="n"/>
      <c r="BG232" s="129" t="n"/>
      <c r="BH232" s="129" t="n"/>
      <c r="BI232" s="129" t="n"/>
      <c r="BJ232" s="129" t="n"/>
      <c r="BK232" s="129" t="n"/>
      <c r="BL232" s="129" t="n"/>
      <c r="BM232" s="129" t="n"/>
      <c r="BN232" s="129" t="n"/>
      <c r="BO232" s="129" t="n"/>
      <c r="BP232" s="129" t="n"/>
      <c r="BQ232" s="129" t="n"/>
      <c r="BR232" s="129" t="n"/>
      <c r="BS232" s="129" t="n"/>
      <c r="BT232" s="129" t="n"/>
      <c r="BU232" s="129" t="n"/>
      <c r="BV232" s="129" t="n"/>
      <c r="BW232" s="129" t="n"/>
      <c r="BX232" s="129" t="n"/>
      <c r="BY232" s="129" t="n"/>
      <c r="BZ232" s="129" t="n"/>
      <c r="CA232" s="129" t="n"/>
      <c r="CB232" s="129" t="n"/>
      <c r="CC232" s="129" t="n"/>
      <c r="CD232" s="129" t="n"/>
      <c r="CE232" s="129" t="n"/>
      <c r="CF232" s="129" t="n"/>
      <c r="CG232" s="129" t="n"/>
      <c r="CH232" s="129" t="n"/>
      <c r="CI232" s="129" t="n"/>
      <c r="CJ232" s="129" t="n"/>
      <c r="CK232" s="129" t="n"/>
      <c r="CL232" s="129" t="n"/>
      <c r="CM232" s="129" t="n"/>
      <c r="CN232" s="129" t="n"/>
      <c r="CO232" s="129" t="n"/>
      <c r="CP232" s="129" t="n"/>
      <c r="CQ232" s="129" t="n"/>
      <c r="CR232" s="129" t="n"/>
      <c r="CS232" s="129" t="n"/>
      <c r="CT232" s="129" t="n"/>
      <c r="CU232" s="129" t="n"/>
      <c r="CV232" s="129" t="n"/>
      <c r="CW232" s="129" t="n"/>
      <c r="CX232" s="129" t="n"/>
      <c r="CY232" s="129" t="n"/>
      <c r="CZ232" s="129" t="n"/>
      <c r="DA232" s="129" t="n"/>
      <c r="DB232" s="129" t="n"/>
      <c r="DC232" s="129" t="n"/>
      <c r="DD232" s="129" t="n"/>
      <c r="DE232" s="129" t="n"/>
      <c r="DF232" s="129" t="n"/>
      <c r="DG232" s="129" t="n"/>
      <c r="DH232" s="129" t="n"/>
      <c r="DI232" s="129" t="n"/>
      <c r="DJ232" s="129" t="n"/>
      <c r="DK232" s="129" t="n"/>
      <c r="DL232" s="129" t="n"/>
      <c r="DM232" s="129" t="n"/>
      <c r="DN232" s="129" t="n"/>
      <c r="DO232" s="129" t="n"/>
      <c r="DP232" s="129" t="n"/>
      <c r="DQ232" s="129" t="n"/>
      <c r="DR232" s="129" t="n"/>
      <c r="DS232" s="129" t="n"/>
      <c r="DT232" s="129" t="n"/>
      <c r="DU232" s="129" t="n"/>
      <c r="DV232" s="129" t="n"/>
      <c r="DW232" s="129" t="n"/>
      <c r="DX232" s="129" t="n"/>
      <c r="DY232" s="129" t="n"/>
      <c r="DZ232" s="129" t="n"/>
      <c r="EA232" s="129" t="n"/>
      <c r="EB232" s="129" t="n"/>
      <c r="EC232" s="129" t="n"/>
      <c r="ED232" s="129" t="n"/>
      <c r="EE232" s="129" t="n"/>
      <c r="EF232" s="129" t="n"/>
      <c r="EG232" s="129" t="n"/>
      <c r="EH232" s="129" t="n"/>
      <c r="EI232" s="129" t="n"/>
      <c r="EJ232" s="129" t="n"/>
      <c r="EK232" s="129" t="n"/>
      <c r="EL232" s="129" t="n"/>
      <c r="EM232" s="129" t="n"/>
      <c r="EN232" s="129" t="n"/>
      <c r="EO232" s="129" t="n"/>
      <c r="EP232" s="129" t="n"/>
      <c r="EQ232" s="129" t="n"/>
      <c r="ER232" s="129" t="n"/>
      <c r="ES232" s="129" t="n"/>
      <c r="ET232" s="129" t="n"/>
      <c r="EU232" s="129" t="n"/>
      <c r="EV232" s="129" t="n"/>
      <c r="EW232" s="129" t="n"/>
      <c r="EX232" s="129" t="n"/>
      <c r="EY232" s="129" t="n"/>
      <c r="EZ232" s="129" t="n"/>
      <c r="FA232" s="129" t="n"/>
      <c r="FB232" s="129" t="n"/>
      <c r="FC232" s="129" t="n"/>
      <c r="FD232" s="129" t="n"/>
      <c r="FE232" s="129" t="n"/>
      <c r="FF232" s="129" t="n"/>
      <c r="FG232" s="129" t="n"/>
      <c r="FH232" s="129" t="n"/>
      <c r="FI232" s="129" t="n"/>
      <c r="FJ232" s="129" t="n"/>
      <c r="FK232" s="129" t="n"/>
      <c r="FL232" s="129" t="n"/>
      <c r="FM232" s="129" t="n"/>
    </row>
    <row r="233" s="135">
      <c r="A233" s="52" t="n">
        <v>39903</v>
      </c>
      <c r="B233" s="30" t="n">
        <v>0.083</v>
      </c>
      <c r="C233" s="29" t="n">
        <v>44.8</v>
      </c>
      <c r="D233" s="129" t="n"/>
      <c r="E233" s="129" t="n"/>
      <c r="F233" s="129" t="n"/>
      <c r="G233" s="129" t="n"/>
      <c r="H233" s="129" t="n"/>
      <c r="I233" s="129" t="n"/>
      <c r="J233" s="129" t="n"/>
      <c r="K233" s="129" t="n"/>
      <c r="L233" s="129" t="n"/>
      <c r="M233" s="129" t="n"/>
      <c r="N233" s="129" t="n"/>
      <c r="O233" s="129" t="n"/>
      <c r="P233" s="129" t="n"/>
      <c r="Q233" s="129" t="n"/>
      <c r="R233" s="129" t="n"/>
      <c r="S233" s="129" t="n"/>
      <c r="T233" s="129" t="n"/>
      <c r="U233" s="129" t="n"/>
      <c r="V233" s="129" t="n"/>
      <c r="W233" s="129" t="n"/>
      <c r="X233" s="129" t="n"/>
      <c r="Y233" s="129" t="n"/>
      <c r="Z233" s="129" t="n"/>
      <c r="AA233" s="129" t="n"/>
      <c r="AB233" s="129" t="n"/>
      <c r="AC233" s="129" t="n"/>
      <c r="AD233" s="129" t="n"/>
      <c r="AE233" s="129" t="n"/>
      <c r="AF233" s="129" t="n"/>
      <c r="AG233" s="129" t="n"/>
      <c r="AH233" s="129" t="n"/>
      <c r="AI233" s="129" t="n"/>
      <c r="AJ233" s="129" t="n"/>
      <c r="AK233" s="129" t="n"/>
      <c r="AL233" s="129" t="n"/>
      <c r="AM233" s="129" t="n"/>
      <c r="AN233" s="129" t="n"/>
      <c r="AO233" s="129" t="n"/>
      <c r="AP233" s="129" t="n"/>
      <c r="AQ233" s="129" t="n"/>
      <c r="AR233" s="129" t="n"/>
      <c r="AS233" s="129" t="n"/>
      <c r="AT233" s="129" t="n"/>
      <c r="AU233" s="129" t="n"/>
      <c r="AV233" s="129" t="n"/>
      <c r="AW233" s="129" t="n"/>
      <c r="AX233" s="129" t="n"/>
      <c r="AY233" s="129" t="n"/>
      <c r="AZ233" s="129" t="n"/>
      <c r="BA233" s="129" t="n"/>
      <c r="BB233" s="129" t="n"/>
      <c r="BC233" s="129" t="n"/>
      <c r="BD233" s="129" t="n"/>
      <c r="BE233" s="129" t="n"/>
      <c r="BF233" s="129" t="n"/>
      <c r="BG233" s="129" t="n"/>
      <c r="BH233" s="129" t="n"/>
      <c r="BI233" s="129" t="n"/>
      <c r="BJ233" s="129" t="n"/>
      <c r="BK233" s="129" t="n"/>
      <c r="BL233" s="129" t="n"/>
      <c r="BM233" s="129" t="n"/>
      <c r="BN233" s="129" t="n"/>
      <c r="BO233" s="129" t="n"/>
      <c r="BP233" s="129" t="n"/>
      <c r="BQ233" s="129" t="n"/>
      <c r="BR233" s="129" t="n"/>
      <c r="BS233" s="129" t="n"/>
      <c r="BT233" s="129" t="n"/>
      <c r="BU233" s="129" t="n"/>
      <c r="BV233" s="129" t="n"/>
      <c r="BW233" s="129" t="n"/>
      <c r="BX233" s="129" t="n"/>
      <c r="BY233" s="129" t="n"/>
      <c r="BZ233" s="129" t="n"/>
      <c r="CA233" s="129" t="n"/>
      <c r="CB233" s="129" t="n"/>
      <c r="CC233" s="129" t="n"/>
      <c r="CD233" s="129" t="n"/>
      <c r="CE233" s="129" t="n"/>
      <c r="CF233" s="129" t="n"/>
      <c r="CG233" s="129" t="n"/>
      <c r="CH233" s="129" t="n"/>
      <c r="CI233" s="129" t="n"/>
      <c r="CJ233" s="129" t="n"/>
      <c r="CK233" s="129" t="n"/>
      <c r="CL233" s="129" t="n"/>
      <c r="CM233" s="129" t="n"/>
      <c r="CN233" s="129" t="n"/>
      <c r="CO233" s="129" t="n"/>
      <c r="CP233" s="129" t="n"/>
      <c r="CQ233" s="129" t="n"/>
      <c r="CR233" s="129" t="n"/>
      <c r="CS233" s="129" t="n"/>
      <c r="CT233" s="129" t="n"/>
      <c r="CU233" s="129" t="n"/>
      <c r="CV233" s="129" t="n"/>
      <c r="CW233" s="129" t="n"/>
      <c r="CX233" s="129" t="n"/>
      <c r="CY233" s="129" t="n"/>
      <c r="CZ233" s="129" t="n"/>
      <c r="DA233" s="129" t="n"/>
      <c r="DB233" s="129" t="n"/>
      <c r="DC233" s="129" t="n"/>
      <c r="DD233" s="129" t="n"/>
      <c r="DE233" s="129" t="n"/>
      <c r="DF233" s="129" t="n"/>
      <c r="DG233" s="129" t="n"/>
      <c r="DH233" s="129" t="n"/>
      <c r="DI233" s="129" t="n"/>
      <c r="DJ233" s="129" t="n"/>
      <c r="DK233" s="129" t="n"/>
      <c r="DL233" s="129" t="n"/>
      <c r="DM233" s="129" t="n"/>
      <c r="DN233" s="129" t="n"/>
      <c r="DO233" s="129" t="n"/>
      <c r="DP233" s="129" t="n"/>
      <c r="DQ233" s="129" t="n"/>
      <c r="DR233" s="129" t="n"/>
      <c r="DS233" s="129" t="n"/>
      <c r="DT233" s="129" t="n"/>
      <c r="DU233" s="129" t="n"/>
      <c r="DV233" s="129" t="n"/>
      <c r="DW233" s="129" t="n"/>
      <c r="DX233" s="129" t="n"/>
      <c r="DY233" s="129" t="n"/>
      <c r="DZ233" s="129" t="n"/>
      <c r="EA233" s="129" t="n"/>
      <c r="EB233" s="129" t="n"/>
      <c r="EC233" s="129" t="n"/>
      <c r="ED233" s="129" t="n"/>
      <c r="EE233" s="129" t="n"/>
      <c r="EF233" s="129" t="n"/>
      <c r="EG233" s="129" t="n"/>
      <c r="EH233" s="129" t="n"/>
      <c r="EI233" s="129" t="n"/>
      <c r="EJ233" s="129" t="n"/>
      <c r="EK233" s="129" t="n"/>
      <c r="EL233" s="129" t="n"/>
      <c r="EM233" s="129" t="n"/>
      <c r="EN233" s="129" t="n"/>
      <c r="EO233" s="129" t="n"/>
      <c r="EP233" s="129" t="n"/>
      <c r="EQ233" s="129" t="n"/>
      <c r="ER233" s="129" t="n"/>
      <c r="ES233" s="129" t="n"/>
      <c r="ET233" s="129" t="n"/>
      <c r="EU233" s="129" t="n"/>
      <c r="EV233" s="129" t="n"/>
      <c r="EW233" s="129" t="n"/>
      <c r="EX233" s="129" t="n"/>
      <c r="EY233" s="129" t="n"/>
      <c r="EZ233" s="129" t="n"/>
      <c r="FA233" s="129" t="n"/>
      <c r="FB233" s="129" t="n"/>
      <c r="FC233" s="129" t="n"/>
      <c r="FD233" s="129" t="n"/>
      <c r="FE233" s="129" t="n"/>
      <c r="FF233" s="129" t="n"/>
      <c r="FG233" s="129" t="n"/>
      <c r="FH233" s="129" t="n"/>
      <c r="FI233" s="129" t="n"/>
      <c r="FJ233" s="129" t="n"/>
      <c r="FK233" s="129" t="n"/>
      <c r="FL233" s="129" t="n"/>
      <c r="FM233" s="129" t="n"/>
    </row>
    <row r="234" s="135">
      <c r="A234" s="53" t="n">
        <v>39933</v>
      </c>
      <c r="B234" s="54" t="n">
        <v>0.073</v>
      </c>
      <c r="C234" s="29" t="n">
        <v>50.1</v>
      </c>
      <c r="D234" s="129" t="n"/>
      <c r="E234" s="129" t="n"/>
      <c r="F234" s="129" t="n"/>
      <c r="G234" s="129" t="n"/>
      <c r="H234" s="129" t="n"/>
      <c r="I234" s="129" t="n"/>
      <c r="J234" s="129" t="n"/>
      <c r="K234" s="129" t="n"/>
      <c r="L234" s="129" t="n"/>
      <c r="M234" s="129" t="n"/>
      <c r="N234" s="129" t="n"/>
      <c r="O234" s="129" t="n"/>
      <c r="P234" s="129" t="n"/>
      <c r="Q234" s="129" t="n"/>
      <c r="R234" s="129" t="n"/>
      <c r="S234" s="129" t="n"/>
      <c r="T234" s="129" t="n"/>
      <c r="U234" s="129" t="n"/>
      <c r="V234" s="129" t="n"/>
      <c r="W234" s="129" t="n"/>
      <c r="X234" s="129" t="n"/>
      <c r="Y234" s="129" t="n"/>
      <c r="Z234" s="129" t="n"/>
      <c r="AA234" s="129" t="n"/>
      <c r="AB234" s="129" t="n"/>
      <c r="AC234" s="129" t="n"/>
      <c r="AD234" s="129" t="n"/>
      <c r="AE234" s="129" t="n"/>
      <c r="AF234" s="129" t="n"/>
      <c r="AG234" s="129" t="n"/>
      <c r="AH234" s="129" t="n"/>
      <c r="AI234" s="129" t="n"/>
      <c r="AJ234" s="129" t="n"/>
      <c r="AK234" s="129" t="n"/>
      <c r="AL234" s="129" t="n"/>
      <c r="AM234" s="129" t="n"/>
      <c r="AN234" s="129" t="n"/>
      <c r="AO234" s="129" t="n"/>
      <c r="AP234" s="129" t="n"/>
      <c r="AQ234" s="129" t="n"/>
      <c r="AR234" s="129" t="n"/>
      <c r="AS234" s="129" t="n"/>
      <c r="AT234" s="129" t="n"/>
      <c r="AU234" s="129" t="n"/>
      <c r="AV234" s="129" t="n"/>
      <c r="AW234" s="129" t="n"/>
      <c r="AX234" s="129" t="n"/>
      <c r="AY234" s="129" t="n"/>
      <c r="AZ234" s="129" t="n"/>
      <c r="BA234" s="129" t="n"/>
      <c r="BB234" s="129" t="n"/>
      <c r="BC234" s="129" t="n"/>
      <c r="BD234" s="129" t="n"/>
      <c r="BE234" s="129" t="n"/>
      <c r="BF234" s="129" t="n"/>
      <c r="BG234" s="129" t="n"/>
      <c r="BH234" s="129" t="n"/>
      <c r="BI234" s="129" t="n"/>
      <c r="BJ234" s="129" t="n"/>
      <c r="BK234" s="129" t="n"/>
      <c r="BL234" s="129" t="n"/>
      <c r="BM234" s="129" t="n"/>
      <c r="BN234" s="129" t="n"/>
      <c r="BO234" s="129" t="n"/>
      <c r="BP234" s="129" t="n"/>
      <c r="BQ234" s="129" t="n"/>
      <c r="BR234" s="129" t="n"/>
      <c r="BS234" s="129" t="n"/>
      <c r="BT234" s="129" t="n"/>
      <c r="BU234" s="129" t="n"/>
      <c r="BV234" s="129" t="n"/>
      <c r="BW234" s="129" t="n"/>
      <c r="BX234" s="129" t="n"/>
      <c r="BY234" s="129" t="n"/>
      <c r="BZ234" s="129" t="n"/>
      <c r="CA234" s="129" t="n"/>
      <c r="CB234" s="129" t="n"/>
      <c r="CC234" s="129" t="n"/>
      <c r="CD234" s="129" t="n"/>
      <c r="CE234" s="129" t="n"/>
      <c r="CF234" s="129" t="n"/>
      <c r="CG234" s="129" t="n"/>
      <c r="CH234" s="129" t="n"/>
      <c r="CI234" s="129" t="n"/>
      <c r="CJ234" s="129" t="n"/>
      <c r="CK234" s="129" t="n"/>
      <c r="CL234" s="129" t="n"/>
      <c r="CM234" s="129" t="n"/>
      <c r="CN234" s="129" t="n"/>
      <c r="CO234" s="129" t="n"/>
      <c r="CP234" s="129" t="n"/>
      <c r="CQ234" s="129" t="n"/>
      <c r="CR234" s="129" t="n"/>
      <c r="CS234" s="129" t="n"/>
      <c r="CT234" s="129" t="n"/>
      <c r="CU234" s="129" t="n"/>
      <c r="CV234" s="129" t="n"/>
      <c r="CW234" s="129" t="n"/>
      <c r="CX234" s="129" t="n"/>
      <c r="CY234" s="129" t="n"/>
      <c r="CZ234" s="129" t="n"/>
      <c r="DA234" s="129" t="n"/>
      <c r="DB234" s="129" t="n"/>
      <c r="DC234" s="129" t="n"/>
      <c r="DD234" s="129" t="n"/>
      <c r="DE234" s="129" t="n"/>
      <c r="DF234" s="129" t="n"/>
      <c r="DG234" s="129" t="n"/>
      <c r="DH234" s="129" t="n"/>
      <c r="DI234" s="129" t="n"/>
      <c r="DJ234" s="129" t="n"/>
      <c r="DK234" s="129" t="n"/>
      <c r="DL234" s="129" t="n"/>
      <c r="DM234" s="129" t="n"/>
      <c r="DN234" s="129" t="n"/>
      <c r="DO234" s="129" t="n"/>
      <c r="DP234" s="129" t="n"/>
      <c r="DQ234" s="129" t="n"/>
      <c r="DR234" s="129" t="n"/>
      <c r="DS234" s="129" t="n"/>
      <c r="DT234" s="129" t="n"/>
      <c r="DU234" s="129" t="n"/>
      <c r="DV234" s="129" t="n"/>
      <c r="DW234" s="129" t="n"/>
      <c r="DX234" s="129" t="n"/>
      <c r="DY234" s="129" t="n"/>
      <c r="DZ234" s="129" t="n"/>
      <c r="EA234" s="129" t="n"/>
      <c r="EB234" s="129" t="n"/>
      <c r="EC234" s="129" t="n"/>
      <c r="ED234" s="129" t="n"/>
      <c r="EE234" s="129" t="n"/>
      <c r="EF234" s="129" t="n"/>
      <c r="EG234" s="129" t="n"/>
      <c r="EH234" s="129" t="n"/>
      <c r="EI234" s="129" t="n"/>
      <c r="EJ234" s="129" t="n"/>
      <c r="EK234" s="129" t="n"/>
      <c r="EL234" s="129" t="n"/>
      <c r="EM234" s="129" t="n"/>
      <c r="EN234" s="129" t="n"/>
      <c r="EO234" s="129" t="n"/>
      <c r="EP234" s="129" t="n"/>
      <c r="EQ234" s="129" t="n"/>
      <c r="ER234" s="129" t="n"/>
      <c r="ES234" s="129" t="n"/>
      <c r="ET234" s="129" t="n"/>
      <c r="EU234" s="129" t="n"/>
      <c r="EV234" s="129" t="n"/>
      <c r="EW234" s="129" t="n"/>
      <c r="EX234" s="129" t="n"/>
      <c r="EY234" s="129" t="n"/>
      <c r="EZ234" s="129" t="n"/>
      <c r="FA234" s="129" t="n"/>
      <c r="FB234" s="129" t="n"/>
      <c r="FC234" s="129" t="n"/>
      <c r="FD234" s="129" t="n"/>
      <c r="FE234" s="129" t="n"/>
      <c r="FF234" s="129" t="n"/>
      <c r="FG234" s="129" t="n"/>
      <c r="FH234" s="129" t="n"/>
      <c r="FI234" s="129" t="n"/>
      <c r="FJ234" s="129" t="n"/>
      <c r="FK234" s="129" t="n"/>
      <c r="FL234" s="129" t="n"/>
      <c r="FM234" s="129" t="n"/>
    </row>
    <row r="235" s="135">
      <c r="A235" s="52" t="n">
        <v>39964</v>
      </c>
      <c r="B235" s="30" t="n">
        <v>0.089</v>
      </c>
      <c r="C235" s="29" t="n">
        <v>51.2</v>
      </c>
      <c r="D235" s="129" t="n"/>
      <c r="E235" s="129" t="n"/>
      <c r="F235" s="129" t="n"/>
      <c r="G235" s="129" t="n"/>
      <c r="H235" s="129" t="n"/>
      <c r="I235" s="129" t="n"/>
      <c r="J235" s="129" t="n"/>
      <c r="K235" s="129" t="n"/>
      <c r="L235" s="129" t="n"/>
      <c r="M235" s="129" t="n"/>
      <c r="N235" s="129" t="n"/>
      <c r="O235" s="129" t="n"/>
      <c r="P235" s="129" t="n"/>
      <c r="Q235" s="129" t="n"/>
      <c r="R235" s="129" t="n"/>
      <c r="S235" s="129" t="n"/>
      <c r="T235" s="129" t="n"/>
      <c r="U235" s="129" t="n"/>
      <c r="V235" s="129" t="n"/>
      <c r="W235" s="129" t="n"/>
      <c r="X235" s="129" t="n"/>
      <c r="Y235" s="129" t="n"/>
      <c r="Z235" s="129" t="n"/>
      <c r="AA235" s="129" t="n"/>
      <c r="AB235" s="129" t="n"/>
      <c r="AC235" s="129" t="n"/>
      <c r="AD235" s="129" t="n"/>
      <c r="AE235" s="129" t="n"/>
      <c r="AF235" s="129" t="n"/>
      <c r="AG235" s="129" t="n"/>
      <c r="AH235" s="129" t="n"/>
      <c r="AI235" s="129" t="n"/>
      <c r="AJ235" s="129" t="n"/>
      <c r="AK235" s="129" t="n"/>
      <c r="AL235" s="129" t="n"/>
      <c r="AM235" s="129" t="n"/>
      <c r="AN235" s="129" t="n"/>
      <c r="AO235" s="129" t="n"/>
      <c r="AP235" s="129" t="n"/>
      <c r="AQ235" s="129" t="n"/>
      <c r="AR235" s="129" t="n"/>
      <c r="AS235" s="129" t="n"/>
      <c r="AT235" s="129" t="n"/>
      <c r="AU235" s="129" t="n"/>
      <c r="AV235" s="129" t="n"/>
      <c r="AW235" s="129" t="n"/>
      <c r="AX235" s="129" t="n"/>
      <c r="AY235" s="129" t="n"/>
      <c r="AZ235" s="129" t="n"/>
      <c r="BA235" s="129" t="n"/>
      <c r="BB235" s="129" t="n"/>
      <c r="BC235" s="129" t="n"/>
      <c r="BD235" s="129" t="n"/>
      <c r="BE235" s="129" t="n"/>
      <c r="BF235" s="129" t="n"/>
      <c r="BG235" s="129" t="n"/>
      <c r="BH235" s="129" t="n"/>
      <c r="BI235" s="129" t="n"/>
      <c r="BJ235" s="129" t="n"/>
      <c r="BK235" s="129" t="n"/>
      <c r="BL235" s="129" t="n"/>
      <c r="BM235" s="129" t="n"/>
      <c r="BN235" s="129" t="n"/>
      <c r="BO235" s="129" t="n"/>
      <c r="BP235" s="129" t="n"/>
      <c r="BQ235" s="129" t="n"/>
      <c r="BR235" s="129" t="n"/>
      <c r="BS235" s="129" t="n"/>
      <c r="BT235" s="129" t="n"/>
      <c r="BU235" s="129" t="n"/>
      <c r="BV235" s="129" t="n"/>
      <c r="BW235" s="129" t="n"/>
      <c r="BX235" s="129" t="n"/>
      <c r="BY235" s="129" t="n"/>
      <c r="BZ235" s="129" t="n"/>
      <c r="CA235" s="129" t="n"/>
      <c r="CB235" s="129" t="n"/>
      <c r="CC235" s="129" t="n"/>
      <c r="CD235" s="129" t="n"/>
      <c r="CE235" s="129" t="n"/>
      <c r="CF235" s="129" t="n"/>
      <c r="CG235" s="129" t="n"/>
      <c r="CH235" s="129" t="n"/>
      <c r="CI235" s="129" t="n"/>
      <c r="CJ235" s="129" t="n"/>
      <c r="CK235" s="129" t="n"/>
      <c r="CL235" s="129" t="n"/>
      <c r="CM235" s="129" t="n"/>
      <c r="CN235" s="129" t="n"/>
      <c r="CO235" s="129" t="n"/>
      <c r="CP235" s="129" t="n"/>
      <c r="CQ235" s="129" t="n"/>
      <c r="CR235" s="129" t="n"/>
      <c r="CS235" s="129" t="n"/>
      <c r="CT235" s="129" t="n"/>
      <c r="CU235" s="129" t="n"/>
      <c r="CV235" s="129" t="n"/>
      <c r="CW235" s="129" t="n"/>
      <c r="CX235" s="129" t="n"/>
      <c r="CY235" s="129" t="n"/>
      <c r="CZ235" s="129" t="n"/>
      <c r="DA235" s="129" t="n"/>
      <c r="DB235" s="129" t="n"/>
      <c r="DC235" s="129" t="n"/>
      <c r="DD235" s="129" t="n"/>
      <c r="DE235" s="129" t="n"/>
      <c r="DF235" s="129" t="n"/>
      <c r="DG235" s="129" t="n"/>
      <c r="DH235" s="129" t="n"/>
      <c r="DI235" s="129" t="n"/>
      <c r="DJ235" s="129" t="n"/>
      <c r="DK235" s="129" t="n"/>
      <c r="DL235" s="129" t="n"/>
      <c r="DM235" s="129" t="n"/>
      <c r="DN235" s="129" t="n"/>
      <c r="DO235" s="129" t="n"/>
      <c r="DP235" s="129" t="n"/>
      <c r="DQ235" s="129" t="n"/>
      <c r="DR235" s="129" t="n"/>
      <c r="DS235" s="129" t="n"/>
      <c r="DT235" s="129" t="n"/>
      <c r="DU235" s="129" t="n"/>
      <c r="DV235" s="129" t="n"/>
      <c r="DW235" s="129" t="n"/>
      <c r="DX235" s="129" t="n"/>
      <c r="DY235" s="129" t="n"/>
      <c r="DZ235" s="129" t="n"/>
      <c r="EA235" s="129" t="n"/>
      <c r="EB235" s="129" t="n"/>
      <c r="EC235" s="129" t="n"/>
      <c r="ED235" s="129" t="n"/>
      <c r="EE235" s="129" t="n"/>
      <c r="EF235" s="129" t="n"/>
      <c r="EG235" s="129" t="n"/>
      <c r="EH235" s="129" t="n"/>
      <c r="EI235" s="129" t="n"/>
      <c r="EJ235" s="129" t="n"/>
      <c r="EK235" s="129" t="n"/>
      <c r="EL235" s="129" t="n"/>
      <c r="EM235" s="129" t="n"/>
      <c r="EN235" s="129" t="n"/>
      <c r="EO235" s="129" t="n"/>
      <c r="EP235" s="129" t="n"/>
      <c r="EQ235" s="129" t="n"/>
      <c r="ER235" s="129" t="n"/>
      <c r="ES235" s="129" t="n"/>
      <c r="ET235" s="129" t="n"/>
      <c r="EU235" s="129" t="n"/>
      <c r="EV235" s="129" t="n"/>
      <c r="EW235" s="129" t="n"/>
      <c r="EX235" s="129" t="n"/>
      <c r="EY235" s="129" t="n"/>
      <c r="EZ235" s="129" t="n"/>
      <c r="FA235" s="129" t="n"/>
      <c r="FB235" s="129" t="n"/>
      <c r="FC235" s="129" t="n"/>
      <c r="FD235" s="129" t="n"/>
      <c r="FE235" s="129" t="n"/>
      <c r="FF235" s="129" t="n"/>
      <c r="FG235" s="129" t="n"/>
      <c r="FH235" s="129" t="n"/>
      <c r="FI235" s="129" t="n"/>
      <c r="FJ235" s="129" t="n"/>
      <c r="FK235" s="129" t="n"/>
      <c r="FL235" s="129" t="n"/>
      <c r="FM235" s="129" t="n"/>
    </row>
    <row r="236" s="135">
      <c r="A236" s="53" t="n">
        <v>39994</v>
      </c>
      <c r="B236" s="54" t="n">
        <v>0.107</v>
      </c>
      <c r="C236" s="29" t="n">
        <v>51.8</v>
      </c>
      <c r="D236" s="129" t="n"/>
      <c r="E236" s="129" t="n"/>
      <c r="F236" s="129" t="n"/>
      <c r="G236" s="129" t="n"/>
      <c r="H236" s="129" t="n"/>
      <c r="I236" s="129" t="n"/>
      <c r="J236" s="129" t="n"/>
      <c r="K236" s="129" t="n"/>
      <c r="L236" s="129" t="n"/>
      <c r="M236" s="129" t="n"/>
      <c r="N236" s="129" t="n"/>
      <c r="O236" s="129" t="n"/>
      <c r="P236" s="129" t="n"/>
      <c r="Q236" s="129" t="n"/>
      <c r="R236" s="129" t="n"/>
      <c r="S236" s="129" t="n"/>
      <c r="T236" s="129" t="n"/>
      <c r="U236" s="129" t="n"/>
      <c r="V236" s="129" t="n"/>
      <c r="W236" s="129" t="n"/>
      <c r="X236" s="129" t="n"/>
      <c r="Y236" s="129" t="n"/>
      <c r="Z236" s="129" t="n"/>
      <c r="AA236" s="129" t="n"/>
      <c r="AB236" s="129" t="n"/>
      <c r="AC236" s="129" t="n"/>
      <c r="AD236" s="129" t="n"/>
      <c r="AE236" s="129" t="n"/>
      <c r="AF236" s="129" t="n"/>
      <c r="AG236" s="129" t="n"/>
      <c r="AH236" s="129" t="n"/>
      <c r="AI236" s="129" t="n"/>
      <c r="AJ236" s="129" t="n"/>
      <c r="AK236" s="129" t="n"/>
      <c r="AL236" s="129" t="n"/>
      <c r="AM236" s="129" t="n"/>
      <c r="AN236" s="129" t="n"/>
      <c r="AO236" s="129" t="n"/>
      <c r="AP236" s="129" t="n"/>
      <c r="AQ236" s="129" t="n"/>
      <c r="AR236" s="129" t="n"/>
      <c r="AS236" s="129" t="n"/>
      <c r="AT236" s="129" t="n"/>
      <c r="AU236" s="129" t="n"/>
      <c r="AV236" s="129" t="n"/>
      <c r="AW236" s="129" t="n"/>
      <c r="AX236" s="129" t="n"/>
      <c r="AY236" s="129" t="n"/>
      <c r="AZ236" s="129" t="n"/>
      <c r="BA236" s="129" t="n"/>
      <c r="BB236" s="129" t="n"/>
      <c r="BC236" s="129" t="n"/>
      <c r="BD236" s="129" t="n"/>
      <c r="BE236" s="129" t="n"/>
      <c r="BF236" s="129" t="n"/>
      <c r="BG236" s="129" t="n"/>
      <c r="BH236" s="129" t="n"/>
      <c r="BI236" s="129" t="n"/>
      <c r="BJ236" s="129" t="n"/>
      <c r="BK236" s="129" t="n"/>
      <c r="BL236" s="129" t="n"/>
      <c r="BM236" s="129" t="n"/>
      <c r="BN236" s="129" t="n"/>
      <c r="BO236" s="129" t="n"/>
      <c r="BP236" s="129" t="n"/>
      <c r="BQ236" s="129" t="n"/>
      <c r="BR236" s="129" t="n"/>
      <c r="BS236" s="129" t="n"/>
      <c r="BT236" s="129" t="n"/>
      <c r="BU236" s="129" t="n"/>
      <c r="BV236" s="129" t="n"/>
      <c r="BW236" s="129" t="n"/>
      <c r="BX236" s="129" t="n"/>
      <c r="BY236" s="129" t="n"/>
      <c r="BZ236" s="129" t="n"/>
      <c r="CA236" s="129" t="n"/>
      <c r="CB236" s="129" t="n"/>
      <c r="CC236" s="129" t="n"/>
      <c r="CD236" s="129" t="n"/>
      <c r="CE236" s="129" t="n"/>
      <c r="CF236" s="129" t="n"/>
      <c r="CG236" s="129" t="n"/>
      <c r="CH236" s="129" t="n"/>
      <c r="CI236" s="129" t="n"/>
      <c r="CJ236" s="129" t="n"/>
      <c r="CK236" s="129" t="n"/>
      <c r="CL236" s="129" t="n"/>
      <c r="CM236" s="129" t="n"/>
      <c r="CN236" s="129" t="n"/>
      <c r="CO236" s="129" t="n"/>
      <c r="CP236" s="129" t="n"/>
      <c r="CQ236" s="129" t="n"/>
      <c r="CR236" s="129" t="n"/>
      <c r="CS236" s="129" t="n"/>
      <c r="CT236" s="129" t="n"/>
      <c r="CU236" s="129" t="n"/>
      <c r="CV236" s="129" t="n"/>
      <c r="CW236" s="129" t="n"/>
      <c r="CX236" s="129" t="n"/>
      <c r="CY236" s="129" t="n"/>
      <c r="CZ236" s="129" t="n"/>
      <c r="DA236" s="129" t="n"/>
      <c r="DB236" s="129" t="n"/>
      <c r="DC236" s="129" t="n"/>
      <c r="DD236" s="129" t="n"/>
      <c r="DE236" s="129" t="n"/>
      <c r="DF236" s="129" t="n"/>
      <c r="DG236" s="129" t="n"/>
      <c r="DH236" s="129" t="n"/>
      <c r="DI236" s="129" t="n"/>
      <c r="DJ236" s="129" t="n"/>
      <c r="DK236" s="129" t="n"/>
      <c r="DL236" s="129" t="n"/>
      <c r="DM236" s="129" t="n"/>
      <c r="DN236" s="129" t="n"/>
      <c r="DO236" s="129" t="n"/>
      <c r="DP236" s="129" t="n"/>
      <c r="DQ236" s="129" t="n"/>
      <c r="DR236" s="129" t="n"/>
      <c r="DS236" s="129" t="n"/>
      <c r="DT236" s="129" t="n"/>
      <c r="DU236" s="129" t="n"/>
      <c r="DV236" s="129" t="n"/>
      <c r="DW236" s="129" t="n"/>
      <c r="DX236" s="129" t="n"/>
      <c r="DY236" s="129" t="n"/>
      <c r="DZ236" s="129" t="n"/>
      <c r="EA236" s="129" t="n"/>
      <c r="EB236" s="129" t="n"/>
      <c r="EC236" s="129" t="n"/>
      <c r="ED236" s="129" t="n"/>
      <c r="EE236" s="129" t="n"/>
      <c r="EF236" s="129" t="n"/>
      <c r="EG236" s="129" t="n"/>
      <c r="EH236" s="129" t="n"/>
      <c r="EI236" s="129" t="n"/>
      <c r="EJ236" s="129" t="n"/>
      <c r="EK236" s="129" t="n"/>
      <c r="EL236" s="129" t="n"/>
      <c r="EM236" s="129" t="n"/>
      <c r="EN236" s="129" t="n"/>
      <c r="EO236" s="129" t="n"/>
      <c r="EP236" s="129" t="n"/>
      <c r="EQ236" s="129" t="n"/>
      <c r="ER236" s="129" t="n"/>
      <c r="ES236" s="129" t="n"/>
      <c r="ET236" s="129" t="n"/>
      <c r="EU236" s="129" t="n"/>
      <c r="EV236" s="129" t="n"/>
      <c r="EW236" s="129" t="n"/>
      <c r="EX236" s="129" t="n"/>
      <c r="EY236" s="129" t="n"/>
      <c r="EZ236" s="129" t="n"/>
      <c r="FA236" s="129" t="n"/>
      <c r="FB236" s="129" t="n"/>
      <c r="FC236" s="129" t="n"/>
      <c r="FD236" s="129" t="n"/>
      <c r="FE236" s="129" t="n"/>
      <c r="FF236" s="129" t="n"/>
      <c r="FG236" s="129" t="n"/>
      <c r="FH236" s="129" t="n"/>
      <c r="FI236" s="129" t="n"/>
      <c r="FJ236" s="129" t="n"/>
      <c r="FK236" s="129" t="n"/>
      <c r="FL236" s="129" t="n"/>
      <c r="FM236" s="129" t="n"/>
    </row>
    <row r="237" s="135">
      <c r="A237" s="52" t="n">
        <v>40025</v>
      </c>
      <c r="B237" s="30" t="n">
        <v>0.108</v>
      </c>
      <c r="C237" s="29" t="n">
        <v>52.8</v>
      </c>
      <c r="D237" s="129" t="n"/>
      <c r="E237" s="129" t="n"/>
      <c r="F237" s="129" t="n"/>
      <c r="G237" s="129" t="n"/>
      <c r="H237" s="129" t="n"/>
      <c r="I237" s="129" t="n"/>
      <c r="J237" s="129" t="n"/>
      <c r="K237" s="129" t="n"/>
      <c r="L237" s="129" t="n"/>
      <c r="M237" s="129" t="n"/>
      <c r="N237" s="129" t="n"/>
      <c r="O237" s="129" t="n"/>
      <c r="P237" s="129" t="n"/>
      <c r="Q237" s="129" t="n"/>
      <c r="R237" s="129" t="n"/>
      <c r="S237" s="129" t="n"/>
      <c r="T237" s="129" t="n"/>
      <c r="U237" s="129" t="n"/>
      <c r="V237" s="129" t="n"/>
      <c r="W237" s="129" t="n"/>
      <c r="X237" s="129" t="n"/>
      <c r="Y237" s="129" t="n"/>
      <c r="Z237" s="129" t="n"/>
      <c r="AA237" s="129" t="n"/>
      <c r="AB237" s="129" t="n"/>
      <c r="AC237" s="129" t="n"/>
      <c r="AD237" s="129" t="n"/>
      <c r="AE237" s="129" t="n"/>
      <c r="AF237" s="129" t="n"/>
      <c r="AG237" s="129" t="n"/>
      <c r="AH237" s="129" t="n"/>
      <c r="AI237" s="129" t="n"/>
      <c r="AJ237" s="129" t="n"/>
      <c r="AK237" s="129" t="n"/>
      <c r="AL237" s="129" t="n"/>
      <c r="AM237" s="129" t="n"/>
      <c r="AN237" s="129" t="n"/>
      <c r="AO237" s="129" t="n"/>
      <c r="AP237" s="129" t="n"/>
      <c r="AQ237" s="129" t="n"/>
      <c r="AR237" s="129" t="n"/>
      <c r="AS237" s="129" t="n"/>
      <c r="AT237" s="129" t="n"/>
      <c r="AU237" s="129" t="n"/>
      <c r="AV237" s="129" t="n"/>
      <c r="AW237" s="129" t="n"/>
      <c r="AX237" s="129" t="n"/>
      <c r="AY237" s="129" t="n"/>
      <c r="AZ237" s="129" t="n"/>
      <c r="BA237" s="129" t="n"/>
      <c r="BB237" s="129" t="n"/>
      <c r="BC237" s="129" t="n"/>
      <c r="BD237" s="129" t="n"/>
      <c r="BE237" s="129" t="n"/>
      <c r="BF237" s="129" t="n"/>
      <c r="BG237" s="129" t="n"/>
      <c r="BH237" s="129" t="n"/>
      <c r="BI237" s="129" t="n"/>
      <c r="BJ237" s="129" t="n"/>
      <c r="BK237" s="129" t="n"/>
      <c r="BL237" s="129" t="n"/>
      <c r="BM237" s="129" t="n"/>
      <c r="BN237" s="129" t="n"/>
      <c r="BO237" s="129" t="n"/>
      <c r="BP237" s="129" t="n"/>
      <c r="BQ237" s="129" t="n"/>
      <c r="BR237" s="129" t="n"/>
      <c r="BS237" s="129" t="n"/>
      <c r="BT237" s="129" t="n"/>
      <c r="BU237" s="129" t="n"/>
      <c r="BV237" s="129" t="n"/>
      <c r="BW237" s="129" t="n"/>
      <c r="BX237" s="129" t="n"/>
      <c r="BY237" s="129" t="n"/>
      <c r="BZ237" s="129" t="n"/>
      <c r="CA237" s="129" t="n"/>
      <c r="CB237" s="129" t="n"/>
      <c r="CC237" s="129" t="n"/>
      <c r="CD237" s="129" t="n"/>
      <c r="CE237" s="129" t="n"/>
      <c r="CF237" s="129" t="n"/>
      <c r="CG237" s="129" t="n"/>
      <c r="CH237" s="129" t="n"/>
      <c r="CI237" s="129" t="n"/>
      <c r="CJ237" s="129" t="n"/>
      <c r="CK237" s="129" t="n"/>
      <c r="CL237" s="129" t="n"/>
      <c r="CM237" s="129" t="n"/>
      <c r="CN237" s="129" t="n"/>
      <c r="CO237" s="129" t="n"/>
      <c r="CP237" s="129" t="n"/>
      <c r="CQ237" s="129" t="n"/>
      <c r="CR237" s="129" t="n"/>
      <c r="CS237" s="129" t="n"/>
      <c r="CT237" s="129" t="n"/>
      <c r="CU237" s="129" t="n"/>
      <c r="CV237" s="129" t="n"/>
      <c r="CW237" s="129" t="n"/>
      <c r="CX237" s="129" t="n"/>
      <c r="CY237" s="129" t="n"/>
      <c r="CZ237" s="129" t="n"/>
      <c r="DA237" s="129" t="n"/>
      <c r="DB237" s="129" t="n"/>
      <c r="DC237" s="129" t="n"/>
      <c r="DD237" s="129" t="n"/>
      <c r="DE237" s="129" t="n"/>
      <c r="DF237" s="129" t="n"/>
      <c r="DG237" s="129" t="n"/>
      <c r="DH237" s="129" t="n"/>
      <c r="DI237" s="129" t="n"/>
      <c r="DJ237" s="129" t="n"/>
      <c r="DK237" s="129" t="n"/>
      <c r="DL237" s="129" t="n"/>
      <c r="DM237" s="129" t="n"/>
      <c r="DN237" s="129" t="n"/>
      <c r="DO237" s="129" t="n"/>
      <c r="DP237" s="129" t="n"/>
      <c r="DQ237" s="129" t="n"/>
      <c r="DR237" s="129" t="n"/>
      <c r="DS237" s="129" t="n"/>
      <c r="DT237" s="129" t="n"/>
      <c r="DU237" s="129" t="n"/>
      <c r="DV237" s="129" t="n"/>
      <c r="DW237" s="129" t="n"/>
      <c r="DX237" s="129" t="n"/>
      <c r="DY237" s="129" t="n"/>
      <c r="DZ237" s="129" t="n"/>
      <c r="EA237" s="129" t="n"/>
      <c r="EB237" s="129" t="n"/>
      <c r="EC237" s="129" t="n"/>
      <c r="ED237" s="129" t="n"/>
      <c r="EE237" s="129" t="n"/>
      <c r="EF237" s="129" t="n"/>
      <c r="EG237" s="129" t="n"/>
      <c r="EH237" s="129" t="n"/>
      <c r="EI237" s="129" t="n"/>
      <c r="EJ237" s="129" t="n"/>
      <c r="EK237" s="129" t="n"/>
      <c r="EL237" s="129" t="n"/>
      <c r="EM237" s="129" t="n"/>
      <c r="EN237" s="129" t="n"/>
      <c r="EO237" s="129" t="n"/>
      <c r="EP237" s="129" t="n"/>
      <c r="EQ237" s="129" t="n"/>
      <c r="ER237" s="129" t="n"/>
      <c r="ES237" s="129" t="n"/>
      <c r="ET237" s="129" t="n"/>
      <c r="EU237" s="129" t="n"/>
      <c r="EV237" s="129" t="n"/>
      <c r="EW237" s="129" t="n"/>
      <c r="EX237" s="129" t="n"/>
      <c r="EY237" s="129" t="n"/>
      <c r="EZ237" s="129" t="n"/>
      <c r="FA237" s="129" t="n"/>
      <c r="FB237" s="129" t="n"/>
      <c r="FC237" s="129" t="n"/>
      <c r="FD237" s="129" t="n"/>
      <c r="FE237" s="129" t="n"/>
      <c r="FF237" s="129" t="n"/>
      <c r="FG237" s="129" t="n"/>
      <c r="FH237" s="129" t="n"/>
      <c r="FI237" s="129" t="n"/>
      <c r="FJ237" s="129" t="n"/>
      <c r="FK237" s="129" t="n"/>
      <c r="FL237" s="129" t="n"/>
      <c r="FM237" s="129" t="n"/>
    </row>
    <row r="238" s="135">
      <c r="A238" s="53" t="n">
        <v>40056</v>
      </c>
      <c r="B238" s="54" t="n">
        <v>0.123</v>
      </c>
      <c r="C238" s="29" t="n">
        <v>55.1</v>
      </c>
      <c r="D238" s="129" t="n"/>
      <c r="E238" s="129" t="n"/>
      <c r="F238" s="129" t="n"/>
      <c r="G238" s="129" t="n"/>
      <c r="H238" s="129" t="n"/>
      <c r="I238" s="129" t="n"/>
      <c r="J238" s="129" t="n"/>
      <c r="K238" s="129" t="n"/>
      <c r="L238" s="129" t="n"/>
      <c r="M238" s="129" t="n"/>
      <c r="N238" s="129" t="n"/>
      <c r="O238" s="129" t="n"/>
      <c r="P238" s="129" t="n"/>
      <c r="Q238" s="129" t="n"/>
      <c r="R238" s="129" t="n"/>
      <c r="S238" s="129" t="n"/>
      <c r="T238" s="129" t="n"/>
      <c r="U238" s="129" t="n"/>
      <c r="V238" s="129" t="n"/>
      <c r="W238" s="129" t="n"/>
      <c r="X238" s="129" t="n"/>
      <c r="Y238" s="129" t="n"/>
      <c r="Z238" s="129" t="n"/>
      <c r="AA238" s="129" t="n"/>
      <c r="AB238" s="129" t="n"/>
      <c r="AC238" s="129" t="n"/>
      <c r="AD238" s="129" t="n"/>
      <c r="AE238" s="129" t="n"/>
      <c r="AF238" s="129" t="n"/>
      <c r="AG238" s="129" t="n"/>
      <c r="AH238" s="129" t="n"/>
      <c r="AI238" s="129" t="n"/>
      <c r="AJ238" s="129" t="n"/>
      <c r="AK238" s="129" t="n"/>
      <c r="AL238" s="129" t="n"/>
      <c r="AM238" s="129" t="n"/>
      <c r="AN238" s="129" t="n"/>
      <c r="AO238" s="129" t="n"/>
      <c r="AP238" s="129" t="n"/>
      <c r="AQ238" s="129" t="n"/>
      <c r="AR238" s="129" t="n"/>
      <c r="AS238" s="129" t="n"/>
      <c r="AT238" s="129" t="n"/>
      <c r="AU238" s="129" t="n"/>
      <c r="AV238" s="129" t="n"/>
      <c r="AW238" s="129" t="n"/>
      <c r="AX238" s="129" t="n"/>
      <c r="AY238" s="129" t="n"/>
      <c r="AZ238" s="129" t="n"/>
      <c r="BA238" s="129" t="n"/>
      <c r="BB238" s="129" t="n"/>
      <c r="BC238" s="129" t="n"/>
      <c r="BD238" s="129" t="n"/>
      <c r="BE238" s="129" t="n"/>
      <c r="BF238" s="129" t="n"/>
      <c r="BG238" s="129" t="n"/>
      <c r="BH238" s="129" t="n"/>
      <c r="BI238" s="129" t="n"/>
      <c r="BJ238" s="129" t="n"/>
      <c r="BK238" s="129" t="n"/>
      <c r="BL238" s="129" t="n"/>
      <c r="BM238" s="129" t="n"/>
      <c r="BN238" s="129" t="n"/>
      <c r="BO238" s="129" t="n"/>
      <c r="BP238" s="129" t="n"/>
      <c r="BQ238" s="129" t="n"/>
      <c r="BR238" s="129" t="n"/>
      <c r="BS238" s="129" t="n"/>
      <c r="BT238" s="129" t="n"/>
      <c r="BU238" s="129" t="n"/>
      <c r="BV238" s="129" t="n"/>
      <c r="BW238" s="129" t="n"/>
      <c r="BX238" s="129" t="n"/>
      <c r="BY238" s="129" t="n"/>
      <c r="BZ238" s="129" t="n"/>
      <c r="CA238" s="129" t="n"/>
      <c r="CB238" s="129" t="n"/>
      <c r="CC238" s="129" t="n"/>
      <c r="CD238" s="129" t="n"/>
      <c r="CE238" s="129" t="n"/>
      <c r="CF238" s="129" t="n"/>
      <c r="CG238" s="129" t="n"/>
      <c r="CH238" s="129" t="n"/>
      <c r="CI238" s="129" t="n"/>
      <c r="CJ238" s="129" t="n"/>
      <c r="CK238" s="129" t="n"/>
      <c r="CL238" s="129" t="n"/>
      <c r="CM238" s="129" t="n"/>
      <c r="CN238" s="129" t="n"/>
      <c r="CO238" s="129" t="n"/>
      <c r="CP238" s="129" t="n"/>
      <c r="CQ238" s="129" t="n"/>
      <c r="CR238" s="129" t="n"/>
      <c r="CS238" s="129" t="n"/>
      <c r="CT238" s="129" t="n"/>
      <c r="CU238" s="129" t="n"/>
      <c r="CV238" s="129" t="n"/>
      <c r="CW238" s="129" t="n"/>
      <c r="CX238" s="129" t="n"/>
      <c r="CY238" s="129" t="n"/>
      <c r="CZ238" s="129" t="n"/>
      <c r="DA238" s="129" t="n"/>
      <c r="DB238" s="129" t="n"/>
      <c r="DC238" s="129" t="n"/>
      <c r="DD238" s="129" t="n"/>
      <c r="DE238" s="129" t="n"/>
      <c r="DF238" s="129" t="n"/>
      <c r="DG238" s="129" t="n"/>
      <c r="DH238" s="129" t="n"/>
      <c r="DI238" s="129" t="n"/>
      <c r="DJ238" s="129" t="n"/>
      <c r="DK238" s="129" t="n"/>
      <c r="DL238" s="129" t="n"/>
      <c r="DM238" s="129" t="n"/>
      <c r="DN238" s="129" t="n"/>
      <c r="DO238" s="129" t="n"/>
      <c r="DP238" s="129" t="n"/>
      <c r="DQ238" s="129" t="n"/>
      <c r="DR238" s="129" t="n"/>
      <c r="DS238" s="129" t="n"/>
      <c r="DT238" s="129" t="n"/>
      <c r="DU238" s="129" t="n"/>
      <c r="DV238" s="129" t="n"/>
      <c r="DW238" s="129" t="n"/>
      <c r="DX238" s="129" t="n"/>
      <c r="DY238" s="129" t="n"/>
      <c r="DZ238" s="129" t="n"/>
      <c r="EA238" s="129" t="n"/>
      <c r="EB238" s="129" t="n"/>
      <c r="EC238" s="129" t="n"/>
      <c r="ED238" s="129" t="n"/>
      <c r="EE238" s="129" t="n"/>
      <c r="EF238" s="129" t="n"/>
      <c r="EG238" s="129" t="n"/>
      <c r="EH238" s="129" t="n"/>
      <c r="EI238" s="129" t="n"/>
      <c r="EJ238" s="129" t="n"/>
      <c r="EK238" s="129" t="n"/>
      <c r="EL238" s="129" t="n"/>
      <c r="EM238" s="129" t="n"/>
      <c r="EN238" s="129" t="n"/>
      <c r="EO238" s="129" t="n"/>
      <c r="EP238" s="129" t="n"/>
      <c r="EQ238" s="129" t="n"/>
      <c r="ER238" s="129" t="n"/>
      <c r="ES238" s="129" t="n"/>
      <c r="ET238" s="129" t="n"/>
      <c r="EU238" s="129" t="n"/>
      <c r="EV238" s="129" t="n"/>
      <c r="EW238" s="129" t="n"/>
      <c r="EX238" s="129" t="n"/>
      <c r="EY238" s="129" t="n"/>
      <c r="EZ238" s="129" t="n"/>
      <c r="FA238" s="129" t="n"/>
      <c r="FB238" s="129" t="n"/>
      <c r="FC238" s="129" t="n"/>
      <c r="FD238" s="129" t="n"/>
      <c r="FE238" s="129" t="n"/>
      <c r="FF238" s="129" t="n"/>
      <c r="FG238" s="129" t="n"/>
      <c r="FH238" s="129" t="n"/>
      <c r="FI238" s="129" t="n"/>
      <c r="FJ238" s="129" t="n"/>
      <c r="FK238" s="129" t="n"/>
      <c r="FL238" s="129" t="n"/>
      <c r="FM238" s="129" t="n"/>
    </row>
    <row r="239" s="135">
      <c r="A239" s="52" t="n">
        <v>40086</v>
      </c>
      <c r="B239" s="30" t="n">
        <v>0.139</v>
      </c>
      <c r="C239" s="29" t="n">
        <v>55</v>
      </c>
      <c r="D239" s="129" t="n"/>
      <c r="E239" s="129" t="n"/>
      <c r="F239" s="129" t="n"/>
      <c r="G239" s="129" t="n"/>
      <c r="H239" s="129" t="n"/>
      <c r="I239" s="129" t="n"/>
      <c r="J239" s="129" t="n"/>
      <c r="K239" s="129" t="n"/>
      <c r="L239" s="129" t="n"/>
      <c r="M239" s="129" t="n"/>
      <c r="N239" s="129" t="n"/>
      <c r="O239" s="129" t="n"/>
      <c r="P239" s="129" t="n"/>
      <c r="Q239" s="129" t="n"/>
      <c r="R239" s="129" t="n"/>
      <c r="S239" s="129" t="n"/>
      <c r="T239" s="129" t="n"/>
      <c r="U239" s="129" t="n"/>
      <c r="V239" s="129" t="n"/>
      <c r="W239" s="129" t="n"/>
      <c r="X239" s="129" t="n"/>
      <c r="Y239" s="129" t="n"/>
      <c r="Z239" s="129" t="n"/>
      <c r="AA239" s="129" t="n"/>
      <c r="AB239" s="129" t="n"/>
      <c r="AC239" s="129" t="n"/>
      <c r="AD239" s="129" t="n"/>
      <c r="AE239" s="129" t="n"/>
      <c r="AF239" s="129" t="n"/>
      <c r="AG239" s="129" t="n"/>
      <c r="AH239" s="129" t="n"/>
      <c r="AI239" s="129" t="n"/>
      <c r="AJ239" s="129" t="n"/>
      <c r="AK239" s="129" t="n"/>
      <c r="AL239" s="129" t="n"/>
      <c r="AM239" s="129" t="n"/>
      <c r="AN239" s="129" t="n"/>
      <c r="AO239" s="129" t="n"/>
      <c r="AP239" s="129" t="n"/>
      <c r="AQ239" s="129" t="n"/>
      <c r="AR239" s="129" t="n"/>
      <c r="AS239" s="129" t="n"/>
      <c r="AT239" s="129" t="n"/>
      <c r="AU239" s="129" t="n"/>
      <c r="AV239" s="129" t="n"/>
      <c r="AW239" s="129" t="n"/>
      <c r="AX239" s="129" t="n"/>
      <c r="AY239" s="129" t="n"/>
      <c r="AZ239" s="129" t="n"/>
      <c r="BA239" s="129" t="n"/>
      <c r="BB239" s="129" t="n"/>
      <c r="BC239" s="129" t="n"/>
      <c r="BD239" s="129" t="n"/>
      <c r="BE239" s="129" t="n"/>
      <c r="BF239" s="129" t="n"/>
      <c r="BG239" s="129" t="n"/>
      <c r="BH239" s="129" t="n"/>
      <c r="BI239" s="129" t="n"/>
      <c r="BJ239" s="129" t="n"/>
      <c r="BK239" s="129" t="n"/>
      <c r="BL239" s="129" t="n"/>
      <c r="BM239" s="129" t="n"/>
      <c r="BN239" s="129" t="n"/>
      <c r="BO239" s="129" t="n"/>
      <c r="BP239" s="129" t="n"/>
      <c r="BQ239" s="129" t="n"/>
      <c r="BR239" s="129" t="n"/>
      <c r="BS239" s="129" t="n"/>
      <c r="BT239" s="129" t="n"/>
      <c r="BU239" s="129" t="n"/>
      <c r="BV239" s="129" t="n"/>
      <c r="BW239" s="129" t="n"/>
      <c r="BX239" s="129" t="n"/>
      <c r="BY239" s="129" t="n"/>
      <c r="BZ239" s="129" t="n"/>
      <c r="CA239" s="129" t="n"/>
      <c r="CB239" s="129" t="n"/>
      <c r="CC239" s="129" t="n"/>
      <c r="CD239" s="129" t="n"/>
      <c r="CE239" s="129" t="n"/>
      <c r="CF239" s="129" t="n"/>
      <c r="CG239" s="129" t="n"/>
      <c r="CH239" s="129" t="n"/>
      <c r="CI239" s="129" t="n"/>
      <c r="CJ239" s="129" t="n"/>
      <c r="CK239" s="129" t="n"/>
      <c r="CL239" s="129" t="n"/>
      <c r="CM239" s="129" t="n"/>
      <c r="CN239" s="129" t="n"/>
      <c r="CO239" s="129" t="n"/>
      <c r="CP239" s="129" t="n"/>
      <c r="CQ239" s="129" t="n"/>
      <c r="CR239" s="129" t="n"/>
      <c r="CS239" s="129" t="n"/>
      <c r="CT239" s="129" t="n"/>
      <c r="CU239" s="129" t="n"/>
      <c r="CV239" s="129" t="n"/>
      <c r="CW239" s="129" t="n"/>
      <c r="CX239" s="129" t="n"/>
      <c r="CY239" s="129" t="n"/>
      <c r="CZ239" s="129" t="n"/>
      <c r="DA239" s="129" t="n"/>
      <c r="DB239" s="129" t="n"/>
      <c r="DC239" s="129" t="n"/>
      <c r="DD239" s="129" t="n"/>
      <c r="DE239" s="129" t="n"/>
      <c r="DF239" s="129" t="n"/>
      <c r="DG239" s="129" t="n"/>
      <c r="DH239" s="129" t="n"/>
      <c r="DI239" s="129" t="n"/>
      <c r="DJ239" s="129" t="n"/>
      <c r="DK239" s="129" t="n"/>
      <c r="DL239" s="129" t="n"/>
      <c r="DM239" s="129" t="n"/>
      <c r="DN239" s="129" t="n"/>
      <c r="DO239" s="129" t="n"/>
      <c r="DP239" s="129" t="n"/>
      <c r="DQ239" s="129" t="n"/>
      <c r="DR239" s="129" t="n"/>
      <c r="DS239" s="129" t="n"/>
      <c r="DT239" s="129" t="n"/>
      <c r="DU239" s="129" t="n"/>
      <c r="DV239" s="129" t="n"/>
      <c r="DW239" s="129" t="n"/>
      <c r="DX239" s="129" t="n"/>
      <c r="DY239" s="129" t="n"/>
      <c r="DZ239" s="129" t="n"/>
      <c r="EA239" s="129" t="n"/>
      <c r="EB239" s="129" t="n"/>
      <c r="EC239" s="129" t="n"/>
      <c r="ED239" s="129" t="n"/>
      <c r="EE239" s="129" t="n"/>
      <c r="EF239" s="129" t="n"/>
      <c r="EG239" s="129" t="n"/>
      <c r="EH239" s="129" t="n"/>
      <c r="EI239" s="129" t="n"/>
      <c r="EJ239" s="129" t="n"/>
      <c r="EK239" s="129" t="n"/>
      <c r="EL239" s="129" t="n"/>
      <c r="EM239" s="129" t="n"/>
      <c r="EN239" s="129" t="n"/>
      <c r="EO239" s="129" t="n"/>
      <c r="EP239" s="129" t="n"/>
      <c r="EQ239" s="129" t="n"/>
      <c r="ER239" s="129" t="n"/>
      <c r="ES239" s="129" t="n"/>
      <c r="ET239" s="129" t="n"/>
      <c r="EU239" s="129" t="n"/>
      <c r="EV239" s="129" t="n"/>
      <c r="EW239" s="129" t="n"/>
      <c r="EX239" s="129" t="n"/>
      <c r="EY239" s="129" t="n"/>
      <c r="EZ239" s="129" t="n"/>
      <c r="FA239" s="129" t="n"/>
      <c r="FB239" s="129" t="n"/>
      <c r="FC239" s="129" t="n"/>
      <c r="FD239" s="129" t="n"/>
      <c r="FE239" s="129" t="n"/>
      <c r="FF239" s="129" t="n"/>
      <c r="FG239" s="129" t="n"/>
      <c r="FH239" s="129" t="n"/>
      <c r="FI239" s="129" t="n"/>
      <c r="FJ239" s="129" t="n"/>
      <c r="FK239" s="129" t="n"/>
      <c r="FL239" s="129" t="n"/>
      <c r="FM239" s="129" t="n"/>
    </row>
    <row r="240" s="135">
      <c r="A240" s="53" t="n">
        <v>40117</v>
      </c>
      <c r="B240" s="54" t="n">
        <v>0.161</v>
      </c>
      <c r="C240" s="29" t="n">
        <v>55.4</v>
      </c>
      <c r="D240" s="129" t="n"/>
      <c r="E240" s="129" t="n"/>
      <c r="F240" s="129" t="n"/>
      <c r="G240" s="129" t="n"/>
      <c r="H240" s="129" t="n"/>
      <c r="I240" s="129" t="n"/>
      <c r="J240" s="129" t="n"/>
      <c r="K240" s="129" t="n"/>
      <c r="L240" s="129" t="n"/>
      <c r="M240" s="129" t="n"/>
      <c r="N240" s="129" t="n"/>
      <c r="O240" s="129" t="n"/>
      <c r="P240" s="129" t="n"/>
      <c r="Q240" s="129" t="n"/>
      <c r="R240" s="129" t="n"/>
      <c r="S240" s="129" t="n"/>
      <c r="T240" s="129" t="n"/>
      <c r="U240" s="129" t="n"/>
      <c r="V240" s="129" t="n"/>
      <c r="W240" s="129" t="n"/>
      <c r="X240" s="129" t="n"/>
      <c r="Y240" s="129" t="n"/>
      <c r="Z240" s="129" t="n"/>
      <c r="AA240" s="129" t="n"/>
      <c r="AB240" s="129" t="n"/>
      <c r="AC240" s="129" t="n"/>
      <c r="AD240" s="129" t="n"/>
      <c r="AE240" s="129" t="n"/>
      <c r="AF240" s="129" t="n"/>
      <c r="AG240" s="129" t="n"/>
      <c r="AH240" s="129" t="n"/>
      <c r="AI240" s="129" t="n"/>
      <c r="AJ240" s="129" t="n"/>
      <c r="AK240" s="129" t="n"/>
      <c r="AL240" s="129" t="n"/>
      <c r="AM240" s="129" t="n"/>
      <c r="AN240" s="129" t="n"/>
      <c r="AO240" s="129" t="n"/>
      <c r="AP240" s="129" t="n"/>
      <c r="AQ240" s="129" t="n"/>
      <c r="AR240" s="129" t="n"/>
      <c r="AS240" s="129" t="n"/>
      <c r="AT240" s="129" t="n"/>
      <c r="AU240" s="129" t="n"/>
      <c r="AV240" s="129" t="n"/>
      <c r="AW240" s="129" t="n"/>
      <c r="AX240" s="129" t="n"/>
      <c r="AY240" s="129" t="n"/>
      <c r="AZ240" s="129" t="n"/>
      <c r="BA240" s="129" t="n"/>
      <c r="BB240" s="129" t="n"/>
      <c r="BC240" s="129" t="n"/>
      <c r="BD240" s="129" t="n"/>
      <c r="BE240" s="129" t="n"/>
      <c r="BF240" s="129" t="n"/>
      <c r="BG240" s="129" t="n"/>
      <c r="BH240" s="129" t="n"/>
      <c r="BI240" s="129" t="n"/>
      <c r="BJ240" s="129" t="n"/>
      <c r="BK240" s="129" t="n"/>
      <c r="BL240" s="129" t="n"/>
      <c r="BM240" s="129" t="n"/>
      <c r="BN240" s="129" t="n"/>
      <c r="BO240" s="129" t="n"/>
      <c r="BP240" s="129" t="n"/>
      <c r="BQ240" s="129" t="n"/>
      <c r="BR240" s="129" t="n"/>
      <c r="BS240" s="129" t="n"/>
      <c r="BT240" s="129" t="n"/>
      <c r="BU240" s="129" t="n"/>
      <c r="BV240" s="129" t="n"/>
      <c r="BW240" s="129" t="n"/>
      <c r="BX240" s="129" t="n"/>
      <c r="BY240" s="129" t="n"/>
      <c r="BZ240" s="129" t="n"/>
      <c r="CA240" s="129" t="n"/>
      <c r="CB240" s="129" t="n"/>
      <c r="CC240" s="129" t="n"/>
      <c r="CD240" s="129" t="n"/>
      <c r="CE240" s="129" t="n"/>
      <c r="CF240" s="129" t="n"/>
      <c r="CG240" s="129" t="n"/>
      <c r="CH240" s="129" t="n"/>
      <c r="CI240" s="129" t="n"/>
      <c r="CJ240" s="129" t="n"/>
      <c r="CK240" s="129" t="n"/>
      <c r="CL240" s="129" t="n"/>
      <c r="CM240" s="129" t="n"/>
      <c r="CN240" s="129" t="n"/>
      <c r="CO240" s="129" t="n"/>
      <c r="CP240" s="129" t="n"/>
      <c r="CQ240" s="129" t="n"/>
      <c r="CR240" s="129" t="n"/>
      <c r="CS240" s="129" t="n"/>
      <c r="CT240" s="129" t="n"/>
      <c r="CU240" s="129" t="n"/>
      <c r="CV240" s="129" t="n"/>
      <c r="CW240" s="129" t="n"/>
      <c r="CX240" s="129" t="n"/>
      <c r="CY240" s="129" t="n"/>
      <c r="CZ240" s="129" t="n"/>
      <c r="DA240" s="129" t="n"/>
      <c r="DB240" s="129" t="n"/>
      <c r="DC240" s="129" t="n"/>
      <c r="DD240" s="129" t="n"/>
      <c r="DE240" s="129" t="n"/>
      <c r="DF240" s="129" t="n"/>
      <c r="DG240" s="129" t="n"/>
      <c r="DH240" s="129" t="n"/>
      <c r="DI240" s="129" t="n"/>
      <c r="DJ240" s="129" t="n"/>
      <c r="DK240" s="129" t="n"/>
      <c r="DL240" s="129" t="n"/>
      <c r="DM240" s="129" t="n"/>
      <c r="DN240" s="129" t="n"/>
      <c r="DO240" s="129" t="n"/>
      <c r="DP240" s="129" t="n"/>
      <c r="DQ240" s="129" t="n"/>
      <c r="DR240" s="129" t="n"/>
      <c r="DS240" s="129" t="n"/>
      <c r="DT240" s="129" t="n"/>
      <c r="DU240" s="129" t="n"/>
      <c r="DV240" s="129" t="n"/>
      <c r="DW240" s="129" t="n"/>
      <c r="DX240" s="129" t="n"/>
      <c r="DY240" s="129" t="n"/>
      <c r="DZ240" s="129" t="n"/>
      <c r="EA240" s="129" t="n"/>
      <c r="EB240" s="129" t="n"/>
      <c r="EC240" s="129" t="n"/>
      <c r="ED240" s="129" t="n"/>
      <c r="EE240" s="129" t="n"/>
      <c r="EF240" s="129" t="n"/>
      <c r="EG240" s="129" t="n"/>
      <c r="EH240" s="129" t="n"/>
      <c r="EI240" s="129" t="n"/>
      <c r="EJ240" s="129" t="n"/>
      <c r="EK240" s="129" t="n"/>
      <c r="EL240" s="129" t="n"/>
      <c r="EM240" s="129" t="n"/>
      <c r="EN240" s="129" t="n"/>
      <c r="EO240" s="129" t="n"/>
      <c r="EP240" s="129" t="n"/>
      <c r="EQ240" s="129" t="n"/>
      <c r="ER240" s="129" t="n"/>
      <c r="ES240" s="129" t="n"/>
      <c r="ET240" s="129" t="n"/>
      <c r="EU240" s="129" t="n"/>
      <c r="EV240" s="129" t="n"/>
      <c r="EW240" s="129" t="n"/>
      <c r="EX240" s="129" t="n"/>
      <c r="EY240" s="129" t="n"/>
      <c r="EZ240" s="129" t="n"/>
      <c r="FA240" s="129" t="n"/>
      <c r="FB240" s="129" t="n"/>
      <c r="FC240" s="129" t="n"/>
      <c r="FD240" s="129" t="n"/>
      <c r="FE240" s="129" t="n"/>
      <c r="FF240" s="129" t="n"/>
      <c r="FG240" s="129" t="n"/>
      <c r="FH240" s="129" t="n"/>
      <c r="FI240" s="129" t="n"/>
      <c r="FJ240" s="129" t="n"/>
      <c r="FK240" s="129" t="n"/>
      <c r="FL240" s="129" t="n"/>
      <c r="FM240" s="129" t="n"/>
    </row>
    <row r="241" s="135">
      <c r="A241" s="52" t="n">
        <v>40147</v>
      </c>
      <c r="B241" s="30" t="n">
        <v>0.192</v>
      </c>
      <c r="C241" s="29" t="n">
        <v>55.7</v>
      </c>
      <c r="D241" s="129" t="n"/>
      <c r="E241" s="129" t="n"/>
      <c r="F241" s="129" t="n"/>
      <c r="G241" s="129" t="n"/>
      <c r="H241" s="129" t="n"/>
      <c r="I241" s="129" t="n"/>
      <c r="J241" s="129" t="n"/>
      <c r="K241" s="129" t="n"/>
      <c r="L241" s="129" t="n"/>
      <c r="M241" s="129" t="n"/>
      <c r="N241" s="129" t="n"/>
      <c r="O241" s="129" t="n"/>
      <c r="P241" s="129" t="n"/>
      <c r="Q241" s="129" t="n"/>
      <c r="R241" s="129" t="n"/>
      <c r="S241" s="129" t="n"/>
      <c r="T241" s="129" t="n"/>
      <c r="U241" s="129" t="n"/>
      <c r="V241" s="129" t="n"/>
      <c r="W241" s="129" t="n"/>
      <c r="X241" s="129" t="n"/>
      <c r="Y241" s="129" t="n"/>
      <c r="Z241" s="129" t="n"/>
      <c r="AA241" s="129" t="n"/>
      <c r="AB241" s="129" t="n"/>
      <c r="AC241" s="129" t="n"/>
      <c r="AD241" s="129" t="n"/>
      <c r="AE241" s="129" t="n"/>
      <c r="AF241" s="129" t="n"/>
      <c r="AG241" s="129" t="n"/>
      <c r="AH241" s="129" t="n"/>
      <c r="AI241" s="129" t="n"/>
      <c r="AJ241" s="129" t="n"/>
      <c r="AK241" s="129" t="n"/>
      <c r="AL241" s="129" t="n"/>
      <c r="AM241" s="129" t="n"/>
      <c r="AN241" s="129" t="n"/>
      <c r="AO241" s="129" t="n"/>
      <c r="AP241" s="129" t="n"/>
      <c r="AQ241" s="129" t="n"/>
      <c r="AR241" s="129" t="n"/>
      <c r="AS241" s="129" t="n"/>
      <c r="AT241" s="129" t="n"/>
      <c r="AU241" s="129" t="n"/>
      <c r="AV241" s="129" t="n"/>
      <c r="AW241" s="129" t="n"/>
      <c r="AX241" s="129" t="n"/>
      <c r="AY241" s="129" t="n"/>
      <c r="AZ241" s="129" t="n"/>
      <c r="BA241" s="129" t="n"/>
      <c r="BB241" s="129" t="n"/>
      <c r="BC241" s="129" t="n"/>
      <c r="BD241" s="129" t="n"/>
      <c r="BE241" s="129" t="n"/>
      <c r="BF241" s="129" t="n"/>
      <c r="BG241" s="129" t="n"/>
      <c r="BH241" s="129" t="n"/>
      <c r="BI241" s="129" t="n"/>
      <c r="BJ241" s="129" t="n"/>
      <c r="BK241" s="129" t="n"/>
      <c r="BL241" s="129" t="n"/>
      <c r="BM241" s="129" t="n"/>
      <c r="BN241" s="129" t="n"/>
      <c r="BO241" s="129" t="n"/>
      <c r="BP241" s="129" t="n"/>
      <c r="BQ241" s="129" t="n"/>
      <c r="BR241" s="129" t="n"/>
      <c r="BS241" s="129" t="n"/>
      <c r="BT241" s="129" t="n"/>
      <c r="BU241" s="129" t="n"/>
      <c r="BV241" s="129" t="n"/>
      <c r="BW241" s="129" t="n"/>
      <c r="BX241" s="129" t="n"/>
      <c r="BY241" s="129" t="n"/>
      <c r="BZ241" s="129" t="n"/>
      <c r="CA241" s="129" t="n"/>
      <c r="CB241" s="129" t="n"/>
      <c r="CC241" s="129" t="n"/>
      <c r="CD241" s="129" t="n"/>
      <c r="CE241" s="129" t="n"/>
      <c r="CF241" s="129" t="n"/>
      <c r="CG241" s="129" t="n"/>
      <c r="CH241" s="129" t="n"/>
      <c r="CI241" s="129" t="n"/>
      <c r="CJ241" s="129" t="n"/>
      <c r="CK241" s="129" t="n"/>
      <c r="CL241" s="129" t="n"/>
      <c r="CM241" s="129" t="n"/>
      <c r="CN241" s="129" t="n"/>
      <c r="CO241" s="129" t="n"/>
      <c r="CP241" s="129" t="n"/>
      <c r="CQ241" s="129" t="n"/>
      <c r="CR241" s="129" t="n"/>
      <c r="CS241" s="129" t="n"/>
      <c r="CT241" s="129" t="n"/>
      <c r="CU241" s="129" t="n"/>
      <c r="CV241" s="129" t="n"/>
      <c r="CW241" s="129" t="n"/>
      <c r="CX241" s="129" t="n"/>
      <c r="CY241" s="129" t="n"/>
      <c r="CZ241" s="129" t="n"/>
      <c r="DA241" s="129" t="n"/>
      <c r="DB241" s="129" t="n"/>
      <c r="DC241" s="129" t="n"/>
      <c r="DD241" s="129" t="n"/>
      <c r="DE241" s="129" t="n"/>
      <c r="DF241" s="129" t="n"/>
      <c r="DG241" s="129" t="n"/>
      <c r="DH241" s="129" t="n"/>
      <c r="DI241" s="129" t="n"/>
      <c r="DJ241" s="129" t="n"/>
      <c r="DK241" s="129" t="n"/>
      <c r="DL241" s="129" t="n"/>
      <c r="DM241" s="129" t="n"/>
      <c r="DN241" s="129" t="n"/>
      <c r="DO241" s="129" t="n"/>
      <c r="DP241" s="129" t="n"/>
      <c r="DQ241" s="129" t="n"/>
      <c r="DR241" s="129" t="n"/>
      <c r="DS241" s="129" t="n"/>
      <c r="DT241" s="129" t="n"/>
      <c r="DU241" s="129" t="n"/>
      <c r="DV241" s="129" t="n"/>
      <c r="DW241" s="129" t="n"/>
      <c r="DX241" s="129" t="n"/>
      <c r="DY241" s="129" t="n"/>
      <c r="DZ241" s="129" t="n"/>
      <c r="EA241" s="129" t="n"/>
      <c r="EB241" s="129" t="n"/>
      <c r="EC241" s="129" t="n"/>
      <c r="ED241" s="129" t="n"/>
      <c r="EE241" s="129" t="n"/>
      <c r="EF241" s="129" t="n"/>
      <c r="EG241" s="129" t="n"/>
      <c r="EH241" s="129" t="n"/>
      <c r="EI241" s="129" t="n"/>
      <c r="EJ241" s="129" t="n"/>
      <c r="EK241" s="129" t="n"/>
      <c r="EL241" s="129" t="n"/>
      <c r="EM241" s="129" t="n"/>
      <c r="EN241" s="129" t="n"/>
      <c r="EO241" s="129" t="n"/>
      <c r="EP241" s="129" t="n"/>
      <c r="EQ241" s="129" t="n"/>
      <c r="ER241" s="129" t="n"/>
      <c r="ES241" s="129" t="n"/>
      <c r="ET241" s="129" t="n"/>
      <c r="EU241" s="129" t="n"/>
      <c r="EV241" s="129" t="n"/>
      <c r="EW241" s="129" t="n"/>
      <c r="EX241" s="129" t="n"/>
      <c r="EY241" s="129" t="n"/>
      <c r="EZ241" s="129" t="n"/>
      <c r="FA241" s="129" t="n"/>
      <c r="FB241" s="129" t="n"/>
      <c r="FC241" s="129" t="n"/>
      <c r="FD241" s="129" t="n"/>
      <c r="FE241" s="129" t="n"/>
      <c r="FF241" s="129" t="n"/>
      <c r="FG241" s="129" t="n"/>
      <c r="FH241" s="129" t="n"/>
      <c r="FI241" s="129" t="n"/>
      <c r="FJ241" s="129" t="n"/>
      <c r="FK241" s="129" t="n"/>
      <c r="FL241" s="129" t="n"/>
      <c r="FM241" s="129" t="n"/>
    </row>
    <row r="242" s="135">
      <c r="A242" s="53" t="n">
        <v>40178</v>
      </c>
      <c r="B242" s="54" t="n">
        <v>0.185</v>
      </c>
      <c r="C242" s="29" t="n">
        <v>56.1</v>
      </c>
      <c r="D242" s="129" t="n"/>
      <c r="E242" s="129" t="n"/>
      <c r="F242" s="129" t="n"/>
      <c r="G242" s="129" t="n"/>
      <c r="H242" s="129" t="n"/>
      <c r="I242" s="129" t="n"/>
      <c r="J242" s="129" t="n"/>
      <c r="K242" s="129" t="n"/>
      <c r="L242" s="129" t="n"/>
      <c r="M242" s="129" t="n"/>
      <c r="N242" s="129" t="n"/>
      <c r="O242" s="129" t="n"/>
      <c r="P242" s="129" t="n"/>
      <c r="Q242" s="129" t="n"/>
      <c r="R242" s="129" t="n"/>
      <c r="S242" s="129" t="n"/>
      <c r="T242" s="129" t="n"/>
      <c r="U242" s="129" t="n"/>
      <c r="V242" s="129" t="n"/>
      <c r="W242" s="129" t="n"/>
      <c r="X242" s="129" t="n"/>
      <c r="Y242" s="129" t="n"/>
      <c r="Z242" s="129" t="n"/>
      <c r="AA242" s="129" t="n"/>
      <c r="AB242" s="129" t="n"/>
      <c r="AC242" s="129" t="n"/>
      <c r="AD242" s="129" t="n"/>
      <c r="AE242" s="129" t="n"/>
      <c r="AF242" s="129" t="n"/>
      <c r="AG242" s="129" t="n"/>
      <c r="AH242" s="129" t="n"/>
      <c r="AI242" s="129" t="n"/>
      <c r="AJ242" s="129" t="n"/>
      <c r="AK242" s="129" t="n"/>
      <c r="AL242" s="129" t="n"/>
      <c r="AM242" s="129" t="n"/>
      <c r="AN242" s="129" t="n"/>
      <c r="AO242" s="129" t="n"/>
      <c r="AP242" s="129" t="n"/>
      <c r="AQ242" s="129" t="n"/>
      <c r="AR242" s="129" t="n"/>
      <c r="AS242" s="129" t="n"/>
      <c r="AT242" s="129" t="n"/>
      <c r="AU242" s="129" t="n"/>
      <c r="AV242" s="129" t="n"/>
      <c r="AW242" s="129" t="n"/>
      <c r="AX242" s="129" t="n"/>
      <c r="AY242" s="129" t="n"/>
      <c r="AZ242" s="129" t="n"/>
      <c r="BA242" s="129" t="n"/>
      <c r="BB242" s="129" t="n"/>
      <c r="BC242" s="129" t="n"/>
      <c r="BD242" s="129" t="n"/>
      <c r="BE242" s="129" t="n"/>
      <c r="BF242" s="129" t="n"/>
      <c r="BG242" s="129" t="n"/>
      <c r="BH242" s="129" t="n"/>
      <c r="BI242" s="129" t="n"/>
      <c r="BJ242" s="129" t="n"/>
      <c r="BK242" s="129" t="n"/>
      <c r="BL242" s="129" t="n"/>
      <c r="BM242" s="129" t="n"/>
      <c r="BN242" s="129" t="n"/>
      <c r="BO242" s="129" t="n"/>
      <c r="BP242" s="129" t="n"/>
      <c r="BQ242" s="129" t="n"/>
      <c r="BR242" s="129" t="n"/>
      <c r="BS242" s="129" t="n"/>
      <c r="BT242" s="129" t="n"/>
      <c r="BU242" s="129" t="n"/>
      <c r="BV242" s="129" t="n"/>
      <c r="BW242" s="129" t="n"/>
      <c r="BX242" s="129" t="n"/>
      <c r="BY242" s="129" t="n"/>
      <c r="BZ242" s="129" t="n"/>
      <c r="CA242" s="129" t="n"/>
      <c r="CB242" s="129" t="n"/>
      <c r="CC242" s="129" t="n"/>
      <c r="CD242" s="129" t="n"/>
      <c r="CE242" s="129" t="n"/>
      <c r="CF242" s="129" t="n"/>
      <c r="CG242" s="129" t="n"/>
      <c r="CH242" s="129" t="n"/>
      <c r="CI242" s="129" t="n"/>
      <c r="CJ242" s="129" t="n"/>
      <c r="CK242" s="129" t="n"/>
      <c r="CL242" s="129" t="n"/>
      <c r="CM242" s="129" t="n"/>
      <c r="CN242" s="129" t="n"/>
      <c r="CO242" s="129" t="n"/>
      <c r="CP242" s="129" t="n"/>
      <c r="CQ242" s="129" t="n"/>
      <c r="CR242" s="129" t="n"/>
      <c r="CS242" s="129" t="n"/>
      <c r="CT242" s="129" t="n"/>
      <c r="CU242" s="129" t="n"/>
      <c r="CV242" s="129" t="n"/>
      <c r="CW242" s="129" t="n"/>
      <c r="CX242" s="129" t="n"/>
      <c r="CY242" s="129" t="n"/>
      <c r="CZ242" s="129" t="n"/>
      <c r="DA242" s="129" t="n"/>
      <c r="DB242" s="129" t="n"/>
      <c r="DC242" s="129" t="n"/>
      <c r="DD242" s="129" t="n"/>
      <c r="DE242" s="129" t="n"/>
      <c r="DF242" s="129" t="n"/>
      <c r="DG242" s="129" t="n"/>
      <c r="DH242" s="129" t="n"/>
      <c r="DI242" s="129" t="n"/>
      <c r="DJ242" s="129" t="n"/>
      <c r="DK242" s="129" t="n"/>
      <c r="DL242" s="129" t="n"/>
      <c r="DM242" s="129" t="n"/>
      <c r="DN242" s="129" t="n"/>
      <c r="DO242" s="129" t="n"/>
      <c r="DP242" s="129" t="n"/>
      <c r="DQ242" s="129" t="n"/>
      <c r="DR242" s="129" t="n"/>
      <c r="DS242" s="129" t="n"/>
      <c r="DT242" s="129" t="n"/>
      <c r="DU242" s="129" t="n"/>
      <c r="DV242" s="129" t="n"/>
      <c r="DW242" s="129" t="n"/>
      <c r="DX242" s="129" t="n"/>
      <c r="DY242" s="129" t="n"/>
      <c r="DZ242" s="129" t="n"/>
      <c r="EA242" s="129" t="n"/>
      <c r="EB242" s="129" t="n"/>
      <c r="EC242" s="129" t="n"/>
      <c r="ED242" s="129" t="n"/>
      <c r="EE242" s="129" t="n"/>
      <c r="EF242" s="129" t="n"/>
      <c r="EG242" s="129" t="n"/>
      <c r="EH242" s="129" t="n"/>
      <c r="EI242" s="129" t="n"/>
      <c r="EJ242" s="129" t="n"/>
      <c r="EK242" s="129" t="n"/>
      <c r="EL242" s="129" t="n"/>
      <c r="EM242" s="129" t="n"/>
      <c r="EN242" s="129" t="n"/>
      <c r="EO242" s="129" t="n"/>
      <c r="EP242" s="129" t="n"/>
      <c r="EQ242" s="129" t="n"/>
      <c r="ER242" s="129" t="n"/>
      <c r="ES242" s="129" t="n"/>
      <c r="ET242" s="129" t="n"/>
      <c r="EU242" s="129" t="n"/>
      <c r="EV242" s="129" t="n"/>
      <c r="EW242" s="129" t="n"/>
      <c r="EX242" s="129" t="n"/>
      <c r="EY242" s="129" t="n"/>
      <c r="EZ242" s="129" t="n"/>
      <c r="FA242" s="129" t="n"/>
      <c r="FB242" s="129" t="n"/>
      <c r="FC242" s="129" t="n"/>
      <c r="FD242" s="129" t="n"/>
      <c r="FE242" s="129" t="n"/>
      <c r="FF242" s="129" t="n"/>
      <c r="FG242" s="129" t="n"/>
      <c r="FH242" s="129" t="n"/>
      <c r="FI242" s="129" t="n"/>
      <c r="FJ242" s="129" t="n"/>
      <c r="FK242" s="129" t="n"/>
      <c r="FL242" s="129" t="n"/>
      <c r="FM242" s="129" t="n"/>
    </row>
    <row r="243" s="135">
      <c r="A243" s="53" t="n">
        <v>40237</v>
      </c>
      <c r="B243" s="54" t="n">
        <v>0.128</v>
      </c>
      <c r="C243" s="29" t="n">
        <v>55.8</v>
      </c>
      <c r="D243" s="129" t="n"/>
      <c r="E243" s="129" t="n"/>
      <c r="F243" s="129" t="n"/>
      <c r="G243" s="129" t="n"/>
      <c r="H243" s="129" t="n"/>
      <c r="I243" s="129" t="n"/>
      <c r="J243" s="129" t="n"/>
      <c r="K243" s="129" t="n"/>
      <c r="L243" s="129" t="n"/>
      <c r="M243" s="129" t="n"/>
      <c r="N243" s="129" t="n"/>
      <c r="O243" s="129" t="n"/>
      <c r="P243" s="129" t="n"/>
      <c r="Q243" s="129" t="n"/>
      <c r="R243" s="129" t="n"/>
      <c r="S243" s="129" t="n"/>
      <c r="T243" s="129" t="n"/>
      <c r="U243" s="129" t="n"/>
      <c r="V243" s="129" t="n"/>
      <c r="W243" s="129" t="n"/>
      <c r="X243" s="129" t="n"/>
      <c r="Y243" s="129" t="n"/>
      <c r="Z243" s="129" t="n"/>
      <c r="AA243" s="129" t="n"/>
      <c r="AB243" s="129" t="n"/>
      <c r="AC243" s="129" t="n"/>
      <c r="AD243" s="129" t="n"/>
      <c r="AE243" s="129" t="n"/>
      <c r="AF243" s="129" t="n"/>
      <c r="AG243" s="129" t="n"/>
      <c r="AH243" s="129" t="n"/>
      <c r="AI243" s="129" t="n"/>
      <c r="AJ243" s="129" t="n"/>
      <c r="AK243" s="129" t="n"/>
      <c r="AL243" s="129" t="n"/>
      <c r="AM243" s="129" t="n"/>
      <c r="AN243" s="129" t="n"/>
      <c r="AO243" s="129" t="n"/>
      <c r="AP243" s="129" t="n"/>
      <c r="AQ243" s="129" t="n"/>
      <c r="AR243" s="129" t="n"/>
      <c r="AS243" s="129" t="n"/>
      <c r="AT243" s="129" t="n"/>
      <c r="AU243" s="129" t="n"/>
      <c r="AV243" s="129" t="n"/>
      <c r="AW243" s="129" t="n"/>
      <c r="AX243" s="129" t="n"/>
      <c r="AY243" s="129" t="n"/>
      <c r="AZ243" s="129" t="n"/>
      <c r="BA243" s="129" t="n"/>
      <c r="BB243" s="129" t="n"/>
      <c r="BC243" s="129" t="n"/>
      <c r="BD243" s="129" t="n"/>
      <c r="BE243" s="129" t="n"/>
      <c r="BF243" s="129" t="n"/>
      <c r="BG243" s="129" t="n"/>
      <c r="BH243" s="129" t="n"/>
      <c r="BI243" s="129" t="n"/>
      <c r="BJ243" s="129" t="n"/>
      <c r="BK243" s="129" t="n"/>
      <c r="BL243" s="129" t="n"/>
      <c r="BM243" s="129" t="n"/>
      <c r="BN243" s="129" t="n"/>
      <c r="BO243" s="129" t="n"/>
      <c r="BP243" s="129" t="n"/>
      <c r="BQ243" s="129" t="n"/>
      <c r="BR243" s="129" t="n"/>
      <c r="BS243" s="129" t="n"/>
      <c r="BT243" s="129" t="n"/>
      <c r="BU243" s="129" t="n"/>
      <c r="BV243" s="129" t="n"/>
      <c r="BW243" s="129" t="n"/>
      <c r="BX243" s="129" t="n"/>
      <c r="BY243" s="129" t="n"/>
      <c r="BZ243" s="129" t="n"/>
      <c r="CA243" s="129" t="n"/>
      <c r="CB243" s="129" t="n"/>
      <c r="CC243" s="129" t="n"/>
      <c r="CD243" s="129" t="n"/>
      <c r="CE243" s="129" t="n"/>
      <c r="CF243" s="129" t="n"/>
      <c r="CG243" s="129" t="n"/>
      <c r="CH243" s="129" t="n"/>
      <c r="CI243" s="129" t="n"/>
      <c r="CJ243" s="129" t="n"/>
      <c r="CK243" s="129" t="n"/>
      <c r="CL243" s="129" t="n"/>
      <c r="CM243" s="129" t="n"/>
      <c r="CN243" s="129" t="n"/>
      <c r="CO243" s="129" t="n"/>
      <c r="CP243" s="129" t="n"/>
      <c r="CQ243" s="129" t="n"/>
      <c r="CR243" s="129" t="n"/>
      <c r="CS243" s="129" t="n"/>
      <c r="CT243" s="129" t="n"/>
      <c r="CU243" s="129" t="n"/>
      <c r="CV243" s="129" t="n"/>
      <c r="CW243" s="129" t="n"/>
      <c r="CX243" s="129" t="n"/>
      <c r="CY243" s="129" t="n"/>
      <c r="CZ243" s="129" t="n"/>
      <c r="DA243" s="129" t="n"/>
      <c r="DB243" s="129" t="n"/>
      <c r="DC243" s="129" t="n"/>
      <c r="DD243" s="129" t="n"/>
      <c r="DE243" s="129" t="n"/>
      <c r="DF243" s="129" t="n"/>
      <c r="DG243" s="129" t="n"/>
      <c r="DH243" s="129" t="n"/>
      <c r="DI243" s="129" t="n"/>
      <c r="DJ243" s="129" t="n"/>
      <c r="DK243" s="129" t="n"/>
      <c r="DL243" s="129" t="n"/>
      <c r="DM243" s="129" t="n"/>
      <c r="DN243" s="129" t="n"/>
      <c r="DO243" s="129" t="n"/>
      <c r="DP243" s="129" t="n"/>
      <c r="DQ243" s="129" t="n"/>
      <c r="DR243" s="129" t="n"/>
      <c r="DS243" s="129" t="n"/>
      <c r="DT243" s="129" t="n"/>
      <c r="DU243" s="129" t="n"/>
      <c r="DV243" s="129" t="n"/>
      <c r="DW243" s="129" t="n"/>
      <c r="DX243" s="129" t="n"/>
      <c r="DY243" s="129" t="n"/>
      <c r="DZ243" s="129" t="n"/>
      <c r="EA243" s="129" t="n"/>
      <c r="EB243" s="129" t="n"/>
      <c r="EC243" s="129" t="n"/>
      <c r="ED243" s="129" t="n"/>
      <c r="EE243" s="129" t="n"/>
      <c r="EF243" s="129" t="n"/>
      <c r="EG243" s="129" t="n"/>
      <c r="EH243" s="129" t="n"/>
      <c r="EI243" s="129" t="n"/>
      <c r="EJ243" s="129" t="n"/>
      <c r="EK243" s="129" t="n"/>
      <c r="EL243" s="129" t="n"/>
      <c r="EM243" s="129" t="n"/>
      <c r="EN243" s="129" t="n"/>
      <c r="EO243" s="129" t="n"/>
      <c r="EP243" s="129" t="n"/>
      <c r="EQ243" s="129" t="n"/>
      <c r="ER243" s="129" t="n"/>
      <c r="ES243" s="129" t="n"/>
      <c r="ET243" s="129" t="n"/>
      <c r="EU243" s="129" t="n"/>
      <c r="EV243" s="129" t="n"/>
      <c r="EW243" s="129" t="n"/>
      <c r="EX243" s="129" t="n"/>
      <c r="EY243" s="129" t="n"/>
      <c r="EZ243" s="129" t="n"/>
      <c r="FA243" s="129" t="n"/>
      <c r="FB243" s="129" t="n"/>
      <c r="FC243" s="129" t="n"/>
      <c r="FD243" s="129" t="n"/>
      <c r="FE243" s="129" t="n"/>
      <c r="FF243" s="129" t="n"/>
      <c r="FG243" s="129" t="n"/>
      <c r="FH243" s="129" t="n"/>
      <c r="FI243" s="129" t="n"/>
      <c r="FJ243" s="129" t="n"/>
      <c r="FK243" s="129" t="n"/>
      <c r="FL243" s="129" t="n"/>
      <c r="FM243" s="129" t="n"/>
    </row>
    <row r="244" s="135">
      <c r="A244" s="52" t="n">
        <v>40268</v>
      </c>
      <c r="B244" s="30" t="n">
        <v>0.181</v>
      </c>
      <c r="C244" s="29" t="n">
        <v>57</v>
      </c>
      <c r="D244" s="129" t="n"/>
      <c r="E244" s="129" t="n"/>
      <c r="F244" s="129" t="n"/>
      <c r="G244" s="129" t="n"/>
      <c r="H244" s="129" t="n"/>
      <c r="I244" s="129" t="n"/>
      <c r="J244" s="129" t="n"/>
      <c r="K244" s="129" t="n"/>
      <c r="L244" s="129" t="n"/>
      <c r="M244" s="129" t="n"/>
      <c r="N244" s="129" t="n"/>
      <c r="O244" s="129" t="n"/>
      <c r="P244" s="129" t="n"/>
      <c r="Q244" s="129" t="n"/>
      <c r="R244" s="129" t="n"/>
      <c r="S244" s="129" t="n"/>
      <c r="T244" s="129" t="n"/>
      <c r="U244" s="129" t="n"/>
      <c r="V244" s="129" t="n"/>
      <c r="W244" s="129" t="n"/>
      <c r="X244" s="129" t="n"/>
      <c r="Y244" s="129" t="n"/>
      <c r="Z244" s="129" t="n"/>
      <c r="AA244" s="129" t="n"/>
      <c r="AB244" s="129" t="n"/>
      <c r="AC244" s="129" t="n"/>
      <c r="AD244" s="129" t="n"/>
      <c r="AE244" s="129" t="n"/>
      <c r="AF244" s="129" t="n"/>
      <c r="AG244" s="129" t="n"/>
      <c r="AH244" s="129" t="n"/>
      <c r="AI244" s="129" t="n"/>
      <c r="AJ244" s="129" t="n"/>
      <c r="AK244" s="129" t="n"/>
      <c r="AL244" s="129" t="n"/>
      <c r="AM244" s="129" t="n"/>
      <c r="AN244" s="129" t="n"/>
      <c r="AO244" s="129" t="n"/>
      <c r="AP244" s="129" t="n"/>
      <c r="AQ244" s="129" t="n"/>
      <c r="AR244" s="129" t="n"/>
      <c r="AS244" s="129" t="n"/>
      <c r="AT244" s="129" t="n"/>
      <c r="AU244" s="129" t="n"/>
      <c r="AV244" s="129" t="n"/>
      <c r="AW244" s="129" t="n"/>
      <c r="AX244" s="129" t="n"/>
      <c r="AY244" s="129" t="n"/>
      <c r="AZ244" s="129" t="n"/>
      <c r="BA244" s="129" t="n"/>
      <c r="BB244" s="129" t="n"/>
      <c r="BC244" s="129" t="n"/>
      <c r="BD244" s="129" t="n"/>
      <c r="BE244" s="129" t="n"/>
      <c r="BF244" s="129" t="n"/>
      <c r="BG244" s="129" t="n"/>
      <c r="BH244" s="129" t="n"/>
      <c r="BI244" s="129" t="n"/>
      <c r="BJ244" s="129" t="n"/>
      <c r="BK244" s="129" t="n"/>
      <c r="BL244" s="129" t="n"/>
      <c r="BM244" s="129" t="n"/>
      <c r="BN244" s="129" t="n"/>
      <c r="BO244" s="129" t="n"/>
      <c r="BP244" s="129" t="n"/>
      <c r="BQ244" s="129" t="n"/>
      <c r="BR244" s="129" t="n"/>
      <c r="BS244" s="129" t="n"/>
      <c r="BT244" s="129" t="n"/>
      <c r="BU244" s="129" t="n"/>
      <c r="BV244" s="129" t="n"/>
      <c r="BW244" s="129" t="n"/>
      <c r="BX244" s="129" t="n"/>
      <c r="BY244" s="129" t="n"/>
      <c r="BZ244" s="129" t="n"/>
      <c r="CA244" s="129" t="n"/>
      <c r="CB244" s="129" t="n"/>
      <c r="CC244" s="129" t="n"/>
      <c r="CD244" s="129" t="n"/>
      <c r="CE244" s="129" t="n"/>
      <c r="CF244" s="129" t="n"/>
      <c r="CG244" s="129" t="n"/>
      <c r="CH244" s="129" t="n"/>
      <c r="CI244" s="129" t="n"/>
      <c r="CJ244" s="129" t="n"/>
      <c r="CK244" s="129" t="n"/>
      <c r="CL244" s="129" t="n"/>
      <c r="CM244" s="129" t="n"/>
      <c r="CN244" s="129" t="n"/>
      <c r="CO244" s="129" t="n"/>
      <c r="CP244" s="129" t="n"/>
      <c r="CQ244" s="129" t="n"/>
      <c r="CR244" s="129" t="n"/>
      <c r="CS244" s="129" t="n"/>
      <c r="CT244" s="129" t="n"/>
      <c r="CU244" s="129" t="n"/>
      <c r="CV244" s="129" t="n"/>
      <c r="CW244" s="129" t="n"/>
      <c r="CX244" s="129" t="n"/>
      <c r="CY244" s="129" t="n"/>
      <c r="CZ244" s="129" t="n"/>
      <c r="DA244" s="129" t="n"/>
      <c r="DB244" s="129" t="n"/>
      <c r="DC244" s="129" t="n"/>
      <c r="DD244" s="129" t="n"/>
      <c r="DE244" s="129" t="n"/>
      <c r="DF244" s="129" t="n"/>
      <c r="DG244" s="129" t="n"/>
      <c r="DH244" s="129" t="n"/>
      <c r="DI244" s="129" t="n"/>
      <c r="DJ244" s="129" t="n"/>
      <c r="DK244" s="129" t="n"/>
      <c r="DL244" s="129" t="n"/>
      <c r="DM244" s="129" t="n"/>
      <c r="DN244" s="129" t="n"/>
      <c r="DO244" s="129" t="n"/>
      <c r="DP244" s="129" t="n"/>
      <c r="DQ244" s="129" t="n"/>
      <c r="DR244" s="129" t="n"/>
      <c r="DS244" s="129" t="n"/>
      <c r="DT244" s="129" t="n"/>
      <c r="DU244" s="129" t="n"/>
      <c r="DV244" s="129" t="n"/>
      <c r="DW244" s="129" t="n"/>
      <c r="DX244" s="129" t="n"/>
      <c r="DY244" s="129" t="n"/>
      <c r="DZ244" s="129" t="n"/>
      <c r="EA244" s="129" t="n"/>
      <c r="EB244" s="129" t="n"/>
      <c r="EC244" s="129" t="n"/>
      <c r="ED244" s="129" t="n"/>
      <c r="EE244" s="129" t="n"/>
      <c r="EF244" s="129" t="n"/>
      <c r="EG244" s="129" t="n"/>
      <c r="EH244" s="129" t="n"/>
      <c r="EI244" s="129" t="n"/>
      <c r="EJ244" s="129" t="n"/>
      <c r="EK244" s="129" t="n"/>
      <c r="EL244" s="129" t="n"/>
      <c r="EM244" s="129" t="n"/>
      <c r="EN244" s="129" t="n"/>
      <c r="EO244" s="129" t="n"/>
      <c r="EP244" s="129" t="n"/>
      <c r="EQ244" s="129" t="n"/>
      <c r="ER244" s="129" t="n"/>
      <c r="ES244" s="129" t="n"/>
      <c r="ET244" s="129" t="n"/>
      <c r="EU244" s="129" t="n"/>
      <c r="EV244" s="129" t="n"/>
      <c r="EW244" s="129" t="n"/>
      <c r="EX244" s="129" t="n"/>
      <c r="EY244" s="129" t="n"/>
      <c r="EZ244" s="129" t="n"/>
      <c r="FA244" s="129" t="n"/>
      <c r="FB244" s="129" t="n"/>
      <c r="FC244" s="129" t="n"/>
      <c r="FD244" s="129" t="n"/>
      <c r="FE244" s="129" t="n"/>
      <c r="FF244" s="129" t="n"/>
      <c r="FG244" s="129" t="n"/>
      <c r="FH244" s="129" t="n"/>
      <c r="FI244" s="129" t="n"/>
      <c r="FJ244" s="129" t="n"/>
      <c r="FK244" s="129" t="n"/>
      <c r="FL244" s="129" t="n"/>
      <c r="FM244" s="129" t="n"/>
    </row>
    <row r="245" s="135">
      <c r="A245" s="53" t="n">
        <v>40298</v>
      </c>
      <c r="B245" s="54" t="n">
        <v>0.178</v>
      </c>
      <c r="C245" s="29" t="n">
        <v>55.4</v>
      </c>
      <c r="D245" s="129" t="n"/>
      <c r="E245" s="129" t="n"/>
      <c r="F245" s="129" t="n"/>
      <c r="G245" s="129" t="n"/>
      <c r="H245" s="129" t="n"/>
      <c r="I245" s="129" t="n"/>
      <c r="J245" s="129" t="n"/>
      <c r="K245" s="129" t="n"/>
      <c r="L245" s="129" t="n"/>
      <c r="M245" s="129" t="n"/>
      <c r="N245" s="129" t="n"/>
      <c r="O245" s="129" t="n"/>
      <c r="P245" s="129" t="n"/>
      <c r="Q245" s="129" t="n"/>
      <c r="R245" s="129" t="n"/>
      <c r="S245" s="129" t="n"/>
      <c r="T245" s="129" t="n"/>
      <c r="U245" s="129" t="n"/>
      <c r="V245" s="129" t="n"/>
      <c r="W245" s="129" t="n"/>
      <c r="X245" s="129" t="n"/>
      <c r="Y245" s="129" t="n"/>
      <c r="Z245" s="129" t="n"/>
      <c r="AA245" s="129" t="n"/>
      <c r="AB245" s="129" t="n"/>
      <c r="AC245" s="129" t="n"/>
      <c r="AD245" s="129" t="n"/>
      <c r="AE245" s="129" t="n"/>
      <c r="AF245" s="129" t="n"/>
      <c r="AG245" s="129" t="n"/>
      <c r="AH245" s="129" t="n"/>
      <c r="AI245" s="129" t="n"/>
      <c r="AJ245" s="129" t="n"/>
      <c r="AK245" s="129" t="n"/>
      <c r="AL245" s="129" t="n"/>
      <c r="AM245" s="129" t="n"/>
      <c r="AN245" s="129" t="n"/>
      <c r="AO245" s="129" t="n"/>
      <c r="AP245" s="129" t="n"/>
      <c r="AQ245" s="129" t="n"/>
      <c r="AR245" s="129" t="n"/>
      <c r="AS245" s="129" t="n"/>
      <c r="AT245" s="129" t="n"/>
      <c r="AU245" s="129" t="n"/>
      <c r="AV245" s="129" t="n"/>
      <c r="AW245" s="129" t="n"/>
      <c r="AX245" s="129" t="n"/>
      <c r="AY245" s="129" t="n"/>
      <c r="AZ245" s="129" t="n"/>
      <c r="BA245" s="129" t="n"/>
      <c r="BB245" s="129" t="n"/>
      <c r="BC245" s="129" t="n"/>
      <c r="BD245" s="129" t="n"/>
      <c r="BE245" s="129" t="n"/>
      <c r="BF245" s="129" t="n"/>
      <c r="BG245" s="129" t="n"/>
      <c r="BH245" s="129" t="n"/>
      <c r="BI245" s="129" t="n"/>
      <c r="BJ245" s="129" t="n"/>
      <c r="BK245" s="129" t="n"/>
      <c r="BL245" s="129" t="n"/>
      <c r="BM245" s="129" t="n"/>
      <c r="BN245" s="129" t="n"/>
      <c r="BO245" s="129" t="n"/>
      <c r="BP245" s="129" t="n"/>
      <c r="BQ245" s="129" t="n"/>
      <c r="BR245" s="129" t="n"/>
      <c r="BS245" s="129" t="n"/>
      <c r="BT245" s="129" t="n"/>
      <c r="BU245" s="129" t="n"/>
      <c r="BV245" s="129" t="n"/>
      <c r="BW245" s="129" t="n"/>
      <c r="BX245" s="129" t="n"/>
      <c r="BY245" s="129" t="n"/>
      <c r="BZ245" s="129" t="n"/>
      <c r="CA245" s="129" t="n"/>
      <c r="CB245" s="129" t="n"/>
      <c r="CC245" s="129" t="n"/>
      <c r="CD245" s="129" t="n"/>
      <c r="CE245" s="129" t="n"/>
      <c r="CF245" s="129" t="n"/>
      <c r="CG245" s="129" t="n"/>
      <c r="CH245" s="129" t="n"/>
      <c r="CI245" s="129" t="n"/>
      <c r="CJ245" s="129" t="n"/>
      <c r="CK245" s="129" t="n"/>
      <c r="CL245" s="129" t="n"/>
      <c r="CM245" s="129" t="n"/>
      <c r="CN245" s="129" t="n"/>
      <c r="CO245" s="129" t="n"/>
      <c r="CP245" s="129" t="n"/>
      <c r="CQ245" s="129" t="n"/>
      <c r="CR245" s="129" t="n"/>
      <c r="CS245" s="129" t="n"/>
      <c r="CT245" s="129" t="n"/>
      <c r="CU245" s="129" t="n"/>
      <c r="CV245" s="129" t="n"/>
      <c r="CW245" s="129" t="n"/>
      <c r="CX245" s="129" t="n"/>
      <c r="CY245" s="129" t="n"/>
      <c r="CZ245" s="129" t="n"/>
      <c r="DA245" s="129" t="n"/>
      <c r="DB245" s="129" t="n"/>
      <c r="DC245" s="129" t="n"/>
      <c r="DD245" s="129" t="n"/>
      <c r="DE245" s="129" t="n"/>
      <c r="DF245" s="129" t="n"/>
      <c r="DG245" s="129" t="n"/>
      <c r="DH245" s="129" t="n"/>
      <c r="DI245" s="129" t="n"/>
      <c r="DJ245" s="129" t="n"/>
      <c r="DK245" s="129" t="n"/>
      <c r="DL245" s="129" t="n"/>
      <c r="DM245" s="129" t="n"/>
      <c r="DN245" s="129" t="n"/>
      <c r="DO245" s="129" t="n"/>
      <c r="DP245" s="129" t="n"/>
      <c r="DQ245" s="129" t="n"/>
      <c r="DR245" s="129" t="n"/>
      <c r="DS245" s="129" t="n"/>
      <c r="DT245" s="129" t="n"/>
      <c r="DU245" s="129" t="n"/>
      <c r="DV245" s="129" t="n"/>
      <c r="DW245" s="129" t="n"/>
      <c r="DX245" s="129" t="n"/>
      <c r="DY245" s="129" t="n"/>
      <c r="DZ245" s="129" t="n"/>
      <c r="EA245" s="129" t="n"/>
      <c r="EB245" s="129" t="n"/>
      <c r="EC245" s="129" t="n"/>
      <c r="ED245" s="129" t="n"/>
      <c r="EE245" s="129" t="n"/>
      <c r="EF245" s="129" t="n"/>
      <c r="EG245" s="129" t="n"/>
      <c r="EH245" s="129" t="n"/>
      <c r="EI245" s="129" t="n"/>
      <c r="EJ245" s="129" t="n"/>
      <c r="EK245" s="129" t="n"/>
      <c r="EL245" s="129" t="n"/>
      <c r="EM245" s="129" t="n"/>
      <c r="EN245" s="129" t="n"/>
      <c r="EO245" s="129" t="n"/>
      <c r="EP245" s="129" t="n"/>
      <c r="EQ245" s="129" t="n"/>
      <c r="ER245" s="129" t="n"/>
      <c r="ES245" s="129" t="n"/>
      <c r="ET245" s="129" t="n"/>
      <c r="EU245" s="129" t="n"/>
      <c r="EV245" s="129" t="n"/>
      <c r="EW245" s="129" t="n"/>
      <c r="EX245" s="129" t="n"/>
      <c r="EY245" s="129" t="n"/>
      <c r="EZ245" s="129" t="n"/>
      <c r="FA245" s="129" t="n"/>
      <c r="FB245" s="129" t="n"/>
      <c r="FC245" s="129" t="n"/>
      <c r="FD245" s="129" t="n"/>
      <c r="FE245" s="129" t="n"/>
      <c r="FF245" s="129" t="n"/>
      <c r="FG245" s="129" t="n"/>
      <c r="FH245" s="129" t="n"/>
      <c r="FI245" s="129" t="n"/>
      <c r="FJ245" s="129" t="n"/>
      <c r="FK245" s="129" t="n"/>
      <c r="FL245" s="129" t="n"/>
      <c r="FM245" s="129" t="n"/>
    </row>
    <row r="246" s="135">
      <c r="A246" s="52" t="n">
        <v>40329</v>
      </c>
      <c r="B246" s="30" t="n">
        <v>0.165</v>
      </c>
      <c r="C246" s="29" t="n">
        <v>52.7</v>
      </c>
      <c r="D246" s="129" t="n"/>
      <c r="E246" s="129" t="n"/>
      <c r="F246" s="129" t="n"/>
      <c r="G246" s="129" t="n"/>
      <c r="H246" s="129" t="n"/>
      <c r="I246" s="129" t="n"/>
      <c r="J246" s="129" t="n"/>
      <c r="K246" s="129" t="n"/>
      <c r="L246" s="129" t="n"/>
      <c r="M246" s="129" t="n"/>
      <c r="N246" s="129" t="n"/>
      <c r="O246" s="129" t="n"/>
      <c r="P246" s="129" t="n"/>
      <c r="Q246" s="129" t="n"/>
      <c r="R246" s="129" t="n"/>
      <c r="S246" s="129" t="n"/>
      <c r="T246" s="129" t="n"/>
      <c r="U246" s="129" t="n"/>
      <c r="V246" s="129" t="n"/>
      <c r="W246" s="129" t="n"/>
      <c r="X246" s="129" t="n"/>
      <c r="Y246" s="129" t="n"/>
      <c r="Z246" s="129" t="n"/>
      <c r="AA246" s="129" t="n"/>
      <c r="AB246" s="129" t="n"/>
      <c r="AC246" s="129" t="n"/>
      <c r="AD246" s="129" t="n"/>
      <c r="AE246" s="129" t="n"/>
      <c r="AF246" s="129" t="n"/>
      <c r="AG246" s="129" t="n"/>
      <c r="AH246" s="129" t="n"/>
      <c r="AI246" s="129" t="n"/>
      <c r="AJ246" s="129" t="n"/>
      <c r="AK246" s="129" t="n"/>
      <c r="AL246" s="129" t="n"/>
      <c r="AM246" s="129" t="n"/>
      <c r="AN246" s="129" t="n"/>
      <c r="AO246" s="129" t="n"/>
      <c r="AP246" s="129" t="n"/>
      <c r="AQ246" s="129" t="n"/>
      <c r="AR246" s="129" t="n"/>
      <c r="AS246" s="129" t="n"/>
      <c r="AT246" s="129" t="n"/>
      <c r="AU246" s="129" t="n"/>
      <c r="AV246" s="129" t="n"/>
      <c r="AW246" s="129" t="n"/>
      <c r="AX246" s="129" t="n"/>
      <c r="AY246" s="129" t="n"/>
      <c r="AZ246" s="129" t="n"/>
      <c r="BA246" s="129" t="n"/>
      <c r="BB246" s="129" t="n"/>
      <c r="BC246" s="129" t="n"/>
      <c r="BD246" s="129" t="n"/>
      <c r="BE246" s="129" t="n"/>
      <c r="BF246" s="129" t="n"/>
      <c r="BG246" s="129" t="n"/>
      <c r="BH246" s="129" t="n"/>
      <c r="BI246" s="129" t="n"/>
      <c r="BJ246" s="129" t="n"/>
      <c r="BK246" s="129" t="n"/>
      <c r="BL246" s="129" t="n"/>
      <c r="BM246" s="129" t="n"/>
      <c r="BN246" s="129" t="n"/>
      <c r="BO246" s="129" t="n"/>
      <c r="BP246" s="129" t="n"/>
      <c r="BQ246" s="129" t="n"/>
      <c r="BR246" s="129" t="n"/>
      <c r="BS246" s="129" t="n"/>
      <c r="BT246" s="129" t="n"/>
      <c r="BU246" s="129" t="n"/>
      <c r="BV246" s="129" t="n"/>
      <c r="BW246" s="129" t="n"/>
      <c r="BX246" s="129" t="n"/>
      <c r="BY246" s="129" t="n"/>
      <c r="BZ246" s="129" t="n"/>
      <c r="CA246" s="129" t="n"/>
      <c r="CB246" s="129" t="n"/>
      <c r="CC246" s="129" t="n"/>
      <c r="CD246" s="129" t="n"/>
      <c r="CE246" s="129" t="n"/>
      <c r="CF246" s="129" t="n"/>
      <c r="CG246" s="129" t="n"/>
      <c r="CH246" s="129" t="n"/>
      <c r="CI246" s="129" t="n"/>
      <c r="CJ246" s="129" t="n"/>
      <c r="CK246" s="129" t="n"/>
      <c r="CL246" s="129" t="n"/>
      <c r="CM246" s="129" t="n"/>
      <c r="CN246" s="129" t="n"/>
      <c r="CO246" s="129" t="n"/>
      <c r="CP246" s="129" t="n"/>
      <c r="CQ246" s="129" t="n"/>
      <c r="CR246" s="129" t="n"/>
      <c r="CS246" s="129" t="n"/>
      <c r="CT246" s="129" t="n"/>
      <c r="CU246" s="129" t="n"/>
      <c r="CV246" s="129" t="n"/>
      <c r="CW246" s="129" t="n"/>
      <c r="CX246" s="129" t="n"/>
      <c r="CY246" s="129" t="n"/>
      <c r="CZ246" s="129" t="n"/>
      <c r="DA246" s="129" t="n"/>
      <c r="DB246" s="129" t="n"/>
      <c r="DC246" s="129" t="n"/>
      <c r="DD246" s="129" t="n"/>
      <c r="DE246" s="129" t="n"/>
      <c r="DF246" s="129" t="n"/>
      <c r="DG246" s="129" t="n"/>
      <c r="DH246" s="129" t="n"/>
      <c r="DI246" s="129" t="n"/>
      <c r="DJ246" s="129" t="n"/>
      <c r="DK246" s="129" t="n"/>
      <c r="DL246" s="129" t="n"/>
      <c r="DM246" s="129" t="n"/>
      <c r="DN246" s="129" t="n"/>
      <c r="DO246" s="129" t="n"/>
      <c r="DP246" s="129" t="n"/>
      <c r="DQ246" s="129" t="n"/>
      <c r="DR246" s="129" t="n"/>
      <c r="DS246" s="129" t="n"/>
      <c r="DT246" s="129" t="n"/>
      <c r="DU246" s="129" t="n"/>
      <c r="DV246" s="129" t="n"/>
      <c r="DW246" s="129" t="n"/>
      <c r="DX246" s="129" t="n"/>
      <c r="DY246" s="129" t="n"/>
      <c r="DZ246" s="129" t="n"/>
      <c r="EA246" s="129" t="n"/>
      <c r="EB246" s="129" t="n"/>
      <c r="EC246" s="129" t="n"/>
      <c r="ED246" s="129" t="n"/>
      <c r="EE246" s="129" t="n"/>
      <c r="EF246" s="129" t="n"/>
      <c r="EG246" s="129" t="n"/>
      <c r="EH246" s="129" t="n"/>
      <c r="EI246" s="129" t="n"/>
      <c r="EJ246" s="129" t="n"/>
      <c r="EK246" s="129" t="n"/>
      <c r="EL246" s="129" t="n"/>
      <c r="EM246" s="129" t="n"/>
      <c r="EN246" s="129" t="n"/>
      <c r="EO246" s="129" t="n"/>
      <c r="EP246" s="129" t="n"/>
      <c r="EQ246" s="129" t="n"/>
      <c r="ER246" s="129" t="n"/>
      <c r="ES246" s="129" t="n"/>
      <c r="ET246" s="129" t="n"/>
      <c r="EU246" s="129" t="n"/>
      <c r="EV246" s="129" t="n"/>
      <c r="EW246" s="129" t="n"/>
      <c r="EX246" s="129" t="n"/>
      <c r="EY246" s="129" t="n"/>
      <c r="EZ246" s="129" t="n"/>
      <c r="FA246" s="129" t="n"/>
      <c r="FB246" s="129" t="n"/>
      <c r="FC246" s="129" t="n"/>
      <c r="FD246" s="129" t="n"/>
      <c r="FE246" s="129" t="n"/>
      <c r="FF246" s="129" t="n"/>
      <c r="FG246" s="129" t="n"/>
      <c r="FH246" s="129" t="n"/>
      <c r="FI246" s="129" t="n"/>
      <c r="FJ246" s="129" t="n"/>
      <c r="FK246" s="129" t="n"/>
      <c r="FL246" s="129" t="n"/>
      <c r="FM246" s="129" t="n"/>
    </row>
    <row r="247" s="135">
      <c r="A247" s="53" t="n">
        <v>40359</v>
      </c>
      <c r="B247" s="54" t="n">
        <v>0.137</v>
      </c>
      <c r="C247" s="29" t="n">
        <v>50.4</v>
      </c>
      <c r="D247" s="129" t="n"/>
      <c r="E247" s="129" t="n"/>
      <c r="F247" s="129" t="n"/>
      <c r="G247" s="129" t="n"/>
      <c r="H247" s="129" t="n"/>
      <c r="I247" s="129" t="n"/>
      <c r="J247" s="129" t="n"/>
      <c r="K247" s="129" t="n"/>
      <c r="L247" s="129" t="n"/>
      <c r="M247" s="129" t="n"/>
      <c r="N247" s="129" t="n"/>
      <c r="O247" s="129" t="n"/>
      <c r="P247" s="129" t="n"/>
      <c r="Q247" s="129" t="n"/>
      <c r="R247" s="129" t="n"/>
      <c r="S247" s="129" t="n"/>
      <c r="T247" s="129" t="n"/>
      <c r="U247" s="129" t="n"/>
      <c r="V247" s="129" t="n"/>
      <c r="W247" s="129" t="n"/>
      <c r="X247" s="129" t="n"/>
      <c r="Y247" s="129" t="n"/>
      <c r="Z247" s="129" t="n"/>
      <c r="AA247" s="129" t="n"/>
      <c r="AB247" s="129" t="n"/>
      <c r="AC247" s="129" t="n"/>
      <c r="AD247" s="129" t="n"/>
      <c r="AE247" s="129" t="n"/>
      <c r="AF247" s="129" t="n"/>
      <c r="AG247" s="129" t="n"/>
      <c r="AH247" s="129" t="n"/>
      <c r="AI247" s="129" t="n"/>
      <c r="AJ247" s="129" t="n"/>
      <c r="AK247" s="129" t="n"/>
      <c r="AL247" s="129" t="n"/>
      <c r="AM247" s="129" t="n"/>
      <c r="AN247" s="129" t="n"/>
      <c r="AO247" s="129" t="n"/>
      <c r="AP247" s="129" t="n"/>
      <c r="AQ247" s="129" t="n"/>
      <c r="AR247" s="129" t="n"/>
      <c r="AS247" s="129" t="n"/>
      <c r="AT247" s="129" t="n"/>
      <c r="AU247" s="129" t="n"/>
      <c r="AV247" s="129" t="n"/>
      <c r="AW247" s="129" t="n"/>
      <c r="AX247" s="129" t="n"/>
      <c r="AY247" s="129" t="n"/>
      <c r="AZ247" s="129" t="n"/>
      <c r="BA247" s="129" t="n"/>
      <c r="BB247" s="129" t="n"/>
      <c r="BC247" s="129" t="n"/>
      <c r="BD247" s="129" t="n"/>
      <c r="BE247" s="129" t="n"/>
      <c r="BF247" s="129" t="n"/>
      <c r="BG247" s="129" t="n"/>
      <c r="BH247" s="129" t="n"/>
      <c r="BI247" s="129" t="n"/>
      <c r="BJ247" s="129" t="n"/>
      <c r="BK247" s="129" t="n"/>
      <c r="BL247" s="129" t="n"/>
      <c r="BM247" s="129" t="n"/>
      <c r="BN247" s="129" t="n"/>
      <c r="BO247" s="129" t="n"/>
      <c r="BP247" s="129" t="n"/>
      <c r="BQ247" s="129" t="n"/>
      <c r="BR247" s="129" t="n"/>
      <c r="BS247" s="129" t="n"/>
      <c r="BT247" s="129" t="n"/>
      <c r="BU247" s="129" t="n"/>
      <c r="BV247" s="129" t="n"/>
      <c r="BW247" s="129" t="n"/>
      <c r="BX247" s="129" t="n"/>
      <c r="BY247" s="129" t="n"/>
      <c r="BZ247" s="129" t="n"/>
      <c r="CA247" s="129" t="n"/>
      <c r="CB247" s="129" t="n"/>
      <c r="CC247" s="129" t="n"/>
      <c r="CD247" s="129" t="n"/>
      <c r="CE247" s="129" t="n"/>
      <c r="CF247" s="129" t="n"/>
      <c r="CG247" s="129" t="n"/>
      <c r="CH247" s="129" t="n"/>
      <c r="CI247" s="129" t="n"/>
      <c r="CJ247" s="129" t="n"/>
      <c r="CK247" s="129" t="n"/>
      <c r="CL247" s="129" t="n"/>
      <c r="CM247" s="129" t="n"/>
      <c r="CN247" s="129" t="n"/>
      <c r="CO247" s="129" t="n"/>
      <c r="CP247" s="129" t="n"/>
      <c r="CQ247" s="129" t="n"/>
      <c r="CR247" s="129" t="n"/>
      <c r="CS247" s="129" t="n"/>
      <c r="CT247" s="129" t="n"/>
      <c r="CU247" s="129" t="n"/>
      <c r="CV247" s="129" t="n"/>
      <c r="CW247" s="129" t="n"/>
      <c r="CX247" s="129" t="n"/>
      <c r="CY247" s="129" t="n"/>
      <c r="CZ247" s="129" t="n"/>
      <c r="DA247" s="129" t="n"/>
      <c r="DB247" s="129" t="n"/>
      <c r="DC247" s="129" t="n"/>
      <c r="DD247" s="129" t="n"/>
      <c r="DE247" s="129" t="n"/>
      <c r="DF247" s="129" t="n"/>
      <c r="DG247" s="129" t="n"/>
      <c r="DH247" s="129" t="n"/>
      <c r="DI247" s="129" t="n"/>
      <c r="DJ247" s="129" t="n"/>
      <c r="DK247" s="129" t="n"/>
      <c r="DL247" s="129" t="n"/>
      <c r="DM247" s="129" t="n"/>
      <c r="DN247" s="129" t="n"/>
      <c r="DO247" s="129" t="n"/>
      <c r="DP247" s="129" t="n"/>
      <c r="DQ247" s="129" t="n"/>
      <c r="DR247" s="129" t="n"/>
      <c r="DS247" s="129" t="n"/>
      <c r="DT247" s="129" t="n"/>
      <c r="DU247" s="129" t="n"/>
      <c r="DV247" s="129" t="n"/>
      <c r="DW247" s="129" t="n"/>
      <c r="DX247" s="129" t="n"/>
      <c r="DY247" s="129" t="n"/>
      <c r="DZ247" s="129" t="n"/>
      <c r="EA247" s="129" t="n"/>
      <c r="EB247" s="129" t="n"/>
      <c r="EC247" s="129" t="n"/>
      <c r="ED247" s="129" t="n"/>
      <c r="EE247" s="129" t="n"/>
      <c r="EF247" s="129" t="n"/>
      <c r="EG247" s="129" t="n"/>
      <c r="EH247" s="129" t="n"/>
      <c r="EI247" s="129" t="n"/>
      <c r="EJ247" s="129" t="n"/>
      <c r="EK247" s="129" t="n"/>
      <c r="EL247" s="129" t="n"/>
      <c r="EM247" s="129" t="n"/>
      <c r="EN247" s="129" t="n"/>
      <c r="EO247" s="129" t="n"/>
      <c r="EP247" s="129" t="n"/>
      <c r="EQ247" s="129" t="n"/>
      <c r="ER247" s="129" t="n"/>
      <c r="ES247" s="129" t="n"/>
      <c r="ET247" s="129" t="n"/>
      <c r="EU247" s="129" t="n"/>
      <c r="EV247" s="129" t="n"/>
      <c r="EW247" s="129" t="n"/>
      <c r="EX247" s="129" t="n"/>
      <c r="EY247" s="129" t="n"/>
      <c r="EZ247" s="129" t="n"/>
      <c r="FA247" s="129" t="n"/>
      <c r="FB247" s="129" t="n"/>
      <c r="FC247" s="129" t="n"/>
      <c r="FD247" s="129" t="n"/>
      <c r="FE247" s="129" t="n"/>
      <c r="FF247" s="129" t="n"/>
      <c r="FG247" s="129" t="n"/>
      <c r="FH247" s="129" t="n"/>
      <c r="FI247" s="129" t="n"/>
      <c r="FJ247" s="129" t="n"/>
      <c r="FK247" s="129" t="n"/>
      <c r="FL247" s="129" t="n"/>
      <c r="FM247" s="129" t="n"/>
    </row>
    <row r="248" s="135">
      <c r="A248" s="52" t="n">
        <v>40390</v>
      </c>
      <c r="B248" s="30" t="n">
        <v>0.134</v>
      </c>
      <c r="C248" s="29" t="n">
        <v>49.4</v>
      </c>
      <c r="D248" s="129" t="n"/>
      <c r="E248" s="129" t="n"/>
      <c r="F248" s="129" t="n"/>
      <c r="G248" s="129" t="n"/>
      <c r="H248" s="129" t="n"/>
      <c r="I248" s="129" t="n"/>
      <c r="J248" s="129" t="n"/>
      <c r="K248" s="129" t="n"/>
      <c r="L248" s="129" t="n"/>
      <c r="M248" s="129" t="n"/>
      <c r="N248" s="129" t="n"/>
      <c r="O248" s="129" t="n"/>
      <c r="P248" s="129" t="n"/>
      <c r="Q248" s="129" t="n"/>
      <c r="R248" s="129" t="n"/>
      <c r="S248" s="129" t="n"/>
      <c r="T248" s="129" t="n"/>
      <c r="U248" s="129" t="n"/>
      <c r="V248" s="129" t="n"/>
      <c r="W248" s="129" t="n"/>
      <c r="X248" s="129" t="n"/>
      <c r="Y248" s="129" t="n"/>
      <c r="Z248" s="129" t="n"/>
      <c r="AA248" s="129" t="n"/>
      <c r="AB248" s="129" t="n"/>
      <c r="AC248" s="129" t="n"/>
      <c r="AD248" s="129" t="n"/>
      <c r="AE248" s="129" t="n"/>
      <c r="AF248" s="129" t="n"/>
      <c r="AG248" s="129" t="n"/>
      <c r="AH248" s="129" t="n"/>
      <c r="AI248" s="129" t="n"/>
      <c r="AJ248" s="129" t="n"/>
      <c r="AK248" s="129" t="n"/>
      <c r="AL248" s="129" t="n"/>
      <c r="AM248" s="129" t="n"/>
      <c r="AN248" s="129" t="n"/>
      <c r="AO248" s="129" t="n"/>
      <c r="AP248" s="129" t="n"/>
      <c r="AQ248" s="129" t="n"/>
      <c r="AR248" s="129" t="n"/>
      <c r="AS248" s="129" t="n"/>
      <c r="AT248" s="129" t="n"/>
      <c r="AU248" s="129" t="n"/>
      <c r="AV248" s="129" t="n"/>
      <c r="AW248" s="129" t="n"/>
      <c r="AX248" s="129" t="n"/>
      <c r="AY248" s="129" t="n"/>
      <c r="AZ248" s="129" t="n"/>
      <c r="BA248" s="129" t="n"/>
      <c r="BB248" s="129" t="n"/>
      <c r="BC248" s="129" t="n"/>
      <c r="BD248" s="129" t="n"/>
      <c r="BE248" s="129" t="n"/>
      <c r="BF248" s="129" t="n"/>
      <c r="BG248" s="129" t="n"/>
      <c r="BH248" s="129" t="n"/>
      <c r="BI248" s="129" t="n"/>
      <c r="BJ248" s="129" t="n"/>
      <c r="BK248" s="129" t="n"/>
      <c r="BL248" s="129" t="n"/>
      <c r="BM248" s="129" t="n"/>
      <c r="BN248" s="129" t="n"/>
      <c r="BO248" s="129" t="n"/>
      <c r="BP248" s="129" t="n"/>
      <c r="BQ248" s="129" t="n"/>
      <c r="BR248" s="129" t="n"/>
      <c r="BS248" s="129" t="n"/>
      <c r="BT248" s="129" t="n"/>
      <c r="BU248" s="129" t="n"/>
      <c r="BV248" s="129" t="n"/>
      <c r="BW248" s="129" t="n"/>
      <c r="BX248" s="129" t="n"/>
      <c r="BY248" s="129" t="n"/>
      <c r="BZ248" s="129" t="n"/>
      <c r="CA248" s="129" t="n"/>
      <c r="CB248" s="129" t="n"/>
      <c r="CC248" s="129" t="n"/>
      <c r="CD248" s="129" t="n"/>
      <c r="CE248" s="129" t="n"/>
      <c r="CF248" s="129" t="n"/>
      <c r="CG248" s="129" t="n"/>
      <c r="CH248" s="129" t="n"/>
      <c r="CI248" s="129" t="n"/>
      <c r="CJ248" s="129" t="n"/>
      <c r="CK248" s="129" t="n"/>
      <c r="CL248" s="129" t="n"/>
      <c r="CM248" s="129" t="n"/>
      <c r="CN248" s="129" t="n"/>
      <c r="CO248" s="129" t="n"/>
      <c r="CP248" s="129" t="n"/>
      <c r="CQ248" s="129" t="n"/>
      <c r="CR248" s="129" t="n"/>
      <c r="CS248" s="129" t="n"/>
      <c r="CT248" s="129" t="n"/>
      <c r="CU248" s="129" t="n"/>
      <c r="CV248" s="129" t="n"/>
      <c r="CW248" s="129" t="n"/>
      <c r="CX248" s="129" t="n"/>
      <c r="CY248" s="129" t="n"/>
      <c r="CZ248" s="129" t="n"/>
      <c r="DA248" s="129" t="n"/>
      <c r="DB248" s="129" t="n"/>
      <c r="DC248" s="129" t="n"/>
      <c r="DD248" s="129" t="n"/>
      <c r="DE248" s="129" t="n"/>
      <c r="DF248" s="129" t="n"/>
      <c r="DG248" s="129" t="n"/>
      <c r="DH248" s="129" t="n"/>
      <c r="DI248" s="129" t="n"/>
      <c r="DJ248" s="129" t="n"/>
      <c r="DK248" s="129" t="n"/>
      <c r="DL248" s="129" t="n"/>
      <c r="DM248" s="129" t="n"/>
      <c r="DN248" s="129" t="n"/>
      <c r="DO248" s="129" t="n"/>
      <c r="DP248" s="129" t="n"/>
      <c r="DQ248" s="129" t="n"/>
      <c r="DR248" s="129" t="n"/>
      <c r="DS248" s="129" t="n"/>
      <c r="DT248" s="129" t="n"/>
      <c r="DU248" s="129" t="n"/>
      <c r="DV248" s="129" t="n"/>
      <c r="DW248" s="129" t="n"/>
      <c r="DX248" s="129" t="n"/>
      <c r="DY248" s="129" t="n"/>
      <c r="DZ248" s="129" t="n"/>
      <c r="EA248" s="129" t="n"/>
      <c r="EB248" s="129" t="n"/>
      <c r="EC248" s="129" t="n"/>
      <c r="ED248" s="129" t="n"/>
      <c r="EE248" s="129" t="n"/>
      <c r="EF248" s="129" t="n"/>
      <c r="EG248" s="129" t="n"/>
      <c r="EH248" s="129" t="n"/>
      <c r="EI248" s="129" t="n"/>
      <c r="EJ248" s="129" t="n"/>
      <c r="EK248" s="129" t="n"/>
      <c r="EL248" s="129" t="n"/>
      <c r="EM248" s="129" t="n"/>
      <c r="EN248" s="129" t="n"/>
      <c r="EO248" s="129" t="n"/>
      <c r="EP248" s="129" t="n"/>
      <c r="EQ248" s="129" t="n"/>
      <c r="ER248" s="129" t="n"/>
      <c r="ES248" s="129" t="n"/>
      <c r="ET248" s="129" t="n"/>
      <c r="EU248" s="129" t="n"/>
      <c r="EV248" s="129" t="n"/>
      <c r="EW248" s="129" t="n"/>
      <c r="EX248" s="129" t="n"/>
      <c r="EY248" s="129" t="n"/>
      <c r="EZ248" s="129" t="n"/>
      <c r="FA248" s="129" t="n"/>
      <c r="FB248" s="129" t="n"/>
      <c r="FC248" s="129" t="n"/>
      <c r="FD248" s="129" t="n"/>
      <c r="FE248" s="129" t="n"/>
      <c r="FF248" s="129" t="n"/>
      <c r="FG248" s="129" t="n"/>
      <c r="FH248" s="129" t="n"/>
      <c r="FI248" s="129" t="n"/>
      <c r="FJ248" s="129" t="n"/>
      <c r="FK248" s="129" t="n"/>
      <c r="FL248" s="129" t="n"/>
      <c r="FM248" s="129" t="n"/>
    </row>
    <row r="249" s="135">
      <c r="A249" s="53" t="n">
        <v>40421</v>
      </c>
      <c r="B249" s="54" t="n">
        <v>0.139</v>
      </c>
      <c r="C249" s="29" t="n">
        <v>51.9</v>
      </c>
      <c r="D249" s="129" t="n"/>
      <c r="E249" s="129" t="n"/>
      <c r="F249" s="129" t="n"/>
      <c r="G249" s="129" t="n"/>
      <c r="H249" s="129" t="n"/>
      <c r="I249" s="129" t="n"/>
      <c r="J249" s="129" t="n"/>
      <c r="K249" s="129" t="n"/>
      <c r="L249" s="129" t="n"/>
      <c r="M249" s="129" t="n"/>
      <c r="N249" s="129" t="n"/>
      <c r="O249" s="129" t="n"/>
      <c r="P249" s="129" t="n"/>
      <c r="Q249" s="129" t="n"/>
      <c r="R249" s="129" t="n"/>
      <c r="S249" s="129" t="n"/>
      <c r="T249" s="129" t="n"/>
      <c r="U249" s="129" t="n"/>
      <c r="V249" s="129" t="n"/>
      <c r="W249" s="129" t="n"/>
      <c r="X249" s="129" t="n"/>
      <c r="Y249" s="129" t="n"/>
      <c r="Z249" s="129" t="n"/>
      <c r="AA249" s="129" t="n"/>
      <c r="AB249" s="129" t="n"/>
      <c r="AC249" s="129" t="n"/>
      <c r="AD249" s="129" t="n"/>
      <c r="AE249" s="129" t="n"/>
      <c r="AF249" s="129" t="n"/>
      <c r="AG249" s="129" t="n"/>
      <c r="AH249" s="129" t="n"/>
      <c r="AI249" s="129" t="n"/>
      <c r="AJ249" s="129" t="n"/>
      <c r="AK249" s="129" t="n"/>
      <c r="AL249" s="129" t="n"/>
      <c r="AM249" s="129" t="n"/>
      <c r="AN249" s="129" t="n"/>
      <c r="AO249" s="129" t="n"/>
      <c r="AP249" s="129" t="n"/>
      <c r="AQ249" s="129" t="n"/>
      <c r="AR249" s="129" t="n"/>
      <c r="AS249" s="129" t="n"/>
      <c r="AT249" s="129" t="n"/>
      <c r="AU249" s="129" t="n"/>
      <c r="AV249" s="129" t="n"/>
      <c r="AW249" s="129" t="n"/>
      <c r="AX249" s="129" t="n"/>
      <c r="AY249" s="129" t="n"/>
      <c r="AZ249" s="129" t="n"/>
      <c r="BA249" s="129" t="n"/>
      <c r="BB249" s="129" t="n"/>
      <c r="BC249" s="129" t="n"/>
      <c r="BD249" s="129" t="n"/>
      <c r="BE249" s="129" t="n"/>
      <c r="BF249" s="129" t="n"/>
      <c r="BG249" s="129" t="n"/>
      <c r="BH249" s="129" t="n"/>
      <c r="BI249" s="129" t="n"/>
      <c r="BJ249" s="129" t="n"/>
      <c r="BK249" s="129" t="n"/>
      <c r="BL249" s="129" t="n"/>
      <c r="BM249" s="129" t="n"/>
      <c r="BN249" s="129" t="n"/>
      <c r="BO249" s="129" t="n"/>
      <c r="BP249" s="129" t="n"/>
      <c r="BQ249" s="129" t="n"/>
      <c r="BR249" s="129" t="n"/>
      <c r="BS249" s="129" t="n"/>
      <c r="BT249" s="129" t="n"/>
      <c r="BU249" s="129" t="n"/>
      <c r="BV249" s="129" t="n"/>
      <c r="BW249" s="129" t="n"/>
      <c r="BX249" s="129" t="n"/>
      <c r="BY249" s="129" t="n"/>
      <c r="BZ249" s="129" t="n"/>
      <c r="CA249" s="129" t="n"/>
      <c r="CB249" s="129" t="n"/>
      <c r="CC249" s="129" t="n"/>
      <c r="CD249" s="129" t="n"/>
      <c r="CE249" s="129" t="n"/>
      <c r="CF249" s="129" t="n"/>
      <c r="CG249" s="129" t="n"/>
      <c r="CH249" s="129" t="n"/>
      <c r="CI249" s="129" t="n"/>
      <c r="CJ249" s="129" t="n"/>
      <c r="CK249" s="129" t="n"/>
      <c r="CL249" s="129" t="n"/>
      <c r="CM249" s="129" t="n"/>
      <c r="CN249" s="129" t="n"/>
      <c r="CO249" s="129" t="n"/>
      <c r="CP249" s="129" t="n"/>
      <c r="CQ249" s="129" t="n"/>
      <c r="CR249" s="129" t="n"/>
      <c r="CS249" s="129" t="n"/>
      <c r="CT249" s="129" t="n"/>
      <c r="CU249" s="129" t="n"/>
      <c r="CV249" s="129" t="n"/>
      <c r="CW249" s="129" t="n"/>
      <c r="CX249" s="129" t="n"/>
      <c r="CY249" s="129" t="n"/>
      <c r="CZ249" s="129" t="n"/>
      <c r="DA249" s="129" t="n"/>
      <c r="DB249" s="129" t="n"/>
      <c r="DC249" s="129" t="n"/>
      <c r="DD249" s="129" t="n"/>
      <c r="DE249" s="129" t="n"/>
      <c r="DF249" s="129" t="n"/>
      <c r="DG249" s="129" t="n"/>
      <c r="DH249" s="129" t="n"/>
      <c r="DI249" s="129" t="n"/>
      <c r="DJ249" s="129" t="n"/>
      <c r="DK249" s="129" t="n"/>
      <c r="DL249" s="129" t="n"/>
      <c r="DM249" s="129" t="n"/>
      <c r="DN249" s="129" t="n"/>
      <c r="DO249" s="129" t="n"/>
      <c r="DP249" s="129" t="n"/>
      <c r="DQ249" s="129" t="n"/>
      <c r="DR249" s="129" t="n"/>
      <c r="DS249" s="129" t="n"/>
      <c r="DT249" s="129" t="n"/>
      <c r="DU249" s="129" t="n"/>
      <c r="DV249" s="129" t="n"/>
      <c r="DW249" s="129" t="n"/>
      <c r="DX249" s="129" t="n"/>
      <c r="DY249" s="129" t="n"/>
      <c r="DZ249" s="129" t="n"/>
      <c r="EA249" s="129" t="n"/>
      <c r="EB249" s="129" t="n"/>
      <c r="EC249" s="129" t="n"/>
      <c r="ED249" s="129" t="n"/>
      <c r="EE249" s="129" t="n"/>
      <c r="EF249" s="129" t="n"/>
      <c r="EG249" s="129" t="n"/>
      <c r="EH249" s="129" t="n"/>
      <c r="EI249" s="129" t="n"/>
      <c r="EJ249" s="129" t="n"/>
      <c r="EK249" s="129" t="n"/>
      <c r="EL249" s="129" t="n"/>
      <c r="EM249" s="129" t="n"/>
      <c r="EN249" s="129" t="n"/>
      <c r="EO249" s="129" t="n"/>
      <c r="EP249" s="129" t="n"/>
      <c r="EQ249" s="129" t="n"/>
      <c r="ER249" s="129" t="n"/>
      <c r="ES249" s="129" t="n"/>
      <c r="ET249" s="129" t="n"/>
      <c r="EU249" s="129" t="n"/>
      <c r="EV249" s="129" t="n"/>
      <c r="EW249" s="129" t="n"/>
      <c r="EX249" s="129" t="n"/>
      <c r="EY249" s="129" t="n"/>
      <c r="EZ249" s="129" t="n"/>
      <c r="FA249" s="129" t="n"/>
      <c r="FB249" s="129" t="n"/>
      <c r="FC249" s="129" t="n"/>
      <c r="FD249" s="129" t="n"/>
      <c r="FE249" s="129" t="n"/>
      <c r="FF249" s="129" t="n"/>
      <c r="FG249" s="129" t="n"/>
      <c r="FH249" s="129" t="n"/>
      <c r="FI249" s="129" t="n"/>
      <c r="FJ249" s="129" t="n"/>
      <c r="FK249" s="129" t="n"/>
      <c r="FL249" s="129" t="n"/>
      <c r="FM249" s="129" t="n"/>
    </row>
    <row r="250" s="135">
      <c r="A250" s="52" t="n">
        <v>40451</v>
      </c>
      <c r="B250" s="30" t="n">
        <v>0.133</v>
      </c>
      <c r="C250" s="29" t="n">
        <v>52.9</v>
      </c>
      <c r="D250" s="129" t="n"/>
      <c r="E250" s="129" t="n"/>
      <c r="F250" s="129" t="n"/>
      <c r="G250" s="129" t="n"/>
      <c r="H250" s="129" t="n"/>
      <c r="I250" s="129" t="n"/>
      <c r="J250" s="129" t="n"/>
      <c r="K250" s="129" t="n"/>
      <c r="L250" s="129" t="n"/>
      <c r="M250" s="129" t="n"/>
      <c r="N250" s="129" t="n"/>
      <c r="O250" s="129" t="n"/>
      <c r="P250" s="129" t="n"/>
      <c r="Q250" s="129" t="n"/>
      <c r="R250" s="129" t="n"/>
      <c r="S250" s="129" t="n"/>
      <c r="T250" s="129" t="n"/>
      <c r="U250" s="129" t="n"/>
      <c r="V250" s="129" t="n"/>
      <c r="W250" s="129" t="n"/>
      <c r="X250" s="129" t="n"/>
      <c r="Y250" s="129" t="n"/>
      <c r="Z250" s="129" t="n"/>
      <c r="AA250" s="129" t="n"/>
      <c r="AB250" s="129" t="n"/>
      <c r="AC250" s="129" t="n"/>
      <c r="AD250" s="129" t="n"/>
      <c r="AE250" s="129" t="n"/>
      <c r="AF250" s="129" t="n"/>
      <c r="AG250" s="129" t="n"/>
      <c r="AH250" s="129" t="n"/>
      <c r="AI250" s="129" t="n"/>
      <c r="AJ250" s="129" t="n"/>
      <c r="AK250" s="129" t="n"/>
      <c r="AL250" s="129" t="n"/>
      <c r="AM250" s="129" t="n"/>
      <c r="AN250" s="129" t="n"/>
      <c r="AO250" s="129" t="n"/>
      <c r="AP250" s="129" t="n"/>
      <c r="AQ250" s="129" t="n"/>
      <c r="AR250" s="129" t="n"/>
      <c r="AS250" s="129" t="n"/>
      <c r="AT250" s="129" t="n"/>
      <c r="AU250" s="129" t="n"/>
      <c r="AV250" s="129" t="n"/>
      <c r="AW250" s="129" t="n"/>
      <c r="AX250" s="129" t="n"/>
      <c r="AY250" s="129" t="n"/>
      <c r="AZ250" s="129" t="n"/>
      <c r="BA250" s="129" t="n"/>
      <c r="BB250" s="129" t="n"/>
      <c r="BC250" s="129" t="n"/>
      <c r="BD250" s="129" t="n"/>
      <c r="BE250" s="129" t="n"/>
      <c r="BF250" s="129" t="n"/>
      <c r="BG250" s="129" t="n"/>
      <c r="BH250" s="129" t="n"/>
      <c r="BI250" s="129" t="n"/>
      <c r="BJ250" s="129" t="n"/>
      <c r="BK250" s="129" t="n"/>
      <c r="BL250" s="129" t="n"/>
      <c r="BM250" s="129" t="n"/>
      <c r="BN250" s="129" t="n"/>
      <c r="BO250" s="129" t="n"/>
      <c r="BP250" s="129" t="n"/>
      <c r="BQ250" s="129" t="n"/>
      <c r="BR250" s="129" t="n"/>
      <c r="BS250" s="129" t="n"/>
      <c r="BT250" s="129" t="n"/>
      <c r="BU250" s="129" t="n"/>
      <c r="BV250" s="129" t="n"/>
      <c r="BW250" s="129" t="n"/>
      <c r="BX250" s="129" t="n"/>
      <c r="BY250" s="129" t="n"/>
      <c r="BZ250" s="129" t="n"/>
      <c r="CA250" s="129" t="n"/>
      <c r="CB250" s="129" t="n"/>
      <c r="CC250" s="129" t="n"/>
      <c r="CD250" s="129" t="n"/>
      <c r="CE250" s="129" t="n"/>
      <c r="CF250" s="129" t="n"/>
      <c r="CG250" s="129" t="n"/>
      <c r="CH250" s="129" t="n"/>
      <c r="CI250" s="129" t="n"/>
      <c r="CJ250" s="129" t="n"/>
      <c r="CK250" s="129" t="n"/>
      <c r="CL250" s="129" t="n"/>
      <c r="CM250" s="129" t="n"/>
      <c r="CN250" s="129" t="n"/>
      <c r="CO250" s="129" t="n"/>
      <c r="CP250" s="129" t="n"/>
      <c r="CQ250" s="129" t="n"/>
      <c r="CR250" s="129" t="n"/>
      <c r="CS250" s="129" t="n"/>
      <c r="CT250" s="129" t="n"/>
      <c r="CU250" s="129" t="n"/>
      <c r="CV250" s="129" t="n"/>
      <c r="CW250" s="129" t="n"/>
      <c r="CX250" s="129" t="n"/>
      <c r="CY250" s="129" t="n"/>
      <c r="CZ250" s="129" t="n"/>
      <c r="DA250" s="129" t="n"/>
      <c r="DB250" s="129" t="n"/>
      <c r="DC250" s="129" t="n"/>
      <c r="DD250" s="129" t="n"/>
      <c r="DE250" s="129" t="n"/>
      <c r="DF250" s="129" t="n"/>
      <c r="DG250" s="129" t="n"/>
      <c r="DH250" s="129" t="n"/>
      <c r="DI250" s="129" t="n"/>
      <c r="DJ250" s="129" t="n"/>
      <c r="DK250" s="129" t="n"/>
      <c r="DL250" s="129" t="n"/>
      <c r="DM250" s="129" t="n"/>
      <c r="DN250" s="129" t="n"/>
      <c r="DO250" s="129" t="n"/>
      <c r="DP250" s="129" t="n"/>
      <c r="DQ250" s="129" t="n"/>
      <c r="DR250" s="129" t="n"/>
      <c r="DS250" s="129" t="n"/>
      <c r="DT250" s="129" t="n"/>
      <c r="DU250" s="129" t="n"/>
      <c r="DV250" s="129" t="n"/>
      <c r="DW250" s="129" t="n"/>
      <c r="DX250" s="129" t="n"/>
      <c r="DY250" s="129" t="n"/>
      <c r="DZ250" s="129" t="n"/>
      <c r="EA250" s="129" t="n"/>
      <c r="EB250" s="129" t="n"/>
      <c r="EC250" s="129" t="n"/>
      <c r="ED250" s="129" t="n"/>
      <c r="EE250" s="129" t="n"/>
      <c r="EF250" s="129" t="n"/>
      <c r="EG250" s="129" t="n"/>
      <c r="EH250" s="129" t="n"/>
      <c r="EI250" s="129" t="n"/>
      <c r="EJ250" s="129" t="n"/>
      <c r="EK250" s="129" t="n"/>
      <c r="EL250" s="129" t="n"/>
      <c r="EM250" s="129" t="n"/>
      <c r="EN250" s="129" t="n"/>
      <c r="EO250" s="129" t="n"/>
      <c r="EP250" s="129" t="n"/>
      <c r="EQ250" s="129" t="n"/>
      <c r="ER250" s="129" t="n"/>
      <c r="ES250" s="129" t="n"/>
      <c r="ET250" s="129" t="n"/>
      <c r="EU250" s="129" t="n"/>
      <c r="EV250" s="129" t="n"/>
      <c r="EW250" s="129" t="n"/>
      <c r="EX250" s="129" t="n"/>
      <c r="EY250" s="129" t="n"/>
      <c r="EZ250" s="129" t="n"/>
      <c r="FA250" s="129" t="n"/>
      <c r="FB250" s="129" t="n"/>
      <c r="FC250" s="129" t="n"/>
      <c r="FD250" s="129" t="n"/>
      <c r="FE250" s="129" t="n"/>
      <c r="FF250" s="129" t="n"/>
      <c r="FG250" s="129" t="n"/>
      <c r="FH250" s="129" t="n"/>
      <c r="FI250" s="129" t="n"/>
      <c r="FJ250" s="129" t="n"/>
      <c r="FK250" s="129" t="n"/>
      <c r="FL250" s="129" t="n"/>
      <c r="FM250" s="129" t="n"/>
    </row>
    <row r="251" s="135">
      <c r="A251" s="53" t="n">
        <v>40482</v>
      </c>
      <c r="B251" s="54" t="n">
        <v>0.131</v>
      </c>
      <c r="C251" s="29" t="n">
        <v>54.8</v>
      </c>
      <c r="D251" s="129" t="n"/>
      <c r="E251" s="129" t="n"/>
      <c r="F251" s="129" t="n"/>
      <c r="G251" s="129" t="n"/>
      <c r="H251" s="129" t="n"/>
      <c r="I251" s="129" t="n"/>
      <c r="J251" s="129" t="n"/>
      <c r="K251" s="129" t="n"/>
      <c r="L251" s="129" t="n"/>
      <c r="M251" s="129" t="n"/>
      <c r="N251" s="129" t="n"/>
      <c r="O251" s="129" t="n"/>
      <c r="P251" s="129" t="n"/>
      <c r="Q251" s="129" t="n"/>
      <c r="R251" s="129" t="n"/>
      <c r="S251" s="129" t="n"/>
      <c r="T251" s="129" t="n"/>
      <c r="U251" s="129" t="n"/>
      <c r="V251" s="129" t="n"/>
      <c r="W251" s="129" t="n"/>
      <c r="X251" s="129" t="n"/>
      <c r="Y251" s="129" t="n"/>
      <c r="Z251" s="129" t="n"/>
      <c r="AA251" s="129" t="n"/>
      <c r="AB251" s="129" t="n"/>
      <c r="AC251" s="129" t="n"/>
      <c r="AD251" s="129" t="n"/>
      <c r="AE251" s="129" t="n"/>
      <c r="AF251" s="129" t="n"/>
      <c r="AG251" s="129" t="n"/>
      <c r="AH251" s="129" t="n"/>
      <c r="AI251" s="129" t="n"/>
      <c r="AJ251" s="129" t="n"/>
      <c r="AK251" s="129" t="n"/>
      <c r="AL251" s="129" t="n"/>
      <c r="AM251" s="129" t="n"/>
      <c r="AN251" s="129" t="n"/>
      <c r="AO251" s="129" t="n"/>
      <c r="AP251" s="129" t="n"/>
      <c r="AQ251" s="129" t="n"/>
      <c r="AR251" s="129" t="n"/>
      <c r="AS251" s="129" t="n"/>
      <c r="AT251" s="129" t="n"/>
      <c r="AU251" s="129" t="n"/>
      <c r="AV251" s="129" t="n"/>
      <c r="AW251" s="129" t="n"/>
      <c r="AX251" s="129" t="n"/>
      <c r="AY251" s="129" t="n"/>
      <c r="AZ251" s="129" t="n"/>
      <c r="BA251" s="129" t="n"/>
      <c r="BB251" s="129" t="n"/>
      <c r="BC251" s="129" t="n"/>
      <c r="BD251" s="129" t="n"/>
      <c r="BE251" s="129" t="n"/>
      <c r="BF251" s="129" t="n"/>
      <c r="BG251" s="129" t="n"/>
      <c r="BH251" s="129" t="n"/>
      <c r="BI251" s="129" t="n"/>
      <c r="BJ251" s="129" t="n"/>
      <c r="BK251" s="129" t="n"/>
      <c r="BL251" s="129" t="n"/>
      <c r="BM251" s="129" t="n"/>
      <c r="BN251" s="129" t="n"/>
      <c r="BO251" s="129" t="n"/>
      <c r="BP251" s="129" t="n"/>
      <c r="BQ251" s="129" t="n"/>
      <c r="BR251" s="129" t="n"/>
      <c r="BS251" s="129" t="n"/>
      <c r="BT251" s="129" t="n"/>
      <c r="BU251" s="129" t="n"/>
      <c r="BV251" s="129" t="n"/>
      <c r="BW251" s="129" t="n"/>
      <c r="BX251" s="129" t="n"/>
      <c r="BY251" s="129" t="n"/>
      <c r="BZ251" s="129" t="n"/>
      <c r="CA251" s="129" t="n"/>
      <c r="CB251" s="129" t="n"/>
      <c r="CC251" s="129" t="n"/>
      <c r="CD251" s="129" t="n"/>
      <c r="CE251" s="129" t="n"/>
      <c r="CF251" s="129" t="n"/>
      <c r="CG251" s="129" t="n"/>
      <c r="CH251" s="129" t="n"/>
      <c r="CI251" s="129" t="n"/>
      <c r="CJ251" s="129" t="n"/>
      <c r="CK251" s="129" t="n"/>
      <c r="CL251" s="129" t="n"/>
      <c r="CM251" s="129" t="n"/>
      <c r="CN251" s="129" t="n"/>
      <c r="CO251" s="129" t="n"/>
      <c r="CP251" s="129" t="n"/>
      <c r="CQ251" s="129" t="n"/>
      <c r="CR251" s="129" t="n"/>
      <c r="CS251" s="129" t="n"/>
      <c r="CT251" s="129" t="n"/>
      <c r="CU251" s="129" t="n"/>
      <c r="CV251" s="129" t="n"/>
      <c r="CW251" s="129" t="n"/>
      <c r="CX251" s="129" t="n"/>
      <c r="CY251" s="129" t="n"/>
      <c r="CZ251" s="129" t="n"/>
      <c r="DA251" s="129" t="n"/>
      <c r="DB251" s="129" t="n"/>
      <c r="DC251" s="129" t="n"/>
      <c r="DD251" s="129" t="n"/>
      <c r="DE251" s="129" t="n"/>
      <c r="DF251" s="129" t="n"/>
      <c r="DG251" s="129" t="n"/>
      <c r="DH251" s="129" t="n"/>
      <c r="DI251" s="129" t="n"/>
      <c r="DJ251" s="129" t="n"/>
      <c r="DK251" s="129" t="n"/>
      <c r="DL251" s="129" t="n"/>
      <c r="DM251" s="129" t="n"/>
      <c r="DN251" s="129" t="n"/>
      <c r="DO251" s="129" t="n"/>
      <c r="DP251" s="129" t="n"/>
      <c r="DQ251" s="129" t="n"/>
      <c r="DR251" s="129" t="n"/>
      <c r="DS251" s="129" t="n"/>
      <c r="DT251" s="129" t="n"/>
      <c r="DU251" s="129" t="n"/>
      <c r="DV251" s="129" t="n"/>
      <c r="DW251" s="129" t="n"/>
      <c r="DX251" s="129" t="n"/>
      <c r="DY251" s="129" t="n"/>
      <c r="DZ251" s="129" t="n"/>
      <c r="EA251" s="129" t="n"/>
      <c r="EB251" s="129" t="n"/>
      <c r="EC251" s="129" t="n"/>
      <c r="ED251" s="129" t="n"/>
      <c r="EE251" s="129" t="n"/>
      <c r="EF251" s="129" t="n"/>
      <c r="EG251" s="129" t="n"/>
      <c r="EH251" s="129" t="n"/>
      <c r="EI251" s="129" t="n"/>
      <c r="EJ251" s="129" t="n"/>
      <c r="EK251" s="129" t="n"/>
      <c r="EL251" s="129" t="n"/>
      <c r="EM251" s="129" t="n"/>
      <c r="EN251" s="129" t="n"/>
      <c r="EO251" s="129" t="n"/>
      <c r="EP251" s="129" t="n"/>
      <c r="EQ251" s="129" t="n"/>
      <c r="ER251" s="129" t="n"/>
      <c r="ES251" s="129" t="n"/>
      <c r="ET251" s="129" t="n"/>
      <c r="EU251" s="129" t="n"/>
      <c r="EV251" s="129" t="n"/>
      <c r="EW251" s="129" t="n"/>
      <c r="EX251" s="129" t="n"/>
      <c r="EY251" s="129" t="n"/>
      <c r="EZ251" s="129" t="n"/>
      <c r="FA251" s="129" t="n"/>
      <c r="FB251" s="129" t="n"/>
      <c r="FC251" s="129" t="n"/>
      <c r="FD251" s="129" t="n"/>
      <c r="FE251" s="129" t="n"/>
      <c r="FF251" s="129" t="n"/>
      <c r="FG251" s="129" t="n"/>
      <c r="FH251" s="129" t="n"/>
      <c r="FI251" s="129" t="n"/>
      <c r="FJ251" s="129" t="n"/>
      <c r="FK251" s="129" t="n"/>
      <c r="FL251" s="129" t="n"/>
      <c r="FM251" s="129" t="n"/>
    </row>
    <row r="252" s="135">
      <c r="A252" s="52" t="n">
        <v>40512</v>
      </c>
      <c r="B252" s="30" t="n">
        <v>0.133</v>
      </c>
      <c r="C252" s="29" t="n">
        <v>55.3</v>
      </c>
      <c r="D252" s="129" t="n"/>
      <c r="E252" s="129" t="n"/>
      <c r="F252" s="129" t="n"/>
      <c r="G252" s="129" t="n"/>
      <c r="H252" s="129" t="n"/>
      <c r="I252" s="129" t="n"/>
      <c r="J252" s="129" t="n"/>
      <c r="K252" s="129" t="n"/>
      <c r="L252" s="129" t="n"/>
      <c r="M252" s="129" t="n"/>
      <c r="N252" s="129" t="n"/>
      <c r="O252" s="129" t="n"/>
      <c r="P252" s="129" t="n"/>
      <c r="Q252" s="129" t="n"/>
      <c r="R252" s="129" t="n"/>
      <c r="S252" s="129" t="n"/>
      <c r="T252" s="129" t="n"/>
      <c r="U252" s="129" t="n"/>
      <c r="V252" s="129" t="n"/>
      <c r="W252" s="129" t="n"/>
      <c r="X252" s="129" t="n"/>
      <c r="Y252" s="129" t="n"/>
      <c r="Z252" s="129" t="n"/>
      <c r="AA252" s="129" t="n"/>
      <c r="AB252" s="129" t="n"/>
      <c r="AC252" s="129" t="n"/>
      <c r="AD252" s="129" t="n"/>
      <c r="AE252" s="129" t="n"/>
      <c r="AF252" s="129" t="n"/>
      <c r="AG252" s="129" t="n"/>
      <c r="AH252" s="129" t="n"/>
      <c r="AI252" s="129" t="n"/>
      <c r="AJ252" s="129" t="n"/>
      <c r="AK252" s="129" t="n"/>
      <c r="AL252" s="129" t="n"/>
      <c r="AM252" s="129" t="n"/>
      <c r="AN252" s="129" t="n"/>
      <c r="AO252" s="129" t="n"/>
      <c r="AP252" s="129" t="n"/>
      <c r="AQ252" s="129" t="n"/>
      <c r="AR252" s="129" t="n"/>
      <c r="AS252" s="129" t="n"/>
      <c r="AT252" s="129" t="n"/>
      <c r="AU252" s="129" t="n"/>
      <c r="AV252" s="129" t="n"/>
      <c r="AW252" s="129" t="n"/>
      <c r="AX252" s="129" t="n"/>
      <c r="AY252" s="129" t="n"/>
      <c r="AZ252" s="129" t="n"/>
      <c r="BA252" s="129" t="n"/>
      <c r="BB252" s="129" t="n"/>
      <c r="BC252" s="129" t="n"/>
      <c r="BD252" s="129" t="n"/>
      <c r="BE252" s="129" t="n"/>
      <c r="BF252" s="129" t="n"/>
      <c r="BG252" s="129" t="n"/>
      <c r="BH252" s="129" t="n"/>
      <c r="BI252" s="129" t="n"/>
      <c r="BJ252" s="129" t="n"/>
      <c r="BK252" s="129" t="n"/>
      <c r="BL252" s="129" t="n"/>
      <c r="BM252" s="129" t="n"/>
      <c r="BN252" s="129" t="n"/>
      <c r="BO252" s="129" t="n"/>
      <c r="BP252" s="129" t="n"/>
      <c r="BQ252" s="129" t="n"/>
      <c r="BR252" s="129" t="n"/>
      <c r="BS252" s="129" t="n"/>
      <c r="BT252" s="129" t="n"/>
      <c r="BU252" s="129" t="n"/>
      <c r="BV252" s="129" t="n"/>
      <c r="BW252" s="129" t="n"/>
      <c r="BX252" s="129" t="n"/>
      <c r="BY252" s="129" t="n"/>
      <c r="BZ252" s="129" t="n"/>
      <c r="CA252" s="129" t="n"/>
      <c r="CB252" s="129" t="n"/>
      <c r="CC252" s="129" t="n"/>
      <c r="CD252" s="129" t="n"/>
      <c r="CE252" s="129" t="n"/>
      <c r="CF252" s="129" t="n"/>
      <c r="CG252" s="129" t="n"/>
      <c r="CH252" s="129" t="n"/>
      <c r="CI252" s="129" t="n"/>
      <c r="CJ252" s="129" t="n"/>
      <c r="CK252" s="129" t="n"/>
      <c r="CL252" s="129" t="n"/>
      <c r="CM252" s="129" t="n"/>
      <c r="CN252" s="129" t="n"/>
      <c r="CO252" s="129" t="n"/>
      <c r="CP252" s="129" t="n"/>
      <c r="CQ252" s="129" t="n"/>
      <c r="CR252" s="129" t="n"/>
      <c r="CS252" s="129" t="n"/>
      <c r="CT252" s="129" t="n"/>
      <c r="CU252" s="129" t="n"/>
      <c r="CV252" s="129" t="n"/>
      <c r="CW252" s="129" t="n"/>
      <c r="CX252" s="129" t="n"/>
      <c r="CY252" s="129" t="n"/>
      <c r="CZ252" s="129" t="n"/>
      <c r="DA252" s="129" t="n"/>
      <c r="DB252" s="129" t="n"/>
      <c r="DC252" s="129" t="n"/>
      <c r="DD252" s="129" t="n"/>
      <c r="DE252" s="129" t="n"/>
      <c r="DF252" s="129" t="n"/>
      <c r="DG252" s="129" t="n"/>
      <c r="DH252" s="129" t="n"/>
      <c r="DI252" s="129" t="n"/>
      <c r="DJ252" s="129" t="n"/>
      <c r="DK252" s="129" t="n"/>
      <c r="DL252" s="129" t="n"/>
      <c r="DM252" s="129" t="n"/>
      <c r="DN252" s="129" t="n"/>
      <c r="DO252" s="129" t="n"/>
      <c r="DP252" s="129" t="n"/>
      <c r="DQ252" s="129" t="n"/>
      <c r="DR252" s="129" t="n"/>
      <c r="DS252" s="129" t="n"/>
      <c r="DT252" s="129" t="n"/>
      <c r="DU252" s="129" t="n"/>
      <c r="DV252" s="129" t="n"/>
      <c r="DW252" s="129" t="n"/>
      <c r="DX252" s="129" t="n"/>
      <c r="DY252" s="129" t="n"/>
      <c r="DZ252" s="129" t="n"/>
      <c r="EA252" s="129" t="n"/>
      <c r="EB252" s="129" t="n"/>
      <c r="EC252" s="129" t="n"/>
      <c r="ED252" s="129" t="n"/>
      <c r="EE252" s="129" t="n"/>
      <c r="EF252" s="129" t="n"/>
      <c r="EG252" s="129" t="n"/>
      <c r="EH252" s="129" t="n"/>
      <c r="EI252" s="129" t="n"/>
      <c r="EJ252" s="129" t="n"/>
      <c r="EK252" s="129" t="n"/>
      <c r="EL252" s="129" t="n"/>
      <c r="EM252" s="129" t="n"/>
      <c r="EN252" s="129" t="n"/>
      <c r="EO252" s="129" t="n"/>
      <c r="EP252" s="129" t="n"/>
      <c r="EQ252" s="129" t="n"/>
      <c r="ER252" s="129" t="n"/>
      <c r="ES252" s="129" t="n"/>
      <c r="ET252" s="129" t="n"/>
      <c r="EU252" s="129" t="n"/>
      <c r="EV252" s="129" t="n"/>
      <c r="EW252" s="129" t="n"/>
      <c r="EX252" s="129" t="n"/>
      <c r="EY252" s="129" t="n"/>
      <c r="EZ252" s="129" t="n"/>
      <c r="FA252" s="129" t="n"/>
      <c r="FB252" s="129" t="n"/>
      <c r="FC252" s="129" t="n"/>
      <c r="FD252" s="129" t="n"/>
      <c r="FE252" s="129" t="n"/>
      <c r="FF252" s="129" t="n"/>
      <c r="FG252" s="129" t="n"/>
      <c r="FH252" s="129" t="n"/>
      <c r="FI252" s="129" t="n"/>
      <c r="FJ252" s="129" t="n"/>
      <c r="FK252" s="129" t="n"/>
      <c r="FL252" s="129" t="n"/>
      <c r="FM252" s="129" t="n"/>
    </row>
    <row r="253" s="135">
      <c r="A253" s="53" t="n">
        <v>40543</v>
      </c>
      <c r="B253" s="54" t="n">
        <v>0.135</v>
      </c>
      <c r="C253" s="29" t="n">
        <v>54.4</v>
      </c>
      <c r="D253" s="129" t="n"/>
      <c r="E253" s="129" t="n"/>
      <c r="F253" s="129" t="n"/>
      <c r="G253" s="129" t="n"/>
      <c r="H253" s="129" t="n"/>
      <c r="I253" s="129" t="n"/>
      <c r="J253" s="129" t="n"/>
      <c r="K253" s="129" t="n"/>
      <c r="L253" s="129" t="n"/>
      <c r="M253" s="129" t="n"/>
      <c r="N253" s="129" t="n"/>
      <c r="O253" s="129" t="n"/>
      <c r="P253" s="129" t="n"/>
      <c r="Q253" s="129" t="n"/>
      <c r="R253" s="129" t="n"/>
      <c r="S253" s="129" t="n"/>
      <c r="T253" s="129" t="n"/>
      <c r="U253" s="129" t="n"/>
      <c r="V253" s="129" t="n"/>
      <c r="W253" s="129" t="n"/>
      <c r="X253" s="129" t="n"/>
      <c r="Y253" s="129" t="n"/>
      <c r="Z253" s="129" t="n"/>
      <c r="AA253" s="129" t="n"/>
      <c r="AB253" s="129" t="n"/>
      <c r="AC253" s="129" t="n"/>
      <c r="AD253" s="129" t="n"/>
      <c r="AE253" s="129" t="n"/>
      <c r="AF253" s="129" t="n"/>
      <c r="AG253" s="129" t="n"/>
      <c r="AH253" s="129" t="n"/>
      <c r="AI253" s="129" t="n"/>
      <c r="AJ253" s="129" t="n"/>
      <c r="AK253" s="129" t="n"/>
      <c r="AL253" s="129" t="n"/>
      <c r="AM253" s="129" t="n"/>
      <c r="AN253" s="129" t="n"/>
      <c r="AO253" s="129" t="n"/>
      <c r="AP253" s="129" t="n"/>
      <c r="AQ253" s="129" t="n"/>
      <c r="AR253" s="129" t="n"/>
      <c r="AS253" s="129" t="n"/>
      <c r="AT253" s="129" t="n"/>
      <c r="AU253" s="129" t="n"/>
      <c r="AV253" s="129" t="n"/>
      <c r="AW253" s="129" t="n"/>
      <c r="AX253" s="129" t="n"/>
      <c r="AY253" s="129" t="n"/>
      <c r="AZ253" s="129" t="n"/>
      <c r="BA253" s="129" t="n"/>
      <c r="BB253" s="129" t="n"/>
      <c r="BC253" s="129" t="n"/>
      <c r="BD253" s="129" t="n"/>
      <c r="BE253" s="129" t="n"/>
      <c r="BF253" s="129" t="n"/>
      <c r="BG253" s="129" t="n"/>
      <c r="BH253" s="129" t="n"/>
      <c r="BI253" s="129" t="n"/>
      <c r="BJ253" s="129" t="n"/>
      <c r="BK253" s="129" t="n"/>
      <c r="BL253" s="129" t="n"/>
      <c r="BM253" s="129" t="n"/>
      <c r="BN253" s="129" t="n"/>
      <c r="BO253" s="129" t="n"/>
      <c r="BP253" s="129" t="n"/>
      <c r="BQ253" s="129" t="n"/>
      <c r="BR253" s="129" t="n"/>
      <c r="BS253" s="129" t="n"/>
      <c r="BT253" s="129" t="n"/>
      <c r="BU253" s="129" t="n"/>
      <c r="BV253" s="129" t="n"/>
      <c r="BW253" s="129" t="n"/>
      <c r="BX253" s="129" t="n"/>
      <c r="BY253" s="129" t="n"/>
      <c r="BZ253" s="129" t="n"/>
      <c r="CA253" s="129" t="n"/>
      <c r="CB253" s="129" t="n"/>
      <c r="CC253" s="129" t="n"/>
      <c r="CD253" s="129" t="n"/>
      <c r="CE253" s="129" t="n"/>
      <c r="CF253" s="129" t="n"/>
      <c r="CG253" s="129" t="n"/>
      <c r="CH253" s="129" t="n"/>
      <c r="CI253" s="129" t="n"/>
      <c r="CJ253" s="129" t="n"/>
      <c r="CK253" s="129" t="n"/>
      <c r="CL253" s="129" t="n"/>
      <c r="CM253" s="129" t="n"/>
      <c r="CN253" s="129" t="n"/>
      <c r="CO253" s="129" t="n"/>
      <c r="CP253" s="129" t="n"/>
      <c r="CQ253" s="129" t="n"/>
      <c r="CR253" s="129" t="n"/>
      <c r="CS253" s="129" t="n"/>
      <c r="CT253" s="129" t="n"/>
      <c r="CU253" s="129" t="n"/>
      <c r="CV253" s="129" t="n"/>
      <c r="CW253" s="129" t="n"/>
      <c r="CX253" s="129" t="n"/>
      <c r="CY253" s="129" t="n"/>
      <c r="CZ253" s="129" t="n"/>
      <c r="DA253" s="129" t="n"/>
      <c r="DB253" s="129" t="n"/>
      <c r="DC253" s="129" t="n"/>
      <c r="DD253" s="129" t="n"/>
      <c r="DE253" s="129" t="n"/>
      <c r="DF253" s="129" t="n"/>
      <c r="DG253" s="129" t="n"/>
      <c r="DH253" s="129" t="n"/>
      <c r="DI253" s="129" t="n"/>
      <c r="DJ253" s="129" t="n"/>
      <c r="DK253" s="129" t="n"/>
      <c r="DL253" s="129" t="n"/>
      <c r="DM253" s="129" t="n"/>
      <c r="DN253" s="129" t="n"/>
      <c r="DO253" s="129" t="n"/>
      <c r="DP253" s="129" t="n"/>
      <c r="DQ253" s="129" t="n"/>
      <c r="DR253" s="129" t="n"/>
      <c r="DS253" s="129" t="n"/>
      <c r="DT253" s="129" t="n"/>
      <c r="DU253" s="129" t="n"/>
      <c r="DV253" s="129" t="n"/>
      <c r="DW253" s="129" t="n"/>
      <c r="DX253" s="129" t="n"/>
      <c r="DY253" s="129" t="n"/>
      <c r="DZ253" s="129" t="n"/>
      <c r="EA253" s="129" t="n"/>
      <c r="EB253" s="129" t="n"/>
      <c r="EC253" s="129" t="n"/>
      <c r="ED253" s="129" t="n"/>
      <c r="EE253" s="129" t="n"/>
      <c r="EF253" s="129" t="n"/>
      <c r="EG253" s="129" t="n"/>
      <c r="EH253" s="129" t="n"/>
      <c r="EI253" s="129" t="n"/>
      <c r="EJ253" s="129" t="n"/>
      <c r="EK253" s="129" t="n"/>
      <c r="EL253" s="129" t="n"/>
      <c r="EM253" s="129" t="n"/>
      <c r="EN253" s="129" t="n"/>
      <c r="EO253" s="129" t="n"/>
      <c r="EP253" s="129" t="n"/>
      <c r="EQ253" s="129" t="n"/>
      <c r="ER253" s="129" t="n"/>
      <c r="ES253" s="129" t="n"/>
      <c r="ET253" s="129" t="n"/>
      <c r="EU253" s="129" t="n"/>
      <c r="EV253" s="129" t="n"/>
      <c r="EW253" s="129" t="n"/>
      <c r="EX253" s="129" t="n"/>
      <c r="EY253" s="129" t="n"/>
      <c r="EZ253" s="129" t="n"/>
      <c r="FA253" s="129" t="n"/>
      <c r="FB253" s="129" t="n"/>
      <c r="FC253" s="129" t="n"/>
      <c r="FD253" s="129" t="n"/>
      <c r="FE253" s="129" t="n"/>
      <c r="FF253" s="129" t="n"/>
      <c r="FG253" s="129" t="n"/>
      <c r="FH253" s="129" t="n"/>
      <c r="FI253" s="129" t="n"/>
      <c r="FJ253" s="129" t="n"/>
      <c r="FK253" s="129" t="n"/>
      <c r="FL253" s="129" t="n"/>
      <c r="FM253" s="129" t="n"/>
    </row>
    <row r="254" s="135">
      <c r="A254" s="52" t="n">
        <v>40602</v>
      </c>
      <c r="B254" s="30" t="n">
        <v>0.141</v>
      </c>
      <c r="C254" s="29" t="n">
        <v>51.7</v>
      </c>
      <c r="D254" s="129" t="n"/>
      <c r="E254" s="129" t="n"/>
      <c r="F254" s="129" t="n"/>
      <c r="G254" s="129" t="n"/>
      <c r="H254" s="129" t="n"/>
      <c r="I254" s="129" t="n"/>
      <c r="J254" s="129" t="n"/>
      <c r="K254" s="129" t="n"/>
      <c r="L254" s="129" t="n"/>
      <c r="M254" s="129" t="n"/>
      <c r="N254" s="129" t="n"/>
      <c r="O254" s="129" t="n"/>
      <c r="P254" s="129" t="n"/>
      <c r="Q254" s="129" t="n"/>
      <c r="R254" s="129" t="n"/>
      <c r="S254" s="129" t="n"/>
      <c r="T254" s="129" t="n"/>
      <c r="U254" s="129" t="n"/>
      <c r="V254" s="129" t="n"/>
      <c r="W254" s="129" t="n"/>
      <c r="X254" s="129" t="n"/>
      <c r="Y254" s="129" t="n"/>
      <c r="Z254" s="129" t="n"/>
      <c r="AA254" s="129" t="n"/>
      <c r="AB254" s="129" t="n"/>
      <c r="AC254" s="129" t="n"/>
      <c r="AD254" s="129" t="n"/>
      <c r="AE254" s="129" t="n"/>
      <c r="AF254" s="129" t="n"/>
      <c r="AG254" s="129" t="n"/>
      <c r="AH254" s="129" t="n"/>
      <c r="AI254" s="129" t="n"/>
      <c r="AJ254" s="129" t="n"/>
      <c r="AK254" s="129" t="n"/>
      <c r="AL254" s="129" t="n"/>
      <c r="AM254" s="129" t="n"/>
      <c r="AN254" s="129" t="n"/>
      <c r="AO254" s="129" t="n"/>
      <c r="AP254" s="129" t="n"/>
      <c r="AQ254" s="129" t="n"/>
      <c r="AR254" s="129" t="n"/>
      <c r="AS254" s="129" t="n"/>
      <c r="AT254" s="129" t="n"/>
      <c r="AU254" s="129" t="n"/>
      <c r="AV254" s="129" t="n"/>
      <c r="AW254" s="129" t="n"/>
      <c r="AX254" s="129" t="n"/>
      <c r="AY254" s="129" t="n"/>
      <c r="AZ254" s="129" t="n"/>
      <c r="BA254" s="129" t="n"/>
      <c r="BB254" s="129" t="n"/>
      <c r="BC254" s="129" t="n"/>
      <c r="BD254" s="129" t="n"/>
      <c r="BE254" s="129" t="n"/>
      <c r="BF254" s="129" t="n"/>
      <c r="BG254" s="129" t="n"/>
      <c r="BH254" s="129" t="n"/>
      <c r="BI254" s="129" t="n"/>
      <c r="BJ254" s="129" t="n"/>
      <c r="BK254" s="129" t="n"/>
      <c r="BL254" s="129" t="n"/>
      <c r="BM254" s="129" t="n"/>
      <c r="BN254" s="129" t="n"/>
      <c r="BO254" s="129" t="n"/>
      <c r="BP254" s="129" t="n"/>
      <c r="BQ254" s="129" t="n"/>
      <c r="BR254" s="129" t="n"/>
      <c r="BS254" s="129" t="n"/>
      <c r="BT254" s="129" t="n"/>
      <c r="BU254" s="129" t="n"/>
      <c r="BV254" s="129" t="n"/>
      <c r="BW254" s="129" t="n"/>
      <c r="BX254" s="129" t="n"/>
      <c r="BY254" s="129" t="n"/>
      <c r="BZ254" s="129" t="n"/>
      <c r="CA254" s="129" t="n"/>
      <c r="CB254" s="129" t="n"/>
      <c r="CC254" s="129" t="n"/>
      <c r="CD254" s="129" t="n"/>
      <c r="CE254" s="129" t="n"/>
      <c r="CF254" s="129" t="n"/>
      <c r="CG254" s="129" t="n"/>
      <c r="CH254" s="129" t="n"/>
      <c r="CI254" s="129" t="n"/>
      <c r="CJ254" s="129" t="n"/>
      <c r="CK254" s="129" t="n"/>
      <c r="CL254" s="129" t="n"/>
      <c r="CM254" s="129" t="n"/>
      <c r="CN254" s="129" t="n"/>
      <c r="CO254" s="129" t="n"/>
      <c r="CP254" s="129" t="n"/>
      <c r="CQ254" s="129" t="n"/>
      <c r="CR254" s="129" t="n"/>
      <c r="CS254" s="129" t="n"/>
      <c r="CT254" s="129" t="n"/>
      <c r="CU254" s="129" t="n"/>
      <c r="CV254" s="129" t="n"/>
      <c r="CW254" s="129" t="n"/>
      <c r="CX254" s="129" t="n"/>
      <c r="CY254" s="129" t="n"/>
      <c r="CZ254" s="129" t="n"/>
      <c r="DA254" s="129" t="n"/>
      <c r="DB254" s="129" t="n"/>
      <c r="DC254" s="129" t="n"/>
      <c r="DD254" s="129" t="n"/>
      <c r="DE254" s="129" t="n"/>
      <c r="DF254" s="129" t="n"/>
      <c r="DG254" s="129" t="n"/>
      <c r="DH254" s="129" t="n"/>
      <c r="DI254" s="129" t="n"/>
      <c r="DJ254" s="129" t="n"/>
      <c r="DK254" s="129" t="n"/>
      <c r="DL254" s="129" t="n"/>
      <c r="DM254" s="129" t="n"/>
      <c r="DN254" s="129" t="n"/>
      <c r="DO254" s="129" t="n"/>
      <c r="DP254" s="129" t="n"/>
      <c r="DQ254" s="129" t="n"/>
      <c r="DR254" s="129" t="n"/>
      <c r="DS254" s="129" t="n"/>
      <c r="DT254" s="129" t="n"/>
      <c r="DU254" s="129" t="n"/>
      <c r="DV254" s="129" t="n"/>
      <c r="DW254" s="129" t="n"/>
      <c r="DX254" s="129" t="n"/>
      <c r="DY254" s="129" t="n"/>
      <c r="DZ254" s="129" t="n"/>
      <c r="EA254" s="129" t="n"/>
      <c r="EB254" s="129" t="n"/>
      <c r="EC254" s="129" t="n"/>
      <c r="ED254" s="129" t="n"/>
      <c r="EE254" s="129" t="n"/>
      <c r="EF254" s="129" t="n"/>
      <c r="EG254" s="129" t="n"/>
      <c r="EH254" s="129" t="n"/>
      <c r="EI254" s="129" t="n"/>
      <c r="EJ254" s="129" t="n"/>
      <c r="EK254" s="129" t="n"/>
      <c r="EL254" s="129" t="n"/>
      <c r="EM254" s="129" t="n"/>
      <c r="EN254" s="129" t="n"/>
      <c r="EO254" s="129" t="n"/>
      <c r="EP254" s="129" t="n"/>
      <c r="EQ254" s="129" t="n"/>
      <c r="ER254" s="129" t="n"/>
      <c r="ES254" s="129" t="n"/>
      <c r="ET254" s="129" t="n"/>
      <c r="EU254" s="129" t="n"/>
      <c r="EV254" s="129" t="n"/>
      <c r="EW254" s="129" t="n"/>
      <c r="EX254" s="129" t="n"/>
      <c r="EY254" s="129" t="n"/>
      <c r="EZ254" s="129" t="n"/>
      <c r="FA254" s="129" t="n"/>
      <c r="FB254" s="129" t="n"/>
      <c r="FC254" s="129" t="n"/>
      <c r="FD254" s="129" t="n"/>
      <c r="FE254" s="129" t="n"/>
      <c r="FF254" s="129" t="n"/>
      <c r="FG254" s="129" t="n"/>
      <c r="FH254" s="129" t="n"/>
      <c r="FI254" s="129" t="n"/>
      <c r="FJ254" s="129" t="n"/>
      <c r="FK254" s="129" t="n"/>
      <c r="FL254" s="129" t="n"/>
      <c r="FM254" s="129" t="n"/>
    </row>
    <row r="255" s="135">
      <c r="A255" s="52" t="n">
        <v>40633</v>
      </c>
      <c r="B255" s="30" t="n">
        <v>0.148</v>
      </c>
      <c r="C255" s="29" t="n">
        <v>51.8</v>
      </c>
      <c r="D255" s="129" t="n"/>
      <c r="E255" s="129" t="n"/>
      <c r="F255" s="129" t="n"/>
      <c r="G255" s="129" t="n"/>
      <c r="H255" s="129" t="n"/>
      <c r="I255" s="129" t="n"/>
      <c r="J255" s="129" t="n"/>
      <c r="K255" s="129" t="n"/>
      <c r="L255" s="129" t="n"/>
      <c r="M255" s="129" t="n"/>
      <c r="N255" s="129" t="n"/>
      <c r="O255" s="129" t="n"/>
      <c r="P255" s="129" t="n"/>
      <c r="Q255" s="129" t="n"/>
      <c r="R255" s="129" t="n"/>
      <c r="S255" s="129" t="n"/>
      <c r="T255" s="129" t="n"/>
      <c r="U255" s="129" t="n"/>
      <c r="V255" s="129" t="n"/>
      <c r="W255" s="129" t="n"/>
      <c r="X255" s="129" t="n"/>
      <c r="Y255" s="129" t="n"/>
      <c r="Z255" s="129" t="n"/>
      <c r="AA255" s="129" t="n"/>
      <c r="AB255" s="129" t="n"/>
      <c r="AC255" s="129" t="n"/>
      <c r="AD255" s="129" t="n"/>
      <c r="AE255" s="129" t="n"/>
      <c r="AF255" s="129" t="n"/>
      <c r="AG255" s="129" t="n"/>
      <c r="AH255" s="129" t="n"/>
      <c r="AI255" s="129" t="n"/>
      <c r="AJ255" s="129" t="n"/>
      <c r="AK255" s="129" t="n"/>
      <c r="AL255" s="129" t="n"/>
      <c r="AM255" s="129" t="n"/>
      <c r="AN255" s="129" t="n"/>
      <c r="AO255" s="129" t="n"/>
      <c r="AP255" s="129" t="n"/>
      <c r="AQ255" s="129" t="n"/>
      <c r="AR255" s="129" t="n"/>
      <c r="AS255" s="129" t="n"/>
      <c r="AT255" s="129" t="n"/>
      <c r="AU255" s="129" t="n"/>
      <c r="AV255" s="129" t="n"/>
      <c r="AW255" s="129" t="n"/>
      <c r="AX255" s="129" t="n"/>
      <c r="AY255" s="129" t="n"/>
      <c r="AZ255" s="129" t="n"/>
      <c r="BA255" s="129" t="n"/>
      <c r="BB255" s="129" t="n"/>
      <c r="BC255" s="129" t="n"/>
      <c r="BD255" s="129" t="n"/>
      <c r="BE255" s="129" t="n"/>
      <c r="BF255" s="129" t="n"/>
      <c r="BG255" s="129" t="n"/>
      <c r="BH255" s="129" t="n"/>
      <c r="BI255" s="129" t="n"/>
      <c r="BJ255" s="129" t="n"/>
      <c r="BK255" s="129" t="n"/>
      <c r="BL255" s="129" t="n"/>
      <c r="BM255" s="129" t="n"/>
      <c r="BN255" s="129" t="n"/>
      <c r="BO255" s="129" t="n"/>
      <c r="BP255" s="129" t="n"/>
      <c r="BQ255" s="129" t="n"/>
      <c r="BR255" s="129" t="n"/>
      <c r="BS255" s="129" t="n"/>
      <c r="BT255" s="129" t="n"/>
      <c r="BU255" s="129" t="n"/>
      <c r="BV255" s="129" t="n"/>
      <c r="BW255" s="129" t="n"/>
      <c r="BX255" s="129" t="n"/>
      <c r="BY255" s="129" t="n"/>
      <c r="BZ255" s="129" t="n"/>
      <c r="CA255" s="129" t="n"/>
      <c r="CB255" s="129" t="n"/>
      <c r="CC255" s="129" t="n"/>
      <c r="CD255" s="129" t="n"/>
      <c r="CE255" s="129" t="n"/>
      <c r="CF255" s="129" t="n"/>
      <c r="CG255" s="129" t="n"/>
      <c r="CH255" s="129" t="n"/>
      <c r="CI255" s="129" t="n"/>
      <c r="CJ255" s="129" t="n"/>
      <c r="CK255" s="129" t="n"/>
      <c r="CL255" s="129" t="n"/>
      <c r="CM255" s="129" t="n"/>
      <c r="CN255" s="129" t="n"/>
      <c r="CO255" s="129" t="n"/>
      <c r="CP255" s="129" t="n"/>
      <c r="CQ255" s="129" t="n"/>
      <c r="CR255" s="129" t="n"/>
      <c r="CS255" s="129" t="n"/>
      <c r="CT255" s="129" t="n"/>
      <c r="CU255" s="129" t="n"/>
      <c r="CV255" s="129" t="n"/>
      <c r="CW255" s="129" t="n"/>
      <c r="CX255" s="129" t="n"/>
      <c r="CY255" s="129" t="n"/>
      <c r="CZ255" s="129" t="n"/>
      <c r="DA255" s="129" t="n"/>
      <c r="DB255" s="129" t="n"/>
      <c r="DC255" s="129" t="n"/>
      <c r="DD255" s="129" t="n"/>
      <c r="DE255" s="129" t="n"/>
      <c r="DF255" s="129" t="n"/>
      <c r="DG255" s="129" t="n"/>
      <c r="DH255" s="129" t="n"/>
      <c r="DI255" s="129" t="n"/>
      <c r="DJ255" s="129" t="n"/>
      <c r="DK255" s="129" t="n"/>
      <c r="DL255" s="129" t="n"/>
      <c r="DM255" s="129" t="n"/>
      <c r="DN255" s="129" t="n"/>
      <c r="DO255" s="129" t="n"/>
      <c r="DP255" s="129" t="n"/>
      <c r="DQ255" s="129" t="n"/>
      <c r="DR255" s="129" t="n"/>
      <c r="DS255" s="129" t="n"/>
      <c r="DT255" s="129" t="n"/>
      <c r="DU255" s="129" t="n"/>
      <c r="DV255" s="129" t="n"/>
      <c r="DW255" s="129" t="n"/>
      <c r="DX255" s="129" t="n"/>
      <c r="DY255" s="129" t="n"/>
      <c r="DZ255" s="129" t="n"/>
      <c r="EA255" s="129" t="n"/>
      <c r="EB255" s="129" t="n"/>
      <c r="EC255" s="129" t="n"/>
      <c r="ED255" s="129" t="n"/>
      <c r="EE255" s="129" t="n"/>
      <c r="EF255" s="129" t="n"/>
      <c r="EG255" s="129" t="n"/>
      <c r="EH255" s="129" t="n"/>
      <c r="EI255" s="129" t="n"/>
      <c r="EJ255" s="129" t="n"/>
      <c r="EK255" s="129" t="n"/>
      <c r="EL255" s="129" t="n"/>
      <c r="EM255" s="129" t="n"/>
      <c r="EN255" s="129" t="n"/>
      <c r="EO255" s="129" t="n"/>
      <c r="EP255" s="129" t="n"/>
      <c r="EQ255" s="129" t="n"/>
      <c r="ER255" s="129" t="n"/>
      <c r="ES255" s="129" t="n"/>
      <c r="ET255" s="129" t="n"/>
      <c r="EU255" s="129" t="n"/>
      <c r="EV255" s="129" t="n"/>
      <c r="EW255" s="129" t="n"/>
      <c r="EX255" s="129" t="n"/>
      <c r="EY255" s="129" t="n"/>
      <c r="EZ255" s="129" t="n"/>
      <c r="FA255" s="129" t="n"/>
      <c r="FB255" s="129" t="n"/>
      <c r="FC255" s="129" t="n"/>
      <c r="FD255" s="129" t="n"/>
      <c r="FE255" s="129" t="n"/>
      <c r="FF255" s="129" t="n"/>
      <c r="FG255" s="129" t="n"/>
      <c r="FH255" s="129" t="n"/>
      <c r="FI255" s="129" t="n"/>
      <c r="FJ255" s="129" t="n"/>
      <c r="FK255" s="129" t="n"/>
      <c r="FL255" s="129" t="n"/>
      <c r="FM255" s="129" t="n"/>
    </row>
    <row r="256" s="135">
      <c r="A256" s="53" t="n">
        <v>40663</v>
      </c>
      <c r="B256" s="54" t="n">
        <v>0.134</v>
      </c>
      <c r="C256" s="29" t="n">
        <v>51.8</v>
      </c>
      <c r="D256" s="129" t="n"/>
      <c r="E256" s="129" t="n"/>
      <c r="F256" s="129" t="n"/>
      <c r="G256" s="129" t="n"/>
      <c r="H256" s="129" t="n"/>
      <c r="I256" s="129" t="n"/>
      <c r="J256" s="129" t="n"/>
      <c r="K256" s="129" t="n"/>
      <c r="L256" s="129" t="n"/>
      <c r="M256" s="129" t="n"/>
      <c r="N256" s="129" t="n"/>
      <c r="O256" s="129" t="n"/>
      <c r="P256" s="129" t="n"/>
      <c r="Q256" s="129" t="n"/>
      <c r="R256" s="129" t="n"/>
      <c r="S256" s="129" t="n"/>
      <c r="T256" s="129" t="n"/>
      <c r="U256" s="129" t="n"/>
      <c r="V256" s="129" t="n"/>
      <c r="W256" s="129" t="n"/>
      <c r="X256" s="129" t="n"/>
      <c r="Y256" s="129" t="n"/>
      <c r="Z256" s="129" t="n"/>
      <c r="AA256" s="129" t="n"/>
      <c r="AB256" s="129" t="n"/>
      <c r="AC256" s="129" t="n"/>
      <c r="AD256" s="129" t="n"/>
      <c r="AE256" s="129" t="n"/>
      <c r="AF256" s="129" t="n"/>
      <c r="AG256" s="129" t="n"/>
      <c r="AH256" s="129" t="n"/>
      <c r="AI256" s="129" t="n"/>
      <c r="AJ256" s="129" t="n"/>
      <c r="AK256" s="129" t="n"/>
      <c r="AL256" s="129" t="n"/>
      <c r="AM256" s="129" t="n"/>
      <c r="AN256" s="129" t="n"/>
      <c r="AO256" s="129" t="n"/>
      <c r="AP256" s="129" t="n"/>
      <c r="AQ256" s="129" t="n"/>
      <c r="AR256" s="129" t="n"/>
      <c r="AS256" s="129" t="n"/>
      <c r="AT256" s="129" t="n"/>
      <c r="AU256" s="129" t="n"/>
      <c r="AV256" s="129" t="n"/>
      <c r="AW256" s="129" t="n"/>
      <c r="AX256" s="129" t="n"/>
      <c r="AY256" s="129" t="n"/>
      <c r="AZ256" s="129" t="n"/>
      <c r="BA256" s="129" t="n"/>
      <c r="BB256" s="129" t="n"/>
      <c r="BC256" s="129" t="n"/>
      <c r="BD256" s="129" t="n"/>
      <c r="BE256" s="129" t="n"/>
      <c r="BF256" s="129" t="n"/>
      <c r="BG256" s="129" t="n"/>
      <c r="BH256" s="129" t="n"/>
      <c r="BI256" s="129" t="n"/>
      <c r="BJ256" s="129" t="n"/>
      <c r="BK256" s="129" t="n"/>
      <c r="BL256" s="129" t="n"/>
      <c r="BM256" s="129" t="n"/>
      <c r="BN256" s="129" t="n"/>
      <c r="BO256" s="129" t="n"/>
      <c r="BP256" s="129" t="n"/>
      <c r="BQ256" s="129" t="n"/>
      <c r="BR256" s="129" t="n"/>
      <c r="BS256" s="129" t="n"/>
      <c r="BT256" s="129" t="n"/>
      <c r="BU256" s="129" t="n"/>
      <c r="BV256" s="129" t="n"/>
      <c r="BW256" s="129" t="n"/>
      <c r="BX256" s="129" t="n"/>
      <c r="BY256" s="129" t="n"/>
      <c r="BZ256" s="129" t="n"/>
      <c r="CA256" s="129" t="n"/>
      <c r="CB256" s="129" t="n"/>
      <c r="CC256" s="129" t="n"/>
      <c r="CD256" s="129" t="n"/>
      <c r="CE256" s="129" t="n"/>
      <c r="CF256" s="129" t="n"/>
      <c r="CG256" s="129" t="n"/>
      <c r="CH256" s="129" t="n"/>
      <c r="CI256" s="129" t="n"/>
      <c r="CJ256" s="129" t="n"/>
      <c r="CK256" s="129" t="n"/>
      <c r="CL256" s="129" t="n"/>
      <c r="CM256" s="129" t="n"/>
      <c r="CN256" s="129" t="n"/>
      <c r="CO256" s="129" t="n"/>
      <c r="CP256" s="129" t="n"/>
      <c r="CQ256" s="129" t="n"/>
      <c r="CR256" s="129" t="n"/>
      <c r="CS256" s="129" t="n"/>
      <c r="CT256" s="129" t="n"/>
      <c r="CU256" s="129" t="n"/>
      <c r="CV256" s="129" t="n"/>
      <c r="CW256" s="129" t="n"/>
      <c r="CX256" s="129" t="n"/>
      <c r="CY256" s="129" t="n"/>
      <c r="CZ256" s="129" t="n"/>
      <c r="DA256" s="129" t="n"/>
      <c r="DB256" s="129" t="n"/>
      <c r="DC256" s="129" t="n"/>
      <c r="DD256" s="129" t="n"/>
      <c r="DE256" s="129" t="n"/>
      <c r="DF256" s="129" t="n"/>
      <c r="DG256" s="129" t="n"/>
      <c r="DH256" s="129" t="n"/>
      <c r="DI256" s="129" t="n"/>
      <c r="DJ256" s="129" t="n"/>
      <c r="DK256" s="129" t="n"/>
      <c r="DL256" s="129" t="n"/>
      <c r="DM256" s="129" t="n"/>
      <c r="DN256" s="129" t="n"/>
      <c r="DO256" s="129" t="n"/>
      <c r="DP256" s="129" t="n"/>
      <c r="DQ256" s="129" t="n"/>
      <c r="DR256" s="129" t="n"/>
      <c r="DS256" s="129" t="n"/>
      <c r="DT256" s="129" t="n"/>
      <c r="DU256" s="129" t="n"/>
      <c r="DV256" s="129" t="n"/>
      <c r="DW256" s="129" t="n"/>
      <c r="DX256" s="129" t="n"/>
      <c r="DY256" s="129" t="n"/>
      <c r="DZ256" s="129" t="n"/>
      <c r="EA256" s="129" t="n"/>
      <c r="EB256" s="129" t="n"/>
      <c r="EC256" s="129" t="n"/>
      <c r="ED256" s="129" t="n"/>
      <c r="EE256" s="129" t="n"/>
      <c r="EF256" s="129" t="n"/>
      <c r="EG256" s="129" t="n"/>
      <c r="EH256" s="129" t="n"/>
      <c r="EI256" s="129" t="n"/>
      <c r="EJ256" s="129" t="n"/>
      <c r="EK256" s="129" t="n"/>
      <c r="EL256" s="129" t="n"/>
      <c r="EM256" s="129" t="n"/>
      <c r="EN256" s="129" t="n"/>
      <c r="EO256" s="129" t="n"/>
      <c r="EP256" s="129" t="n"/>
      <c r="EQ256" s="129" t="n"/>
      <c r="ER256" s="129" t="n"/>
      <c r="ES256" s="129" t="n"/>
      <c r="ET256" s="129" t="n"/>
      <c r="EU256" s="129" t="n"/>
      <c r="EV256" s="129" t="n"/>
      <c r="EW256" s="129" t="n"/>
      <c r="EX256" s="129" t="n"/>
      <c r="EY256" s="129" t="n"/>
      <c r="EZ256" s="129" t="n"/>
      <c r="FA256" s="129" t="n"/>
      <c r="FB256" s="129" t="n"/>
      <c r="FC256" s="129" t="n"/>
      <c r="FD256" s="129" t="n"/>
      <c r="FE256" s="129" t="n"/>
      <c r="FF256" s="129" t="n"/>
      <c r="FG256" s="129" t="n"/>
      <c r="FH256" s="129" t="n"/>
      <c r="FI256" s="129" t="n"/>
      <c r="FJ256" s="129" t="n"/>
      <c r="FK256" s="129" t="n"/>
      <c r="FL256" s="129" t="n"/>
      <c r="FM256" s="129" t="n"/>
    </row>
    <row r="257" s="135">
      <c r="A257" s="52" t="n">
        <v>40694</v>
      </c>
      <c r="B257" s="30" t="n">
        <v>0.133</v>
      </c>
      <c r="C257" s="29" t="n">
        <v>51.6</v>
      </c>
      <c r="D257" s="129" t="n"/>
      <c r="E257" s="129" t="n"/>
      <c r="F257" s="129" t="n"/>
      <c r="G257" s="129" t="n"/>
      <c r="H257" s="129" t="n"/>
      <c r="I257" s="129" t="n"/>
      <c r="J257" s="129" t="n"/>
      <c r="K257" s="129" t="n"/>
      <c r="L257" s="129" t="n"/>
      <c r="M257" s="129" t="n"/>
      <c r="N257" s="129" t="n"/>
      <c r="O257" s="129" t="n"/>
      <c r="P257" s="129" t="n"/>
      <c r="Q257" s="129" t="n"/>
      <c r="R257" s="129" t="n"/>
      <c r="S257" s="129" t="n"/>
      <c r="T257" s="129" t="n"/>
      <c r="U257" s="129" t="n"/>
      <c r="V257" s="129" t="n"/>
      <c r="W257" s="129" t="n"/>
      <c r="X257" s="129" t="n"/>
      <c r="Y257" s="129" t="n"/>
      <c r="Z257" s="129" t="n"/>
      <c r="AA257" s="129" t="n"/>
      <c r="AB257" s="129" t="n"/>
      <c r="AC257" s="129" t="n"/>
      <c r="AD257" s="129" t="n"/>
      <c r="AE257" s="129" t="n"/>
      <c r="AF257" s="129" t="n"/>
      <c r="AG257" s="129" t="n"/>
      <c r="AH257" s="129" t="n"/>
      <c r="AI257" s="129" t="n"/>
      <c r="AJ257" s="129" t="n"/>
      <c r="AK257" s="129" t="n"/>
      <c r="AL257" s="129" t="n"/>
      <c r="AM257" s="129" t="n"/>
      <c r="AN257" s="129" t="n"/>
      <c r="AO257" s="129" t="n"/>
      <c r="AP257" s="129" t="n"/>
      <c r="AQ257" s="129" t="n"/>
      <c r="AR257" s="129" t="n"/>
      <c r="AS257" s="129" t="n"/>
      <c r="AT257" s="129" t="n"/>
      <c r="AU257" s="129" t="n"/>
      <c r="AV257" s="129" t="n"/>
      <c r="AW257" s="129" t="n"/>
      <c r="AX257" s="129" t="n"/>
      <c r="AY257" s="129" t="n"/>
      <c r="AZ257" s="129" t="n"/>
      <c r="BA257" s="129" t="n"/>
      <c r="BB257" s="129" t="n"/>
      <c r="BC257" s="129" t="n"/>
      <c r="BD257" s="129" t="n"/>
      <c r="BE257" s="129" t="n"/>
      <c r="BF257" s="129" t="n"/>
      <c r="BG257" s="129" t="n"/>
      <c r="BH257" s="129" t="n"/>
      <c r="BI257" s="129" t="n"/>
      <c r="BJ257" s="129" t="n"/>
      <c r="BK257" s="129" t="n"/>
      <c r="BL257" s="129" t="n"/>
      <c r="BM257" s="129" t="n"/>
      <c r="BN257" s="129" t="n"/>
      <c r="BO257" s="129" t="n"/>
      <c r="BP257" s="129" t="n"/>
      <c r="BQ257" s="129" t="n"/>
      <c r="BR257" s="129" t="n"/>
      <c r="BS257" s="129" t="n"/>
      <c r="BT257" s="129" t="n"/>
      <c r="BU257" s="129" t="n"/>
      <c r="BV257" s="129" t="n"/>
      <c r="BW257" s="129" t="n"/>
      <c r="BX257" s="129" t="n"/>
      <c r="BY257" s="129" t="n"/>
      <c r="BZ257" s="129" t="n"/>
      <c r="CA257" s="129" t="n"/>
      <c r="CB257" s="129" t="n"/>
      <c r="CC257" s="129" t="n"/>
      <c r="CD257" s="129" t="n"/>
      <c r="CE257" s="129" t="n"/>
      <c r="CF257" s="129" t="n"/>
      <c r="CG257" s="129" t="n"/>
      <c r="CH257" s="129" t="n"/>
      <c r="CI257" s="129" t="n"/>
      <c r="CJ257" s="129" t="n"/>
      <c r="CK257" s="129" t="n"/>
      <c r="CL257" s="129" t="n"/>
      <c r="CM257" s="129" t="n"/>
      <c r="CN257" s="129" t="n"/>
      <c r="CO257" s="129" t="n"/>
      <c r="CP257" s="129" t="n"/>
      <c r="CQ257" s="129" t="n"/>
      <c r="CR257" s="129" t="n"/>
      <c r="CS257" s="129" t="n"/>
      <c r="CT257" s="129" t="n"/>
      <c r="CU257" s="129" t="n"/>
      <c r="CV257" s="129" t="n"/>
      <c r="CW257" s="129" t="n"/>
      <c r="CX257" s="129" t="n"/>
      <c r="CY257" s="129" t="n"/>
      <c r="CZ257" s="129" t="n"/>
      <c r="DA257" s="129" t="n"/>
      <c r="DB257" s="129" t="n"/>
      <c r="DC257" s="129" t="n"/>
      <c r="DD257" s="129" t="n"/>
      <c r="DE257" s="129" t="n"/>
      <c r="DF257" s="129" t="n"/>
      <c r="DG257" s="129" t="n"/>
      <c r="DH257" s="129" t="n"/>
      <c r="DI257" s="129" t="n"/>
      <c r="DJ257" s="129" t="n"/>
      <c r="DK257" s="129" t="n"/>
      <c r="DL257" s="129" t="n"/>
      <c r="DM257" s="129" t="n"/>
      <c r="DN257" s="129" t="n"/>
      <c r="DO257" s="129" t="n"/>
      <c r="DP257" s="129" t="n"/>
      <c r="DQ257" s="129" t="n"/>
      <c r="DR257" s="129" t="n"/>
      <c r="DS257" s="129" t="n"/>
      <c r="DT257" s="129" t="n"/>
      <c r="DU257" s="129" t="n"/>
      <c r="DV257" s="129" t="n"/>
      <c r="DW257" s="129" t="n"/>
      <c r="DX257" s="129" t="n"/>
      <c r="DY257" s="129" t="n"/>
      <c r="DZ257" s="129" t="n"/>
      <c r="EA257" s="129" t="n"/>
      <c r="EB257" s="129" t="n"/>
      <c r="EC257" s="129" t="n"/>
      <c r="ED257" s="129" t="n"/>
      <c r="EE257" s="129" t="n"/>
      <c r="EF257" s="129" t="n"/>
      <c r="EG257" s="129" t="n"/>
      <c r="EH257" s="129" t="n"/>
      <c r="EI257" s="129" t="n"/>
      <c r="EJ257" s="129" t="n"/>
      <c r="EK257" s="129" t="n"/>
      <c r="EL257" s="129" t="n"/>
      <c r="EM257" s="129" t="n"/>
      <c r="EN257" s="129" t="n"/>
      <c r="EO257" s="129" t="n"/>
      <c r="EP257" s="129" t="n"/>
      <c r="EQ257" s="129" t="n"/>
      <c r="ER257" s="129" t="n"/>
      <c r="ES257" s="129" t="n"/>
      <c r="ET257" s="129" t="n"/>
      <c r="EU257" s="129" t="n"/>
      <c r="EV257" s="129" t="n"/>
      <c r="EW257" s="129" t="n"/>
      <c r="EX257" s="129" t="n"/>
      <c r="EY257" s="129" t="n"/>
      <c r="EZ257" s="129" t="n"/>
      <c r="FA257" s="129" t="n"/>
      <c r="FB257" s="129" t="n"/>
      <c r="FC257" s="129" t="n"/>
      <c r="FD257" s="129" t="n"/>
      <c r="FE257" s="129" t="n"/>
      <c r="FF257" s="129" t="n"/>
      <c r="FG257" s="129" t="n"/>
      <c r="FH257" s="129" t="n"/>
      <c r="FI257" s="129" t="n"/>
      <c r="FJ257" s="129" t="n"/>
      <c r="FK257" s="129" t="n"/>
      <c r="FL257" s="129" t="n"/>
      <c r="FM257" s="129" t="n"/>
    </row>
    <row r="258" s="135">
      <c r="A258" s="53" t="n">
        <v>40724</v>
      </c>
      <c r="B258" s="54" t="n">
        <v>0.151</v>
      </c>
      <c r="C258" s="29" t="n">
        <v>50.1</v>
      </c>
      <c r="D258" s="129" t="n"/>
      <c r="E258" s="129" t="n"/>
      <c r="F258" s="129" t="n"/>
      <c r="G258" s="129" t="n"/>
      <c r="H258" s="129" t="n"/>
      <c r="I258" s="129" t="n"/>
      <c r="J258" s="129" t="n"/>
      <c r="K258" s="129" t="n"/>
      <c r="L258" s="129" t="n"/>
      <c r="M258" s="129" t="n"/>
      <c r="N258" s="129" t="n"/>
      <c r="O258" s="129" t="n"/>
      <c r="P258" s="129" t="n"/>
      <c r="Q258" s="129" t="n"/>
      <c r="R258" s="129" t="n"/>
      <c r="S258" s="129" t="n"/>
      <c r="T258" s="129" t="n"/>
      <c r="U258" s="129" t="n"/>
      <c r="V258" s="129" t="n"/>
      <c r="W258" s="129" t="n"/>
      <c r="X258" s="129" t="n"/>
      <c r="Y258" s="129" t="n"/>
      <c r="Z258" s="129" t="n"/>
      <c r="AA258" s="129" t="n"/>
      <c r="AB258" s="129" t="n"/>
      <c r="AC258" s="129" t="n"/>
      <c r="AD258" s="129" t="n"/>
      <c r="AE258" s="129" t="n"/>
      <c r="AF258" s="129" t="n"/>
      <c r="AG258" s="129" t="n"/>
      <c r="AH258" s="129" t="n"/>
      <c r="AI258" s="129" t="n"/>
      <c r="AJ258" s="129" t="n"/>
      <c r="AK258" s="129" t="n"/>
      <c r="AL258" s="129" t="n"/>
      <c r="AM258" s="129" t="n"/>
      <c r="AN258" s="129" t="n"/>
      <c r="AO258" s="129" t="n"/>
      <c r="AP258" s="129" t="n"/>
      <c r="AQ258" s="129" t="n"/>
      <c r="AR258" s="129" t="n"/>
      <c r="AS258" s="129" t="n"/>
      <c r="AT258" s="129" t="n"/>
      <c r="AU258" s="129" t="n"/>
      <c r="AV258" s="129" t="n"/>
      <c r="AW258" s="129" t="n"/>
      <c r="AX258" s="129" t="n"/>
      <c r="AY258" s="129" t="n"/>
      <c r="AZ258" s="129" t="n"/>
      <c r="BA258" s="129" t="n"/>
      <c r="BB258" s="129" t="n"/>
      <c r="BC258" s="129" t="n"/>
      <c r="BD258" s="129" t="n"/>
      <c r="BE258" s="129" t="n"/>
      <c r="BF258" s="129" t="n"/>
      <c r="BG258" s="129" t="n"/>
      <c r="BH258" s="129" t="n"/>
      <c r="BI258" s="129" t="n"/>
      <c r="BJ258" s="129" t="n"/>
      <c r="BK258" s="129" t="n"/>
      <c r="BL258" s="129" t="n"/>
      <c r="BM258" s="129" t="n"/>
      <c r="BN258" s="129" t="n"/>
      <c r="BO258" s="129" t="n"/>
      <c r="BP258" s="129" t="n"/>
      <c r="BQ258" s="129" t="n"/>
      <c r="BR258" s="129" t="n"/>
      <c r="BS258" s="129" t="n"/>
      <c r="BT258" s="129" t="n"/>
      <c r="BU258" s="129" t="n"/>
      <c r="BV258" s="129" t="n"/>
      <c r="BW258" s="129" t="n"/>
      <c r="BX258" s="129" t="n"/>
      <c r="BY258" s="129" t="n"/>
      <c r="BZ258" s="129" t="n"/>
      <c r="CA258" s="129" t="n"/>
      <c r="CB258" s="129" t="n"/>
      <c r="CC258" s="129" t="n"/>
      <c r="CD258" s="129" t="n"/>
      <c r="CE258" s="129" t="n"/>
      <c r="CF258" s="129" t="n"/>
      <c r="CG258" s="129" t="n"/>
      <c r="CH258" s="129" t="n"/>
      <c r="CI258" s="129" t="n"/>
      <c r="CJ258" s="129" t="n"/>
      <c r="CK258" s="129" t="n"/>
      <c r="CL258" s="129" t="n"/>
      <c r="CM258" s="129" t="n"/>
      <c r="CN258" s="129" t="n"/>
      <c r="CO258" s="129" t="n"/>
      <c r="CP258" s="129" t="n"/>
      <c r="CQ258" s="129" t="n"/>
      <c r="CR258" s="129" t="n"/>
      <c r="CS258" s="129" t="n"/>
      <c r="CT258" s="129" t="n"/>
      <c r="CU258" s="129" t="n"/>
      <c r="CV258" s="129" t="n"/>
      <c r="CW258" s="129" t="n"/>
      <c r="CX258" s="129" t="n"/>
      <c r="CY258" s="129" t="n"/>
      <c r="CZ258" s="129" t="n"/>
      <c r="DA258" s="129" t="n"/>
      <c r="DB258" s="129" t="n"/>
      <c r="DC258" s="129" t="n"/>
      <c r="DD258" s="129" t="n"/>
      <c r="DE258" s="129" t="n"/>
      <c r="DF258" s="129" t="n"/>
      <c r="DG258" s="129" t="n"/>
      <c r="DH258" s="129" t="n"/>
      <c r="DI258" s="129" t="n"/>
      <c r="DJ258" s="129" t="n"/>
      <c r="DK258" s="129" t="n"/>
      <c r="DL258" s="129" t="n"/>
      <c r="DM258" s="129" t="n"/>
      <c r="DN258" s="129" t="n"/>
      <c r="DO258" s="129" t="n"/>
      <c r="DP258" s="129" t="n"/>
      <c r="DQ258" s="129" t="n"/>
      <c r="DR258" s="129" t="n"/>
      <c r="DS258" s="129" t="n"/>
      <c r="DT258" s="129" t="n"/>
      <c r="DU258" s="129" t="n"/>
      <c r="DV258" s="129" t="n"/>
      <c r="DW258" s="129" t="n"/>
      <c r="DX258" s="129" t="n"/>
      <c r="DY258" s="129" t="n"/>
      <c r="DZ258" s="129" t="n"/>
      <c r="EA258" s="129" t="n"/>
      <c r="EB258" s="129" t="n"/>
      <c r="EC258" s="129" t="n"/>
      <c r="ED258" s="129" t="n"/>
      <c r="EE258" s="129" t="n"/>
      <c r="EF258" s="129" t="n"/>
      <c r="EG258" s="129" t="n"/>
      <c r="EH258" s="129" t="n"/>
      <c r="EI258" s="129" t="n"/>
      <c r="EJ258" s="129" t="n"/>
      <c r="EK258" s="129" t="n"/>
      <c r="EL258" s="129" t="n"/>
      <c r="EM258" s="129" t="n"/>
      <c r="EN258" s="129" t="n"/>
      <c r="EO258" s="129" t="n"/>
      <c r="EP258" s="129" t="n"/>
      <c r="EQ258" s="129" t="n"/>
      <c r="ER258" s="129" t="n"/>
      <c r="ES258" s="129" t="n"/>
      <c r="ET258" s="129" t="n"/>
      <c r="EU258" s="129" t="n"/>
      <c r="EV258" s="129" t="n"/>
      <c r="EW258" s="129" t="n"/>
      <c r="EX258" s="129" t="n"/>
      <c r="EY258" s="129" t="n"/>
      <c r="EZ258" s="129" t="n"/>
      <c r="FA258" s="129" t="n"/>
      <c r="FB258" s="129" t="n"/>
      <c r="FC258" s="129" t="n"/>
      <c r="FD258" s="129" t="n"/>
      <c r="FE258" s="129" t="n"/>
      <c r="FF258" s="129" t="n"/>
      <c r="FG258" s="129" t="n"/>
      <c r="FH258" s="129" t="n"/>
      <c r="FI258" s="129" t="n"/>
      <c r="FJ258" s="129" t="n"/>
      <c r="FK258" s="129" t="n"/>
      <c r="FL258" s="129" t="n"/>
      <c r="FM258" s="129" t="n"/>
    </row>
    <row r="259" s="135">
      <c r="A259" s="52" t="n">
        <v>40755</v>
      </c>
      <c r="B259" s="30" t="n">
        <v>0.14</v>
      </c>
      <c r="C259" s="29" t="n">
        <v>49.3</v>
      </c>
      <c r="D259" s="129" t="n"/>
      <c r="E259" s="129" t="n"/>
      <c r="F259" s="129" t="n"/>
      <c r="G259" s="129" t="n"/>
      <c r="H259" s="129" t="n"/>
      <c r="I259" s="129" t="n"/>
      <c r="J259" s="129" t="n"/>
      <c r="K259" s="129" t="n"/>
      <c r="L259" s="129" t="n"/>
      <c r="M259" s="129" t="n"/>
      <c r="N259" s="129" t="n"/>
      <c r="O259" s="129" t="n"/>
      <c r="P259" s="129" t="n"/>
      <c r="Q259" s="129" t="n"/>
      <c r="R259" s="129" t="n"/>
      <c r="S259" s="129" t="n"/>
      <c r="T259" s="129" t="n"/>
      <c r="U259" s="129" t="n"/>
      <c r="V259" s="129" t="n"/>
      <c r="W259" s="129" t="n"/>
      <c r="X259" s="129" t="n"/>
      <c r="Y259" s="129" t="n"/>
      <c r="Z259" s="129" t="n"/>
      <c r="AA259" s="129" t="n"/>
      <c r="AB259" s="129" t="n"/>
      <c r="AC259" s="129" t="n"/>
      <c r="AD259" s="129" t="n"/>
      <c r="AE259" s="129" t="n"/>
      <c r="AF259" s="129" t="n"/>
      <c r="AG259" s="129" t="n"/>
      <c r="AH259" s="129" t="n"/>
      <c r="AI259" s="129" t="n"/>
      <c r="AJ259" s="129" t="n"/>
      <c r="AK259" s="129" t="n"/>
      <c r="AL259" s="129" t="n"/>
      <c r="AM259" s="129" t="n"/>
      <c r="AN259" s="129" t="n"/>
      <c r="AO259" s="129" t="n"/>
      <c r="AP259" s="129" t="n"/>
      <c r="AQ259" s="129" t="n"/>
      <c r="AR259" s="129" t="n"/>
      <c r="AS259" s="129" t="n"/>
      <c r="AT259" s="129" t="n"/>
      <c r="AU259" s="129" t="n"/>
      <c r="AV259" s="129" t="n"/>
      <c r="AW259" s="129" t="n"/>
      <c r="AX259" s="129" t="n"/>
      <c r="AY259" s="129" t="n"/>
      <c r="AZ259" s="129" t="n"/>
      <c r="BA259" s="129" t="n"/>
      <c r="BB259" s="129" t="n"/>
      <c r="BC259" s="129" t="n"/>
      <c r="BD259" s="129" t="n"/>
      <c r="BE259" s="129" t="n"/>
      <c r="BF259" s="129" t="n"/>
      <c r="BG259" s="129" t="n"/>
      <c r="BH259" s="129" t="n"/>
      <c r="BI259" s="129" t="n"/>
      <c r="BJ259" s="129" t="n"/>
      <c r="BK259" s="129" t="n"/>
      <c r="BL259" s="129" t="n"/>
      <c r="BM259" s="129" t="n"/>
      <c r="BN259" s="129" t="n"/>
      <c r="BO259" s="129" t="n"/>
      <c r="BP259" s="129" t="n"/>
      <c r="BQ259" s="129" t="n"/>
      <c r="BR259" s="129" t="n"/>
      <c r="BS259" s="129" t="n"/>
      <c r="BT259" s="129" t="n"/>
      <c r="BU259" s="129" t="n"/>
      <c r="BV259" s="129" t="n"/>
      <c r="BW259" s="129" t="n"/>
      <c r="BX259" s="129" t="n"/>
      <c r="BY259" s="129" t="n"/>
      <c r="BZ259" s="129" t="n"/>
      <c r="CA259" s="129" t="n"/>
      <c r="CB259" s="129" t="n"/>
      <c r="CC259" s="129" t="n"/>
      <c r="CD259" s="129" t="n"/>
      <c r="CE259" s="129" t="n"/>
      <c r="CF259" s="129" t="n"/>
      <c r="CG259" s="129" t="n"/>
      <c r="CH259" s="129" t="n"/>
      <c r="CI259" s="129" t="n"/>
      <c r="CJ259" s="129" t="n"/>
      <c r="CK259" s="129" t="n"/>
      <c r="CL259" s="129" t="n"/>
      <c r="CM259" s="129" t="n"/>
      <c r="CN259" s="129" t="n"/>
      <c r="CO259" s="129" t="n"/>
      <c r="CP259" s="129" t="n"/>
      <c r="CQ259" s="129" t="n"/>
      <c r="CR259" s="129" t="n"/>
      <c r="CS259" s="129" t="n"/>
      <c r="CT259" s="129" t="n"/>
      <c r="CU259" s="129" t="n"/>
      <c r="CV259" s="129" t="n"/>
      <c r="CW259" s="129" t="n"/>
      <c r="CX259" s="129" t="n"/>
      <c r="CY259" s="129" t="n"/>
      <c r="CZ259" s="129" t="n"/>
      <c r="DA259" s="129" t="n"/>
      <c r="DB259" s="129" t="n"/>
      <c r="DC259" s="129" t="n"/>
      <c r="DD259" s="129" t="n"/>
      <c r="DE259" s="129" t="n"/>
      <c r="DF259" s="129" t="n"/>
      <c r="DG259" s="129" t="n"/>
      <c r="DH259" s="129" t="n"/>
      <c r="DI259" s="129" t="n"/>
      <c r="DJ259" s="129" t="n"/>
      <c r="DK259" s="129" t="n"/>
      <c r="DL259" s="129" t="n"/>
      <c r="DM259" s="129" t="n"/>
      <c r="DN259" s="129" t="n"/>
      <c r="DO259" s="129" t="n"/>
      <c r="DP259" s="129" t="n"/>
      <c r="DQ259" s="129" t="n"/>
      <c r="DR259" s="129" t="n"/>
      <c r="DS259" s="129" t="n"/>
      <c r="DT259" s="129" t="n"/>
      <c r="DU259" s="129" t="n"/>
      <c r="DV259" s="129" t="n"/>
      <c r="DW259" s="129" t="n"/>
      <c r="DX259" s="129" t="n"/>
      <c r="DY259" s="129" t="n"/>
      <c r="DZ259" s="129" t="n"/>
      <c r="EA259" s="129" t="n"/>
      <c r="EB259" s="129" t="n"/>
      <c r="EC259" s="129" t="n"/>
      <c r="ED259" s="129" t="n"/>
      <c r="EE259" s="129" t="n"/>
      <c r="EF259" s="129" t="n"/>
      <c r="EG259" s="129" t="n"/>
      <c r="EH259" s="129" t="n"/>
      <c r="EI259" s="129" t="n"/>
      <c r="EJ259" s="129" t="n"/>
      <c r="EK259" s="129" t="n"/>
      <c r="EL259" s="129" t="n"/>
      <c r="EM259" s="129" t="n"/>
      <c r="EN259" s="129" t="n"/>
      <c r="EO259" s="129" t="n"/>
      <c r="EP259" s="129" t="n"/>
      <c r="EQ259" s="129" t="n"/>
      <c r="ER259" s="129" t="n"/>
      <c r="ES259" s="129" t="n"/>
      <c r="ET259" s="129" t="n"/>
      <c r="EU259" s="129" t="n"/>
      <c r="EV259" s="129" t="n"/>
      <c r="EW259" s="129" t="n"/>
      <c r="EX259" s="129" t="n"/>
      <c r="EY259" s="129" t="n"/>
      <c r="EZ259" s="129" t="n"/>
      <c r="FA259" s="129" t="n"/>
      <c r="FB259" s="129" t="n"/>
      <c r="FC259" s="129" t="n"/>
      <c r="FD259" s="129" t="n"/>
      <c r="FE259" s="129" t="n"/>
      <c r="FF259" s="129" t="n"/>
      <c r="FG259" s="129" t="n"/>
      <c r="FH259" s="129" t="n"/>
      <c r="FI259" s="129" t="n"/>
      <c r="FJ259" s="129" t="n"/>
      <c r="FK259" s="129" t="n"/>
      <c r="FL259" s="129" t="n"/>
      <c r="FM259" s="129" t="n"/>
    </row>
    <row r="260" s="135">
      <c r="A260" s="53" t="n">
        <v>40786</v>
      </c>
      <c r="B260" s="54" t="n">
        <v>0.135</v>
      </c>
      <c r="C260" s="29" t="n">
        <v>49.9</v>
      </c>
      <c r="D260" s="129" t="n"/>
      <c r="E260" s="129" t="n"/>
      <c r="F260" s="129" t="n"/>
      <c r="G260" s="129" t="n"/>
      <c r="H260" s="129" t="n"/>
      <c r="I260" s="129" t="n"/>
      <c r="J260" s="129" t="n"/>
      <c r="K260" s="129" t="n"/>
      <c r="L260" s="129" t="n"/>
      <c r="M260" s="129" t="n"/>
      <c r="N260" s="129" t="n"/>
      <c r="O260" s="129" t="n"/>
      <c r="P260" s="129" t="n"/>
      <c r="Q260" s="129" t="n"/>
      <c r="R260" s="129" t="n"/>
      <c r="S260" s="129" t="n"/>
      <c r="T260" s="129" t="n"/>
      <c r="U260" s="129" t="n"/>
      <c r="V260" s="129" t="n"/>
      <c r="W260" s="129" t="n"/>
      <c r="X260" s="129" t="n"/>
      <c r="Y260" s="129" t="n"/>
      <c r="Z260" s="129" t="n"/>
      <c r="AA260" s="129" t="n"/>
      <c r="AB260" s="129" t="n"/>
      <c r="AC260" s="129" t="n"/>
      <c r="AD260" s="129" t="n"/>
      <c r="AE260" s="129" t="n"/>
      <c r="AF260" s="129" t="n"/>
      <c r="AG260" s="129" t="n"/>
      <c r="AH260" s="129" t="n"/>
      <c r="AI260" s="129" t="n"/>
      <c r="AJ260" s="129" t="n"/>
      <c r="AK260" s="129" t="n"/>
      <c r="AL260" s="129" t="n"/>
      <c r="AM260" s="129" t="n"/>
      <c r="AN260" s="129" t="n"/>
      <c r="AO260" s="129" t="n"/>
      <c r="AP260" s="129" t="n"/>
      <c r="AQ260" s="129" t="n"/>
      <c r="AR260" s="129" t="n"/>
      <c r="AS260" s="129" t="n"/>
      <c r="AT260" s="129" t="n"/>
      <c r="AU260" s="129" t="n"/>
      <c r="AV260" s="129" t="n"/>
      <c r="AW260" s="129" t="n"/>
      <c r="AX260" s="129" t="n"/>
      <c r="AY260" s="129" t="n"/>
      <c r="AZ260" s="129" t="n"/>
      <c r="BA260" s="129" t="n"/>
      <c r="BB260" s="129" t="n"/>
      <c r="BC260" s="129" t="n"/>
      <c r="BD260" s="129" t="n"/>
      <c r="BE260" s="129" t="n"/>
      <c r="BF260" s="129" t="n"/>
      <c r="BG260" s="129" t="n"/>
      <c r="BH260" s="129" t="n"/>
      <c r="BI260" s="129" t="n"/>
      <c r="BJ260" s="129" t="n"/>
      <c r="BK260" s="129" t="n"/>
      <c r="BL260" s="129" t="n"/>
      <c r="BM260" s="129" t="n"/>
      <c r="BN260" s="129" t="n"/>
      <c r="BO260" s="129" t="n"/>
      <c r="BP260" s="129" t="n"/>
      <c r="BQ260" s="129" t="n"/>
      <c r="BR260" s="129" t="n"/>
      <c r="BS260" s="129" t="n"/>
      <c r="BT260" s="129" t="n"/>
      <c r="BU260" s="129" t="n"/>
      <c r="BV260" s="129" t="n"/>
      <c r="BW260" s="129" t="n"/>
      <c r="BX260" s="129" t="n"/>
      <c r="BY260" s="129" t="n"/>
      <c r="BZ260" s="129" t="n"/>
      <c r="CA260" s="129" t="n"/>
      <c r="CB260" s="129" t="n"/>
      <c r="CC260" s="129" t="n"/>
      <c r="CD260" s="129" t="n"/>
      <c r="CE260" s="129" t="n"/>
      <c r="CF260" s="129" t="n"/>
      <c r="CG260" s="129" t="n"/>
      <c r="CH260" s="129" t="n"/>
      <c r="CI260" s="129" t="n"/>
      <c r="CJ260" s="129" t="n"/>
      <c r="CK260" s="129" t="n"/>
      <c r="CL260" s="129" t="n"/>
      <c r="CM260" s="129" t="n"/>
      <c r="CN260" s="129" t="n"/>
      <c r="CO260" s="129" t="n"/>
      <c r="CP260" s="129" t="n"/>
      <c r="CQ260" s="129" t="n"/>
      <c r="CR260" s="129" t="n"/>
      <c r="CS260" s="129" t="n"/>
      <c r="CT260" s="129" t="n"/>
      <c r="CU260" s="129" t="n"/>
      <c r="CV260" s="129" t="n"/>
      <c r="CW260" s="129" t="n"/>
      <c r="CX260" s="129" t="n"/>
      <c r="CY260" s="129" t="n"/>
      <c r="CZ260" s="129" t="n"/>
      <c r="DA260" s="129" t="n"/>
      <c r="DB260" s="129" t="n"/>
      <c r="DC260" s="129" t="n"/>
      <c r="DD260" s="129" t="n"/>
      <c r="DE260" s="129" t="n"/>
      <c r="DF260" s="129" t="n"/>
      <c r="DG260" s="129" t="n"/>
      <c r="DH260" s="129" t="n"/>
      <c r="DI260" s="129" t="n"/>
      <c r="DJ260" s="129" t="n"/>
      <c r="DK260" s="129" t="n"/>
      <c r="DL260" s="129" t="n"/>
      <c r="DM260" s="129" t="n"/>
      <c r="DN260" s="129" t="n"/>
      <c r="DO260" s="129" t="n"/>
      <c r="DP260" s="129" t="n"/>
      <c r="DQ260" s="129" t="n"/>
      <c r="DR260" s="129" t="n"/>
      <c r="DS260" s="129" t="n"/>
      <c r="DT260" s="129" t="n"/>
      <c r="DU260" s="129" t="n"/>
      <c r="DV260" s="129" t="n"/>
      <c r="DW260" s="129" t="n"/>
      <c r="DX260" s="129" t="n"/>
      <c r="DY260" s="129" t="n"/>
      <c r="DZ260" s="129" t="n"/>
      <c r="EA260" s="129" t="n"/>
      <c r="EB260" s="129" t="n"/>
      <c r="EC260" s="129" t="n"/>
      <c r="ED260" s="129" t="n"/>
      <c r="EE260" s="129" t="n"/>
      <c r="EF260" s="129" t="n"/>
      <c r="EG260" s="129" t="n"/>
      <c r="EH260" s="129" t="n"/>
      <c r="EI260" s="129" t="n"/>
      <c r="EJ260" s="129" t="n"/>
      <c r="EK260" s="129" t="n"/>
      <c r="EL260" s="129" t="n"/>
      <c r="EM260" s="129" t="n"/>
      <c r="EN260" s="129" t="n"/>
      <c r="EO260" s="129" t="n"/>
      <c r="EP260" s="129" t="n"/>
      <c r="EQ260" s="129" t="n"/>
      <c r="ER260" s="129" t="n"/>
      <c r="ES260" s="129" t="n"/>
      <c r="ET260" s="129" t="n"/>
      <c r="EU260" s="129" t="n"/>
      <c r="EV260" s="129" t="n"/>
      <c r="EW260" s="129" t="n"/>
      <c r="EX260" s="129" t="n"/>
      <c r="EY260" s="129" t="n"/>
      <c r="EZ260" s="129" t="n"/>
      <c r="FA260" s="129" t="n"/>
      <c r="FB260" s="129" t="n"/>
      <c r="FC260" s="129" t="n"/>
      <c r="FD260" s="129" t="n"/>
      <c r="FE260" s="129" t="n"/>
      <c r="FF260" s="129" t="n"/>
      <c r="FG260" s="129" t="n"/>
      <c r="FH260" s="129" t="n"/>
      <c r="FI260" s="129" t="n"/>
      <c r="FJ260" s="129" t="n"/>
      <c r="FK260" s="129" t="n"/>
      <c r="FL260" s="129" t="n"/>
      <c r="FM260" s="129" t="n"/>
    </row>
    <row r="261" s="135">
      <c r="A261" s="52" t="n">
        <v>40816</v>
      </c>
      <c r="B261" s="30" t="n">
        <v>0.138</v>
      </c>
      <c r="C261" s="29" t="n">
        <v>49.9</v>
      </c>
      <c r="D261" s="129" t="n"/>
      <c r="E261" s="129" t="n"/>
      <c r="F261" s="129" t="n"/>
      <c r="G261" s="129" t="n"/>
      <c r="H261" s="129" t="n"/>
      <c r="I261" s="129" t="n"/>
      <c r="J261" s="129" t="n"/>
      <c r="K261" s="129" t="n"/>
      <c r="L261" s="129" t="n"/>
      <c r="M261" s="129" t="n"/>
      <c r="N261" s="129" t="n"/>
      <c r="O261" s="129" t="n"/>
      <c r="P261" s="129" t="n"/>
      <c r="Q261" s="129" t="n"/>
      <c r="R261" s="129" t="n"/>
      <c r="S261" s="129" t="n"/>
      <c r="T261" s="129" t="n"/>
      <c r="U261" s="129" t="n"/>
      <c r="V261" s="129" t="n"/>
      <c r="W261" s="129" t="n"/>
      <c r="X261" s="129" t="n"/>
      <c r="Y261" s="129" t="n"/>
      <c r="Z261" s="129" t="n"/>
      <c r="AA261" s="129" t="n"/>
      <c r="AB261" s="129" t="n"/>
      <c r="AC261" s="129" t="n"/>
      <c r="AD261" s="129" t="n"/>
      <c r="AE261" s="129" t="n"/>
      <c r="AF261" s="129" t="n"/>
      <c r="AG261" s="129" t="n"/>
      <c r="AH261" s="129" t="n"/>
      <c r="AI261" s="129" t="n"/>
      <c r="AJ261" s="129" t="n"/>
      <c r="AK261" s="129" t="n"/>
      <c r="AL261" s="129" t="n"/>
      <c r="AM261" s="129" t="n"/>
      <c r="AN261" s="129" t="n"/>
      <c r="AO261" s="129" t="n"/>
      <c r="AP261" s="129" t="n"/>
      <c r="AQ261" s="129" t="n"/>
      <c r="AR261" s="129" t="n"/>
      <c r="AS261" s="129" t="n"/>
      <c r="AT261" s="129" t="n"/>
      <c r="AU261" s="129" t="n"/>
      <c r="AV261" s="129" t="n"/>
      <c r="AW261" s="129" t="n"/>
      <c r="AX261" s="129" t="n"/>
      <c r="AY261" s="129" t="n"/>
      <c r="AZ261" s="129" t="n"/>
      <c r="BA261" s="129" t="n"/>
      <c r="BB261" s="129" t="n"/>
      <c r="BC261" s="129" t="n"/>
      <c r="BD261" s="129" t="n"/>
      <c r="BE261" s="129" t="n"/>
      <c r="BF261" s="129" t="n"/>
      <c r="BG261" s="129" t="n"/>
      <c r="BH261" s="129" t="n"/>
      <c r="BI261" s="129" t="n"/>
      <c r="BJ261" s="129" t="n"/>
      <c r="BK261" s="129" t="n"/>
      <c r="BL261" s="129" t="n"/>
      <c r="BM261" s="129" t="n"/>
      <c r="BN261" s="129" t="n"/>
      <c r="BO261" s="129" t="n"/>
      <c r="BP261" s="129" t="n"/>
      <c r="BQ261" s="129" t="n"/>
      <c r="BR261" s="129" t="n"/>
      <c r="BS261" s="129" t="n"/>
      <c r="BT261" s="129" t="n"/>
      <c r="BU261" s="129" t="n"/>
      <c r="BV261" s="129" t="n"/>
      <c r="BW261" s="129" t="n"/>
      <c r="BX261" s="129" t="n"/>
      <c r="BY261" s="129" t="n"/>
      <c r="BZ261" s="129" t="n"/>
      <c r="CA261" s="129" t="n"/>
      <c r="CB261" s="129" t="n"/>
      <c r="CC261" s="129" t="n"/>
      <c r="CD261" s="129" t="n"/>
      <c r="CE261" s="129" t="n"/>
      <c r="CF261" s="129" t="n"/>
      <c r="CG261" s="129" t="n"/>
      <c r="CH261" s="129" t="n"/>
      <c r="CI261" s="129" t="n"/>
      <c r="CJ261" s="129" t="n"/>
      <c r="CK261" s="129" t="n"/>
      <c r="CL261" s="129" t="n"/>
      <c r="CM261" s="129" t="n"/>
      <c r="CN261" s="129" t="n"/>
      <c r="CO261" s="129" t="n"/>
      <c r="CP261" s="129" t="n"/>
      <c r="CQ261" s="129" t="n"/>
      <c r="CR261" s="129" t="n"/>
      <c r="CS261" s="129" t="n"/>
      <c r="CT261" s="129" t="n"/>
      <c r="CU261" s="129" t="n"/>
      <c r="CV261" s="129" t="n"/>
      <c r="CW261" s="129" t="n"/>
      <c r="CX261" s="129" t="n"/>
      <c r="CY261" s="129" t="n"/>
      <c r="CZ261" s="129" t="n"/>
      <c r="DA261" s="129" t="n"/>
      <c r="DB261" s="129" t="n"/>
      <c r="DC261" s="129" t="n"/>
      <c r="DD261" s="129" t="n"/>
      <c r="DE261" s="129" t="n"/>
      <c r="DF261" s="129" t="n"/>
      <c r="DG261" s="129" t="n"/>
      <c r="DH261" s="129" t="n"/>
      <c r="DI261" s="129" t="n"/>
      <c r="DJ261" s="129" t="n"/>
      <c r="DK261" s="129" t="n"/>
      <c r="DL261" s="129" t="n"/>
      <c r="DM261" s="129" t="n"/>
      <c r="DN261" s="129" t="n"/>
      <c r="DO261" s="129" t="n"/>
      <c r="DP261" s="129" t="n"/>
      <c r="DQ261" s="129" t="n"/>
      <c r="DR261" s="129" t="n"/>
      <c r="DS261" s="129" t="n"/>
      <c r="DT261" s="129" t="n"/>
      <c r="DU261" s="129" t="n"/>
      <c r="DV261" s="129" t="n"/>
      <c r="DW261" s="129" t="n"/>
      <c r="DX261" s="129" t="n"/>
      <c r="DY261" s="129" t="n"/>
      <c r="DZ261" s="129" t="n"/>
      <c r="EA261" s="129" t="n"/>
      <c r="EB261" s="129" t="n"/>
      <c r="EC261" s="129" t="n"/>
      <c r="ED261" s="129" t="n"/>
      <c r="EE261" s="129" t="n"/>
      <c r="EF261" s="129" t="n"/>
      <c r="EG261" s="129" t="n"/>
      <c r="EH261" s="129" t="n"/>
      <c r="EI261" s="129" t="n"/>
      <c r="EJ261" s="129" t="n"/>
      <c r="EK261" s="129" t="n"/>
      <c r="EL261" s="129" t="n"/>
      <c r="EM261" s="129" t="n"/>
      <c r="EN261" s="129" t="n"/>
      <c r="EO261" s="129" t="n"/>
      <c r="EP261" s="129" t="n"/>
      <c r="EQ261" s="129" t="n"/>
      <c r="ER261" s="129" t="n"/>
      <c r="ES261" s="129" t="n"/>
      <c r="ET261" s="129" t="n"/>
      <c r="EU261" s="129" t="n"/>
      <c r="EV261" s="129" t="n"/>
      <c r="EW261" s="129" t="n"/>
      <c r="EX261" s="129" t="n"/>
      <c r="EY261" s="129" t="n"/>
      <c r="EZ261" s="129" t="n"/>
      <c r="FA261" s="129" t="n"/>
      <c r="FB261" s="129" t="n"/>
      <c r="FC261" s="129" t="n"/>
      <c r="FD261" s="129" t="n"/>
      <c r="FE261" s="129" t="n"/>
      <c r="FF261" s="129" t="n"/>
      <c r="FG261" s="129" t="n"/>
      <c r="FH261" s="129" t="n"/>
      <c r="FI261" s="129" t="n"/>
      <c r="FJ261" s="129" t="n"/>
      <c r="FK261" s="129" t="n"/>
      <c r="FL261" s="129" t="n"/>
      <c r="FM261" s="129" t="n"/>
    </row>
    <row r="262" s="135">
      <c r="A262" s="53" t="n">
        <v>40847</v>
      </c>
      <c r="B262" s="54" t="n">
        <v>0.132</v>
      </c>
      <c r="C262" s="29" t="n">
        <v>51</v>
      </c>
      <c r="D262" s="129" t="n"/>
      <c r="E262" s="129" t="n"/>
      <c r="F262" s="129" t="n"/>
      <c r="G262" s="129" t="n"/>
      <c r="H262" s="129" t="n"/>
      <c r="I262" s="129" t="n"/>
      <c r="J262" s="129" t="n"/>
      <c r="K262" s="129" t="n"/>
      <c r="L262" s="129" t="n"/>
      <c r="M262" s="129" t="n"/>
      <c r="N262" s="129" t="n"/>
      <c r="O262" s="129" t="n"/>
      <c r="P262" s="129" t="n"/>
      <c r="Q262" s="129" t="n"/>
      <c r="R262" s="129" t="n"/>
      <c r="S262" s="129" t="n"/>
      <c r="T262" s="129" t="n"/>
      <c r="U262" s="129" t="n"/>
      <c r="V262" s="129" t="n"/>
      <c r="W262" s="129" t="n"/>
      <c r="X262" s="129" t="n"/>
      <c r="Y262" s="129" t="n"/>
      <c r="Z262" s="129" t="n"/>
      <c r="AA262" s="129" t="n"/>
      <c r="AB262" s="129" t="n"/>
      <c r="AC262" s="129" t="n"/>
      <c r="AD262" s="129" t="n"/>
      <c r="AE262" s="129" t="n"/>
      <c r="AF262" s="129" t="n"/>
      <c r="AG262" s="129" t="n"/>
      <c r="AH262" s="129" t="n"/>
      <c r="AI262" s="129" t="n"/>
      <c r="AJ262" s="129" t="n"/>
      <c r="AK262" s="129" t="n"/>
      <c r="AL262" s="129" t="n"/>
      <c r="AM262" s="129" t="n"/>
      <c r="AN262" s="129" t="n"/>
      <c r="AO262" s="129" t="n"/>
      <c r="AP262" s="129" t="n"/>
      <c r="AQ262" s="129" t="n"/>
      <c r="AR262" s="129" t="n"/>
      <c r="AS262" s="129" t="n"/>
      <c r="AT262" s="129" t="n"/>
      <c r="AU262" s="129" t="n"/>
      <c r="AV262" s="129" t="n"/>
      <c r="AW262" s="129" t="n"/>
      <c r="AX262" s="129" t="n"/>
      <c r="AY262" s="129" t="n"/>
      <c r="AZ262" s="129" t="n"/>
      <c r="BA262" s="129" t="n"/>
      <c r="BB262" s="129" t="n"/>
      <c r="BC262" s="129" t="n"/>
      <c r="BD262" s="129" t="n"/>
      <c r="BE262" s="129" t="n"/>
      <c r="BF262" s="129" t="n"/>
      <c r="BG262" s="129" t="n"/>
      <c r="BH262" s="129" t="n"/>
      <c r="BI262" s="129" t="n"/>
      <c r="BJ262" s="129" t="n"/>
      <c r="BK262" s="129" t="n"/>
      <c r="BL262" s="129" t="n"/>
      <c r="BM262" s="129" t="n"/>
      <c r="BN262" s="129" t="n"/>
      <c r="BO262" s="129" t="n"/>
      <c r="BP262" s="129" t="n"/>
      <c r="BQ262" s="129" t="n"/>
      <c r="BR262" s="129" t="n"/>
      <c r="BS262" s="129" t="n"/>
      <c r="BT262" s="129" t="n"/>
      <c r="BU262" s="129" t="n"/>
      <c r="BV262" s="129" t="n"/>
      <c r="BW262" s="129" t="n"/>
      <c r="BX262" s="129" t="n"/>
      <c r="BY262" s="129" t="n"/>
      <c r="BZ262" s="129" t="n"/>
      <c r="CA262" s="129" t="n"/>
      <c r="CB262" s="129" t="n"/>
      <c r="CC262" s="129" t="n"/>
      <c r="CD262" s="129" t="n"/>
      <c r="CE262" s="129" t="n"/>
      <c r="CF262" s="129" t="n"/>
      <c r="CG262" s="129" t="n"/>
      <c r="CH262" s="129" t="n"/>
      <c r="CI262" s="129" t="n"/>
      <c r="CJ262" s="129" t="n"/>
      <c r="CK262" s="129" t="n"/>
      <c r="CL262" s="129" t="n"/>
      <c r="CM262" s="129" t="n"/>
      <c r="CN262" s="129" t="n"/>
      <c r="CO262" s="129" t="n"/>
      <c r="CP262" s="129" t="n"/>
      <c r="CQ262" s="129" t="n"/>
      <c r="CR262" s="129" t="n"/>
      <c r="CS262" s="129" t="n"/>
      <c r="CT262" s="129" t="n"/>
      <c r="CU262" s="129" t="n"/>
      <c r="CV262" s="129" t="n"/>
      <c r="CW262" s="129" t="n"/>
      <c r="CX262" s="129" t="n"/>
      <c r="CY262" s="129" t="n"/>
      <c r="CZ262" s="129" t="n"/>
      <c r="DA262" s="129" t="n"/>
      <c r="DB262" s="129" t="n"/>
      <c r="DC262" s="129" t="n"/>
      <c r="DD262" s="129" t="n"/>
      <c r="DE262" s="129" t="n"/>
      <c r="DF262" s="129" t="n"/>
      <c r="DG262" s="129" t="n"/>
      <c r="DH262" s="129" t="n"/>
      <c r="DI262" s="129" t="n"/>
      <c r="DJ262" s="129" t="n"/>
      <c r="DK262" s="129" t="n"/>
      <c r="DL262" s="129" t="n"/>
      <c r="DM262" s="129" t="n"/>
      <c r="DN262" s="129" t="n"/>
      <c r="DO262" s="129" t="n"/>
      <c r="DP262" s="129" t="n"/>
      <c r="DQ262" s="129" t="n"/>
      <c r="DR262" s="129" t="n"/>
      <c r="DS262" s="129" t="n"/>
      <c r="DT262" s="129" t="n"/>
      <c r="DU262" s="129" t="n"/>
      <c r="DV262" s="129" t="n"/>
      <c r="DW262" s="129" t="n"/>
      <c r="DX262" s="129" t="n"/>
      <c r="DY262" s="129" t="n"/>
      <c r="DZ262" s="129" t="n"/>
      <c r="EA262" s="129" t="n"/>
      <c r="EB262" s="129" t="n"/>
      <c r="EC262" s="129" t="n"/>
      <c r="ED262" s="129" t="n"/>
      <c r="EE262" s="129" t="n"/>
      <c r="EF262" s="129" t="n"/>
      <c r="EG262" s="129" t="n"/>
      <c r="EH262" s="129" t="n"/>
      <c r="EI262" s="129" t="n"/>
      <c r="EJ262" s="129" t="n"/>
      <c r="EK262" s="129" t="n"/>
      <c r="EL262" s="129" t="n"/>
      <c r="EM262" s="129" t="n"/>
      <c r="EN262" s="129" t="n"/>
      <c r="EO262" s="129" t="n"/>
      <c r="EP262" s="129" t="n"/>
      <c r="EQ262" s="129" t="n"/>
      <c r="ER262" s="129" t="n"/>
      <c r="ES262" s="129" t="n"/>
      <c r="ET262" s="129" t="n"/>
      <c r="EU262" s="129" t="n"/>
      <c r="EV262" s="129" t="n"/>
      <c r="EW262" s="129" t="n"/>
      <c r="EX262" s="129" t="n"/>
      <c r="EY262" s="129" t="n"/>
      <c r="EZ262" s="129" t="n"/>
      <c r="FA262" s="129" t="n"/>
      <c r="FB262" s="129" t="n"/>
      <c r="FC262" s="129" t="n"/>
      <c r="FD262" s="129" t="n"/>
      <c r="FE262" s="129" t="n"/>
      <c r="FF262" s="129" t="n"/>
      <c r="FG262" s="129" t="n"/>
      <c r="FH262" s="129" t="n"/>
      <c r="FI262" s="129" t="n"/>
      <c r="FJ262" s="129" t="n"/>
      <c r="FK262" s="129" t="n"/>
      <c r="FL262" s="129" t="n"/>
      <c r="FM262" s="129" t="n"/>
    </row>
    <row r="263" s="135">
      <c r="A263" s="52" t="n">
        <v>40877</v>
      </c>
      <c r="B263" s="30" t="n">
        <v>0.124</v>
      </c>
      <c r="C263" s="29" t="n">
        <v>47.7</v>
      </c>
      <c r="D263" s="129" t="n"/>
      <c r="E263" s="129" t="n"/>
      <c r="F263" s="129" t="n"/>
      <c r="G263" s="129" t="n"/>
      <c r="H263" s="129" t="n"/>
      <c r="I263" s="129" t="n"/>
      <c r="J263" s="129" t="n"/>
      <c r="K263" s="129" t="n"/>
      <c r="L263" s="129" t="n"/>
      <c r="M263" s="129" t="n"/>
      <c r="N263" s="129" t="n"/>
      <c r="O263" s="129" t="n"/>
      <c r="P263" s="129" t="n"/>
      <c r="Q263" s="129" t="n"/>
      <c r="R263" s="129" t="n"/>
      <c r="S263" s="129" t="n"/>
      <c r="T263" s="129" t="n"/>
      <c r="U263" s="129" t="n"/>
      <c r="V263" s="129" t="n"/>
      <c r="W263" s="129" t="n"/>
      <c r="X263" s="129" t="n"/>
      <c r="Y263" s="129" t="n"/>
      <c r="Z263" s="129" t="n"/>
      <c r="AA263" s="129" t="n"/>
      <c r="AB263" s="129" t="n"/>
      <c r="AC263" s="129" t="n"/>
      <c r="AD263" s="129" t="n"/>
      <c r="AE263" s="129" t="n"/>
      <c r="AF263" s="129" t="n"/>
      <c r="AG263" s="129" t="n"/>
      <c r="AH263" s="129" t="n"/>
      <c r="AI263" s="129" t="n"/>
      <c r="AJ263" s="129" t="n"/>
      <c r="AK263" s="129" t="n"/>
      <c r="AL263" s="129" t="n"/>
      <c r="AM263" s="129" t="n"/>
      <c r="AN263" s="129" t="n"/>
      <c r="AO263" s="129" t="n"/>
      <c r="AP263" s="129" t="n"/>
      <c r="AQ263" s="129" t="n"/>
      <c r="AR263" s="129" t="n"/>
      <c r="AS263" s="129" t="n"/>
      <c r="AT263" s="129" t="n"/>
      <c r="AU263" s="129" t="n"/>
      <c r="AV263" s="129" t="n"/>
      <c r="AW263" s="129" t="n"/>
      <c r="AX263" s="129" t="n"/>
      <c r="AY263" s="129" t="n"/>
      <c r="AZ263" s="129" t="n"/>
      <c r="BA263" s="129" t="n"/>
      <c r="BB263" s="129" t="n"/>
      <c r="BC263" s="129" t="n"/>
      <c r="BD263" s="129" t="n"/>
      <c r="BE263" s="129" t="n"/>
      <c r="BF263" s="129" t="n"/>
      <c r="BG263" s="129" t="n"/>
      <c r="BH263" s="129" t="n"/>
      <c r="BI263" s="129" t="n"/>
      <c r="BJ263" s="129" t="n"/>
      <c r="BK263" s="129" t="n"/>
      <c r="BL263" s="129" t="n"/>
      <c r="BM263" s="129" t="n"/>
      <c r="BN263" s="129" t="n"/>
      <c r="BO263" s="129" t="n"/>
      <c r="BP263" s="129" t="n"/>
      <c r="BQ263" s="129" t="n"/>
      <c r="BR263" s="129" t="n"/>
      <c r="BS263" s="129" t="n"/>
      <c r="BT263" s="129" t="n"/>
      <c r="BU263" s="129" t="n"/>
      <c r="BV263" s="129" t="n"/>
      <c r="BW263" s="129" t="n"/>
      <c r="BX263" s="129" t="n"/>
      <c r="BY263" s="129" t="n"/>
      <c r="BZ263" s="129" t="n"/>
      <c r="CA263" s="129" t="n"/>
      <c r="CB263" s="129" t="n"/>
      <c r="CC263" s="129" t="n"/>
      <c r="CD263" s="129" t="n"/>
      <c r="CE263" s="129" t="n"/>
      <c r="CF263" s="129" t="n"/>
      <c r="CG263" s="129" t="n"/>
      <c r="CH263" s="129" t="n"/>
      <c r="CI263" s="129" t="n"/>
      <c r="CJ263" s="129" t="n"/>
      <c r="CK263" s="129" t="n"/>
      <c r="CL263" s="129" t="n"/>
      <c r="CM263" s="129" t="n"/>
      <c r="CN263" s="129" t="n"/>
      <c r="CO263" s="129" t="n"/>
      <c r="CP263" s="129" t="n"/>
      <c r="CQ263" s="129" t="n"/>
      <c r="CR263" s="129" t="n"/>
      <c r="CS263" s="129" t="n"/>
      <c r="CT263" s="129" t="n"/>
      <c r="CU263" s="129" t="n"/>
      <c r="CV263" s="129" t="n"/>
      <c r="CW263" s="129" t="n"/>
      <c r="CX263" s="129" t="n"/>
      <c r="CY263" s="129" t="n"/>
      <c r="CZ263" s="129" t="n"/>
      <c r="DA263" s="129" t="n"/>
      <c r="DB263" s="129" t="n"/>
      <c r="DC263" s="129" t="n"/>
      <c r="DD263" s="129" t="n"/>
      <c r="DE263" s="129" t="n"/>
      <c r="DF263" s="129" t="n"/>
      <c r="DG263" s="129" t="n"/>
      <c r="DH263" s="129" t="n"/>
      <c r="DI263" s="129" t="n"/>
      <c r="DJ263" s="129" t="n"/>
      <c r="DK263" s="129" t="n"/>
      <c r="DL263" s="129" t="n"/>
      <c r="DM263" s="129" t="n"/>
      <c r="DN263" s="129" t="n"/>
      <c r="DO263" s="129" t="n"/>
      <c r="DP263" s="129" t="n"/>
      <c r="DQ263" s="129" t="n"/>
      <c r="DR263" s="129" t="n"/>
      <c r="DS263" s="129" t="n"/>
      <c r="DT263" s="129" t="n"/>
      <c r="DU263" s="129" t="n"/>
      <c r="DV263" s="129" t="n"/>
      <c r="DW263" s="129" t="n"/>
      <c r="DX263" s="129" t="n"/>
      <c r="DY263" s="129" t="n"/>
      <c r="DZ263" s="129" t="n"/>
      <c r="EA263" s="129" t="n"/>
      <c r="EB263" s="129" t="n"/>
      <c r="EC263" s="129" t="n"/>
      <c r="ED263" s="129" t="n"/>
      <c r="EE263" s="129" t="n"/>
      <c r="EF263" s="129" t="n"/>
      <c r="EG263" s="129" t="n"/>
      <c r="EH263" s="129" t="n"/>
      <c r="EI263" s="129" t="n"/>
      <c r="EJ263" s="129" t="n"/>
      <c r="EK263" s="129" t="n"/>
      <c r="EL263" s="129" t="n"/>
      <c r="EM263" s="129" t="n"/>
      <c r="EN263" s="129" t="n"/>
      <c r="EO263" s="129" t="n"/>
      <c r="EP263" s="129" t="n"/>
      <c r="EQ263" s="129" t="n"/>
      <c r="ER263" s="129" t="n"/>
      <c r="ES263" s="129" t="n"/>
      <c r="ET263" s="129" t="n"/>
      <c r="EU263" s="129" t="n"/>
      <c r="EV263" s="129" t="n"/>
      <c r="EW263" s="129" t="n"/>
      <c r="EX263" s="129" t="n"/>
      <c r="EY263" s="129" t="n"/>
      <c r="EZ263" s="129" t="n"/>
      <c r="FA263" s="129" t="n"/>
      <c r="FB263" s="129" t="n"/>
      <c r="FC263" s="129" t="n"/>
      <c r="FD263" s="129" t="n"/>
      <c r="FE263" s="129" t="n"/>
      <c r="FF263" s="129" t="n"/>
      <c r="FG263" s="129" t="n"/>
      <c r="FH263" s="129" t="n"/>
      <c r="FI263" s="129" t="n"/>
      <c r="FJ263" s="129" t="n"/>
      <c r="FK263" s="129" t="n"/>
      <c r="FL263" s="129" t="n"/>
      <c r="FM263" s="129" t="n"/>
    </row>
    <row r="264" s="135">
      <c r="A264" s="53" t="n">
        <v>40908</v>
      </c>
      <c r="B264" s="54" t="n">
        <v>0.128</v>
      </c>
      <c r="C264" s="29" t="n">
        <v>48.7</v>
      </c>
      <c r="D264" s="129" t="n"/>
      <c r="E264" s="129" t="n"/>
      <c r="F264" s="129" t="n"/>
      <c r="G264" s="129" t="n"/>
      <c r="H264" s="129" t="n"/>
      <c r="I264" s="129" t="n"/>
      <c r="J264" s="129" t="n"/>
      <c r="K264" s="129" t="n"/>
      <c r="L264" s="129" t="n"/>
      <c r="M264" s="129" t="n"/>
      <c r="N264" s="129" t="n"/>
      <c r="O264" s="129" t="n"/>
      <c r="P264" s="129" t="n"/>
      <c r="Q264" s="129" t="n"/>
      <c r="R264" s="129" t="n"/>
      <c r="S264" s="129" t="n"/>
      <c r="T264" s="129" t="n"/>
      <c r="U264" s="129" t="n"/>
      <c r="V264" s="129" t="n"/>
      <c r="W264" s="129" t="n"/>
      <c r="X264" s="129" t="n"/>
      <c r="Y264" s="129" t="n"/>
      <c r="Z264" s="129" t="n"/>
      <c r="AA264" s="129" t="n"/>
      <c r="AB264" s="129" t="n"/>
      <c r="AC264" s="129" t="n"/>
      <c r="AD264" s="129" t="n"/>
      <c r="AE264" s="129" t="n"/>
      <c r="AF264" s="129" t="n"/>
      <c r="AG264" s="129" t="n"/>
      <c r="AH264" s="129" t="n"/>
      <c r="AI264" s="129" t="n"/>
      <c r="AJ264" s="129" t="n"/>
      <c r="AK264" s="129" t="n"/>
      <c r="AL264" s="129" t="n"/>
      <c r="AM264" s="129" t="n"/>
      <c r="AN264" s="129" t="n"/>
      <c r="AO264" s="129" t="n"/>
      <c r="AP264" s="129" t="n"/>
      <c r="AQ264" s="129" t="n"/>
      <c r="AR264" s="129" t="n"/>
      <c r="AS264" s="129" t="n"/>
      <c r="AT264" s="129" t="n"/>
      <c r="AU264" s="129" t="n"/>
      <c r="AV264" s="129" t="n"/>
      <c r="AW264" s="129" t="n"/>
      <c r="AX264" s="129" t="n"/>
      <c r="AY264" s="129" t="n"/>
      <c r="AZ264" s="129" t="n"/>
      <c r="BA264" s="129" t="n"/>
      <c r="BB264" s="129" t="n"/>
      <c r="BC264" s="129" t="n"/>
      <c r="BD264" s="129" t="n"/>
      <c r="BE264" s="129" t="n"/>
      <c r="BF264" s="129" t="n"/>
      <c r="BG264" s="129" t="n"/>
      <c r="BH264" s="129" t="n"/>
      <c r="BI264" s="129" t="n"/>
      <c r="BJ264" s="129" t="n"/>
      <c r="BK264" s="129" t="n"/>
      <c r="BL264" s="129" t="n"/>
      <c r="BM264" s="129" t="n"/>
      <c r="BN264" s="129" t="n"/>
      <c r="BO264" s="129" t="n"/>
      <c r="BP264" s="129" t="n"/>
      <c r="BQ264" s="129" t="n"/>
      <c r="BR264" s="129" t="n"/>
      <c r="BS264" s="129" t="n"/>
      <c r="BT264" s="129" t="n"/>
      <c r="BU264" s="129" t="n"/>
      <c r="BV264" s="129" t="n"/>
      <c r="BW264" s="129" t="n"/>
      <c r="BX264" s="129" t="n"/>
      <c r="BY264" s="129" t="n"/>
      <c r="BZ264" s="129" t="n"/>
      <c r="CA264" s="129" t="n"/>
      <c r="CB264" s="129" t="n"/>
      <c r="CC264" s="129" t="n"/>
      <c r="CD264" s="129" t="n"/>
      <c r="CE264" s="129" t="n"/>
      <c r="CF264" s="129" t="n"/>
      <c r="CG264" s="129" t="n"/>
      <c r="CH264" s="129" t="n"/>
      <c r="CI264" s="129" t="n"/>
      <c r="CJ264" s="129" t="n"/>
      <c r="CK264" s="129" t="n"/>
      <c r="CL264" s="129" t="n"/>
      <c r="CM264" s="129" t="n"/>
      <c r="CN264" s="129" t="n"/>
      <c r="CO264" s="129" t="n"/>
      <c r="CP264" s="129" t="n"/>
      <c r="CQ264" s="129" t="n"/>
      <c r="CR264" s="129" t="n"/>
      <c r="CS264" s="129" t="n"/>
      <c r="CT264" s="129" t="n"/>
      <c r="CU264" s="129" t="n"/>
      <c r="CV264" s="129" t="n"/>
      <c r="CW264" s="129" t="n"/>
      <c r="CX264" s="129" t="n"/>
      <c r="CY264" s="129" t="n"/>
      <c r="CZ264" s="129" t="n"/>
      <c r="DA264" s="129" t="n"/>
      <c r="DB264" s="129" t="n"/>
      <c r="DC264" s="129" t="n"/>
      <c r="DD264" s="129" t="n"/>
      <c r="DE264" s="129" t="n"/>
      <c r="DF264" s="129" t="n"/>
      <c r="DG264" s="129" t="n"/>
      <c r="DH264" s="129" t="n"/>
      <c r="DI264" s="129" t="n"/>
      <c r="DJ264" s="129" t="n"/>
      <c r="DK264" s="129" t="n"/>
      <c r="DL264" s="129" t="n"/>
      <c r="DM264" s="129" t="n"/>
      <c r="DN264" s="129" t="n"/>
      <c r="DO264" s="129" t="n"/>
      <c r="DP264" s="129" t="n"/>
      <c r="DQ264" s="129" t="n"/>
      <c r="DR264" s="129" t="n"/>
      <c r="DS264" s="129" t="n"/>
      <c r="DT264" s="129" t="n"/>
      <c r="DU264" s="129" t="n"/>
      <c r="DV264" s="129" t="n"/>
      <c r="DW264" s="129" t="n"/>
      <c r="DX264" s="129" t="n"/>
      <c r="DY264" s="129" t="n"/>
      <c r="DZ264" s="129" t="n"/>
      <c r="EA264" s="129" t="n"/>
      <c r="EB264" s="129" t="n"/>
      <c r="EC264" s="129" t="n"/>
      <c r="ED264" s="129" t="n"/>
      <c r="EE264" s="129" t="n"/>
      <c r="EF264" s="129" t="n"/>
      <c r="EG264" s="129" t="n"/>
      <c r="EH264" s="129" t="n"/>
      <c r="EI264" s="129" t="n"/>
      <c r="EJ264" s="129" t="n"/>
      <c r="EK264" s="129" t="n"/>
      <c r="EL264" s="129" t="n"/>
      <c r="EM264" s="129" t="n"/>
      <c r="EN264" s="129" t="n"/>
      <c r="EO264" s="129" t="n"/>
      <c r="EP264" s="129" t="n"/>
      <c r="EQ264" s="129" t="n"/>
      <c r="ER264" s="129" t="n"/>
      <c r="ES264" s="129" t="n"/>
      <c r="ET264" s="129" t="n"/>
      <c r="EU264" s="129" t="n"/>
      <c r="EV264" s="129" t="n"/>
      <c r="EW264" s="129" t="n"/>
      <c r="EX264" s="129" t="n"/>
      <c r="EY264" s="129" t="n"/>
      <c r="EZ264" s="129" t="n"/>
      <c r="FA264" s="129" t="n"/>
      <c r="FB264" s="129" t="n"/>
      <c r="FC264" s="129" t="n"/>
      <c r="FD264" s="129" t="n"/>
      <c r="FE264" s="129" t="n"/>
      <c r="FF264" s="129" t="n"/>
      <c r="FG264" s="129" t="n"/>
      <c r="FH264" s="129" t="n"/>
      <c r="FI264" s="129" t="n"/>
      <c r="FJ264" s="129" t="n"/>
      <c r="FK264" s="129" t="n"/>
      <c r="FL264" s="129" t="n"/>
      <c r="FM264" s="129" t="n"/>
    </row>
    <row r="265" s="135">
      <c r="A265" s="52" t="n">
        <v>40968</v>
      </c>
      <c r="B265" s="30" t="n">
        <v>0.114</v>
      </c>
      <c r="C265" s="29" t="n">
        <v>49.6</v>
      </c>
      <c r="D265" s="129" t="n"/>
      <c r="E265" s="129" t="n"/>
      <c r="F265" s="129" t="n"/>
      <c r="G265" s="129" t="n"/>
      <c r="H265" s="129" t="n"/>
      <c r="I265" s="129" t="n"/>
      <c r="J265" s="129" t="n"/>
      <c r="K265" s="129" t="n"/>
      <c r="L265" s="129" t="n"/>
      <c r="M265" s="129" t="n"/>
      <c r="N265" s="129" t="n"/>
      <c r="O265" s="129" t="n"/>
      <c r="P265" s="129" t="n"/>
      <c r="Q265" s="129" t="n"/>
      <c r="R265" s="129" t="n"/>
      <c r="S265" s="129" t="n"/>
      <c r="T265" s="129" t="n"/>
      <c r="U265" s="129" t="n"/>
      <c r="V265" s="129" t="n"/>
      <c r="W265" s="129" t="n"/>
      <c r="X265" s="129" t="n"/>
      <c r="Y265" s="129" t="n"/>
      <c r="Z265" s="129" t="n"/>
      <c r="AA265" s="129" t="n"/>
      <c r="AB265" s="129" t="n"/>
      <c r="AC265" s="129" t="n"/>
      <c r="AD265" s="129" t="n"/>
      <c r="AE265" s="129" t="n"/>
      <c r="AF265" s="129" t="n"/>
      <c r="AG265" s="129" t="n"/>
      <c r="AH265" s="129" t="n"/>
      <c r="AI265" s="129" t="n"/>
      <c r="AJ265" s="129" t="n"/>
      <c r="AK265" s="129" t="n"/>
      <c r="AL265" s="129" t="n"/>
      <c r="AM265" s="129" t="n"/>
      <c r="AN265" s="129" t="n"/>
      <c r="AO265" s="129" t="n"/>
      <c r="AP265" s="129" t="n"/>
      <c r="AQ265" s="129" t="n"/>
      <c r="AR265" s="129" t="n"/>
      <c r="AS265" s="129" t="n"/>
      <c r="AT265" s="129" t="n"/>
      <c r="AU265" s="129" t="n"/>
      <c r="AV265" s="129" t="n"/>
      <c r="AW265" s="129" t="n"/>
      <c r="AX265" s="129" t="n"/>
      <c r="AY265" s="129" t="n"/>
      <c r="AZ265" s="129" t="n"/>
      <c r="BA265" s="129" t="n"/>
      <c r="BB265" s="129" t="n"/>
      <c r="BC265" s="129" t="n"/>
      <c r="BD265" s="129" t="n"/>
      <c r="BE265" s="129" t="n"/>
      <c r="BF265" s="129" t="n"/>
      <c r="BG265" s="129" t="n"/>
      <c r="BH265" s="129" t="n"/>
      <c r="BI265" s="129" t="n"/>
      <c r="BJ265" s="129" t="n"/>
      <c r="BK265" s="129" t="n"/>
      <c r="BL265" s="129" t="n"/>
      <c r="BM265" s="129" t="n"/>
      <c r="BN265" s="129" t="n"/>
      <c r="BO265" s="129" t="n"/>
      <c r="BP265" s="129" t="n"/>
      <c r="BQ265" s="129" t="n"/>
      <c r="BR265" s="129" t="n"/>
      <c r="BS265" s="129" t="n"/>
      <c r="BT265" s="129" t="n"/>
      <c r="BU265" s="129" t="n"/>
      <c r="BV265" s="129" t="n"/>
      <c r="BW265" s="129" t="n"/>
      <c r="BX265" s="129" t="n"/>
      <c r="BY265" s="129" t="n"/>
      <c r="BZ265" s="129" t="n"/>
      <c r="CA265" s="129" t="n"/>
      <c r="CB265" s="129" t="n"/>
      <c r="CC265" s="129" t="n"/>
      <c r="CD265" s="129" t="n"/>
      <c r="CE265" s="129" t="n"/>
      <c r="CF265" s="129" t="n"/>
      <c r="CG265" s="129" t="n"/>
      <c r="CH265" s="129" t="n"/>
      <c r="CI265" s="129" t="n"/>
      <c r="CJ265" s="129" t="n"/>
      <c r="CK265" s="129" t="n"/>
      <c r="CL265" s="129" t="n"/>
      <c r="CM265" s="129" t="n"/>
      <c r="CN265" s="129" t="n"/>
      <c r="CO265" s="129" t="n"/>
      <c r="CP265" s="129" t="n"/>
      <c r="CQ265" s="129" t="n"/>
      <c r="CR265" s="129" t="n"/>
      <c r="CS265" s="129" t="n"/>
      <c r="CT265" s="129" t="n"/>
      <c r="CU265" s="129" t="n"/>
      <c r="CV265" s="129" t="n"/>
      <c r="CW265" s="129" t="n"/>
      <c r="CX265" s="129" t="n"/>
      <c r="CY265" s="129" t="n"/>
      <c r="CZ265" s="129" t="n"/>
      <c r="DA265" s="129" t="n"/>
      <c r="DB265" s="129" t="n"/>
      <c r="DC265" s="129" t="n"/>
      <c r="DD265" s="129" t="n"/>
      <c r="DE265" s="129" t="n"/>
      <c r="DF265" s="129" t="n"/>
      <c r="DG265" s="129" t="n"/>
      <c r="DH265" s="129" t="n"/>
      <c r="DI265" s="129" t="n"/>
      <c r="DJ265" s="129" t="n"/>
      <c r="DK265" s="129" t="n"/>
      <c r="DL265" s="129" t="n"/>
      <c r="DM265" s="129" t="n"/>
      <c r="DN265" s="129" t="n"/>
      <c r="DO265" s="129" t="n"/>
      <c r="DP265" s="129" t="n"/>
      <c r="DQ265" s="129" t="n"/>
      <c r="DR265" s="129" t="n"/>
      <c r="DS265" s="129" t="n"/>
      <c r="DT265" s="129" t="n"/>
      <c r="DU265" s="129" t="n"/>
      <c r="DV265" s="129" t="n"/>
      <c r="DW265" s="129" t="n"/>
      <c r="DX265" s="129" t="n"/>
      <c r="DY265" s="129" t="n"/>
      <c r="DZ265" s="129" t="n"/>
      <c r="EA265" s="129" t="n"/>
      <c r="EB265" s="129" t="n"/>
      <c r="EC265" s="129" t="n"/>
      <c r="ED265" s="129" t="n"/>
      <c r="EE265" s="129" t="n"/>
      <c r="EF265" s="129" t="n"/>
      <c r="EG265" s="129" t="n"/>
      <c r="EH265" s="129" t="n"/>
      <c r="EI265" s="129" t="n"/>
      <c r="EJ265" s="129" t="n"/>
      <c r="EK265" s="129" t="n"/>
      <c r="EL265" s="129" t="n"/>
      <c r="EM265" s="129" t="n"/>
      <c r="EN265" s="129" t="n"/>
      <c r="EO265" s="129" t="n"/>
      <c r="EP265" s="129" t="n"/>
      <c r="EQ265" s="129" t="n"/>
      <c r="ER265" s="129" t="n"/>
      <c r="ES265" s="129" t="n"/>
      <c r="ET265" s="129" t="n"/>
      <c r="EU265" s="129" t="n"/>
      <c r="EV265" s="129" t="n"/>
      <c r="EW265" s="129" t="n"/>
      <c r="EX265" s="129" t="n"/>
      <c r="EY265" s="129" t="n"/>
      <c r="EZ265" s="129" t="n"/>
      <c r="FA265" s="129" t="n"/>
      <c r="FB265" s="129" t="n"/>
      <c r="FC265" s="129" t="n"/>
      <c r="FD265" s="129" t="n"/>
      <c r="FE265" s="129" t="n"/>
      <c r="FF265" s="129" t="n"/>
      <c r="FG265" s="129" t="n"/>
      <c r="FH265" s="129" t="n"/>
      <c r="FI265" s="129" t="n"/>
      <c r="FJ265" s="129" t="n"/>
      <c r="FK265" s="129" t="n"/>
      <c r="FL265" s="129" t="n"/>
      <c r="FM265" s="129" t="n"/>
    </row>
    <row r="266" s="135">
      <c r="A266" s="53" t="n">
        <v>40999</v>
      </c>
      <c r="B266" s="54" t="n">
        <v>0.119</v>
      </c>
      <c r="C266" s="29" t="n">
        <v>48.3</v>
      </c>
      <c r="D266" s="129" t="n"/>
      <c r="E266" s="129" t="n"/>
      <c r="F266" s="129" t="n"/>
      <c r="G266" s="129" t="n"/>
      <c r="H266" s="129" t="n"/>
      <c r="I266" s="129" t="n"/>
      <c r="J266" s="129" t="n"/>
      <c r="K266" s="129" t="n"/>
      <c r="L266" s="129" t="n"/>
      <c r="M266" s="129" t="n"/>
      <c r="N266" s="129" t="n"/>
      <c r="O266" s="129" t="n"/>
      <c r="P266" s="129" t="n"/>
      <c r="Q266" s="129" t="n"/>
      <c r="R266" s="129" t="n"/>
      <c r="S266" s="129" t="n"/>
      <c r="T266" s="129" t="n"/>
      <c r="U266" s="129" t="n"/>
      <c r="V266" s="129" t="n"/>
      <c r="W266" s="129" t="n"/>
      <c r="X266" s="129" t="n"/>
      <c r="Y266" s="129" t="n"/>
      <c r="Z266" s="129" t="n"/>
      <c r="AA266" s="129" t="n"/>
      <c r="AB266" s="129" t="n"/>
      <c r="AC266" s="129" t="n"/>
      <c r="AD266" s="129" t="n"/>
      <c r="AE266" s="129" t="n"/>
      <c r="AF266" s="129" t="n"/>
      <c r="AG266" s="129" t="n"/>
      <c r="AH266" s="129" t="n"/>
      <c r="AI266" s="129" t="n"/>
      <c r="AJ266" s="129" t="n"/>
      <c r="AK266" s="129" t="n"/>
      <c r="AL266" s="129" t="n"/>
      <c r="AM266" s="129" t="n"/>
      <c r="AN266" s="129" t="n"/>
      <c r="AO266" s="129" t="n"/>
      <c r="AP266" s="129" t="n"/>
      <c r="AQ266" s="129" t="n"/>
      <c r="AR266" s="129" t="n"/>
      <c r="AS266" s="129" t="n"/>
      <c r="AT266" s="129" t="n"/>
      <c r="AU266" s="129" t="n"/>
      <c r="AV266" s="129" t="n"/>
      <c r="AW266" s="129" t="n"/>
      <c r="AX266" s="129" t="n"/>
      <c r="AY266" s="129" t="n"/>
      <c r="AZ266" s="129" t="n"/>
      <c r="BA266" s="129" t="n"/>
      <c r="BB266" s="129" t="n"/>
      <c r="BC266" s="129" t="n"/>
      <c r="BD266" s="129" t="n"/>
      <c r="BE266" s="129" t="n"/>
      <c r="BF266" s="129" t="n"/>
      <c r="BG266" s="129" t="n"/>
      <c r="BH266" s="129" t="n"/>
      <c r="BI266" s="129" t="n"/>
      <c r="BJ266" s="129" t="n"/>
      <c r="BK266" s="129" t="n"/>
      <c r="BL266" s="129" t="n"/>
      <c r="BM266" s="129" t="n"/>
      <c r="BN266" s="129" t="n"/>
      <c r="BO266" s="129" t="n"/>
      <c r="BP266" s="129" t="n"/>
      <c r="BQ266" s="129" t="n"/>
      <c r="BR266" s="129" t="n"/>
      <c r="BS266" s="129" t="n"/>
      <c r="BT266" s="129" t="n"/>
      <c r="BU266" s="129" t="n"/>
      <c r="BV266" s="129" t="n"/>
      <c r="BW266" s="129" t="n"/>
      <c r="BX266" s="129" t="n"/>
      <c r="BY266" s="129" t="n"/>
      <c r="BZ266" s="129" t="n"/>
      <c r="CA266" s="129" t="n"/>
      <c r="CB266" s="129" t="n"/>
      <c r="CC266" s="129" t="n"/>
      <c r="CD266" s="129" t="n"/>
      <c r="CE266" s="129" t="n"/>
      <c r="CF266" s="129" t="n"/>
      <c r="CG266" s="129" t="n"/>
      <c r="CH266" s="129" t="n"/>
      <c r="CI266" s="129" t="n"/>
      <c r="CJ266" s="129" t="n"/>
      <c r="CK266" s="129" t="n"/>
      <c r="CL266" s="129" t="n"/>
      <c r="CM266" s="129" t="n"/>
      <c r="CN266" s="129" t="n"/>
      <c r="CO266" s="129" t="n"/>
      <c r="CP266" s="129" t="n"/>
      <c r="CQ266" s="129" t="n"/>
      <c r="CR266" s="129" t="n"/>
      <c r="CS266" s="129" t="n"/>
      <c r="CT266" s="129" t="n"/>
      <c r="CU266" s="129" t="n"/>
      <c r="CV266" s="129" t="n"/>
      <c r="CW266" s="129" t="n"/>
      <c r="CX266" s="129" t="n"/>
      <c r="CY266" s="129" t="n"/>
      <c r="CZ266" s="129" t="n"/>
      <c r="DA266" s="129" t="n"/>
      <c r="DB266" s="129" t="n"/>
      <c r="DC266" s="129" t="n"/>
      <c r="DD266" s="129" t="n"/>
      <c r="DE266" s="129" t="n"/>
      <c r="DF266" s="129" t="n"/>
      <c r="DG266" s="129" t="n"/>
      <c r="DH266" s="129" t="n"/>
      <c r="DI266" s="129" t="n"/>
      <c r="DJ266" s="129" t="n"/>
      <c r="DK266" s="129" t="n"/>
      <c r="DL266" s="129" t="n"/>
      <c r="DM266" s="129" t="n"/>
      <c r="DN266" s="129" t="n"/>
      <c r="DO266" s="129" t="n"/>
      <c r="DP266" s="129" t="n"/>
      <c r="DQ266" s="129" t="n"/>
      <c r="DR266" s="129" t="n"/>
      <c r="DS266" s="129" t="n"/>
      <c r="DT266" s="129" t="n"/>
      <c r="DU266" s="129" t="n"/>
      <c r="DV266" s="129" t="n"/>
      <c r="DW266" s="129" t="n"/>
      <c r="DX266" s="129" t="n"/>
      <c r="DY266" s="129" t="n"/>
      <c r="DZ266" s="129" t="n"/>
      <c r="EA266" s="129" t="n"/>
      <c r="EB266" s="129" t="n"/>
      <c r="EC266" s="129" t="n"/>
      <c r="ED266" s="129" t="n"/>
      <c r="EE266" s="129" t="n"/>
      <c r="EF266" s="129" t="n"/>
      <c r="EG266" s="129" t="n"/>
      <c r="EH266" s="129" t="n"/>
      <c r="EI266" s="129" t="n"/>
      <c r="EJ266" s="129" t="n"/>
      <c r="EK266" s="129" t="n"/>
      <c r="EL266" s="129" t="n"/>
      <c r="EM266" s="129" t="n"/>
      <c r="EN266" s="129" t="n"/>
      <c r="EO266" s="129" t="n"/>
      <c r="EP266" s="129" t="n"/>
      <c r="EQ266" s="129" t="n"/>
      <c r="ER266" s="129" t="n"/>
      <c r="ES266" s="129" t="n"/>
      <c r="ET266" s="129" t="n"/>
      <c r="EU266" s="129" t="n"/>
      <c r="EV266" s="129" t="n"/>
      <c r="EW266" s="129" t="n"/>
      <c r="EX266" s="129" t="n"/>
      <c r="EY266" s="129" t="n"/>
      <c r="EZ266" s="129" t="n"/>
      <c r="FA266" s="129" t="n"/>
      <c r="FB266" s="129" t="n"/>
      <c r="FC266" s="129" t="n"/>
      <c r="FD266" s="129" t="n"/>
      <c r="FE266" s="129" t="n"/>
      <c r="FF266" s="129" t="n"/>
      <c r="FG266" s="129" t="n"/>
      <c r="FH266" s="129" t="n"/>
      <c r="FI266" s="129" t="n"/>
      <c r="FJ266" s="129" t="n"/>
      <c r="FK266" s="129" t="n"/>
      <c r="FL266" s="129" t="n"/>
      <c r="FM266" s="129" t="n"/>
    </row>
    <row r="267" s="135">
      <c r="A267" s="52" t="n">
        <v>41029</v>
      </c>
      <c r="B267" s="30" t="n">
        <v>0.093</v>
      </c>
      <c r="C267" s="29" t="n">
        <v>49.3</v>
      </c>
      <c r="D267" s="129" t="n"/>
      <c r="E267" s="129" t="n"/>
      <c r="F267" s="129" t="n"/>
      <c r="G267" s="129" t="n"/>
      <c r="H267" s="129" t="n"/>
      <c r="I267" s="129" t="n"/>
      <c r="J267" s="129" t="n"/>
      <c r="K267" s="129" t="n"/>
      <c r="L267" s="129" t="n"/>
      <c r="M267" s="129" t="n"/>
      <c r="N267" s="129" t="n"/>
      <c r="O267" s="129" t="n"/>
      <c r="P267" s="129" t="n"/>
      <c r="Q267" s="129" t="n"/>
      <c r="R267" s="129" t="n"/>
      <c r="S267" s="129" t="n"/>
      <c r="T267" s="129" t="n"/>
      <c r="U267" s="129" t="n"/>
      <c r="V267" s="129" t="n"/>
      <c r="W267" s="129" t="n"/>
      <c r="X267" s="129" t="n"/>
      <c r="Y267" s="129" t="n"/>
      <c r="Z267" s="129" t="n"/>
      <c r="AA267" s="129" t="n"/>
      <c r="AB267" s="129" t="n"/>
      <c r="AC267" s="129" t="n"/>
      <c r="AD267" s="129" t="n"/>
      <c r="AE267" s="129" t="n"/>
      <c r="AF267" s="129" t="n"/>
      <c r="AG267" s="129" t="n"/>
      <c r="AH267" s="129" t="n"/>
      <c r="AI267" s="129" t="n"/>
      <c r="AJ267" s="129" t="n"/>
      <c r="AK267" s="129" t="n"/>
      <c r="AL267" s="129" t="n"/>
      <c r="AM267" s="129" t="n"/>
      <c r="AN267" s="129" t="n"/>
      <c r="AO267" s="129" t="n"/>
      <c r="AP267" s="129" t="n"/>
      <c r="AQ267" s="129" t="n"/>
      <c r="AR267" s="129" t="n"/>
      <c r="AS267" s="129" t="n"/>
      <c r="AT267" s="129" t="n"/>
      <c r="AU267" s="129" t="n"/>
      <c r="AV267" s="129" t="n"/>
      <c r="AW267" s="129" t="n"/>
      <c r="AX267" s="129" t="n"/>
      <c r="AY267" s="129" t="n"/>
      <c r="AZ267" s="129" t="n"/>
      <c r="BA267" s="129" t="n"/>
      <c r="BB267" s="129" t="n"/>
      <c r="BC267" s="129" t="n"/>
      <c r="BD267" s="129" t="n"/>
      <c r="BE267" s="129" t="n"/>
      <c r="BF267" s="129" t="n"/>
      <c r="BG267" s="129" t="n"/>
      <c r="BH267" s="129" t="n"/>
      <c r="BI267" s="129" t="n"/>
      <c r="BJ267" s="129" t="n"/>
      <c r="BK267" s="129" t="n"/>
      <c r="BL267" s="129" t="n"/>
      <c r="BM267" s="129" t="n"/>
      <c r="BN267" s="129" t="n"/>
      <c r="BO267" s="129" t="n"/>
      <c r="BP267" s="129" t="n"/>
      <c r="BQ267" s="129" t="n"/>
      <c r="BR267" s="129" t="n"/>
      <c r="BS267" s="129" t="n"/>
      <c r="BT267" s="129" t="n"/>
      <c r="BU267" s="129" t="n"/>
      <c r="BV267" s="129" t="n"/>
      <c r="BW267" s="129" t="n"/>
      <c r="BX267" s="129" t="n"/>
      <c r="BY267" s="129" t="n"/>
      <c r="BZ267" s="129" t="n"/>
      <c r="CA267" s="129" t="n"/>
      <c r="CB267" s="129" t="n"/>
      <c r="CC267" s="129" t="n"/>
      <c r="CD267" s="129" t="n"/>
      <c r="CE267" s="129" t="n"/>
      <c r="CF267" s="129" t="n"/>
      <c r="CG267" s="129" t="n"/>
      <c r="CH267" s="129" t="n"/>
      <c r="CI267" s="129" t="n"/>
      <c r="CJ267" s="129" t="n"/>
      <c r="CK267" s="129" t="n"/>
      <c r="CL267" s="129" t="n"/>
      <c r="CM267" s="129" t="n"/>
      <c r="CN267" s="129" t="n"/>
      <c r="CO267" s="129" t="n"/>
      <c r="CP267" s="129" t="n"/>
      <c r="CQ267" s="129" t="n"/>
      <c r="CR267" s="129" t="n"/>
      <c r="CS267" s="129" t="n"/>
      <c r="CT267" s="129" t="n"/>
      <c r="CU267" s="129" t="n"/>
      <c r="CV267" s="129" t="n"/>
      <c r="CW267" s="129" t="n"/>
      <c r="CX267" s="129" t="n"/>
      <c r="CY267" s="129" t="n"/>
      <c r="CZ267" s="129" t="n"/>
      <c r="DA267" s="129" t="n"/>
      <c r="DB267" s="129" t="n"/>
      <c r="DC267" s="129" t="n"/>
      <c r="DD267" s="129" t="n"/>
      <c r="DE267" s="129" t="n"/>
      <c r="DF267" s="129" t="n"/>
      <c r="DG267" s="129" t="n"/>
      <c r="DH267" s="129" t="n"/>
      <c r="DI267" s="129" t="n"/>
      <c r="DJ267" s="129" t="n"/>
      <c r="DK267" s="129" t="n"/>
      <c r="DL267" s="129" t="n"/>
      <c r="DM267" s="129" t="n"/>
      <c r="DN267" s="129" t="n"/>
      <c r="DO267" s="129" t="n"/>
      <c r="DP267" s="129" t="n"/>
      <c r="DQ267" s="129" t="n"/>
      <c r="DR267" s="129" t="n"/>
      <c r="DS267" s="129" t="n"/>
      <c r="DT267" s="129" t="n"/>
      <c r="DU267" s="129" t="n"/>
      <c r="DV267" s="129" t="n"/>
      <c r="DW267" s="129" t="n"/>
      <c r="DX267" s="129" t="n"/>
      <c r="DY267" s="129" t="n"/>
      <c r="DZ267" s="129" t="n"/>
      <c r="EA267" s="129" t="n"/>
      <c r="EB267" s="129" t="n"/>
      <c r="EC267" s="129" t="n"/>
      <c r="ED267" s="129" t="n"/>
      <c r="EE267" s="129" t="n"/>
      <c r="EF267" s="129" t="n"/>
      <c r="EG267" s="129" t="n"/>
      <c r="EH267" s="129" t="n"/>
      <c r="EI267" s="129" t="n"/>
      <c r="EJ267" s="129" t="n"/>
      <c r="EK267" s="129" t="n"/>
      <c r="EL267" s="129" t="n"/>
      <c r="EM267" s="129" t="n"/>
      <c r="EN267" s="129" t="n"/>
      <c r="EO267" s="129" t="n"/>
      <c r="EP267" s="129" t="n"/>
      <c r="EQ267" s="129" t="n"/>
      <c r="ER267" s="129" t="n"/>
      <c r="ES267" s="129" t="n"/>
      <c r="ET267" s="129" t="n"/>
      <c r="EU267" s="129" t="n"/>
      <c r="EV267" s="129" t="n"/>
      <c r="EW267" s="129" t="n"/>
      <c r="EX267" s="129" t="n"/>
      <c r="EY267" s="129" t="n"/>
      <c r="EZ267" s="129" t="n"/>
      <c r="FA267" s="129" t="n"/>
      <c r="FB267" s="129" t="n"/>
      <c r="FC267" s="129" t="n"/>
      <c r="FD267" s="129" t="n"/>
      <c r="FE267" s="129" t="n"/>
      <c r="FF267" s="129" t="n"/>
      <c r="FG267" s="129" t="n"/>
      <c r="FH267" s="129" t="n"/>
      <c r="FI267" s="129" t="n"/>
      <c r="FJ267" s="129" t="n"/>
      <c r="FK267" s="129" t="n"/>
      <c r="FL267" s="129" t="n"/>
      <c r="FM267" s="129" t="n"/>
    </row>
    <row r="268" s="135">
      <c r="A268" s="53" t="n">
        <v>41060</v>
      </c>
      <c r="B268" s="54" t="n">
        <v>0.096</v>
      </c>
      <c r="C268" s="29" t="n">
        <v>48.4</v>
      </c>
      <c r="D268" s="129" t="n"/>
      <c r="E268" s="129" t="n"/>
      <c r="F268" s="129" t="n"/>
      <c r="G268" s="129" t="n"/>
      <c r="H268" s="129" t="n"/>
      <c r="I268" s="129" t="n"/>
      <c r="J268" s="129" t="n"/>
      <c r="K268" s="129" t="n"/>
      <c r="L268" s="129" t="n"/>
      <c r="M268" s="129" t="n"/>
      <c r="N268" s="129" t="n"/>
      <c r="O268" s="129" t="n"/>
      <c r="P268" s="129" t="n"/>
      <c r="Q268" s="129" t="n"/>
      <c r="R268" s="129" t="n"/>
      <c r="S268" s="129" t="n"/>
      <c r="T268" s="129" t="n"/>
      <c r="U268" s="129" t="n"/>
      <c r="V268" s="129" t="n"/>
      <c r="W268" s="129" t="n"/>
      <c r="X268" s="129" t="n"/>
      <c r="Y268" s="129" t="n"/>
      <c r="Z268" s="129" t="n"/>
      <c r="AA268" s="129" t="n"/>
      <c r="AB268" s="129" t="n"/>
      <c r="AC268" s="129" t="n"/>
      <c r="AD268" s="129" t="n"/>
      <c r="AE268" s="129" t="n"/>
      <c r="AF268" s="129" t="n"/>
      <c r="AG268" s="129" t="n"/>
      <c r="AH268" s="129" t="n"/>
      <c r="AI268" s="129" t="n"/>
      <c r="AJ268" s="129" t="n"/>
      <c r="AK268" s="129" t="n"/>
      <c r="AL268" s="129" t="n"/>
      <c r="AM268" s="129" t="n"/>
      <c r="AN268" s="129" t="n"/>
      <c r="AO268" s="129" t="n"/>
      <c r="AP268" s="129" t="n"/>
      <c r="AQ268" s="129" t="n"/>
      <c r="AR268" s="129" t="n"/>
      <c r="AS268" s="129" t="n"/>
      <c r="AT268" s="129" t="n"/>
      <c r="AU268" s="129" t="n"/>
      <c r="AV268" s="129" t="n"/>
      <c r="AW268" s="129" t="n"/>
      <c r="AX268" s="129" t="n"/>
      <c r="AY268" s="129" t="n"/>
      <c r="AZ268" s="129" t="n"/>
      <c r="BA268" s="129" t="n"/>
      <c r="BB268" s="129" t="n"/>
      <c r="BC268" s="129" t="n"/>
      <c r="BD268" s="129" t="n"/>
      <c r="BE268" s="129" t="n"/>
      <c r="BF268" s="129" t="n"/>
      <c r="BG268" s="129" t="n"/>
      <c r="BH268" s="129" t="n"/>
      <c r="BI268" s="129" t="n"/>
      <c r="BJ268" s="129" t="n"/>
      <c r="BK268" s="129" t="n"/>
      <c r="BL268" s="129" t="n"/>
      <c r="BM268" s="129" t="n"/>
      <c r="BN268" s="129" t="n"/>
      <c r="BO268" s="129" t="n"/>
      <c r="BP268" s="129" t="n"/>
      <c r="BQ268" s="129" t="n"/>
      <c r="BR268" s="129" t="n"/>
      <c r="BS268" s="129" t="n"/>
      <c r="BT268" s="129" t="n"/>
      <c r="BU268" s="129" t="n"/>
      <c r="BV268" s="129" t="n"/>
      <c r="BW268" s="129" t="n"/>
      <c r="BX268" s="129" t="n"/>
      <c r="BY268" s="129" t="n"/>
      <c r="BZ268" s="129" t="n"/>
      <c r="CA268" s="129" t="n"/>
      <c r="CB268" s="129" t="n"/>
      <c r="CC268" s="129" t="n"/>
      <c r="CD268" s="129" t="n"/>
      <c r="CE268" s="129" t="n"/>
      <c r="CF268" s="129" t="n"/>
      <c r="CG268" s="129" t="n"/>
      <c r="CH268" s="129" t="n"/>
      <c r="CI268" s="129" t="n"/>
      <c r="CJ268" s="129" t="n"/>
      <c r="CK268" s="129" t="n"/>
      <c r="CL268" s="129" t="n"/>
      <c r="CM268" s="129" t="n"/>
      <c r="CN268" s="129" t="n"/>
      <c r="CO268" s="129" t="n"/>
      <c r="CP268" s="129" t="n"/>
      <c r="CQ268" s="129" t="n"/>
      <c r="CR268" s="129" t="n"/>
      <c r="CS268" s="129" t="n"/>
      <c r="CT268" s="129" t="n"/>
      <c r="CU268" s="129" t="n"/>
      <c r="CV268" s="129" t="n"/>
      <c r="CW268" s="129" t="n"/>
      <c r="CX268" s="129" t="n"/>
      <c r="CY268" s="129" t="n"/>
      <c r="CZ268" s="129" t="n"/>
      <c r="DA268" s="129" t="n"/>
      <c r="DB268" s="129" t="n"/>
      <c r="DC268" s="129" t="n"/>
      <c r="DD268" s="129" t="n"/>
      <c r="DE268" s="129" t="n"/>
      <c r="DF268" s="129" t="n"/>
      <c r="DG268" s="129" t="n"/>
      <c r="DH268" s="129" t="n"/>
      <c r="DI268" s="129" t="n"/>
      <c r="DJ268" s="129" t="n"/>
      <c r="DK268" s="129" t="n"/>
      <c r="DL268" s="129" t="n"/>
      <c r="DM268" s="129" t="n"/>
      <c r="DN268" s="129" t="n"/>
      <c r="DO268" s="129" t="n"/>
      <c r="DP268" s="129" t="n"/>
      <c r="DQ268" s="129" t="n"/>
      <c r="DR268" s="129" t="n"/>
      <c r="DS268" s="129" t="n"/>
      <c r="DT268" s="129" t="n"/>
      <c r="DU268" s="129" t="n"/>
      <c r="DV268" s="129" t="n"/>
      <c r="DW268" s="129" t="n"/>
      <c r="DX268" s="129" t="n"/>
      <c r="DY268" s="129" t="n"/>
      <c r="DZ268" s="129" t="n"/>
      <c r="EA268" s="129" t="n"/>
      <c r="EB268" s="129" t="n"/>
      <c r="EC268" s="129" t="n"/>
      <c r="ED268" s="129" t="n"/>
      <c r="EE268" s="129" t="n"/>
      <c r="EF268" s="129" t="n"/>
      <c r="EG268" s="129" t="n"/>
      <c r="EH268" s="129" t="n"/>
      <c r="EI268" s="129" t="n"/>
      <c r="EJ268" s="129" t="n"/>
      <c r="EK268" s="129" t="n"/>
      <c r="EL268" s="129" t="n"/>
      <c r="EM268" s="129" t="n"/>
      <c r="EN268" s="129" t="n"/>
      <c r="EO268" s="129" t="n"/>
      <c r="EP268" s="129" t="n"/>
      <c r="EQ268" s="129" t="n"/>
      <c r="ER268" s="129" t="n"/>
      <c r="ES268" s="129" t="n"/>
      <c r="ET268" s="129" t="n"/>
      <c r="EU268" s="129" t="n"/>
      <c r="EV268" s="129" t="n"/>
      <c r="EW268" s="129" t="n"/>
      <c r="EX268" s="129" t="n"/>
      <c r="EY268" s="129" t="n"/>
      <c r="EZ268" s="129" t="n"/>
      <c r="FA268" s="129" t="n"/>
      <c r="FB268" s="129" t="n"/>
      <c r="FC268" s="129" t="n"/>
      <c r="FD268" s="129" t="n"/>
      <c r="FE268" s="129" t="n"/>
      <c r="FF268" s="129" t="n"/>
      <c r="FG268" s="129" t="n"/>
      <c r="FH268" s="129" t="n"/>
      <c r="FI268" s="129" t="n"/>
      <c r="FJ268" s="129" t="n"/>
      <c r="FK268" s="129" t="n"/>
      <c r="FL268" s="129" t="n"/>
      <c r="FM268" s="129" t="n"/>
    </row>
    <row r="269" s="135">
      <c r="A269" s="52" t="n">
        <v>41090</v>
      </c>
      <c r="B269" s="30" t="n">
        <v>0.095</v>
      </c>
      <c r="C269" s="29" t="n">
        <v>48.2</v>
      </c>
      <c r="D269" s="129" t="n"/>
      <c r="E269" s="129" t="n"/>
      <c r="F269" s="129" t="n"/>
      <c r="G269" s="129" t="n"/>
      <c r="H269" s="129" t="n"/>
      <c r="I269" s="129" t="n"/>
      <c r="J269" s="129" t="n"/>
      <c r="K269" s="129" t="n"/>
      <c r="L269" s="129" t="n"/>
      <c r="M269" s="129" t="n"/>
      <c r="N269" s="129" t="n"/>
      <c r="O269" s="129" t="n"/>
      <c r="P269" s="129" t="n"/>
      <c r="Q269" s="129" t="n"/>
      <c r="R269" s="129" t="n"/>
      <c r="S269" s="129" t="n"/>
      <c r="T269" s="129" t="n"/>
      <c r="U269" s="129" t="n"/>
      <c r="V269" s="129" t="n"/>
      <c r="W269" s="129" t="n"/>
      <c r="X269" s="129" t="n"/>
      <c r="Y269" s="129" t="n"/>
      <c r="Z269" s="129" t="n"/>
      <c r="AA269" s="129" t="n"/>
      <c r="AB269" s="129" t="n"/>
      <c r="AC269" s="129" t="n"/>
      <c r="AD269" s="129" t="n"/>
      <c r="AE269" s="129" t="n"/>
      <c r="AF269" s="129" t="n"/>
      <c r="AG269" s="129" t="n"/>
      <c r="AH269" s="129" t="n"/>
      <c r="AI269" s="129" t="n"/>
      <c r="AJ269" s="129" t="n"/>
      <c r="AK269" s="129" t="n"/>
      <c r="AL269" s="129" t="n"/>
      <c r="AM269" s="129" t="n"/>
      <c r="AN269" s="129" t="n"/>
      <c r="AO269" s="129" t="n"/>
      <c r="AP269" s="129" t="n"/>
      <c r="AQ269" s="129" t="n"/>
      <c r="AR269" s="129" t="n"/>
      <c r="AS269" s="129" t="n"/>
      <c r="AT269" s="129" t="n"/>
      <c r="AU269" s="129" t="n"/>
      <c r="AV269" s="129" t="n"/>
      <c r="AW269" s="129" t="n"/>
      <c r="AX269" s="129" t="n"/>
      <c r="AY269" s="129" t="n"/>
      <c r="AZ269" s="129" t="n"/>
      <c r="BA269" s="129" t="n"/>
      <c r="BB269" s="129" t="n"/>
      <c r="BC269" s="129" t="n"/>
      <c r="BD269" s="129" t="n"/>
      <c r="BE269" s="129" t="n"/>
      <c r="BF269" s="129" t="n"/>
      <c r="BG269" s="129" t="n"/>
      <c r="BH269" s="129" t="n"/>
      <c r="BI269" s="129" t="n"/>
      <c r="BJ269" s="129" t="n"/>
      <c r="BK269" s="129" t="n"/>
      <c r="BL269" s="129" t="n"/>
      <c r="BM269" s="129" t="n"/>
      <c r="BN269" s="129" t="n"/>
      <c r="BO269" s="129" t="n"/>
      <c r="BP269" s="129" t="n"/>
      <c r="BQ269" s="129" t="n"/>
      <c r="BR269" s="129" t="n"/>
      <c r="BS269" s="129" t="n"/>
      <c r="BT269" s="129" t="n"/>
      <c r="BU269" s="129" t="n"/>
      <c r="BV269" s="129" t="n"/>
      <c r="BW269" s="129" t="n"/>
      <c r="BX269" s="129" t="n"/>
      <c r="BY269" s="129" t="n"/>
      <c r="BZ269" s="129" t="n"/>
      <c r="CA269" s="129" t="n"/>
      <c r="CB269" s="129" t="n"/>
      <c r="CC269" s="129" t="n"/>
      <c r="CD269" s="129" t="n"/>
      <c r="CE269" s="129" t="n"/>
      <c r="CF269" s="129" t="n"/>
      <c r="CG269" s="129" t="n"/>
      <c r="CH269" s="129" t="n"/>
      <c r="CI269" s="129" t="n"/>
      <c r="CJ269" s="129" t="n"/>
      <c r="CK269" s="129" t="n"/>
      <c r="CL269" s="129" t="n"/>
      <c r="CM269" s="129" t="n"/>
      <c r="CN269" s="129" t="n"/>
      <c r="CO269" s="129" t="n"/>
      <c r="CP269" s="129" t="n"/>
      <c r="CQ269" s="129" t="n"/>
      <c r="CR269" s="129" t="n"/>
      <c r="CS269" s="129" t="n"/>
      <c r="CT269" s="129" t="n"/>
      <c r="CU269" s="129" t="n"/>
      <c r="CV269" s="129" t="n"/>
      <c r="CW269" s="129" t="n"/>
      <c r="CX269" s="129" t="n"/>
      <c r="CY269" s="129" t="n"/>
      <c r="CZ269" s="129" t="n"/>
      <c r="DA269" s="129" t="n"/>
      <c r="DB269" s="129" t="n"/>
      <c r="DC269" s="129" t="n"/>
      <c r="DD269" s="129" t="n"/>
      <c r="DE269" s="129" t="n"/>
      <c r="DF269" s="129" t="n"/>
      <c r="DG269" s="129" t="n"/>
      <c r="DH269" s="129" t="n"/>
      <c r="DI269" s="129" t="n"/>
      <c r="DJ269" s="129" t="n"/>
      <c r="DK269" s="129" t="n"/>
      <c r="DL269" s="129" t="n"/>
      <c r="DM269" s="129" t="n"/>
      <c r="DN269" s="129" t="n"/>
      <c r="DO269" s="129" t="n"/>
      <c r="DP269" s="129" t="n"/>
      <c r="DQ269" s="129" t="n"/>
      <c r="DR269" s="129" t="n"/>
      <c r="DS269" s="129" t="n"/>
      <c r="DT269" s="129" t="n"/>
      <c r="DU269" s="129" t="n"/>
      <c r="DV269" s="129" t="n"/>
      <c r="DW269" s="129" t="n"/>
      <c r="DX269" s="129" t="n"/>
      <c r="DY269" s="129" t="n"/>
      <c r="DZ269" s="129" t="n"/>
      <c r="EA269" s="129" t="n"/>
      <c r="EB269" s="129" t="n"/>
      <c r="EC269" s="129" t="n"/>
      <c r="ED269" s="129" t="n"/>
      <c r="EE269" s="129" t="n"/>
      <c r="EF269" s="129" t="n"/>
      <c r="EG269" s="129" t="n"/>
      <c r="EH269" s="129" t="n"/>
      <c r="EI269" s="129" t="n"/>
      <c r="EJ269" s="129" t="n"/>
      <c r="EK269" s="129" t="n"/>
      <c r="EL269" s="129" t="n"/>
      <c r="EM269" s="129" t="n"/>
      <c r="EN269" s="129" t="n"/>
      <c r="EO269" s="129" t="n"/>
      <c r="EP269" s="129" t="n"/>
      <c r="EQ269" s="129" t="n"/>
      <c r="ER269" s="129" t="n"/>
      <c r="ES269" s="129" t="n"/>
      <c r="ET269" s="129" t="n"/>
      <c r="EU269" s="129" t="n"/>
      <c r="EV269" s="129" t="n"/>
      <c r="EW269" s="129" t="n"/>
      <c r="EX269" s="129" t="n"/>
      <c r="EY269" s="129" t="n"/>
      <c r="EZ269" s="129" t="n"/>
      <c r="FA269" s="129" t="n"/>
      <c r="FB269" s="129" t="n"/>
      <c r="FC269" s="129" t="n"/>
      <c r="FD269" s="129" t="n"/>
      <c r="FE269" s="129" t="n"/>
      <c r="FF269" s="129" t="n"/>
      <c r="FG269" s="129" t="n"/>
      <c r="FH269" s="129" t="n"/>
      <c r="FI269" s="129" t="n"/>
      <c r="FJ269" s="129" t="n"/>
      <c r="FK269" s="129" t="n"/>
      <c r="FL269" s="129" t="n"/>
      <c r="FM269" s="129" t="n"/>
    </row>
    <row r="270" s="135">
      <c r="A270" s="53" t="n">
        <v>41121</v>
      </c>
      <c r="B270" s="54" t="n">
        <v>0.092</v>
      </c>
      <c r="C270" s="29" t="n">
        <v>49.3</v>
      </c>
      <c r="D270" s="129" t="n"/>
      <c r="E270" s="129" t="n"/>
      <c r="F270" s="129" t="n"/>
      <c r="G270" s="129" t="n"/>
      <c r="H270" s="129" t="n"/>
      <c r="I270" s="129" t="n"/>
      <c r="J270" s="129" t="n"/>
      <c r="K270" s="129" t="n"/>
      <c r="L270" s="129" t="n"/>
      <c r="M270" s="129" t="n"/>
      <c r="N270" s="129" t="n"/>
      <c r="O270" s="129" t="n"/>
      <c r="P270" s="129" t="n"/>
      <c r="Q270" s="129" t="n"/>
      <c r="R270" s="129" t="n"/>
      <c r="S270" s="129" t="n"/>
      <c r="T270" s="129" t="n"/>
      <c r="U270" s="129" t="n"/>
      <c r="V270" s="129" t="n"/>
      <c r="W270" s="129" t="n"/>
      <c r="X270" s="129" t="n"/>
      <c r="Y270" s="129" t="n"/>
      <c r="Z270" s="129" t="n"/>
      <c r="AA270" s="129" t="n"/>
      <c r="AB270" s="129" t="n"/>
      <c r="AC270" s="129" t="n"/>
      <c r="AD270" s="129" t="n"/>
      <c r="AE270" s="129" t="n"/>
      <c r="AF270" s="129" t="n"/>
      <c r="AG270" s="129" t="n"/>
      <c r="AH270" s="129" t="n"/>
      <c r="AI270" s="129" t="n"/>
      <c r="AJ270" s="129" t="n"/>
      <c r="AK270" s="129" t="n"/>
      <c r="AL270" s="129" t="n"/>
      <c r="AM270" s="129" t="n"/>
      <c r="AN270" s="129" t="n"/>
      <c r="AO270" s="129" t="n"/>
      <c r="AP270" s="129" t="n"/>
      <c r="AQ270" s="129" t="n"/>
      <c r="AR270" s="129" t="n"/>
      <c r="AS270" s="129" t="n"/>
      <c r="AT270" s="129" t="n"/>
      <c r="AU270" s="129" t="n"/>
      <c r="AV270" s="129" t="n"/>
      <c r="AW270" s="129" t="n"/>
      <c r="AX270" s="129" t="n"/>
      <c r="AY270" s="129" t="n"/>
      <c r="AZ270" s="129" t="n"/>
      <c r="BA270" s="129" t="n"/>
      <c r="BB270" s="129" t="n"/>
      <c r="BC270" s="129" t="n"/>
      <c r="BD270" s="129" t="n"/>
      <c r="BE270" s="129" t="n"/>
      <c r="BF270" s="129" t="n"/>
      <c r="BG270" s="129" t="n"/>
      <c r="BH270" s="129" t="n"/>
      <c r="BI270" s="129" t="n"/>
      <c r="BJ270" s="129" t="n"/>
      <c r="BK270" s="129" t="n"/>
      <c r="BL270" s="129" t="n"/>
      <c r="BM270" s="129" t="n"/>
      <c r="BN270" s="129" t="n"/>
      <c r="BO270" s="129" t="n"/>
      <c r="BP270" s="129" t="n"/>
      <c r="BQ270" s="129" t="n"/>
      <c r="BR270" s="129" t="n"/>
      <c r="BS270" s="129" t="n"/>
      <c r="BT270" s="129" t="n"/>
      <c r="BU270" s="129" t="n"/>
      <c r="BV270" s="129" t="n"/>
      <c r="BW270" s="129" t="n"/>
      <c r="BX270" s="129" t="n"/>
      <c r="BY270" s="129" t="n"/>
      <c r="BZ270" s="129" t="n"/>
      <c r="CA270" s="129" t="n"/>
      <c r="CB270" s="129" t="n"/>
      <c r="CC270" s="129" t="n"/>
      <c r="CD270" s="129" t="n"/>
      <c r="CE270" s="129" t="n"/>
      <c r="CF270" s="129" t="n"/>
      <c r="CG270" s="129" t="n"/>
      <c r="CH270" s="129" t="n"/>
      <c r="CI270" s="129" t="n"/>
      <c r="CJ270" s="129" t="n"/>
      <c r="CK270" s="129" t="n"/>
      <c r="CL270" s="129" t="n"/>
      <c r="CM270" s="129" t="n"/>
      <c r="CN270" s="129" t="n"/>
      <c r="CO270" s="129" t="n"/>
      <c r="CP270" s="129" t="n"/>
      <c r="CQ270" s="129" t="n"/>
      <c r="CR270" s="129" t="n"/>
      <c r="CS270" s="129" t="n"/>
      <c r="CT270" s="129" t="n"/>
      <c r="CU270" s="129" t="n"/>
      <c r="CV270" s="129" t="n"/>
      <c r="CW270" s="129" t="n"/>
      <c r="CX270" s="129" t="n"/>
      <c r="CY270" s="129" t="n"/>
      <c r="CZ270" s="129" t="n"/>
      <c r="DA270" s="129" t="n"/>
      <c r="DB270" s="129" t="n"/>
      <c r="DC270" s="129" t="n"/>
      <c r="DD270" s="129" t="n"/>
      <c r="DE270" s="129" t="n"/>
      <c r="DF270" s="129" t="n"/>
      <c r="DG270" s="129" t="n"/>
      <c r="DH270" s="129" t="n"/>
      <c r="DI270" s="129" t="n"/>
      <c r="DJ270" s="129" t="n"/>
      <c r="DK270" s="129" t="n"/>
      <c r="DL270" s="129" t="n"/>
      <c r="DM270" s="129" t="n"/>
      <c r="DN270" s="129" t="n"/>
      <c r="DO270" s="129" t="n"/>
      <c r="DP270" s="129" t="n"/>
      <c r="DQ270" s="129" t="n"/>
      <c r="DR270" s="129" t="n"/>
      <c r="DS270" s="129" t="n"/>
      <c r="DT270" s="129" t="n"/>
      <c r="DU270" s="129" t="n"/>
      <c r="DV270" s="129" t="n"/>
      <c r="DW270" s="129" t="n"/>
      <c r="DX270" s="129" t="n"/>
      <c r="DY270" s="129" t="n"/>
      <c r="DZ270" s="129" t="n"/>
      <c r="EA270" s="129" t="n"/>
      <c r="EB270" s="129" t="n"/>
      <c r="EC270" s="129" t="n"/>
      <c r="ED270" s="129" t="n"/>
      <c r="EE270" s="129" t="n"/>
      <c r="EF270" s="129" t="n"/>
      <c r="EG270" s="129" t="n"/>
      <c r="EH270" s="129" t="n"/>
      <c r="EI270" s="129" t="n"/>
      <c r="EJ270" s="129" t="n"/>
      <c r="EK270" s="129" t="n"/>
      <c r="EL270" s="129" t="n"/>
      <c r="EM270" s="129" t="n"/>
      <c r="EN270" s="129" t="n"/>
      <c r="EO270" s="129" t="n"/>
      <c r="EP270" s="129" t="n"/>
      <c r="EQ270" s="129" t="n"/>
      <c r="ER270" s="129" t="n"/>
      <c r="ES270" s="129" t="n"/>
      <c r="ET270" s="129" t="n"/>
      <c r="EU270" s="129" t="n"/>
      <c r="EV270" s="129" t="n"/>
      <c r="EW270" s="129" t="n"/>
      <c r="EX270" s="129" t="n"/>
      <c r="EY270" s="129" t="n"/>
      <c r="EZ270" s="129" t="n"/>
      <c r="FA270" s="129" t="n"/>
      <c r="FB270" s="129" t="n"/>
      <c r="FC270" s="129" t="n"/>
      <c r="FD270" s="129" t="n"/>
      <c r="FE270" s="129" t="n"/>
      <c r="FF270" s="129" t="n"/>
      <c r="FG270" s="129" t="n"/>
      <c r="FH270" s="129" t="n"/>
      <c r="FI270" s="129" t="n"/>
      <c r="FJ270" s="129" t="n"/>
      <c r="FK270" s="129" t="n"/>
      <c r="FL270" s="129" t="n"/>
      <c r="FM270" s="129" t="n"/>
    </row>
    <row r="271" s="135">
      <c r="A271" s="52" t="n">
        <v>41152</v>
      </c>
      <c r="B271" s="30" t="n">
        <v>0.089</v>
      </c>
      <c r="C271" s="29" t="n">
        <v>47.7</v>
      </c>
      <c r="D271" s="129" t="n"/>
      <c r="E271" s="129" t="n"/>
      <c r="F271" s="129" t="n"/>
      <c r="G271" s="129" t="n"/>
      <c r="H271" s="129" t="n"/>
      <c r="I271" s="129" t="n"/>
      <c r="J271" s="129" t="n"/>
      <c r="K271" s="129" t="n"/>
      <c r="L271" s="129" t="n"/>
      <c r="M271" s="129" t="n"/>
      <c r="N271" s="129" t="n"/>
      <c r="O271" s="129" t="n"/>
      <c r="P271" s="129" t="n"/>
      <c r="Q271" s="129" t="n"/>
      <c r="R271" s="129" t="n"/>
      <c r="S271" s="129" t="n"/>
      <c r="T271" s="129" t="n"/>
      <c r="U271" s="129" t="n"/>
      <c r="V271" s="129" t="n"/>
      <c r="W271" s="129" t="n"/>
      <c r="X271" s="129" t="n"/>
      <c r="Y271" s="129" t="n"/>
      <c r="Z271" s="129" t="n"/>
      <c r="AA271" s="129" t="n"/>
      <c r="AB271" s="129" t="n"/>
      <c r="AC271" s="129" t="n"/>
      <c r="AD271" s="129" t="n"/>
      <c r="AE271" s="129" t="n"/>
      <c r="AF271" s="129" t="n"/>
      <c r="AG271" s="129" t="n"/>
      <c r="AH271" s="129" t="n"/>
      <c r="AI271" s="129" t="n"/>
      <c r="AJ271" s="129" t="n"/>
      <c r="AK271" s="129" t="n"/>
      <c r="AL271" s="129" t="n"/>
      <c r="AM271" s="129" t="n"/>
      <c r="AN271" s="129" t="n"/>
      <c r="AO271" s="129" t="n"/>
      <c r="AP271" s="129" t="n"/>
      <c r="AQ271" s="129" t="n"/>
      <c r="AR271" s="129" t="n"/>
      <c r="AS271" s="129" t="n"/>
      <c r="AT271" s="129" t="n"/>
      <c r="AU271" s="129" t="n"/>
      <c r="AV271" s="129" t="n"/>
      <c r="AW271" s="129" t="n"/>
      <c r="AX271" s="129" t="n"/>
      <c r="AY271" s="129" t="n"/>
      <c r="AZ271" s="129" t="n"/>
      <c r="BA271" s="129" t="n"/>
      <c r="BB271" s="129" t="n"/>
      <c r="BC271" s="129" t="n"/>
      <c r="BD271" s="129" t="n"/>
      <c r="BE271" s="129" t="n"/>
      <c r="BF271" s="129" t="n"/>
      <c r="BG271" s="129" t="n"/>
      <c r="BH271" s="129" t="n"/>
      <c r="BI271" s="129" t="n"/>
      <c r="BJ271" s="129" t="n"/>
      <c r="BK271" s="129" t="n"/>
      <c r="BL271" s="129" t="n"/>
      <c r="BM271" s="129" t="n"/>
      <c r="BN271" s="129" t="n"/>
      <c r="BO271" s="129" t="n"/>
      <c r="BP271" s="129" t="n"/>
      <c r="BQ271" s="129" t="n"/>
      <c r="BR271" s="129" t="n"/>
      <c r="BS271" s="129" t="n"/>
      <c r="BT271" s="129" t="n"/>
      <c r="BU271" s="129" t="n"/>
      <c r="BV271" s="129" t="n"/>
      <c r="BW271" s="129" t="n"/>
      <c r="BX271" s="129" t="n"/>
      <c r="BY271" s="129" t="n"/>
      <c r="BZ271" s="129" t="n"/>
      <c r="CA271" s="129" t="n"/>
      <c r="CB271" s="129" t="n"/>
      <c r="CC271" s="129" t="n"/>
      <c r="CD271" s="129" t="n"/>
      <c r="CE271" s="129" t="n"/>
      <c r="CF271" s="129" t="n"/>
      <c r="CG271" s="129" t="n"/>
      <c r="CH271" s="129" t="n"/>
      <c r="CI271" s="129" t="n"/>
      <c r="CJ271" s="129" t="n"/>
      <c r="CK271" s="129" t="n"/>
      <c r="CL271" s="129" t="n"/>
      <c r="CM271" s="129" t="n"/>
      <c r="CN271" s="129" t="n"/>
      <c r="CO271" s="129" t="n"/>
      <c r="CP271" s="129" t="n"/>
      <c r="CQ271" s="129" t="n"/>
      <c r="CR271" s="129" t="n"/>
      <c r="CS271" s="129" t="n"/>
      <c r="CT271" s="129" t="n"/>
      <c r="CU271" s="129" t="n"/>
      <c r="CV271" s="129" t="n"/>
      <c r="CW271" s="129" t="n"/>
      <c r="CX271" s="129" t="n"/>
      <c r="CY271" s="129" t="n"/>
      <c r="CZ271" s="129" t="n"/>
      <c r="DA271" s="129" t="n"/>
      <c r="DB271" s="129" t="n"/>
      <c r="DC271" s="129" t="n"/>
      <c r="DD271" s="129" t="n"/>
      <c r="DE271" s="129" t="n"/>
      <c r="DF271" s="129" t="n"/>
      <c r="DG271" s="129" t="n"/>
      <c r="DH271" s="129" t="n"/>
      <c r="DI271" s="129" t="n"/>
      <c r="DJ271" s="129" t="n"/>
      <c r="DK271" s="129" t="n"/>
      <c r="DL271" s="129" t="n"/>
      <c r="DM271" s="129" t="n"/>
      <c r="DN271" s="129" t="n"/>
      <c r="DO271" s="129" t="n"/>
      <c r="DP271" s="129" t="n"/>
      <c r="DQ271" s="129" t="n"/>
      <c r="DR271" s="129" t="n"/>
      <c r="DS271" s="129" t="n"/>
      <c r="DT271" s="129" t="n"/>
      <c r="DU271" s="129" t="n"/>
      <c r="DV271" s="129" t="n"/>
      <c r="DW271" s="129" t="n"/>
      <c r="DX271" s="129" t="n"/>
      <c r="DY271" s="129" t="n"/>
      <c r="DZ271" s="129" t="n"/>
      <c r="EA271" s="129" t="n"/>
      <c r="EB271" s="129" t="n"/>
      <c r="EC271" s="129" t="n"/>
      <c r="ED271" s="129" t="n"/>
      <c r="EE271" s="129" t="n"/>
      <c r="EF271" s="129" t="n"/>
      <c r="EG271" s="129" t="n"/>
      <c r="EH271" s="129" t="n"/>
      <c r="EI271" s="129" t="n"/>
      <c r="EJ271" s="129" t="n"/>
      <c r="EK271" s="129" t="n"/>
      <c r="EL271" s="129" t="n"/>
      <c r="EM271" s="129" t="n"/>
      <c r="EN271" s="129" t="n"/>
      <c r="EO271" s="129" t="n"/>
      <c r="EP271" s="129" t="n"/>
      <c r="EQ271" s="129" t="n"/>
      <c r="ER271" s="129" t="n"/>
      <c r="ES271" s="129" t="n"/>
      <c r="ET271" s="129" t="n"/>
      <c r="EU271" s="129" t="n"/>
      <c r="EV271" s="129" t="n"/>
      <c r="EW271" s="129" t="n"/>
      <c r="EX271" s="129" t="n"/>
      <c r="EY271" s="129" t="n"/>
      <c r="EZ271" s="129" t="n"/>
      <c r="FA271" s="129" t="n"/>
      <c r="FB271" s="129" t="n"/>
      <c r="FC271" s="129" t="n"/>
      <c r="FD271" s="129" t="n"/>
      <c r="FE271" s="129" t="n"/>
      <c r="FF271" s="129" t="n"/>
      <c r="FG271" s="129" t="n"/>
      <c r="FH271" s="129" t="n"/>
      <c r="FI271" s="129" t="n"/>
      <c r="FJ271" s="129" t="n"/>
      <c r="FK271" s="129" t="n"/>
      <c r="FL271" s="129" t="n"/>
      <c r="FM271" s="129" t="n"/>
    </row>
    <row r="272" s="135">
      <c r="A272" s="53" t="n">
        <v>41182</v>
      </c>
      <c r="B272" s="54" t="n">
        <v>0.092</v>
      </c>
      <c r="C272" s="29" t="n">
        <v>47.9</v>
      </c>
      <c r="D272" s="129" t="n"/>
      <c r="E272" s="129" t="n"/>
      <c r="F272" s="129" t="n"/>
      <c r="G272" s="129" t="n"/>
      <c r="H272" s="129" t="n"/>
      <c r="I272" s="129" t="n"/>
      <c r="J272" s="129" t="n"/>
      <c r="K272" s="129" t="n"/>
      <c r="L272" s="129" t="n"/>
      <c r="M272" s="129" t="n"/>
      <c r="N272" s="129" t="n"/>
      <c r="O272" s="129" t="n"/>
      <c r="P272" s="129" t="n"/>
      <c r="Q272" s="129" t="n"/>
      <c r="R272" s="129" t="n"/>
      <c r="S272" s="129" t="n"/>
      <c r="T272" s="129" t="n"/>
      <c r="U272" s="129" t="n"/>
      <c r="V272" s="129" t="n"/>
      <c r="W272" s="129" t="n"/>
      <c r="X272" s="129" t="n"/>
      <c r="Y272" s="129" t="n"/>
      <c r="Z272" s="129" t="n"/>
      <c r="AA272" s="129" t="n"/>
      <c r="AB272" s="129" t="n"/>
      <c r="AC272" s="129" t="n"/>
      <c r="AD272" s="129" t="n"/>
      <c r="AE272" s="129" t="n"/>
      <c r="AF272" s="129" t="n"/>
      <c r="AG272" s="129" t="n"/>
      <c r="AH272" s="129" t="n"/>
      <c r="AI272" s="129" t="n"/>
      <c r="AJ272" s="129" t="n"/>
      <c r="AK272" s="129" t="n"/>
      <c r="AL272" s="129" t="n"/>
      <c r="AM272" s="129" t="n"/>
      <c r="AN272" s="129" t="n"/>
      <c r="AO272" s="129" t="n"/>
      <c r="AP272" s="129" t="n"/>
      <c r="AQ272" s="129" t="n"/>
      <c r="AR272" s="129" t="n"/>
      <c r="AS272" s="129" t="n"/>
      <c r="AT272" s="129" t="n"/>
      <c r="AU272" s="129" t="n"/>
      <c r="AV272" s="129" t="n"/>
      <c r="AW272" s="129" t="n"/>
      <c r="AX272" s="129" t="n"/>
      <c r="AY272" s="129" t="n"/>
      <c r="AZ272" s="129" t="n"/>
      <c r="BA272" s="129" t="n"/>
      <c r="BB272" s="129" t="n"/>
      <c r="BC272" s="129" t="n"/>
      <c r="BD272" s="129" t="n"/>
      <c r="BE272" s="129" t="n"/>
      <c r="BF272" s="129" t="n"/>
      <c r="BG272" s="129" t="n"/>
      <c r="BH272" s="129" t="n"/>
      <c r="BI272" s="129" t="n"/>
      <c r="BJ272" s="129" t="n"/>
      <c r="BK272" s="129" t="n"/>
      <c r="BL272" s="129" t="n"/>
      <c r="BM272" s="129" t="n"/>
      <c r="BN272" s="129" t="n"/>
      <c r="BO272" s="129" t="n"/>
      <c r="BP272" s="129" t="n"/>
      <c r="BQ272" s="129" t="n"/>
      <c r="BR272" s="129" t="n"/>
      <c r="BS272" s="129" t="n"/>
      <c r="BT272" s="129" t="n"/>
      <c r="BU272" s="129" t="n"/>
      <c r="BV272" s="129" t="n"/>
      <c r="BW272" s="129" t="n"/>
      <c r="BX272" s="129" t="n"/>
      <c r="BY272" s="129" t="n"/>
      <c r="BZ272" s="129" t="n"/>
      <c r="CA272" s="129" t="n"/>
      <c r="CB272" s="129" t="n"/>
      <c r="CC272" s="129" t="n"/>
      <c r="CD272" s="129" t="n"/>
      <c r="CE272" s="129" t="n"/>
      <c r="CF272" s="129" t="n"/>
      <c r="CG272" s="129" t="n"/>
      <c r="CH272" s="129" t="n"/>
      <c r="CI272" s="129" t="n"/>
      <c r="CJ272" s="129" t="n"/>
      <c r="CK272" s="129" t="n"/>
      <c r="CL272" s="129" t="n"/>
      <c r="CM272" s="129" t="n"/>
      <c r="CN272" s="129" t="n"/>
      <c r="CO272" s="129" t="n"/>
      <c r="CP272" s="129" t="n"/>
      <c r="CQ272" s="129" t="n"/>
      <c r="CR272" s="129" t="n"/>
      <c r="CS272" s="129" t="n"/>
      <c r="CT272" s="129" t="n"/>
      <c r="CU272" s="129" t="n"/>
      <c r="CV272" s="129" t="n"/>
      <c r="CW272" s="129" t="n"/>
      <c r="CX272" s="129" t="n"/>
      <c r="CY272" s="129" t="n"/>
      <c r="CZ272" s="129" t="n"/>
      <c r="DA272" s="129" t="n"/>
      <c r="DB272" s="129" t="n"/>
      <c r="DC272" s="129" t="n"/>
      <c r="DD272" s="129" t="n"/>
      <c r="DE272" s="129" t="n"/>
      <c r="DF272" s="129" t="n"/>
      <c r="DG272" s="129" t="n"/>
      <c r="DH272" s="129" t="n"/>
      <c r="DI272" s="129" t="n"/>
      <c r="DJ272" s="129" t="n"/>
      <c r="DK272" s="129" t="n"/>
      <c r="DL272" s="129" t="n"/>
      <c r="DM272" s="129" t="n"/>
      <c r="DN272" s="129" t="n"/>
      <c r="DO272" s="129" t="n"/>
      <c r="DP272" s="129" t="n"/>
      <c r="DQ272" s="129" t="n"/>
      <c r="DR272" s="129" t="n"/>
      <c r="DS272" s="129" t="n"/>
      <c r="DT272" s="129" t="n"/>
      <c r="DU272" s="129" t="n"/>
      <c r="DV272" s="129" t="n"/>
      <c r="DW272" s="129" t="n"/>
      <c r="DX272" s="129" t="n"/>
      <c r="DY272" s="129" t="n"/>
      <c r="DZ272" s="129" t="n"/>
      <c r="EA272" s="129" t="n"/>
      <c r="EB272" s="129" t="n"/>
      <c r="EC272" s="129" t="n"/>
      <c r="ED272" s="129" t="n"/>
      <c r="EE272" s="129" t="n"/>
      <c r="EF272" s="129" t="n"/>
      <c r="EG272" s="129" t="n"/>
      <c r="EH272" s="129" t="n"/>
      <c r="EI272" s="129" t="n"/>
      <c r="EJ272" s="129" t="n"/>
      <c r="EK272" s="129" t="n"/>
      <c r="EL272" s="129" t="n"/>
      <c r="EM272" s="129" t="n"/>
      <c r="EN272" s="129" t="n"/>
      <c r="EO272" s="129" t="n"/>
      <c r="EP272" s="129" t="n"/>
      <c r="EQ272" s="129" t="n"/>
      <c r="ER272" s="129" t="n"/>
      <c r="ES272" s="129" t="n"/>
      <c r="ET272" s="129" t="n"/>
      <c r="EU272" s="129" t="n"/>
      <c r="EV272" s="129" t="n"/>
      <c r="EW272" s="129" t="n"/>
      <c r="EX272" s="129" t="n"/>
      <c r="EY272" s="129" t="n"/>
      <c r="EZ272" s="129" t="n"/>
      <c r="FA272" s="129" t="n"/>
      <c r="FB272" s="129" t="n"/>
      <c r="FC272" s="129" t="n"/>
      <c r="FD272" s="129" t="n"/>
      <c r="FE272" s="129" t="n"/>
      <c r="FF272" s="129" t="n"/>
      <c r="FG272" s="129" t="n"/>
      <c r="FH272" s="129" t="n"/>
      <c r="FI272" s="129" t="n"/>
      <c r="FJ272" s="129" t="n"/>
      <c r="FK272" s="129" t="n"/>
      <c r="FL272" s="129" t="n"/>
      <c r="FM272" s="129" t="n"/>
    </row>
    <row r="273" s="135">
      <c r="A273" s="52" t="n">
        <v>41213</v>
      </c>
      <c r="B273" s="30" t="n">
        <v>0.096</v>
      </c>
      <c r="C273" s="29" t="n">
        <v>49.5</v>
      </c>
      <c r="D273" s="129" t="n"/>
      <c r="E273" s="129" t="n"/>
      <c r="F273" s="129" t="n"/>
      <c r="G273" s="129" t="n"/>
      <c r="H273" s="129" t="n"/>
      <c r="I273" s="129" t="n"/>
      <c r="J273" s="129" t="n"/>
      <c r="K273" s="129" t="n"/>
      <c r="L273" s="129" t="n"/>
      <c r="M273" s="129" t="n"/>
      <c r="N273" s="129" t="n"/>
      <c r="O273" s="129" t="n"/>
      <c r="P273" s="129" t="n"/>
      <c r="Q273" s="129" t="n"/>
      <c r="R273" s="129" t="n"/>
      <c r="S273" s="129" t="n"/>
      <c r="T273" s="129" t="n"/>
      <c r="U273" s="129" t="n"/>
      <c r="V273" s="129" t="n"/>
      <c r="W273" s="129" t="n"/>
      <c r="X273" s="129" t="n"/>
      <c r="Y273" s="129" t="n"/>
      <c r="Z273" s="129" t="n"/>
      <c r="AA273" s="129" t="n"/>
      <c r="AB273" s="129" t="n"/>
      <c r="AC273" s="129" t="n"/>
      <c r="AD273" s="129" t="n"/>
      <c r="AE273" s="129" t="n"/>
      <c r="AF273" s="129" t="n"/>
      <c r="AG273" s="129" t="n"/>
      <c r="AH273" s="129" t="n"/>
      <c r="AI273" s="129" t="n"/>
      <c r="AJ273" s="129" t="n"/>
      <c r="AK273" s="129" t="n"/>
      <c r="AL273" s="129" t="n"/>
      <c r="AM273" s="129" t="n"/>
      <c r="AN273" s="129" t="n"/>
      <c r="AO273" s="129" t="n"/>
      <c r="AP273" s="129" t="n"/>
      <c r="AQ273" s="129" t="n"/>
      <c r="AR273" s="129" t="n"/>
      <c r="AS273" s="129" t="n"/>
      <c r="AT273" s="129" t="n"/>
      <c r="AU273" s="129" t="n"/>
      <c r="AV273" s="129" t="n"/>
      <c r="AW273" s="129" t="n"/>
      <c r="AX273" s="129" t="n"/>
      <c r="AY273" s="129" t="n"/>
      <c r="AZ273" s="129" t="n"/>
      <c r="BA273" s="129" t="n"/>
      <c r="BB273" s="129" t="n"/>
      <c r="BC273" s="129" t="n"/>
      <c r="BD273" s="129" t="n"/>
      <c r="BE273" s="129" t="n"/>
      <c r="BF273" s="129" t="n"/>
      <c r="BG273" s="129" t="n"/>
      <c r="BH273" s="129" t="n"/>
      <c r="BI273" s="129" t="n"/>
      <c r="BJ273" s="129" t="n"/>
      <c r="BK273" s="129" t="n"/>
      <c r="BL273" s="129" t="n"/>
      <c r="BM273" s="129" t="n"/>
      <c r="BN273" s="129" t="n"/>
      <c r="BO273" s="129" t="n"/>
      <c r="BP273" s="129" t="n"/>
      <c r="BQ273" s="129" t="n"/>
      <c r="BR273" s="129" t="n"/>
      <c r="BS273" s="129" t="n"/>
      <c r="BT273" s="129" t="n"/>
      <c r="BU273" s="129" t="n"/>
      <c r="BV273" s="129" t="n"/>
      <c r="BW273" s="129" t="n"/>
      <c r="BX273" s="129" t="n"/>
      <c r="BY273" s="129" t="n"/>
      <c r="BZ273" s="129" t="n"/>
      <c r="CA273" s="129" t="n"/>
      <c r="CB273" s="129" t="n"/>
      <c r="CC273" s="129" t="n"/>
      <c r="CD273" s="129" t="n"/>
      <c r="CE273" s="129" t="n"/>
      <c r="CF273" s="129" t="n"/>
      <c r="CG273" s="129" t="n"/>
      <c r="CH273" s="129" t="n"/>
      <c r="CI273" s="129" t="n"/>
      <c r="CJ273" s="129" t="n"/>
      <c r="CK273" s="129" t="n"/>
      <c r="CL273" s="129" t="n"/>
      <c r="CM273" s="129" t="n"/>
      <c r="CN273" s="129" t="n"/>
      <c r="CO273" s="129" t="n"/>
      <c r="CP273" s="129" t="n"/>
      <c r="CQ273" s="129" t="n"/>
      <c r="CR273" s="129" t="n"/>
      <c r="CS273" s="129" t="n"/>
      <c r="CT273" s="129" t="n"/>
      <c r="CU273" s="129" t="n"/>
      <c r="CV273" s="129" t="n"/>
      <c r="CW273" s="129" t="n"/>
      <c r="CX273" s="129" t="n"/>
      <c r="CY273" s="129" t="n"/>
      <c r="CZ273" s="129" t="n"/>
      <c r="DA273" s="129" t="n"/>
      <c r="DB273" s="129" t="n"/>
      <c r="DC273" s="129" t="n"/>
      <c r="DD273" s="129" t="n"/>
      <c r="DE273" s="129" t="n"/>
      <c r="DF273" s="129" t="n"/>
      <c r="DG273" s="129" t="n"/>
      <c r="DH273" s="129" t="n"/>
      <c r="DI273" s="129" t="n"/>
      <c r="DJ273" s="129" t="n"/>
      <c r="DK273" s="129" t="n"/>
      <c r="DL273" s="129" t="n"/>
      <c r="DM273" s="129" t="n"/>
      <c r="DN273" s="129" t="n"/>
      <c r="DO273" s="129" t="n"/>
      <c r="DP273" s="129" t="n"/>
      <c r="DQ273" s="129" t="n"/>
      <c r="DR273" s="129" t="n"/>
      <c r="DS273" s="129" t="n"/>
      <c r="DT273" s="129" t="n"/>
      <c r="DU273" s="129" t="n"/>
      <c r="DV273" s="129" t="n"/>
      <c r="DW273" s="129" t="n"/>
      <c r="DX273" s="129" t="n"/>
      <c r="DY273" s="129" t="n"/>
      <c r="DZ273" s="129" t="n"/>
      <c r="EA273" s="129" t="n"/>
      <c r="EB273" s="129" t="n"/>
      <c r="EC273" s="129" t="n"/>
      <c r="ED273" s="129" t="n"/>
      <c r="EE273" s="129" t="n"/>
      <c r="EF273" s="129" t="n"/>
      <c r="EG273" s="129" t="n"/>
      <c r="EH273" s="129" t="n"/>
      <c r="EI273" s="129" t="n"/>
      <c r="EJ273" s="129" t="n"/>
      <c r="EK273" s="129" t="n"/>
      <c r="EL273" s="129" t="n"/>
      <c r="EM273" s="129" t="n"/>
      <c r="EN273" s="129" t="n"/>
      <c r="EO273" s="129" t="n"/>
      <c r="EP273" s="129" t="n"/>
      <c r="EQ273" s="129" t="n"/>
      <c r="ER273" s="129" t="n"/>
      <c r="ES273" s="129" t="n"/>
      <c r="ET273" s="129" t="n"/>
      <c r="EU273" s="129" t="n"/>
      <c r="EV273" s="129" t="n"/>
      <c r="EW273" s="129" t="n"/>
      <c r="EX273" s="129" t="n"/>
      <c r="EY273" s="129" t="n"/>
      <c r="EZ273" s="129" t="n"/>
      <c r="FA273" s="129" t="n"/>
      <c r="FB273" s="129" t="n"/>
      <c r="FC273" s="129" t="n"/>
      <c r="FD273" s="129" t="n"/>
      <c r="FE273" s="129" t="n"/>
      <c r="FF273" s="129" t="n"/>
      <c r="FG273" s="129" t="n"/>
      <c r="FH273" s="129" t="n"/>
      <c r="FI273" s="129" t="n"/>
      <c r="FJ273" s="129" t="n"/>
      <c r="FK273" s="129" t="n"/>
      <c r="FL273" s="129" t="n"/>
      <c r="FM273" s="129" t="n"/>
    </row>
    <row r="274" s="135">
      <c r="A274" s="53" t="n">
        <v>41243</v>
      </c>
      <c r="B274" s="54" t="n">
        <v>0.101</v>
      </c>
      <c r="C274" s="29" t="n">
        <v>50.5</v>
      </c>
      <c r="D274" s="129" t="n"/>
      <c r="E274" s="129" t="n"/>
      <c r="F274" s="129" t="n"/>
      <c r="G274" s="129" t="n"/>
      <c r="H274" s="129" t="n"/>
      <c r="I274" s="129" t="n"/>
      <c r="J274" s="129" t="n"/>
      <c r="K274" s="129" t="n"/>
      <c r="L274" s="129" t="n"/>
      <c r="M274" s="129" t="n"/>
      <c r="N274" s="129" t="n"/>
      <c r="O274" s="129" t="n"/>
      <c r="P274" s="129" t="n"/>
      <c r="Q274" s="129" t="n"/>
      <c r="R274" s="129" t="n"/>
      <c r="S274" s="129" t="n"/>
      <c r="T274" s="129" t="n"/>
      <c r="U274" s="129" t="n"/>
      <c r="V274" s="129" t="n"/>
      <c r="W274" s="129" t="n"/>
      <c r="X274" s="129" t="n"/>
      <c r="Y274" s="129" t="n"/>
      <c r="Z274" s="129" t="n"/>
      <c r="AA274" s="129" t="n"/>
      <c r="AB274" s="129" t="n"/>
      <c r="AC274" s="129" t="n"/>
      <c r="AD274" s="129" t="n"/>
      <c r="AE274" s="129" t="n"/>
      <c r="AF274" s="129" t="n"/>
      <c r="AG274" s="129" t="n"/>
      <c r="AH274" s="129" t="n"/>
      <c r="AI274" s="129" t="n"/>
      <c r="AJ274" s="129" t="n"/>
      <c r="AK274" s="129" t="n"/>
      <c r="AL274" s="129" t="n"/>
      <c r="AM274" s="129" t="n"/>
      <c r="AN274" s="129" t="n"/>
      <c r="AO274" s="129" t="n"/>
      <c r="AP274" s="129" t="n"/>
      <c r="AQ274" s="129" t="n"/>
      <c r="AR274" s="129" t="n"/>
      <c r="AS274" s="129" t="n"/>
      <c r="AT274" s="129" t="n"/>
      <c r="AU274" s="129" t="n"/>
      <c r="AV274" s="129" t="n"/>
      <c r="AW274" s="129" t="n"/>
      <c r="AX274" s="129" t="n"/>
      <c r="AY274" s="129" t="n"/>
      <c r="AZ274" s="129" t="n"/>
      <c r="BA274" s="129" t="n"/>
      <c r="BB274" s="129" t="n"/>
      <c r="BC274" s="129" t="n"/>
      <c r="BD274" s="129" t="n"/>
      <c r="BE274" s="129" t="n"/>
      <c r="BF274" s="129" t="n"/>
      <c r="BG274" s="129" t="n"/>
      <c r="BH274" s="129" t="n"/>
      <c r="BI274" s="129" t="n"/>
      <c r="BJ274" s="129" t="n"/>
      <c r="BK274" s="129" t="n"/>
      <c r="BL274" s="129" t="n"/>
      <c r="BM274" s="129" t="n"/>
      <c r="BN274" s="129" t="n"/>
      <c r="BO274" s="129" t="n"/>
      <c r="BP274" s="129" t="n"/>
      <c r="BQ274" s="129" t="n"/>
      <c r="BR274" s="129" t="n"/>
      <c r="BS274" s="129" t="n"/>
      <c r="BT274" s="129" t="n"/>
      <c r="BU274" s="129" t="n"/>
      <c r="BV274" s="129" t="n"/>
      <c r="BW274" s="129" t="n"/>
      <c r="BX274" s="129" t="n"/>
      <c r="BY274" s="129" t="n"/>
      <c r="BZ274" s="129" t="n"/>
      <c r="CA274" s="129" t="n"/>
      <c r="CB274" s="129" t="n"/>
      <c r="CC274" s="129" t="n"/>
      <c r="CD274" s="129" t="n"/>
      <c r="CE274" s="129" t="n"/>
      <c r="CF274" s="129" t="n"/>
      <c r="CG274" s="129" t="n"/>
      <c r="CH274" s="129" t="n"/>
      <c r="CI274" s="129" t="n"/>
      <c r="CJ274" s="129" t="n"/>
      <c r="CK274" s="129" t="n"/>
      <c r="CL274" s="129" t="n"/>
      <c r="CM274" s="129" t="n"/>
      <c r="CN274" s="129" t="n"/>
      <c r="CO274" s="129" t="n"/>
      <c r="CP274" s="129" t="n"/>
      <c r="CQ274" s="129" t="n"/>
      <c r="CR274" s="129" t="n"/>
      <c r="CS274" s="129" t="n"/>
      <c r="CT274" s="129" t="n"/>
      <c r="CU274" s="129" t="n"/>
      <c r="CV274" s="129" t="n"/>
      <c r="CW274" s="129" t="n"/>
      <c r="CX274" s="129" t="n"/>
      <c r="CY274" s="129" t="n"/>
      <c r="CZ274" s="129" t="n"/>
      <c r="DA274" s="129" t="n"/>
      <c r="DB274" s="129" t="n"/>
      <c r="DC274" s="129" t="n"/>
      <c r="DD274" s="129" t="n"/>
      <c r="DE274" s="129" t="n"/>
      <c r="DF274" s="129" t="n"/>
      <c r="DG274" s="129" t="n"/>
      <c r="DH274" s="129" t="n"/>
      <c r="DI274" s="129" t="n"/>
      <c r="DJ274" s="129" t="n"/>
      <c r="DK274" s="129" t="n"/>
      <c r="DL274" s="129" t="n"/>
      <c r="DM274" s="129" t="n"/>
      <c r="DN274" s="129" t="n"/>
      <c r="DO274" s="129" t="n"/>
      <c r="DP274" s="129" t="n"/>
      <c r="DQ274" s="129" t="n"/>
      <c r="DR274" s="129" t="n"/>
      <c r="DS274" s="129" t="n"/>
      <c r="DT274" s="129" t="n"/>
      <c r="DU274" s="129" t="n"/>
      <c r="DV274" s="129" t="n"/>
      <c r="DW274" s="129" t="n"/>
      <c r="DX274" s="129" t="n"/>
      <c r="DY274" s="129" t="n"/>
      <c r="DZ274" s="129" t="n"/>
      <c r="EA274" s="129" t="n"/>
      <c r="EB274" s="129" t="n"/>
      <c r="EC274" s="129" t="n"/>
      <c r="ED274" s="129" t="n"/>
      <c r="EE274" s="129" t="n"/>
      <c r="EF274" s="129" t="n"/>
      <c r="EG274" s="129" t="n"/>
      <c r="EH274" s="129" t="n"/>
      <c r="EI274" s="129" t="n"/>
      <c r="EJ274" s="129" t="n"/>
      <c r="EK274" s="129" t="n"/>
      <c r="EL274" s="129" t="n"/>
      <c r="EM274" s="129" t="n"/>
      <c r="EN274" s="129" t="n"/>
      <c r="EO274" s="129" t="n"/>
      <c r="EP274" s="129" t="n"/>
      <c r="EQ274" s="129" t="n"/>
      <c r="ER274" s="129" t="n"/>
      <c r="ES274" s="129" t="n"/>
      <c r="ET274" s="129" t="n"/>
      <c r="EU274" s="129" t="n"/>
      <c r="EV274" s="129" t="n"/>
      <c r="EW274" s="129" t="n"/>
      <c r="EX274" s="129" t="n"/>
      <c r="EY274" s="129" t="n"/>
      <c r="EZ274" s="129" t="n"/>
      <c r="FA274" s="129" t="n"/>
      <c r="FB274" s="129" t="n"/>
      <c r="FC274" s="129" t="n"/>
      <c r="FD274" s="129" t="n"/>
      <c r="FE274" s="129" t="n"/>
      <c r="FF274" s="129" t="n"/>
      <c r="FG274" s="129" t="n"/>
      <c r="FH274" s="129" t="n"/>
      <c r="FI274" s="129" t="n"/>
      <c r="FJ274" s="129" t="n"/>
      <c r="FK274" s="129" t="n"/>
      <c r="FL274" s="129" t="n"/>
      <c r="FM274" s="129" t="n"/>
    </row>
    <row r="275" s="135">
      <c r="A275" s="52" t="n">
        <v>41274</v>
      </c>
      <c r="B275" s="30" t="n">
        <v>0.103</v>
      </c>
      <c r="C275" s="29" t="n">
        <v>51.5</v>
      </c>
      <c r="D275" s="129" t="n"/>
      <c r="E275" s="129" t="n"/>
      <c r="F275" s="129" t="n"/>
      <c r="G275" s="129" t="n"/>
      <c r="H275" s="129" t="n"/>
      <c r="I275" s="129" t="n"/>
      <c r="J275" s="129" t="n"/>
      <c r="K275" s="129" t="n"/>
      <c r="L275" s="129" t="n"/>
      <c r="M275" s="129" t="n"/>
      <c r="N275" s="129" t="n"/>
      <c r="O275" s="129" t="n"/>
      <c r="P275" s="129" t="n"/>
      <c r="Q275" s="129" t="n"/>
      <c r="R275" s="129" t="n"/>
      <c r="S275" s="129" t="n"/>
      <c r="T275" s="129" t="n"/>
      <c r="U275" s="129" t="n"/>
      <c r="V275" s="129" t="n"/>
      <c r="W275" s="129" t="n"/>
      <c r="X275" s="129" t="n"/>
      <c r="Y275" s="129" t="n"/>
      <c r="Z275" s="129" t="n"/>
      <c r="AA275" s="129" t="n"/>
      <c r="AB275" s="129" t="n"/>
      <c r="AC275" s="129" t="n"/>
      <c r="AD275" s="129" t="n"/>
      <c r="AE275" s="129" t="n"/>
      <c r="AF275" s="129" t="n"/>
      <c r="AG275" s="129" t="n"/>
      <c r="AH275" s="129" t="n"/>
      <c r="AI275" s="129" t="n"/>
      <c r="AJ275" s="129" t="n"/>
      <c r="AK275" s="129" t="n"/>
      <c r="AL275" s="129" t="n"/>
      <c r="AM275" s="129" t="n"/>
      <c r="AN275" s="129" t="n"/>
      <c r="AO275" s="129" t="n"/>
      <c r="AP275" s="129" t="n"/>
      <c r="AQ275" s="129" t="n"/>
      <c r="AR275" s="129" t="n"/>
      <c r="AS275" s="129" t="n"/>
      <c r="AT275" s="129" t="n"/>
      <c r="AU275" s="129" t="n"/>
      <c r="AV275" s="129" t="n"/>
      <c r="AW275" s="129" t="n"/>
      <c r="AX275" s="129" t="n"/>
      <c r="AY275" s="129" t="n"/>
      <c r="AZ275" s="129" t="n"/>
      <c r="BA275" s="129" t="n"/>
      <c r="BB275" s="129" t="n"/>
      <c r="BC275" s="129" t="n"/>
      <c r="BD275" s="129" t="n"/>
      <c r="BE275" s="129" t="n"/>
      <c r="BF275" s="129" t="n"/>
      <c r="BG275" s="129" t="n"/>
      <c r="BH275" s="129" t="n"/>
      <c r="BI275" s="129" t="n"/>
      <c r="BJ275" s="129" t="n"/>
      <c r="BK275" s="129" t="n"/>
      <c r="BL275" s="129" t="n"/>
      <c r="BM275" s="129" t="n"/>
      <c r="BN275" s="129" t="n"/>
      <c r="BO275" s="129" t="n"/>
      <c r="BP275" s="129" t="n"/>
      <c r="BQ275" s="129" t="n"/>
      <c r="BR275" s="129" t="n"/>
      <c r="BS275" s="129" t="n"/>
      <c r="BT275" s="129" t="n"/>
      <c r="BU275" s="129" t="n"/>
      <c r="BV275" s="129" t="n"/>
      <c r="BW275" s="129" t="n"/>
      <c r="BX275" s="129" t="n"/>
      <c r="BY275" s="129" t="n"/>
      <c r="BZ275" s="129" t="n"/>
      <c r="CA275" s="129" t="n"/>
      <c r="CB275" s="129" t="n"/>
      <c r="CC275" s="129" t="n"/>
      <c r="CD275" s="129" t="n"/>
      <c r="CE275" s="129" t="n"/>
      <c r="CF275" s="129" t="n"/>
      <c r="CG275" s="129" t="n"/>
      <c r="CH275" s="129" t="n"/>
      <c r="CI275" s="129" t="n"/>
      <c r="CJ275" s="129" t="n"/>
      <c r="CK275" s="129" t="n"/>
      <c r="CL275" s="129" t="n"/>
      <c r="CM275" s="129" t="n"/>
      <c r="CN275" s="129" t="n"/>
      <c r="CO275" s="129" t="n"/>
      <c r="CP275" s="129" t="n"/>
      <c r="CQ275" s="129" t="n"/>
      <c r="CR275" s="129" t="n"/>
      <c r="CS275" s="129" t="n"/>
      <c r="CT275" s="129" t="n"/>
      <c r="CU275" s="129" t="n"/>
      <c r="CV275" s="129" t="n"/>
      <c r="CW275" s="129" t="n"/>
      <c r="CX275" s="129" t="n"/>
      <c r="CY275" s="129" t="n"/>
      <c r="CZ275" s="129" t="n"/>
      <c r="DA275" s="129" t="n"/>
      <c r="DB275" s="129" t="n"/>
      <c r="DC275" s="129" t="n"/>
      <c r="DD275" s="129" t="n"/>
      <c r="DE275" s="129" t="n"/>
      <c r="DF275" s="129" t="n"/>
      <c r="DG275" s="129" t="n"/>
      <c r="DH275" s="129" t="n"/>
      <c r="DI275" s="129" t="n"/>
      <c r="DJ275" s="129" t="n"/>
      <c r="DK275" s="129" t="n"/>
      <c r="DL275" s="129" t="n"/>
      <c r="DM275" s="129" t="n"/>
      <c r="DN275" s="129" t="n"/>
      <c r="DO275" s="129" t="n"/>
      <c r="DP275" s="129" t="n"/>
      <c r="DQ275" s="129" t="n"/>
      <c r="DR275" s="129" t="n"/>
      <c r="DS275" s="129" t="n"/>
      <c r="DT275" s="129" t="n"/>
      <c r="DU275" s="129" t="n"/>
      <c r="DV275" s="129" t="n"/>
      <c r="DW275" s="129" t="n"/>
      <c r="DX275" s="129" t="n"/>
      <c r="DY275" s="129" t="n"/>
      <c r="DZ275" s="129" t="n"/>
      <c r="EA275" s="129" t="n"/>
      <c r="EB275" s="129" t="n"/>
      <c r="EC275" s="129" t="n"/>
      <c r="ED275" s="129" t="n"/>
      <c r="EE275" s="129" t="n"/>
      <c r="EF275" s="129" t="n"/>
      <c r="EG275" s="129" t="n"/>
      <c r="EH275" s="129" t="n"/>
      <c r="EI275" s="129" t="n"/>
      <c r="EJ275" s="129" t="n"/>
      <c r="EK275" s="129" t="n"/>
      <c r="EL275" s="129" t="n"/>
      <c r="EM275" s="129" t="n"/>
      <c r="EN275" s="129" t="n"/>
      <c r="EO275" s="129" t="n"/>
      <c r="EP275" s="129" t="n"/>
      <c r="EQ275" s="129" t="n"/>
      <c r="ER275" s="129" t="n"/>
      <c r="ES275" s="129" t="n"/>
      <c r="ET275" s="129" t="n"/>
      <c r="EU275" s="129" t="n"/>
      <c r="EV275" s="129" t="n"/>
      <c r="EW275" s="129" t="n"/>
      <c r="EX275" s="129" t="n"/>
      <c r="EY275" s="129" t="n"/>
      <c r="EZ275" s="129" t="n"/>
      <c r="FA275" s="129" t="n"/>
      <c r="FB275" s="129" t="n"/>
      <c r="FC275" s="129" t="n"/>
      <c r="FD275" s="129" t="n"/>
      <c r="FE275" s="129" t="n"/>
      <c r="FF275" s="129" t="n"/>
      <c r="FG275" s="129" t="n"/>
      <c r="FH275" s="129" t="n"/>
      <c r="FI275" s="129" t="n"/>
      <c r="FJ275" s="129" t="n"/>
      <c r="FK275" s="129" t="n"/>
      <c r="FL275" s="129" t="n"/>
      <c r="FM275" s="129" t="n"/>
    </row>
    <row r="276" s="135">
      <c r="A276" s="53" t="n">
        <v>41333</v>
      </c>
      <c r="B276" s="54" t="n">
        <v>0.099</v>
      </c>
      <c r="C276" s="29" t="n">
        <v>50.4</v>
      </c>
      <c r="D276" s="129" t="n"/>
      <c r="E276" s="129" t="n"/>
      <c r="F276" s="129" t="n"/>
      <c r="G276" s="129" t="n"/>
      <c r="H276" s="129" t="n"/>
      <c r="I276" s="129" t="n"/>
      <c r="J276" s="129" t="n"/>
      <c r="K276" s="129" t="n"/>
      <c r="L276" s="129" t="n"/>
      <c r="M276" s="129" t="n"/>
      <c r="N276" s="129" t="n"/>
      <c r="O276" s="129" t="n"/>
      <c r="P276" s="129" t="n"/>
      <c r="Q276" s="129" t="n"/>
      <c r="R276" s="129" t="n"/>
      <c r="S276" s="129" t="n"/>
      <c r="T276" s="129" t="n"/>
      <c r="U276" s="129" t="n"/>
      <c r="V276" s="129" t="n"/>
      <c r="W276" s="129" t="n"/>
      <c r="X276" s="129" t="n"/>
      <c r="Y276" s="129" t="n"/>
      <c r="Z276" s="129" t="n"/>
      <c r="AA276" s="129" t="n"/>
      <c r="AB276" s="129" t="n"/>
      <c r="AC276" s="129" t="n"/>
      <c r="AD276" s="129" t="n"/>
      <c r="AE276" s="129" t="n"/>
      <c r="AF276" s="129" t="n"/>
      <c r="AG276" s="129" t="n"/>
      <c r="AH276" s="129" t="n"/>
      <c r="AI276" s="129" t="n"/>
      <c r="AJ276" s="129" t="n"/>
      <c r="AK276" s="129" t="n"/>
      <c r="AL276" s="129" t="n"/>
      <c r="AM276" s="129" t="n"/>
      <c r="AN276" s="129" t="n"/>
      <c r="AO276" s="129" t="n"/>
      <c r="AP276" s="129" t="n"/>
      <c r="AQ276" s="129" t="n"/>
      <c r="AR276" s="129" t="n"/>
      <c r="AS276" s="129" t="n"/>
      <c r="AT276" s="129" t="n"/>
      <c r="AU276" s="129" t="n"/>
      <c r="AV276" s="129" t="n"/>
      <c r="AW276" s="129" t="n"/>
      <c r="AX276" s="129" t="n"/>
      <c r="AY276" s="129" t="n"/>
      <c r="AZ276" s="129" t="n"/>
      <c r="BA276" s="129" t="n"/>
      <c r="BB276" s="129" t="n"/>
      <c r="BC276" s="129" t="n"/>
      <c r="BD276" s="129" t="n"/>
      <c r="BE276" s="129" t="n"/>
      <c r="BF276" s="129" t="n"/>
      <c r="BG276" s="129" t="n"/>
      <c r="BH276" s="129" t="n"/>
      <c r="BI276" s="129" t="n"/>
      <c r="BJ276" s="129" t="n"/>
      <c r="BK276" s="129" t="n"/>
      <c r="BL276" s="129" t="n"/>
      <c r="BM276" s="129" t="n"/>
      <c r="BN276" s="129" t="n"/>
      <c r="BO276" s="129" t="n"/>
      <c r="BP276" s="129" t="n"/>
      <c r="BQ276" s="129" t="n"/>
      <c r="BR276" s="129" t="n"/>
      <c r="BS276" s="129" t="n"/>
      <c r="BT276" s="129" t="n"/>
      <c r="BU276" s="129" t="n"/>
      <c r="BV276" s="129" t="n"/>
      <c r="BW276" s="129" t="n"/>
      <c r="BX276" s="129" t="n"/>
      <c r="BY276" s="129" t="n"/>
      <c r="BZ276" s="129" t="n"/>
      <c r="CA276" s="129" t="n"/>
      <c r="CB276" s="129" t="n"/>
      <c r="CC276" s="129" t="n"/>
      <c r="CD276" s="129" t="n"/>
      <c r="CE276" s="129" t="n"/>
      <c r="CF276" s="129" t="n"/>
      <c r="CG276" s="129" t="n"/>
      <c r="CH276" s="129" t="n"/>
      <c r="CI276" s="129" t="n"/>
      <c r="CJ276" s="129" t="n"/>
      <c r="CK276" s="129" t="n"/>
      <c r="CL276" s="129" t="n"/>
      <c r="CM276" s="129" t="n"/>
      <c r="CN276" s="129" t="n"/>
      <c r="CO276" s="129" t="n"/>
      <c r="CP276" s="129" t="n"/>
      <c r="CQ276" s="129" t="n"/>
      <c r="CR276" s="129" t="n"/>
      <c r="CS276" s="129" t="n"/>
      <c r="CT276" s="129" t="n"/>
      <c r="CU276" s="129" t="n"/>
      <c r="CV276" s="129" t="n"/>
      <c r="CW276" s="129" t="n"/>
      <c r="CX276" s="129" t="n"/>
      <c r="CY276" s="129" t="n"/>
      <c r="CZ276" s="129" t="n"/>
      <c r="DA276" s="129" t="n"/>
      <c r="DB276" s="129" t="n"/>
      <c r="DC276" s="129" t="n"/>
      <c r="DD276" s="129" t="n"/>
      <c r="DE276" s="129" t="n"/>
      <c r="DF276" s="129" t="n"/>
      <c r="DG276" s="129" t="n"/>
      <c r="DH276" s="129" t="n"/>
      <c r="DI276" s="129" t="n"/>
      <c r="DJ276" s="129" t="n"/>
      <c r="DK276" s="129" t="n"/>
      <c r="DL276" s="129" t="n"/>
      <c r="DM276" s="129" t="n"/>
      <c r="DN276" s="129" t="n"/>
      <c r="DO276" s="129" t="n"/>
      <c r="DP276" s="129" t="n"/>
      <c r="DQ276" s="129" t="n"/>
      <c r="DR276" s="129" t="n"/>
      <c r="DS276" s="129" t="n"/>
      <c r="DT276" s="129" t="n"/>
      <c r="DU276" s="129" t="n"/>
      <c r="DV276" s="129" t="n"/>
      <c r="DW276" s="129" t="n"/>
      <c r="DX276" s="129" t="n"/>
      <c r="DY276" s="129" t="n"/>
      <c r="DZ276" s="129" t="n"/>
      <c r="EA276" s="129" t="n"/>
      <c r="EB276" s="129" t="n"/>
      <c r="EC276" s="129" t="n"/>
      <c r="ED276" s="129" t="n"/>
      <c r="EE276" s="129" t="n"/>
      <c r="EF276" s="129" t="n"/>
      <c r="EG276" s="129" t="n"/>
      <c r="EH276" s="129" t="n"/>
      <c r="EI276" s="129" t="n"/>
      <c r="EJ276" s="129" t="n"/>
      <c r="EK276" s="129" t="n"/>
      <c r="EL276" s="129" t="n"/>
      <c r="EM276" s="129" t="n"/>
      <c r="EN276" s="129" t="n"/>
      <c r="EO276" s="129" t="n"/>
      <c r="EP276" s="129" t="n"/>
      <c r="EQ276" s="129" t="n"/>
      <c r="ER276" s="129" t="n"/>
      <c r="ES276" s="129" t="n"/>
      <c r="ET276" s="129" t="n"/>
      <c r="EU276" s="129" t="n"/>
      <c r="EV276" s="129" t="n"/>
      <c r="EW276" s="129" t="n"/>
      <c r="EX276" s="129" t="n"/>
      <c r="EY276" s="129" t="n"/>
      <c r="EZ276" s="129" t="n"/>
      <c r="FA276" s="129" t="n"/>
      <c r="FB276" s="129" t="n"/>
      <c r="FC276" s="129" t="n"/>
      <c r="FD276" s="129" t="n"/>
      <c r="FE276" s="129" t="n"/>
      <c r="FF276" s="129" t="n"/>
      <c r="FG276" s="129" t="n"/>
      <c r="FH276" s="129" t="n"/>
      <c r="FI276" s="129" t="n"/>
      <c r="FJ276" s="129" t="n"/>
      <c r="FK276" s="129" t="n"/>
      <c r="FL276" s="129" t="n"/>
      <c r="FM276" s="129" t="n"/>
    </row>
    <row r="277" s="135">
      <c r="A277" s="52" t="n">
        <v>41364</v>
      </c>
      <c r="B277" s="30" t="n">
        <v>0.089</v>
      </c>
      <c r="C277" s="29" t="n">
        <v>51.6</v>
      </c>
      <c r="D277" s="129" t="n"/>
      <c r="E277" s="129" t="n"/>
      <c r="F277" s="129" t="n"/>
      <c r="G277" s="129" t="n"/>
      <c r="H277" s="129" t="n"/>
      <c r="I277" s="129" t="n"/>
      <c r="J277" s="129" t="n"/>
      <c r="K277" s="129" t="n"/>
      <c r="L277" s="129" t="n"/>
      <c r="M277" s="129" t="n"/>
      <c r="N277" s="129" t="n"/>
      <c r="O277" s="129" t="n"/>
      <c r="P277" s="129" t="n"/>
      <c r="Q277" s="129" t="n"/>
      <c r="R277" s="129" t="n"/>
      <c r="S277" s="129" t="n"/>
      <c r="T277" s="129" t="n"/>
      <c r="U277" s="129" t="n"/>
      <c r="V277" s="129" t="n"/>
      <c r="W277" s="129" t="n"/>
      <c r="X277" s="129" t="n"/>
      <c r="Y277" s="129" t="n"/>
      <c r="Z277" s="129" t="n"/>
      <c r="AA277" s="129" t="n"/>
      <c r="AB277" s="129" t="n"/>
      <c r="AC277" s="129" t="n"/>
      <c r="AD277" s="129" t="n"/>
      <c r="AE277" s="129" t="n"/>
      <c r="AF277" s="129" t="n"/>
      <c r="AG277" s="129" t="n"/>
      <c r="AH277" s="129" t="n"/>
      <c r="AI277" s="129" t="n"/>
      <c r="AJ277" s="129" t="n"/>
      <c r="AK277" s="129" t="n"/>
      <c r="AL277" s="129" t="n"/>
      <c r="AM277" s="129" t="n"/>
      <c r="AN277" s="129" t="n"/>
      <c r="AO277" s="129" t="n"/>
      <c r="AP277" s="129" t="n"/>
      <c r="AQ277" s="129" t="n"/>
      <c r="AR277" s="129" t="n"/>
      <c r="AS277" s="129" t="n"/>
      <c r="AT277" s="129" t="n"/>
      <c r="AU277" s="129" t="n"/>
      <c r="AV277" s="129" t="n"/>
      <c r="AW277" s="129" t="n"/>
      <c r="AX277" s="129" t="n"/>
      <c r="AY277" s="129" t="n"/>
      <c r="AZ277" s="129" t="n"/>
      <c r="BA277" s="129" t="n"/>
      <c r="BB277" s="129" t="n"/>
      <c r="BC277" s="129" t="n"/>
      <c r="BD277" s="129" t="n"/>
      <c r="BE277" s="129" t="n"/>
      <c r="BF277" s="129" t="n"/>
      <c r="BG277" s="129" t="n"/>
      <c r="BH277" s="129" t="n"/>
      <c r="BI277" s="129" t="n"/>
      <c r="BJ277" s="129" t="n"/>
      <c r="BK277" s="129" t="n"/>
      <c r="BL277" s="129" t="n"/>
      <c r="BM277" s="129" t="n"/>
      <c r="BN277" s="129" t="n"/>
      <c r="BO277" s="129" t="n"/>
      <c r="BP277" s="129" t="n"/>
      <c r="BQ277" s="129" t="n"/>
      <c r="BR277" s="129" t="n"/>
      <c r="BS277" s="129" t="n"/>
      <c r="BT277" s="129" t="n"/>
      <c r="BU277" s="129" t="n"/>
      <c r="BV277" s="129" t="n"/>
      <c r="BW277" s="129" t="n"/>
      <c r="BX277" s="129" t="n"/>
      <c r="BY277" s="129" t="n"/>
      <c r="BZ277" s="129" t="n"/>
      <c r="CA277" s="129" t="n"/>
      <c r="CB277" s="129" t="n"/>
      <c r="CC277" s="129" t="n"/>
      <c r="CD277" s="129" t="n"/>
      <c r="CE277" s="129" t="n"/>
      <c r="CF277" s="129" t="n"/>
      <c r="CG277" s="129" t="n"/>
      <c r="CH277" s="129" t="n"/>
      <c r="CI277" s="129" t="n"/>
      <c r="CJ277" s="129" t="n"/>
      <c r="CK277" s="129" t="n"/>
      <c r="CL277" s="129" t="n"/>
      <c r="CM277" s="129" t="n"/>
      <c r="CN277" s="129" t="n"/>
      <c r="CO277" s="129" t="n"/>
      <c r="CP277" s="129" t="n"/>
      <c r="CQ277" s="129" t="n"/>
      <c r="CR277" s="129" t="n"/>
      <c r="CS277" s="129" t="n"/>
      <c r="CT277" s="129" t="n"/>
      <c r="CU277" s="129" t="n"/>
      <c r="CV277" s="129" t="n"/>
      <c r="CW277" s="129" t="n"/>
      <c r="CX277" s="129" t="n"/>
      <c r="CY277" s="129" t="n"/>
      <c r="CZ277" s="129" t="n"/>
      <c r="DA277" s="129" t="n"/>
      <c r="DB277" s="129" t="n"/>
      <c r="DC277" s="129" t="n"/>
      <c r="DD277" s="129" t="n"/>
      <c r="DE277" s="129" t="n"/>
      <c r="DF277" s="129" t="n"/>
      <c r="DG277" s="129" t="n"/>
      <c r="DH277" s="129" t="n"/>
      <c r="DI277" s="129" t="n"/>
      <c r="DJ277" s="129" t="n"/>
      <c r="DK277" s="129" t="n"/>
      <c r="DL277" s="129" t="n"/>
      <c r="DM277" s="129" t="n"/>
      <c r="DN277" s="129" t="n"/>
      <c r="DO277" s="129" t="n"/>
      <c r="DP277" s="129" t="n"/>
      <c r="DQ277" s="129" t="n"/>
      <c r="DR277" s="129" t="n"/>
      <c r="DS277" s="129" t="n"/>
      <c r="DT277" s="129" t="n"/>
      <c r="DU277" s="129" t="n"/>
      <c r="DV277" s="129" t="n"/>
      <c r="DW277" s="129" t="n"/>
      <c r="DX277" s="129" t="n"/>
      <c r="DY277" s="129" t="n"/>
      <c r="DZ277" s="129" t="n"/>
      <c r="EA277" s="129" t="n"/>
      <c r="EB277" s="129" t="n"/>
      <c r="EC277" s="129" t="n"/>
      <c r="ED277" s="129" t="n"/>
      <c r="EE277" s="129" t="n"/>
      <c r="EF277" s="129" t="n"/>
      <c r="EG277" s="129" t="n"/>
      <c r="EH277" s="129" t="n"/>
      <c r="EI277" s="129" t="n"/>
      <c r="EJ277" s="129" t="n"/>
      <c r="EK277" s="129" t="n"/>
      <c r="EL277" s="129" t="n"/>
      <c r="EM277" s="129" t="n"/>
      <c r="EN277" s="129" t="n"/>
      <c r="EO277" s="129" t="n"/>
      <c r="EP277" s="129" t="n"/>
      <c r="EQ277" s="129" t="n"/>
      <c r="ER277" s="129" t="n"/>
      <c r="ES277" s="129" t="n"/>
      <c r="ET277" s="129" t="n"/>
      <c r="EU277" s="129" t="n"/>
      <c r="EV277" s="129" t="n"/>
      <c r="EW277" s="129" t="n"/>
      <c r="EX277" s="129" t="n"/>
      <c r="EY277" s="129" t="n"/>
      <c r="EZ277" s="129" t="n"/>
      <c r="FA277" s="129" t="n"/>
      <c r="FB277" s="129" t="n"/>
      <c r="FC277" s="129" t="n"/>
      <c r="FD277" s="129" t="n"/>
      <c r="FE277" s="129" t="n"/>
      <c r="FF277" s="129" t="n"/>
      <c r="FG277" s="129" t="n"/>
      <c r="FH277" s="129" t="n"/>
      <c r="FI277" s="129" t="n"/>
      <c r="FJ277" s="129" t="n"/>
      <c r="FK277" s="129" t="n"/>
      <c r="FL277" s="129" t="n"/>
      <c r="FM277" s="129" t="n"/>
    </row>
    <row r="278" s="135">
      <c r="A278" s="53" t="n">
        <v>41394</v>
      </c>
      <c r="B278" s="54" t="n">
        <v>0.093</v>
      </c>
      <c r="C278" s="29" t="n">
        <v>50.4</v>
      </c>
      <c r="D278" s="129" t="n"/>
      <c r="E278" s="129" t="n"/>
      <c r="F278" s="129" t="n"/>
      <c r="G278" s="129" t="n"/>
      <c r="H278" s="129" t="n"/>
      <c r="I278" s="129" t="n"/>
      <c r="J278" s="129" t="n"/>
      <c r="K278" s="129" t="n"/>
      <c r="L278" s="129" t="n"/>
      <c r="M278" s="129" t="n"/>
      <c r="N278" s="129" t="n"/>
      <c r="O278" s="129" t="n"/>
      <c r="P278" s="129" t="n"/>
      <c r="Q278" s="129" t="n"/>
      <c r="R278" s="129" t="n"/>
      <c r="S278" s="129" t="n"/>
      <c r="T278" s="129" t="n"/>
      <c r="U278" s="129" t="n"/>
      <c r="V278" s="129" t="n"/>
      <c r="W278" s="129" t="n"/>
      <c r="X278" s="129" t="n"/>
      <c r="Y278" s="129" t="n"/>
      <c r="Z278" s="129" t="n"/>
      <c r="AA278" s="129" t="n"/>
      <c r="AB278" s="129" t="n"/>
      <c r="AC278" s="129" t="n"/>
      <c r="AD278" s="129" t="n"/>
      <c r="AE278" s="129" t="n"/>
      <c r="AF278" s="129" t="n"/>
      <c r="AG278" s="129" t="n"/>
      <c r="AH278" s="129" t="n"/>
      <c r="AI278" s="129" t="n"/>
      <c r="AJ278" s="129" t="n"/>
      <c r="AK278" s="129" t="n"/>
      <c r="AL278" s="129" t="n"/>
      <c r="AM278" s="129" t="n"/>
      <c r="AN278" s="129" t="n"/>
      <c r="AO278" s="129" t="n"/>
      <c r="AP278" s="129" t="n"/>
      <c r="AQ278" s="129" t="n"/>
      <c r="AR278" s="129" t="n"/>
      <c r="AS278" s="129" t="n"/>
      <c r="AT278" s="129" t="n"/>
      <c r="AU278" s="129" t="n"/>
      <c r="AV278" s="129" t="n"/>
      <c r="AW278" s="129" t="n"/>
      <c r="AX278" s="129" t="n"/>
      <c r="AY278" s="129" t="n"/>
      <c r="AZ278" s="129" t="n"/>
      <c r="BA278" s="129" t="n"/>
      <c r="BB278" s="129" t="n"/>
      <c r="BC278" s="129" t="n"/>
      <c r="BD278" s="129" t="n"/>
      <c r="BE278" s="129" t="n"/>
      <c r="BF278" s="129" t="n"/>
      <c r="BG278" s="129" t="n"/>
      <c r="BH278" s="129" t="n"/>
      <c r="BI278" s="129" t="n"/>
      <c r="BJ278" s="129" t="n"/>
      <c r="BK278" s="129" t="n"/>
      <c r="BL278" s="129" t="n"/>
      <c r="BM278" s="129" t="n"/>
      <c r="BN278" s="129" t="n"/>
      <c r="BO278" s="129" t="n"/>
      <c r="BP278" s="129" t="n"/>
      <c r="BQ278" s="129" t="n"/>
      <c r="BR278" s="129" t="n"/>
      <c r="BS278" s="129" t="n"/>
      <c r="BT278" s="129" t="n"/>
      <c r="BU278" s="129" t="n"/>
      <c r="BV278" s="129" t="n"/>
      <c r="BW278" s="129" t="n"/>
      <c r="BX278" s="129" t="n"/>
      <c r="BY278" s="129" t="n"/>
      <c r="BZ278" s="129" t="n"/>
      <c r="CA278" s="129" t="n"/>
      <c r="CB278" s="129" t="n"/>
      <c r="CC278" s="129" t="n"/>
      <c r="CD278" s="129" t="n"/>
      <c r="CE278" s="129" t="n"/>
      <c r="CF278" s="129" t="n"/>
      <c r="CG278" s="129" t="n"/>
      <c r="CH278" s="129" t="n"/>
      <c r="CI278" s="129" t="n"/>
      <c r="CJ278" s="129" t="n"/>
      <c r="CK278" s="129" t="n"/>
      <c r="CL278" s="129" t="n"/>
      <c r="CM278" s="129" t="n"/>
      <c r="CN278" s="129" t="n"/>
      <c r="CO278" s="129" t="n"/>
      <c r="CP278" s="129" t="n"/>
      <c r="CQ278" s="129" t="n"/>
      <c r="CR278" s="129" t="n"/>
      <c r="CS278" s="129" t="n"/>
      <c r="CT278" s="129" t="n"/>
      <c r="CU278" s="129" t="n"/>
      <c r="CV278" s="129" t="n"/>
      <c r="CW278" s="129" t="n"/>
      <c r="CX278" s="129" t="n"/>
      <c r="CY278" s="129" t="n"/>
      <c r="CZ278" s="129" t="n"/>
      <c r="DA278" s="129" t="n"/>
      <c r="DB278" s="129" t="n"/>
      <c r="DC278" s="129" t="n"/>
      <c r="DD278" s="129" t="n"/>
      <c r="DE278" s="129" t="n"/>
      <c r="DF278" s="129" t="n"/>
      <c r="DG278" s="129" t="n"/>
      <c r="DH278" s="129" t="n"/>
      <c r="DI278" s="129" t="n"/>
      <c r="DJ278" s="129" t="n"/>
      <c r="DK278" s="129" t="n"/>
      <c r="DL278" s="129" t="n"/>
      <c r="DM278" s="129" t="n"/>
      <c r="DN278" s="129" t="n"/>
      <c r="DO278" s="129" t="n"/>
      <c r="DP278" s="129" t="n"/>
      <c r="DQ278" s="129" t="n"/>
      <c r="DR278" s="129" t="n"/>
      <c r="DS278" s="129" t="n"/>
      <c r="DT278" s="129" t="n"/>
      <c r="DU278" s="129" t="n"/>
      <c r="DV278" s="129" t="n"/>
      <c r="DW278" s="129" t="n"/>
      <c r="DX278" s="129" t="n"/>
      <c r="DY278" s="129" t="n"/>
      <c r="DZ278" s="129" t="n"/>
      <c r="EA278" s="129" t="n"/>
      <c r="EB278" s="129" t="n"/>
      <c r="EC278" s="129" t="n"/>
      <c r="ED278" s="129" t="n"/>
      <c r="EE278" s="129" t="n"/>
      <c r="EF278" s="129" t="n"/>
      <c r="EG278" s="129" t="n"/>
      <c r="EH278" s="129" t="n"/>
      <c r="EI278" s="129" t="n"/>
      <c r="EJ278" s="129" t="n"/>
      <c r="EK278" s="129" t="n"/>
      <c r="EL278" s="129" t="n"/>
      <c r="EM278" s="129" t="n"/>
      <c r="EN278" s="129" t="n"/>
      <c r="EO278" s="129" t="n"/>
      <c r="EP278" s="129" t="n"/>
      <c r="EQ278" s="129" t="n"/>
      <c r="ER278" s="129" t="n"/>
      <c r="ES278" s="129" t="n"/>
      <c r="ET278" s="129" t="n"/>
      <c r="EU278" s="129" t="n"/>
      <c r="EV278" s="129" t="n"/>
      <c r="EW278" s="129" t="n"/>
      <c r="EX278" s="129" t="n"/>
      <c r="EY278" s="129" t="n"/>
      <c r="EZ278" s="129" t="n"/>
      <c r="FA278" s="129" t="n"/>
      <c r="FB278" s="129" t="n"/>
      <c r="FC278" s="129" t="n"/>
      <c r="FD278" s="129" t="n"/>
      <c r="FE278" s="129" t="n"/>
      <c r="FF278" s="129" t="n"/>
      <c r="FG278" s="129" t="n"/>
      <c r="FH278" s="129" t="n"/>
      <c r="FI278" s="129" t="n"/>
      <c r="FJ278" s="129" t="n"/>
      <c r="FK278" s="129" t="n"/>
      <c r="FL278" s="129" t="n"/>
      <c r="FM278" s="129" t="n"/>
    </row>
    <row r="279" s="135">
      <c r="A279" s="52" t="n">
        <v>41425</v>
      </c>
      <c r="B279" s="30" t="n">
        <v>0.092</v>
      </c>
      <c r="C279" s="29" t="n">
        <v>49.2</v>
      </c>
      <c r="D279" s="129" t="n"/>
      <c r="E279" s="129" t="n"/>
      <c r="F279" s="129" t="n"/>
      <c r="G279" s="129" t="n"/>
      <c r="H279" s="129" t="n"/>
      <c r="I279" s="129" t="n"/>
      <c r="J279" s="129" t="n"/>
      <c r="K279" s="129" t="n"/>
      <c r="L279" s="129" t="n"/>
      <c r="M279" s="129" t="n"/>
      <c r="N279" s="129" t="n"/>
      <c r="O279" s="129" t="n"/>
      <c r="P279" s="129" t="n"/>
      <c r="Q279" s="129" t="n"/>
      <c r="R279" s="129" t="n"/>
      <c r="S279" s="129" t="n"/>
      <c r="T279" s="129" t="n"/>
      <c r="U279" s="129" t="n"/>
      <c r="V279" s="129" t="n"/>
      <c r="W279" s="129" t="n"/>
      <c r="X279" s="129" t="n"/>
      <c r="Y279" s="129" t="n"/>
      <c r="Z279" s="129" t="n"/>
      <c r="AA279" s="129" t="n"/>
      <c r="AB279" s="129" t="n"/>
      <c r="AC279" s="129" t="n"/>
      <c r="AD279" s="129" t="n"/>
      <c r="AE279" s="129" t="n"/>
      <c r="AF279" s="129" t="n"/>
      <c r="AG279" s="129" t="n"/>
      <c r="AH279" s="129" t="n"/>
      <c r="AI279" s="129" t="n"/>
      <c r="AJ279" s="129" t="n"/>
      <c r="AK279" s="129" t="n"/>
      <c r="AL279" s="129" t="n"/>
      <c r="AM279" s="129" t="n"/>
      <c r="AN279" s="129" t="n"/>
      <c r="AO279" s="129" t="n"/>
      <c r="AP279" s="129" t="n"/>
      <c r="AQ279" s="129" t="n"/>
      <c r="AR279" s="129" t="n"/>
      <c r="AS279" s="129" t="n"/>
      <c r="AT279" s="129" t="n"/>
      <c r="AU279" s="129" t="n"/>
      <c r="AV279" s="129" t="n"/>
      <c r="AW279" s="129" t="n"/>
      <c r="AX279" s="129" t="n"/>
      <c r="AY279" s="129" t="n"/>
      <c r="AZ279" s="129" t="n"/>
      <c r="BA279" s="129" t="n"/>
      <c r="BB279" s="129" t="n"/>
      <c r="BC279" s="129" t="n"/>
      <c r="BD279" s="129" t="n"/>
      <c r="BE279" s="129" t="n"/>
      <c r="BF279" s="129" t="n"/>
      <c r="BG279" s="129" t="n"/>
      <c r="BH279" s="129" t="n"/>
      <c r="BI279" s="129" t="n"/>
      <c r="BJ279" s="129" t="n"/>
      <c r="BK279" s="129" t="n"/>
      <c r="BL279" s="129" t="n"/>
      <c r="BM279" s="129" t="n"/>
      <c r="BN279" s="129" t="n"/>
      <c r="BO279" s="129" t="n"/>
      <c r="BP279" s="129" t="n"/>
      <c r="BQ279" s="129" t="n"/>
      <c r="BR279" s="129" t="n"/>
      <c r="BS279" s="129" t="n"/>
      <c r="BT279" s="129" t="n"/>
      <c r="BU279" s="129" t="n"/>
      <c r="BV279" s="129" t="n"/>
      <c r="BW279" s="129" t="n"/>
      <c r="BX279" s="129" t="n"/>
      <c r="BY279" s="129" t="n"/>
      <c r="BZ279" s="129" t="n"/>
      <c r="CA279" s="129" t="n"/>
      <c r="CB279" s="129" t="n"/>
      <c r="CC279" s="129" t="n"/>
      <c r="CD279" s="129" t="n"/>
      <c r="CE279" s="129" t="n"/>
      <c r="CF279" s="129" t="n"/>
      <c r="CG279" s="129" t="n"/>
      <c r="CH279" s="129" t="n"/>
      <c r="CI279" s="129" t="n"/>
      <c r="CJ279" s="129" t="n"/>
      <c r="CK279" s="129" t="n"/>
      <c r="CL279" s="129" t="n"/>
      <c r="CM279" s="129" t="n"/>
      <c r="CN279" s="129" t="n"/>
      <c r="CO279" s="129" t="n"/>
      <c r="CP279" s="129" t="n"/>
      <c r="CQ279" s="129" t="n"/>
      <c r="CR279" s="129" t="n"/>
      <c r="CS279" s="129" t="n"/>
      <c r="CT279" s="129" t="n"/>
      <c r="CU279" s="129" t="n"/>
      <c r="CV279" s="129" t="n"/>
      <c r="CW279" s="129" t="n"/>
      <c r="CX279" s="129" t="n"/>
      <c r="CY279" s="129" t="n"/>
      <c r="CZ279" s="129" t="n"/>
      <c r="DA279" s="129" t="n"/>
      <c r="DB279" s="129" t="n"/>
      <c r="DC279" s="129" t="n"/>
      <c r="DD279" s="129" t="n"/>
      <c r="DE279" s="129" t="n"/>
      <c r="DF279" s="129" t="n"/>
      <c r="DG279" s="129" t="n"/>
      <c r="DH279" s="129" t="n"/>
      <c r="DI279" s="129" t="n"/>
      <c r="DJ279" s="129" t="n"/>
      <c r="DK279" s="129" t="n"/>
      <c r="DL279" s="129" t="n"/>
      <c r="DM279" s="129" t="n"/>
      <c r="DN279" s="129" t="n"/>
      <c r="DO279" s="129" t="n"/>
      <c r="DP279" s="129" t="n"/>
      <c r="DQ279" s="129" t="n"/>
      <c r="DR279" s="129" t="n"/>
      <c r="DS279" s="129" t="n"/>
      <c r="DT279" s="129" t="n"/>
      <c r="DU279" s="129" t="n"/>
      <c r="DV279" s="129" t="n"/>
      <c r="DW279" s="129" t="n"/>
      <c r="DX279" s="129" t="n"/>
      <c r="DY279" s="129" t="n"/>
      <c r="DZ279" s="129" t="n"/>
      <c r="EA279" s="129" t="n"/>
      <c r="EB279" s="129" t="n"/>
      <c r="EC279" s="129" t="n"/>
      <c r="ED279" s="129" t="n"/>
      <c r="EE279" s="129" t="n"/>
      <c r="EF279" s="129" t="n"/>
      <c r="EG279" s="129" t="n"/>
      <c r="EH279" s="129" t="n"/>
      <c r="EI279" s="129" t="n"/>
      <c r="EJ279" s="129" t="n"/>
      <c r="EK279" s="129" t="n"/>
      <c r="EL279" s="129" t="n"/>
      <c r="EM279" s="129" t="n"/>
      <c r="EN279" s="129" t="n"/>
      <c r="EO279" s="129" t="n"/>
      <c r="EP279" s="129" t="n"/>
      <c r="EQ279" s="129" t="n"/>
      <c r="ER279" s="129" t="n"/>
      <c r="ES279" s="129" t="n"/>
      <c r="ET279" s="129" t="n"/>
      <c r="EU279" s="129" t="n"/>
      <c r="EV279" s="129" t="n"/>
      <c r="EW279" s="129" t="n"/>
      <c r="EX279" s="129" t="n"/>
      <c r="EY279" s="129" t="n"/>
      <c r="EZ279" s="129" t="n"/>
      <c r="FA279" s="129" t="n"/>
      <c r="FB279" s="129" t="n"/>
      <c r="FC279" s="129" t="n"/>
      <c r="FD279" s="129" t="n"/>
      <c r="FE279" s="129" t="n"/>
      <c r="FF279" s="129" t="n"/>
      <c r="FG279" s="129" t="n"/>
      <c r="FH279" s="129" t="n"/>
      <c r="FI279" s="129" t="n"/>
      <c r="FJ279" s="129" t="n"/>
      <c r="FK279" s="129" t="n"/>
      <c r="FL279" s="129" t="n"/>
      <c r="FM279" s="129" t="n"/>
    </row>
    <row r="280" s="135">
      <c r="A280" s="53" t="n">
        <v>41455</v>
      </c>
      <c r="B280" s="54" t="n">
        <v>0.089</v>
      </c>
      <c r="C280" s="29" t="n">
        <v>48.2</v>
      </c>
      <c r="D280" s="129" t="n"/>
      <c r="E280" s="129" t="n"/>
      <c r="F280" s="129" t="n"/>
      <c r="G280" s="129" t="n"/>
      <c r="H280" s="129" t="n"/>
      <c r="I280" s="129" t="n"/>
      <c r="J280" s="129" t="n"/>
      <c r="K280" s="129" t="n"/>
      <c r="L280" s="129" t="n"/>
      <c r="M280" s="129" t="n"/>
      <c r="N280" s="129" t="n"/>
      <c r="O280" s="129" t="n"/>
      <c r="P280" s="129" t="n"/>
      <c r="Q280" s="129" t="n"/>
      <c r="R280" s="129" t="n"/>
      <c r="S280" s="129" t="n"/>
      <c r="T280" s="129" t="n"/>
      <c r="U280" s="129" t="n"/>
      <c r="V280" s="129" t="n"/>
      <c r="W280" s="129" t="n"/>
      <c r="X280" s="129" t="n"/>
      <c r="Y280" s="129" t="n"/>
      <c r="Z280" s="129" t="n"/>
      <c r="AA280" s="129" t="n"/>
      <c r="AB280" s="129" t="n"/>
      <c r="AC280" s="129" t="n"/>
      <c r="AD280" s="129" t="n"/>
      <c r="AE280" s="129" t="n"/>
      <c r="AF280" s="129" t="n"/>
      <c r="AG280" s="129" t="n"/>
      <c r="AH280" s="129" t="n"/>
      <c r="AI280" s="129" t="n"/>
      <c r="AJ280" s="129" t="n"/>
      <c r="AK280" s="129" t="n"/>
      <c r="AL280" s="129" t="n"/>
      <c r="AM280" s="129" t="n"/>
      <c r="AN280" s="129" t="n"/>
      <c r="AO280" s="129" t="n"/>
      <c r="AP280" s="129" t="n"/>
      <c r="AQ280" s="129" t="n"/>
      <c r="AR280" s="129" t="n"/>
      <c r="AS280" s="129" t="n"/>
      <c r="AT280" s="129" t="n"/>
      <c r="AU280" s="129" t="n"/>
      <c r="AV280" s="129" t="n"/>
      <c r="AW280" s="129" t="n"/>
      <c r="AX280" s="129" t="n"/>
      <c r="AY280" s="129" t="n"/>
      <c r="AZ280" s="129" t="n"/>
      <c r="BA280" s="129" t="n"/>
      <c r="BB280" s="129" t="n"/>
      <c r="BC280" s="129" t="n"/>
      <c r="BD280" s="129" t="n"/>
      <c r="BE280" s="129" t="n"/>
      <c r="BF280" s="129" t="n"/>
      <c r="BG280" s="129" t="n"/>
      <c r="BH280" s="129" t="n"/>
      <c r="BI280" s="129" t="n"/>
      <c r="BJ280" s="129" t="n"/>
      <c r="BK280" s="129" t="n"/>
      <c r="BL280" s="129" t="n"/>
      <c r="BM280" s="129" t="n"/>
      <c r="BN280" s="129" t="n"/>
      <c r="BO280" s="129" t="n"/>
      <c r="BP280" s="129" t="n"/>
      <c r="BQ280" s="129" t="n"/>
      <c r="BR280" s="129" t="n"/>
      <c r="BS280" s="129" t="n"/>
      <c r="BT280" s="129" t="n"/>
      <c r="BU280" s="129" t="n"/>
      <c r="BV280" s="129" t="n"/>
      <c r="BW280" s="129" t="n"/>
      <c r="BX280" s="129" t="n"/>
      <c r="BY280" s="129" t="n"/>
      <c r="BZ280" s="129" t="n"/>
      <c r="CA280" s="129" t="n"/>
      <c r="CB280" s="129" t="n"/>
      <c r="CC280" s="129" t="n"/>
      <c r="CD280" s="129" t="n"/>
      <c r="CE280" s="129" t="n"/>
      <c r="CF280" s="129" t="n"/>
      <c r="CG280" s="129" t="n"/>
      <c r="CH280" s="129" t="n"/>
      <c r="CI280" s="129" t="n"/>
      <c r="CJ280" s="129" t="n"/>
      <c r="CK280" s="129" t="n"/>
      <c r="CL280" s="129" t="n"/>
      <c r="CM280" s="129" t="n"/>
      <c r="CN280" s="129" t="n"/>
      <c r="CO280" s="129" t="n"/>
      <c r="CP280" s="129" t="n"/>
      <c r="CQ280" s="129" t="n"/>
      <c r="CR280" s="129" t="n"/>
      <c r="CS280" s="129" t="n"/>
      <c r="CT280" s="129" t="n"/>
      <c r="CU280" s="129" t="n"/>
      <c r="CV280" s="129" t="n"/>
      <c r="CW280" s="129" t="n"/>
      <c r="CX280" s="129" t="n"/>
      <c r="CY280" s="129" t="n"/>
      <c r="CZ280" s="129" t="n"/>
      <c r="DA280" s="129" t="n"/>
      <c r="DB280" s="129" t="n"/>
      <c r="DC280" s="129" t="n"/>
      <c r="DD280" s="129" t="n"/>
      <c r="DE280" s="129" t="n"/>
      <c r="DF280" s="129" t="n"/>
      <c r="DG280" s="129" t="n"/>
      <c r="DH280" s="129" t="n"/>
      <c r="DI280" s="129" t="n"/>
      <c r="DJ280" s="129" t="n"/>
      <c r="DK280" s="129" t="n"/>
      <c r="DL280" s="129" t="n"/>
      <c r="DM280" s="129" t="n"/>
      <c r="DN280" s="129" t="n"/>
      <c r="DO280" s="129" t="n"/>
      <c r="DP280" s="129" t="n"/>
      <c r="DQ280" s="129" t="n"/>
      <c r="DR280" s="129" t="n"/>
      <c r="DS280" s="129" t="n"/>
      <c r="DT280" s="129" t="n"/>
      <c r="DU280" s="129" t="n"/>
      <c r="DV280" s="129" t="n"/>
      <c r="DW280" s="129" t="n"/>
      <c r="DX280" s="129" t="n"/>
      <c r="DY280" s="129" t="n"/>
      <c r="DZ280" s="129" t="n"/>
      <c r="EA280" s="129" t="n"/>
      <c r="EB280" s="129" t="n"/>
      <c r="EC280" s="129" t="n"/>
      <c r="ED280" s="129" t="n"/>
      <c r="EE280" s="129" t="n"/>
      <c r="EF280" s="129" t="n"/>
      <c r="EG280" s="129" t="n"/>
      <c r="EH280" s="129" t="n"/>
      <c r="EI280" s="129" t="n"/>
      <c r="EJ280" s="129" t="n"/>
      <c r="EK280" s="129" t="n"/>
      <c r="EL280" s="129" t="n"/>
      <c r="EM280" s="129" t="n"/>
      <c r="EN280" s="129" t="n"/>
      <c r="EO280" s="129" t="n"/>
      <c r="EP280" s="129" t="n"/>
      <c r="EQ280" s="129" t="n"/>
      <c r="ER280" s="129" t="n"/>
      <c r="ES280" s="129" t="n"/>
      <c r="ET280" s="129" t="n"/>
      <c r="EU280" s="129" t="n"/>
      <c r="EV280" s="129" t="n"/>
      <c r="EW280" s="129" t="n"/>
      <c r="EX280" s="129" t="n"/>
      <c r="EY280" s="129" t="n"/>
      <c r="EZ280" s="129" t="n"/>
      <c r="FA280" s="129" t="n"/>
      <c r="FB280" s="129" t="n"/>
      <c r="FC280" s="129" t="n"/>
      <c r="FD280" s="129" t="n"/>
      <c r="FE280" s="129" t="n"/>
      <c r="FF280" s="129" t="n"/>
      <c r="FG280" s="129" t="n"/>
      <c r="FH280" s="129" t="n"/>
      <c r="FI280" s="129" t="n"/>
      <c r="FJ280" s="129" t="n"/>
      <c r="FK280" s="129" t="n"/>
      <c r="FL280" s="129" t="n"/>
      <c r="FM280" s="129" t="n"/>
    </row>
    <row r="281" s="135">
      <c r="A281" s="52" t="n">
        <v>41486</v>
      </c>
      <c r="B281" s="30" t="n">
        <v>0.097</v>
      </c>
      <c r="C281" s="29" t="n">
        <v>47.7</v>
      </c>
      <c r="D281" s="129" t="n"/>
      <c r="E281" s="129" t="n"/>
      <c r="F281" s="129" t="n"/>
      <c r="G281" s="129" t="n"/>
      <c r="H281" s="129" t="n"/>
      <c r="I281" s="129" t="n"/>
      <c r="J281" s="129" t="n"/>
      <c r="K281" s="129" t="n"/>
      <c r="L281" s="129" t="n"/>
      <c r="M281" s="129" t="n"/>
      <c r="N281" s="129" t="n"/>
      <c r="O281" s="129" t="n"/>
      <c r="P281" s="129" t="n"/>
      <c r="Q281" s="129" t="n"/>
      <c r="R281" s="129" t="n"/>
      <c r="S281" s="129" t="n"/>
      <c r="T281" s="129" t="n"/>
      <c r="U281" s="129" t="n"/>
      <c r="V281" s="129" t="n"/>
      <c r="W281" s="129" t="n"/>
      <c r="X281" s="129" t="n"/>
      <c r="Y281" s="129" t="n"/>
      <c r="Z281" s="129" t="n"/>
      <c r="AA281" s="129" t="n"/>
      <c r="AB281" s="129" t="n"/>
      <c r="AC281" s="129" t="n"/>
      <c r="AD281" s="129" t="n"/>
      <c r="AE281" s="129" t="n"/>
      <c r="AF281" s="129" t="n"/>
      <c r="AG281" s="129" t="n"/>
      <c r="AH281" s="129" t="n"/>
      <c r="AI281" s="129" t="n"/>
      <c r="AJ281" s="129" t="n"/>
      <c r="AK281" s="129" t="n"/>
      <c r="AL281" s="129" t="n"/>
      <c r="AM281" s="129" t="n"/>
      <c r="AN281" s="129" t="n"/>
      <c r="AO281" s="129" t="n"/>
      <c r="AP281" s="129" t="n"/>
      <c r="AQ281" s="129" t="n"/>
      <c r="AR281" s="129" t="n"/>
      <c r="AS281" s="129" t="n"/>
      <c r="AT281" s="129" t="n"/>
      <c r="AU281" s="129" t="n"/>
      <c r="AV281" s="129" t="n"/>
      <c r="AW281" s="129" t="n"/>
      <c r="AX281" s="129" t="n"/>
      <c r="AY281" s="129" t="n"/>
      <c r="AZ281" s="129" t="n"/>
      <c r="BA281" s="129" t="n"/>
      <c r="BB281" s="129" t="n"/>
      <c r="BC281" s="129" t="n"/>
      <c r="BD281" s="129" t="n"/>
      <c r="BE281" s="129" t="n"/>
      <c r="BF281" s="129" t="n"/>
      <c r="BG281" s="129" t="n"/>
      <c r="BH281" s="129" t="n"/>
      <c r="BI281" s="129" t="n"/>
      <c r="BJ281" s="129" t="n"/>
      <c r="BK281" s="129" t="n"/>
      <c r="BL281" s="129" t="n"/>
      <c r="BM281" s="129" t="n"/>
      <c r="BN281" s="129" t="n"/>
      <c r="BO281" s="129" t="n"/>
      <c r="BP281" s="129" t="n"/>
      <c r="BQ281" s="129" t="n"/>
      <c r="BR281" s="129" t="n"/>
      <c r="BS281" s="129" t="n"/>
      <c r="BT281" s="129" t="n"/>
      <c r="BU281" s="129" t="n"/>
      <c r="BV281" s="129" t="n"/>
      <c r="BW281" s="129" t="n"/>
      <c r="BX281" s="129" t="n"/>
      <c r="BY281" s="129" t="n"/>
      <c r="BZ281" s="129" t="n"/>
      <c r="CA281" s="129" t="n"/>
      <c r="CB281" s="129" t="n"/>
      <c r="CC281" s="129" t="n"/>
      <c r="CD281" s="129" t="n"/>
      <c r="CE281" s="129" t="n"/>
      <c r="CF281" s="129" t="n"/>
      <c r="CG281" s="129" t="n"/>
      <c r="CH281" s="129" t="n"/>
      <c r="CI281" s="129" t="n"/>
      <c r="CJ281" s="129" t="n"/>
      <c r="CK281" s="129" t="n"/>
      <c r="CL281" s="129" t="n"/>
      <c r="CM281" s="129" t="n"/>
      <c r="CN281" s="129" t="n"/>
      <c r="CO281" s="129" t="n"/>
      <c r="CP281" s="129" t="n"/>
      <c r="CQ281" s="129" t="n"/>
      <c r="CR281" s="129" t="n"/>
      <c r="CS281" s="129" t="n"/>
      <c r="CT281" s="129" t="n"/>
      <c r="CU281" s="129" t="n"/>
      <c r="CV281" s="129" t="n"/>
      <c r="CW281" s="129" t="n"/>
      <c r="CX281" s="129" t="n"/>
      <c r="CY281" s="129" t="n"/>
      <c r="CZ281" s="129" t="n"/>
      <c r="DA281" s="129" t="n"/>
      <c r="DB281" s="129" t="n"/>
      <c r="DC281" s="129" t="n"/>
      <c r="DD281" s="129" t="n"/>
      <c r="DE281" s="129" t="n"/>
      <c r="DF281" s="129" t="n"/>
      <c r="DG281" s="129" t="n"/>
      <c r="DH281" s="129" t="n"/>
      <c r="DI281" s="129" t="n"/>
      <c r="DJ281" s="129" t="n"/>
      <c r="DK281" s="129" t="n"/>
      <c r="DL281" s="129" t="n"/>
      <c r="DM281" s="129" t="n"/>
      <c r="DN281" s="129" t="n"/>
      <c r="DO281" s="129" t="n"/>
      <c r="DP281" s="129" t="n"/>
      <c r="DQ281" s="129" t="n"/>
      <c r="DR281" s="129" t="n"/>
      <c r="DS281" s="129" t="n"/>
      <c r="DT281" s="129" t="n"/>
      <c r="DU281" s="129" t="n"/>
      <c r="DV281" s="129" t="n"/>
      <c r="DW281" s="129" t="n"/>
      <c r="DX281" s="129" t="n"/>
      <c r="DY281" s="129" t="n"/>
      <c r="DZ281" s="129" t="n"/>
      <c r="EA281" s="129" t="n"/>
      <c r="EB281" s="129" t="n"/>
      <c r="EC281" s="129" t="n"/>
      <c r="ED281" s="129" t="n"/>
      <c r="EE281" s="129" t="n"/>
      <c r="EF281" s="129" t="n"/>
      <c r="EG281" s="129" t="n"/>
      <c r="EH281" s="129" t="n"/>
      <c r="EI281" s="129" t="n"/>
      <c r="EJ281" s="129" t="n"/>
      <c r="EK281" s="129" t="n"/>
      <c r="EL281" s="129" t="n"/>
      <c r="EM281" s="129" t="n"/>
      <c r="EN281" s="129" t="n"/>
      <c r="EO281" s="129" t="n"/>
      <c r="EP281" s="129" t="n"/>
      <c r="EQ281" s="129" t="n"/>
      <c r="ER281" s="129" t="n"/>
      <c r="ES281" s="129" t="n"/>
      <c r="ET281" s="129" t="n"/>
      <c r="EU281" s="129" t="n"/>
      <c r="EV281" s="129" t="n"/>
      <c r="EW281" s="129" t="n"/>
      <c r="EX281" s="129" t="n"/>
      <c r="EY281" s="129" t="n"/>
      <c r="EZ281" s="129" t="n"/>
      <c r="FA281" s="129" t="n"/>
      <c r="FB281" s="129" t="n"/>
      <c r="FC281" s="129" t="n"/>
      <c r="FD281" s="129" t="n"/>
      <c r="FE281" s="129" t="n"/>
      <c r="FF281" s="129" t="n"/>
      <c r="FG281" s="129" t="n"/>
      <c r="FH281" s="129" t="n"/>
      <c r="FI281" s="129" t="n"/>
      <c r="FJ281" s="129" t="n"/>
      <c r="FK281" s="129" t="n"/>
      <c r="FL281" s="129" t="n"/>
      <c r="FM281" s="129" t="n"/>
    </row>
    <row r="282" s="135">
      <c r="A282" s="53" t="n">
        <v>41517</v>
      </c>
      <c r="B282" s="54" t="n">
        <v>0.104</v>
      </c>
      <c r="C282" s="29" t="n">
        <v>50.1</v>
      </c>
      <c r="D282" s="129" t="n"/>
      <c r="E282" s="129" t="n"/>
      <c r="F282" s="129" t="n"/>
      <c r="G282" s="129" t="n"/>
      <c r="H282" s="129" t="n"/>
      <c r="I282" s="129" t="n"/>
      <c r="J282" s="129" t="n"/>
      <c r="K282" s="129" t="n"/>
      <c r="L282" s="129" t="n"/>
      <c r="M282" s="129" t="n"/>
      <c r="N282" s="129" t="n"/>
      <c r="O282" s="129" t="n"/>
      <c r="P282" s="129" t="n"/>
      <c r="Q282" s="129" t="n"/>
      <c r="R282" s="129" t="n"/>
      <c r="S282" s="129" t="n"/>
      <c r="T282" s="129" t="n"/>
      <c r="U282" s="129" t="n"/>
      <c r="V282" s="129" t="n"/>
      <c r="W282" s="129" t="n"/>
      <c r="X282" s="129" t="n"/>
      <c r="Y282" s="129" t="n"/>
      <c r="Z282" s="129" t="n"/>
      <c r="AA282" s="129" t="n"/>
      <c r="AB282" s="129" t="n"/>
      <c r="AC282" s="129" t="n"/>
      <c r="AD282" s="129" t="n"/>
      <c r="AE282" s="129" t="n"/>
      <c r="AF282" s="129" t="n"/>
      <c r="AG282" s="129" t="n"/>
      <c r="AH282" s="129" t="n"/>
      <c r="AI282" s="129" t="n"/>
      <c r="AJ282" s="129" t="n"/>
      <c r="AK282" s="129" t="n"/>
      <c r="AL282" s="129" t="n"/>
      <c r="AM282" s="129" t="n"/>
      <c r="AN282" s="129" t="n"/>
      <c r="AO282" s="129" t="n"/>
      <c r="AP282" s="129" t="n"/>
      <c r="AQ282" s="129" t="n"/>
      <c r="AR282" s="129" t="n"/>
      <c r="AS282" s="129" t="n"/>
      <c r="AT282" s="129" t="n"/>
      <c r="AU282" s="129" t="n"/>
      <c r="AV282" s="129" t="n"/>
      <c r="AW282" s="129" t="n"/>
      <c r="AX282" s="129" t="n"/>
      <c r="AY282" s="129" t="n"/>
      <c r="AZ282" s="129" t="n"/>
      <c r="BA282" s="129" t="n"/>
      <c r="BB282" s="129" t="n"/>
      <c r="BC282" s="129" t="n"/>
      <c r="BD282" s="129" t="n"/>
      <c r="BE282" s="129" t="n"/>
      <c r="BF282" s="129" t="n"/>
      <c r="BG282" s="129" t="n"/>
      <c r="BH282" s="129" t="n"/>
      <c r="BI282" s="129" t="n"/>
      <c r="BJ282" s="129" t="n"/>
      <c r="BK282" s="129" t="n"/>
      <c r="BL282" s="129" t="n"/>
      <c r="BM282" s="129" t="n"/>
      <c r="BN282" s="129" t="n"/>
      <c r="BO282" s="129" t="n"/>
      <c r="BP282" s="129" t="n"/>
      <c r="BQ282" s="129" t="n"/>
      <c r="BR282" s="129" t="n"/>
      <c r="BS282" s="129" t="n"/>
      <c r="BT282" s="129" t="n"/>
      <c r="BU282" s="129" t="n"/>
      <c r="BV282" s="129" t="n"/>
      <c r="BW282" s="129" t="n"/>
      <c r="BX282" s="129" t="n"/>
      <c r="BY282" s="129" t="n"/>
      <c r="BZ282" s="129" t="n"/>
      <c r="CA282" s="129" t="n"/>
      <c r="CB282" s="129" t="n"/>
      <c r="CC282" s="129" t="n"/>
      <c r="CD282" s="129" t="n"/>
      <c r="CE282" s="129" t="n"/>
      <c r="CF282" s="129" t="n"/>
      <c r="CG282" s="129" t="n"/>
      <c r="CH282" s="129" t="n"/>
      <c r="CI282" s="129" t="n"/>
      <c r="CJ282" s="129" t="n"/>
      <c r="CK282" s="129" t="n"/>
      <c r="CL282" s="129" t="n"/>
      <c r="CM282" s="129" t="n"/>
      <c r="CN282" s="129" t="n"/>
      <c r="CO282" s="129" t="n"/>
      <c r="CP282" s="129" t="n"/>
      <c r="CQ282" s="129" t="n"/>
      <c r="CR282" s="129" t="n"/>
      <c r="CS282" s="129" t="n"/>
      <c r="CT282" s="129" t="n"/>
      <c r="CU282" s="129" t="n"/>
      <c r="CV282" s="129" t="n"/>
      <c r="CW282" s="129" t="n"/>
      <c r="CX282" s="129" t="n"/>
      <c r="CY282" s="129" t="n"/>
      <c r="CZ282" s="129" t="n"/>
      <c r="DA282" s="129" t="n"/>
      <c r="DB282" s="129" t="n"/>
      <c r="DC282" s="129" t="n"/>
      <c r="DD282" s="129" t="n"/>
      <c r="DE282" s="129" t="n"/>
      <c r="DF282" s="129" t="n"/>
      <c r="DG282" s="129" t="n"/>
      <c r="DH282" s="129" t="n"/>
      <c r="DI282" s="129" t="n"/>
      <c r="DJ282" s="129" t="n"/>
      <c r="DK282" s="129" t="n"/>
      <c r="DL282" s="129" t="n"/>
      <c r="DM282" s="129" t="n"/>
      <c r="DN282" s="129" t="n"/>
      <c r="DO282" s="129" t="n"/>
      <c r="DP282" s="129" t="n"/>
      <c r="DQ282" s="129" t="n"/>
      <c r="DR282" s="129" t="n"/>
      <c r="DS282" s="129" t="n"/>
      <c r="DT282" s="129" t="n"/>
      <c r="DU282" s="129" t="n"/>
      <c r="DV282" s="129" t="n"/>
      <c r="DW282" s="129" t="n"/>
      <c r="DX282" s="129" t="n"/>
      <c r="DY282" s="129" t="n"/>
      <c r="DZ282" s="129" t="n"/>
      <c r="EA282" s="129" t="n"/>
      <c r="EB282" s="129" t="n"/>
      <c r="EC282" s="129" t="n"/>
      <c r="ED282" s="129" t="n"/>
      <c r="EE282" s="129" t="n"/>
      <c r="EF282" s="129" t="n"/>
      <c r="EG282" s="129" t="n"/>
      <c r="EH282" s="129" t="n"/>
      <c r="EI282" s="129" t="n"/>
      <c r="EJ282" s="129" t="n"/>
      <c r="EK282" s="129" t="n"/>
      <c r="EL282" s="129" t="n"/>
      <c r="EM282" s="129" t="n"/>
      <c r="EN282" s="129" t="n"/>
      <c r="EO282" s="129" t="n"/>
      <c r="EP282" s="129" t="n"/>
      <c r="EQ282" s="129" t="n"/>
      <c r="ER282" s="129" t="n"/>
      <c r="ES282" s="129" t="n"/>
      <c r="ET282" s="129" t="n"/>
      <c r="EU282" s="129" t="n"/>
      <c r="EV282" s="129" t="n"/>
      <c r="EW282" s="129" t="n"/>
      <c r="EX282" s="129" t="n"/>
      <c r="EY282" s="129" t="n"/>
      <c r="EZ282" s="129" t="n"/>
      <c r="FA282" s="129" t="n"/>
      <c r="FB282" s="129" t="n"/>
      <c r="FC282" s="129" t="n"/>
      <c r="FD282" s="129" t="n"/>
      <c r="FE282" s="129" t="n"/>
      <c r="FF282" s="129" t="n"/>
      <c r="FG282" s="129" t="n"/>
      <c r="FH282" s="129" t="n"/>
      <c r="FI282" s="129" t="n"/>
      <c r="FJ282" s="129" t="n"/>
      <c r="FK282" s="129" t="n"/>
      <c r="FL282" s="129" t="n"/>
      <c r="FM282" s="129" t="n"/>
    </row>
    <row r="283" s="135">
      <c r="A283" s="52" t="n">
        <v>41547</v>
      </c>
      <c r="B283" s="30" t="n">
        <v>0.102</v>
      </c>
      <c r="C283" s="29" t="n">
        <v>50.2</v>
      </c>
      <c r="D283" s="129" t="n"/>
      <c r="E283" s="129" t="n"/>
      <c r="F283" s="129" t="n"/>
      <c r="G283" s="129" t="n"/>
      <c r="H283" s="129" t="n"/>
      <c r="I283" s="129" t="n"/>
      <c r="J283" s="129" t="n"/>
      <c r="K283" s="129" t="n"/>
      <c r="L283" s="129" t="n"/>
      <c r="M283" s="129" t="n"/>
      <c r="N283" s="129" t="n"/>
      <c r="O283" s="129" t="n"/>
      <c r="P283" s="129" t="n"/>
      <c r="Q283" s="129" t="n"/>
      <c r="R283" s="129" t="n"/>
      <c r="S283" s="129" t="n"/>
      <c r="T283" s="129" t="n"/>
      <c r="U283" s="129" t="n"/>
      <c r="V283" s="129" t="n"/>
      <c r="W283" s="129" t="n"/>
      <c r="X283" s="129" t="n"/>
      <c r="Y283" s="129" t="n"/>
      <c r="Z283" s="129" t="n"/>
      <c r="AA283" s="129" t="n"/>
      <c r="AB283" s="129" t="n"/>
      <c r="AC283" s="129" t="n"/>
      <c r="AD283" s="129" t="n"/>
      <c r="AE283" s="129" t="n"/>
      <c r="AF283" s="129" t="n"/>
      <c r="AG283" s="129" t="n"/>
      <c r="AH283" s="129" t="n"/>
      <c r="AI283" s="129" t="n"/>
      <c r="AJ283" s="129" t="n"/>
      <c r="AK283" s="129" t="n"/>
      <c r="AL283" s="129" t="n"/>
      <c r="AM283" s="129" t="n"/>
      <c r="AN283" s="129" t="n"/>
      <c r="AO283" s="129" t="n"/>
      <c r="AP283" s="129" t="n"/>
      <c r="AQ283" s="129" t="n"/>
      <c r="AR283" s="129" t="n"/>
      <c r="AS283" s="129" t="n"/>
      <c r="AT283" s="129" t="n"/>
      <c r="AU283" s="129" t="n"/>
      <c r="AV283" s="129" t="n"/>
      <c r="AW283" s="129" t="n"/>
      <c r="AX283" s="129" t="n"/>
      <c r="AY283" s="129" t="n"/>
      <c r="AZ283" s="129" t="n"/>
      <c r="BA283" s="129" t="n"/>
      <c r="BB283" s="129" t="n"/>
      <c r="BC283" s="129" t="n"/>
      <c r="BD283" s="129" t="n"/>
      <c r="BE283" s="129" t="n"/>
      <c r="BF283" s="129" t="n"/>
      <c r="BG283" s="129" t="n"/>
      <c r="BH283" s="129" t="n"/>
      <c r="BI283" s="129" t="n"/>
      <c r="BJ283" s="129" t="n"/>
      <c r="BK283" s="129" t="n"/>
      <c r="BL283" s="129" t="n"/>
      <c r="BM283" s="129" t="n"/>
      <c r="BN283" s="129" t="n"/>
      <c r="BO283" s="129" t="n"/>
      <c r="BP283" s="129" t="n"/>
      <c r="BQ283" s="129" t="n"/>
      <c r="BR283" s="129" t="n"/>
      <c r="BS283" s="129" t="n"/>
      <c r="BT283" s="129" t="n"/>
      <c r="BU283" s="129" t="n"/>
      <c r="BV283" s="129" t="n"/>
      <c r="BW283" s="129" t="n"/>
      <c r="BX283" s="129" t="n"/>
      <c r="BY283" s="129" t="n"/>
      <c r="BZ283" s="129" t="n"/>
      <c r="CA283" s="129" t="n"/>
      <c r="CB283" s="129" t="n"/>
      <c r="CC283" s="129" t="n"/>
      <c r="CD283" s="129" t="n"/>
      <c r="CE283" s="129" t="n"/>
      <c r="CF283" s="129" t="n"/>
      <c r="CG283" s="129" t="n"/>
      <c r="CH283" s="129" t="n"/>
      <c r="CI283" s="129" t="n"/>
      <c r="CJ283" s="129" t="n"/>
      <c r="CK283" s="129" t="n"/>
      <c r="CL283" s="129" t="n"/>
      <c r="CM283" s="129" t="n"/>
      <c r="CN283" s="129" t="n"/>
      <c r="CO283" s="129" t="n"/>
      <c r="CP283" s="129" t="n"/>
      <c r="CQ283" s="129" t="n"/>
      <c r="CR283" s="129" t="n"/>
      <c r="CS283" s="129" t="n"/>
      <c r="CT283" s="129" t="n"/>
      <c r="CU283" s="129" t="n"/>
      <c r="CV283" s="129" t="n"/>
      <c r="CW283" s="129" t="n"/>
      <c r="CX283" s="129" t="n"/>
      <c r="CY283" s="129" t="n"/>
      <c r="CZ283" s="129" t="n"/>
      <c r="DA283" s="129" t="n"/>
      <c r="DB283" s="129" t="n"/>
      <c r="DC283" s="129" t="n"/>
      <c r="DD283" s="129" t="n"/>
      <c r="DE283" s="129" t="n"/>
      <c r="DF283" s="129" t="n"/>
      <c r="DG283" s="129" t="n"/>
      <c r="DH283" s="129" t="n"/>
      <c r="DI283" s="129" t="n"/>
      <c r="DJ283" s="129" t="n"/>
      <c r="DK283" s="129" t="n"/>
      <c r="DL283" s="129" t="n"/>
      <c r="DM283" s="129" t="n"/>
      <c r="DN283" s="129" t="n"/>
      <c r="DO283" s="129" t="n"/>
      <c r="DP283" s="129" t="n"/>
      <c r="DQ283" s="129" t="n"/>
      <c r="DR283" s="129" t="n"/>
      <c r="DS283" s="129" t="n"/>
      <c r="DT283" s="129" t="n"/>
      <c r="DU283" s="129" t="n"/>
      <c r="DV283" s="129" t="n"/>
      <c r="DW283" s="129" t="n"/>
      <c r="DX283" s="129" t="n"/>
      <c r="DY283" s="129" t="n"/>
      <c r="DZ283" s="129" t="n"/>
      <c r="EA283" s="129" t="n"/>
      <c r="EB283" s="129" t="n"/>
      <c r="EC283" s="129" t="n"/>
      <c r="ED283" s="129" t="n"/>
      <c r="EE283" s="129" t="n"/>
      <c r="EF283" s="129" t="n"/>
      <c r="EG283" s="129" t="n"/>
      <c r="EH283" s="129" t="n"/>
      <c r="EI283" s="129" t="n"/>
      <c r="EJ283" s="129" t="n"/>
      <c r="EK283" s="129" t="n"/>
      <c r="EL283" s="129" t="n"/>
      <c r="EM283" s="129" t="n"/>
      <c r="EN283" s="129" t="n"/>
      <c r="EO283" s="129" t="n"/>
      <c r="EP283" s="129" t="n"/>
      <c r="EQ283" s="129" t="n"/>
      <c r="ER283" s="129" t="n"/>
      <c r="ES283" s="129" t="n"/>
      <c r="ET283" s="129" t="n"/>
      <c r="EU283" s="129" t="n"/>
      <c r="EV283" s="129" t="n"/>
      <c r="EW283" s="129" t="n"/>
      <c r="EX283" s="129" t="n"/>
      <c r="EY283" s="129" t="n"/>
      <c r="EZ283" s="129" t="n"/>
      <c r="FA283" s="129" t="n"/>
      <c r="FB283" s="129" t="n"/>
      <c r="FC283" s="129" t="n"/>
      <c r="FD283" s="129" t="n"/>
      <c r="FE283" s="129" t="n"/>
      <c r="FF283" s="129" t="n"/>
      <c r="FG283" s="129" t="n"/>
      <c r="FH283" s="129" t="n"/>
      <c r="FI283" s="129" t="n"/>
      <c r="FJ283" s="129" t="n"/>
      <c r="FK283" s="129" t="n"/>
      <c r="FL283" s="129" t="n"/>
      <c r="FM283" s="129" t="n"/>
    </row>
    <row r="284" s="135">
      <c r="A284" s="53" t="n">
        <v>41578</v>
      </c>
      <c r="B284" s="54" t="n">
        <v>0.103</v>
      </c>
      <c r="C284" s="29" t="n">
        <v>50.9</v>
      </c>
      <c r="D284" s="129" t="n"/>
      <c r="E284" s="129" t="n"/>
      <c r="F284" s="129" t="n"/>
      <c r="G284" s="129" t="n"/>
      <c r="H284" s="129" t="n"/>
      <c r="I284" s="129" t="n"/>
      <c r="J284" s="129" t="n"/>
      <c r="K284" s="129" t="n"/>
      <c r="L284" s="129" t="n"/>
      <c r="M284" s="129" t="n"/>
      <c r="N284" s="129" t="n"/>
      <c r="O284" s="129" t="n"/>
      <c r="P284" s="129" t="n"/>
      <c r="Q284" s="129" t="n"/>
      <c r="R284" s="129" t="n"/>
      <c r="S284" s="129" t="n"/>
      <c r="T284" s="129" t="n"/>
      <c r="U284" s="129" t="n"/>
      <c r="V284" s="129" t="n"/>
      <c r="W284" s="129" t="n"/>
      <c r="X284" s="129" t="n"/>
      <c r="Y284" s="129" t="n"/>
      <c r="Z284" s="129" t="n"/>
      <c r="AA284" s="129" t="n"/>
      <c r="AB284" s="129" t="n"/>
      <c r="AC284" s="129" t="n"/>
      <c r="AD284" s="129" t="n"/>
      <c r="AE284" s="129" t="n"/>
      <c r="AF284" s="129" t="n"/>
      <c r="AG284" s="129" t="n"/>
      <c r="AH284" s="129" t="n"/>
      <c r="AI284" s="129" t="n"/>
      <c r="AJ284" s="129" t="n"/>
      <c r="AK284" s="129" t="n"/>
      <c r="AL284" s="129" t="n"/>
      <c r="AM284" s="129" t="n"/>
      <c r="AN284" s="129" t="n"/>
      <c r="AO284" s="129" t="n"/>
      <c r="AP284" s="129" t="n"/>
      <c r="AQ284" s="129" t="n"/>
      <c r="AR284" s="129" t="n"/>
      <c r="AS284" s="129" t="n"/>
      <c r="AT284" s="129" t="n"/>
      <c r="AU284" s="129" t="n"/>
      <c r="AV284" s="129" t="n"/>
      <c r="AW284" s="129" t="n"/>
      <c r="AX284" s="129" t="n"/>
      <c r="AY284" s="129" t="n"/>
      <c r="AZ284" s="129" t="n"/>
      <c r="BA284" s="129" t="n"/>
      <c r="BB284" s="129" t="n"/>
      <c r="BC284" s="129" t="n"/>
      <c r="BD284" s="129" t="n"/>
      <c r="BE284" s="129" t="n"/>
      <c r="BF284" s="129" t="n"/>
      <c r="BG284" s="129" t="n"/>
      <c r="BH284" s="129" t="n"/>
      <c r="BI284" s="129" t="n"/>
      <c r="BJ284" s="129" t="n"/>
      <c r="BK284" s="129" t="n"/>
      <c r="BL284" s="129" t="n"/>
      <c r="BM284" s="129" t="n"/>
      <c r="BN284" s="129" t="n"/>
      <c r="BO284" s="129" t="n"/>
      <c r="BP284" s="129" t="n"/>
      <c r="BQ284" s="129" t="n"/>
      <c r="BR284" s="129" t="n"/>
      <c r="BS284" s="129" t="n"/>
      <c r="BT284" s="129" t="n"/>
      <c r="BU284" s="129" t="n"/>
      <c r="BV284" s="129" t="n"/>
      <c r="BW284" s="129" t="n"/>
      <c r="BX284" s="129" t="n"/>
      <c r="BY284" s="129" t="n"/>
      <c r="BZ284" s="129" t="n"/>
      <c r="CA284" s="129" t="n"/>
      <c r="CB284" s="129" t="n"/>
      <c r="CC284" s="129" t="n"/>
      <c r="CD284" s="129" t="n"/>
      <c r="CE284" s="129" t="n"/>
      <c r="CF284" s="129" t="n"/>
      <c r="CG284" s="129" t="n"/>
      <c r="CH284" s="129" t="n"/>
      <c r="CI284" s="129" t="n"/>
      <c r="CJ284" s="129" t="n"/>
      <c r="CK284" s="129" t="n"/>
      <c r="CL284" s="129" t="n"/>
      <c r="CM284" s="129" t="n"/>
      <c r="CN284" s="129" t="n"/>
      <c r="CO284" s="129" t="n"/>
      <c r="CP284" s="129" t="n"/>
      <c r="CQ284" s="129" t="n"/>
      <c r="CR284" s="129" t="n"/>
      <c r="CS284" s="129" t="n"/>
      <c r="CT284" s="129" t="n"/>
      <c r="CU284" s="129" t="n"/>
      <c r="CV284" s="129" t="n"/>
      <c r="CW284" s="129" t="n"/>
      <c r="CX284" s="129" t="n"/>
      <c r="CY284" s="129" t="n"/>
      <c r="CZ284" s="129" t="n"/>
      <c r="DA284" s="129" t="n"/>
      <c r="DB284" s="129" t="n"/>
      <c r="DC284" s="129" t="n"/>
      <c r="DD284" s="129" t="n"/>
      <c r="DE284" s="129" t="n"/>
      <c r="DF284" s="129" t="n"/>
      <c r="DG284" s="129" t="n"/>
      <c r="DH284" s="129" t="n"/>
      <c r="DI284" s="129" t="n"/>
      <c r="DJ284" s="129" t="n"/>
      <c r="DK284" s="129" t="n"/>
      <c r="DL284" s="129" t="n"/>
      <c r="DM284" s="129" t="n"/>
      <c r="DN284" s="129" t="n"/>
      <c r="DO284" s="129" t="n"/>
      <c r="DP284" s="129" t="n"/>
      <c r="DQ284" s="129" t="n"/>
      <c r="DR284" s="129" t="n"/>
      <c r="DS284" s="129" t="n"/>
      <c r="DT284" s="129" t="n"/>
      <c r="DU284" s="129" t="n"/>
      <c r="DV284" s="129" t="n"/>
      <c r="DW284" s="129" t="n"/>
      <c r="DX284" s="129" t="n"/>
      <c r="DY284" s="129" t="n"/>
      <c r="DZ284" s="129" t="n"/>
      <c r="EA284" s="129" t="n"/>
      <c r="EB284" s="129" t="n"/>
      <c r="EC284" s="129" t="n"/>
      <c r="ED284" s="129" t="n"/>
      <c r="EE284" s="129" t="n"/>
      <c r="EF284" s="129" t="n"/>
      <c r="EG284" s="129" t="n"/>
      <c r="EH284" s="129" t="n"/>
      <c r="EI284" s="129" t="n"/>
      <c r="EJ284" s="129" t="n"/>
      <c r="EK284" s="129" t="n"/>
      <c r="EL284" s="129" t="n"/>
      <c r="EM284" s="129" t="n"/>
      <c r="EN284" s="129" t="n"/>
      <c r="EO284" s="129" t="n"/>
      <c r="EP284" s="129" t="n"/>
      <c r="EQ284" s="129" t="n"/>
      <c r="ER284" s="129" t="n"/>
      <c r="ES284" s="129" t="n"/>
      <c r="ET284" s="129" t="n"/>
      <c r="EU284" s="129" t="n"/>
      <c r="EV284" s="129" t="n"/>
      <c r="EW284" s="129" t="n"/>
      <c r="EX284" s="129" t="n"/>
      <c r="EY284" s="129" t="n"/>
      <c r="EZ284" s="129" t="n"/>
      <c r="FA284" s="129" t="n"/>
      <c r="FB284" s="129" t="n"/>
      <c r="FC284" s="129" t="n"/>
      <c r="FD284" s="129" t="n"/>
      <c r="FE284" s="129" t="n"/>
      <c r="FF284" s="129" t="n"/>
      <c r="FG284" s="129" t="n"/>
      <c r="FH284" s="129" t="n"/>
      <c r="FI284" s="129" t="n"/>
      <c r="FJ284" s="129" t="n"/>
      <c r="FK284" s="129" t="n"/>
      <c r="FL284" s="129" t="n"/>
      <c r="FM284" s="129" t="n"/>
    </row>
    <row r="285" s="135">
      <c r="A285" s="52" t="n">
        <v>41608</v>
      </c>
      <c r="B285" s="30" t="n">
        <v>0.1</v>
      </c>
      <c r="C285" s="29" t="n">
        <v>50.8</v>
      </c>
      <c r="D285" s="129" t="n"/>
      <c r="E285" s="129" t="n"/>
      <c r="F285" s="129" t="n"/>
      <c r="G285" s="129" t="n"/>
      <c r="H285" s="129" t="n"/>
      <c r="I285" s="129" t="n"/>
      <c r="J285" s="129" t="n"/>
      <c r="K285" s="129" t="n"/>
      <c r="L285" s="129" t="n"/>
      <c r="M285" s="129" t="n"/>
      <c r="N285" s="129" t="n"/>
      <c r="O285" s="129" t="n"/>
      <c r="P285" s="129" t="n"/>
      <c r="Q285" s="129" t="n"/>
      <c r="R285" s="129" t="n"/>
      <c r="S285" s="129" t="n"/>
      <c r="T285" s="129" t="n"/>
      <c r="U285" s="129" t="n"/>
      <c r="V285" s="129" t="n"/>
      <c r="W285" s="129" t="n"/>
      <c r="X285" s="129" t="n"/>
      <c r="Y285" s="129" t="n"/>
      <c r="Z285" s="129" t="n"/>
      <c r="AA285" s="129" t="n"/>
      <c r="AB285" s="129" t="n"/>
      <c r="AC285" s="129" t="n"/>
      <c r="AD285" s="129" t="n"/>
      <c r="AE285" s="129" t="n"/>
      <c r="AF285" s="129" t="n"/>
      <c r="AG285" s="129" t="n"/>
      <c r="AH285" s="129" t="n"/>
      <c r="AI285" s="129" t="n"/>
      <c r="AJ285" s="129" t="n"/>
      <c r="AK285" s="129" t="n"/>
      <c r="AL285" s="129" t="n"/>
      <c r="AM285" s="129" t="n"/>
      <c r="AN285" s="129" t="n"/>
      <c r="AO285" s="129" t="n"/>
      <c r="AP285" s="129" t="n"/>
      <c r="AQ285" s="129" t="n"/>
      <c r="AR285" s="129" t="n"/>
      <c r="AS285" s="129" t="n"/>
      <c r="AT285" s="129" t="n"/>
      <c r="AU285" s="129" t="n"/>
      <c r="AV285" s="129" t="n"/>
      <c r="AW285" s="129" t="n"/>
      <c r="AX285" s="129" t="n"/>
      <c r="AY285" s="129" t="n"/>
      <c r="AZ285" s="129" t="n"/>
      <c r="BA285" s="129" t="n"/>
      <c r="BB285" s="129" t="n"/>
      <c r="BC285" s="129" t="n"/>
      <c r="BD285" s="129" t="n"/>
      <c r="BE285" s="129" t="n"/>
      <c r="BF285" s="129" t="n"/>
      <c r="BG285" s="129" t="n"/>
      <c r="BH285" s="129" t="n"/>
      <c r="BI285" s="129" t="n"/>
      <c r="BJ285" s="129" t="n"/>
      <c r="BK285" s="129" t="n"/>
      <c r="BL285" s="129" t="n"/>
      <c r="BM285" s="129" t="n"/>
      <c r="BN285" s="129" t="n"/>
      <c r="BO285" s="129" t="n"/>
      <c r="BP285" s="129" t="n"/>
      <c r="BQ285" s="129" t="n"/>
      <c r="BR285" s="129" t="n"/>
      <c r="BS285" s="129" t="n"/>
      <c r="BT285" s="129" t="n"/>
      <c r="BU285" s="129" t="n"/>
      <c r="BV285" s="129" t="n"/>
      <c r="BW285" s="129" t="n"/>
      <c r="BX285" s="129" t="n"/>
      <c r="BY285" s="129" t="n"/>
      <c r="BZ285" s="129" t="n"/>
      <c r="CA285" s="129" t="n"/>
      <c r="CB285" s="129" t="n"/>
      <c r="CC285" s="129" t="n"/>
      <c r="CD285" s="129" t="n"/>
      <c r="CE285" s="129" t="n"/>
      <c r="CF285" s="129" t="n"/>
      <c r="CG285" s="129" t="n"/>
      <c r="CH285" s="129" t="n"/>
      <c r="CI285" s="129" t="n"/>
      <c r="CJ285" s="129" t="n"/>
      <c r="CK285" s="129" t="n"/>
      <c r="CL285" s="129" t="n"/>
      <c r="CM285" s="129" t="n"/>
      <c r="CN285" s="129" t="n"/>
      <c r="CO285" s="129" t="n"/>
      <c r="CP285" s="129" t="n"/>
      <c r="CQ285" s="129" t="n"/>
      <c r="CR285" s="129" t="n"/>
      <c r="CS285" s="129" t="n"/>
      <c r="CT285" s="129" t="n"/>
      <c r="CU285" s="129" t="n"/>
      <c r="CV285" s="129" t="n"/>
      <c r="CW285" s="129" t="n"/>
      <c r="CX285" s="129" t="n"/>
      <c r="CY285" s="129" t="n"/>
      <c r="CZ285" s="129" t="n"/>
      <c r="DA285" s="129" t="n"/>
      <c r="DB285" s="129" t="n"/>
      <c r="DC285" s="129" t="n"/>
      <c r="DD285" s="129" t="n"/>
      <c r="DE285" s="129" t="n"/>
      <c r="DF285" s="129" t="n"/>
      <c r="DG285" s="129" t="n"/>
      <c r="DH285" s="129" t="n"/>
      <c r="DI285" s="129" t="n"/>
      <c r="DJ285" s="129" t="n"/>
      <c r="DK285" s="129" t="n"/>
      <c r="DL285" s="129" t="n"/>
      <c r="DM285" s="129" t="n"/>
      <c r="DN285" s="129" t="n"/>
      <c r="DO285" s="129" t="n"/>
      <c r="DP285" s="129" t="n"/>
      <c r="DQ285" s="129" t="n"/>
      <c r="DR285" s="129" t="n"/>
      <c r="DS285" s="129" t="n"/>
      <c r="DT285" s="129" t="n"/>
      <c r="DU285" s="129" t="n"/>
      <c r="DV285" s="129" t="n"/>
      <c r="DW285" s="129" t="n"/>
      <c r="DX285" s="129" t="n"/>
      <c r="DY285" s="129" t="n"/>
      <c r="DZ285" s="129" t="n"/>
      <c r="EA285" s="129" t="n"/>
      <c r="EB285" s="129" t="n"/>
      <c r="EC285" s="129" t="n"/>
      <c r="ED285" s="129" t="n"/>
      <c r="EE285" s="129" t="n"/>
      <c r="EF285" s="129" t="n"/>
      <c r="EG285" s="129" t="n"/>
      <c r="EH285" s="129" t="n"/>
      <c r="EI285" s="129" t="n"/>
      <c r="EJ285" s="129" t="n"/>
      <c r="EK285" s="129" t="n"/>
      <c r="EL285" s="129" t="n"/>
      <c r="EM285" s="129" t="n"/>
      <c r="EN285" s="129" t="n"/>
      <c r="EO285" s="129" t="n"/>
      <c r="EP285" s="129" t="n"/>
      <c r="EQ285" s="129" t="n"/>
      <c r="ER285" s="129" t="n"/>
      <c r="ES285" s="129" t="n"/>
      <c r="ET285" s="129" t="n"/>
      <c r="EU285" s="129" t="n"/>
      <c r="EV285" s="129" t="n"/>
      <c r="EW285" s="129" t="n"/>
      <c r="EX285" s="129" t="n"/>
      <c r="EY285" s="129" t="n"/>
      <c r="EZ285" s="129" t="n"/>
      <c r="FA285" s="129" t="n"/>
      <c r="FB285" s="129" t="n"/>
      <c r="FC285" s="129" t="n"/>
      <c r="FD285" s="129" t="n"/>
      <c r="FE285" s="129" t="n"/>
      <c r="FF285" s="129" t="n"/>
      <c r="FG285" s="129" t="n"/>
      <c r="FH285" s="129" t="n"/>
      <c r="FI285" s="129" t="n"/>
      <c r="FJ285" s="129" t="n"/>
      <c r="FK285" s="129" t="n"/>
      <c r="FL285" s="129" t="n"/>
      <c r="FM285" s="129" t="n"/>
    </row>
    <row r="286" s="135">
      <c r="A286" s="53" t="n">
        <v>41639</v>
      </c>
      <c r="B286" s="54" t="n">
        <v>0.097</v>
      </c>
      <c r="C286" s="29" t="n">
        <v>50.5</v>
      </c>
      <c r="D286" s="129" t="n"/>
      <c r="E286" s="129" t="n"/>
      <c r="F286" s="129" t="n"/>
      <c r="G286" s="129" t="n"/>
      <c r="H286" s="129" t="n"/>
      <c r="I286" s="129" t="n"/>
      <c r="J286" s="129" t="n"/>
      <c r="K286" s="129" t="n"/>
      <c r="L286" s="129" t="n"/>
      <c r="M286" s="129" t="n"/>
      <c r="N286" s="129" t="n"/>
      <c r="O286" s="129" t="n"/>
      <c r="P286" s="129" t="n"/>
      <c r="Q286" s="129" t="n"/>
      <c r="R286" s="129" t="n"/>
      <c r="S286" s="129" t="n"/>
      <c r="T286" s="129" t="n"/>
      <c r="U286" s="129" t="n"/>
      <c r="V286" s="129" t="n"/>
      <c r="W286" s="129" t="n"/>
      <c r="X286" s="129" t="n"/>
      <c r="Y286" s="129" t="n"/>
      <c r="Z286" s="129" t="n"/>
      <c r="AA286" s="129" t="n"/>
      <c r="AB286" s="129" t="n"/>
      <c r="AC286" s="129" t="n"/>
      <c r="AD286" s="129" t="n"/>
      <c r="AE286" s="129" t="n"/>
      <c r="AF286" s="129" t="n"/>
      <c r="AG286" s="129" t="n"/>
      <c r="AH286" s="129" t="n"/>
      <c r="AI286" s="129" t="n"/>
      <c r="AJ286" s="129" t="n"/>
      <c r="AK286" s="129" t="n"/>
      <c r="AL286" s="129" t="n"/>
      <c r="AM286" s="129" t="n"/>
      <c r="AN286" s="129" t="n"/>
      <c r="AO286" s="129" t="n"/>
      <c r="AP286" s="129" t="n"/>
      <c r="AQ286" s="129" t="n"/>
      <c r="AR286" s="129" t="n"/>
      <c r="AS286" s="129" t="n"/>
      <c r="AT286" s="129" t="n"/>
      <c r="AU286" s="129" t="n"/>
      <c r="AV286" s="129" t="n"/>
      <c r="AW286" s="129" t="n"/>
      <c r="AX286" s="129" t="n"/>
      <c r="AY286" s="129" t="n"/>
      <c r="AZ286" s="129" t="n"/>
      <c r="BA286" s="129" t="n"/>
      <c r="BB286" s="129" t="n"/>
      <c r="BC286" s="129" t="n"/>
      <c r="BD286" s="129" t="n"/>
      <c r="BE286" s="129" t="n"/>
      <c r="BF286" s="129" t="n"/>
      <c r="BG286" s="129" t="n"/>
      <c r="BH286" s="129" t="n"/>
      <c r="BI286" s="129" t="n"/>
      <c r="BJ286" s="129" t="n"/>
      <c r="BK286" s="129" t="n"/>
      <c r="BL286" s="129" t="n"/>
      <c r="BM286" s="129" t="n"/>
      <c r="BN286" s="129" t="n"/>
      <c r="BO286" s="129" t="n"/>
      <c r="BP286" s="129" t="n"/>
      <c r="BQ286" s="129" t="n"/>
      <c r="BR286" s="129" t="n"/>
      <c r="BS286" s="129" t="n"/>
      <c r="BT286" s="129" t="n"/>
      <c r="BU286" s="129" t="n"/>
      <c r="BV286" s="129" t="n"/>
      <c r="BW286" s="129" t="n"/>
      <c r="BX286" s="129" t="n"/>
      <c r="BY286" s="129" t="n"/>
      <c r="BZ286" s="129" t="n"/>
      <c r="CA286" s="129" t="n"/>
      <c r="CB286" s="129" t="n"/>
      <c r="CC286" s="129" t="n"/>
      <c r="CD286" s="129" t="n"/>
      <c r="CE286" s="129" t="n"/>
      <c r="CF286" s="129" t="n"/>
      <c r="CG286" s="129" t="n"/>
      <c r="CH286" s="129" t="n"/>
      <c r="CI286" s="129" t="n"/>
      <c r="CJ286" s="129" t="n"/>
      <c r="CK286" s="129" t="n"/>
      <c r="CL286" s="129" t="n"/>
      <c r="CM286" s="129" t="n"/>
      <c r="CN286" s="129" t="n"/>
      <c r="CO286" s="129" t="n"/>
      <c r="CP286" s="129" t="n"/>
      <c r="CQ286" s="129" t="n"/>
      <c r="CR286" s="129" t="n"/>
      <c r="CS286" s="129" t="n"/>
      <c r="CT286" s="129" t="n"/>
      <c r="CU286" s="129" t="n"/>
      <c r="CV286" s="129" t="n"/>
      <c r="CW286" s="129" t="n"/>
      <c r="CX286" s="129" t="n"/>
      <c r="CY286" s="129" t="n"/>
      <c r="CZ286" s="129" t="n"/>
      <c r="DA286" s="129" t="n"/>
      <c r="DB286" s="129" t="n"/>
      <c r="DC286" s="129" t="n"/>
      <c r="DD286" s="129" t="n"/>
      <c r="DE286" s="129" t="n"/>
      <c r="DF286" s="129" t="n"/>
      <c r="DG286" s="129" t="n"/>
      <c r="DH286" s="129" t="n"/>
      <c r="DI286" s="129" t="n"/>
      <c r="DJ286" s="129" t="n"/>
      <c r="DK286" s="129" t="n"/>
      <c r="DL286" s="129" t="n"/>
      <c r="DM286" s="129" t="n"/>
      <c r="DN286" s="129" t="n"/>
      <c r="DO286" s="129" t="n"/>
      <c r="DP286" s="129" t="n"/>
      <c r="DQ286" s="129" t="n"/>
      <c r="DR286" s="129" t="n"/>
      <c r="DS286" s="129" t="n"/>
      <c r="DT286" s="129" t="n"/>
      <c r="DU286" s="129" t="n"/>
      <c r="DV286" s="129" t="n"/>
      <c r="DW286" s="129" t="n"/>
      <c r="DX286" s="129" t="n"/>
      <c r="DY286" s="129" t="n"/>
      <c r="DZ286" s="129" t="n"/>
      <c r="EA286" s="129" t="n"/>
      <c r="EB286" s="129" t="n"/>
      <c r="EC286" s="129" t="n"/>
      <c r="ED286" s="129" t="n"/>
      <c r="EE286" s="129" t="n"/>
      <c r="EF286" s="129" t="n"/>
      <c r="EG286" s="129" t="n"/>
      <c r="EH286" s="129" t="n"/>
      <c r="EI286" s="129" t="n"/>
      <c r="EJ286" s="129" t="n"/>
      <c r="EK286" s="129" t="n"/>
      <c r="EL286" s="129" t="n"/>
      <c r="EM286" s="129" t="n"/>
      <c r="EN286" s="129" t="n"/>
      <c r="EO286" s="129" t="n"/>
      <c r="EP286" s="129" t="n"/>
      <c r="EQ286" s="129" t="n"/>
      <c r="ER286" s="129" t="n"/>
      <c r="ES286" s="129" t="n"/>
      <c r="ET286" s="129" t="n"/>
      <c r="EU286" s="129" t="n"/>
      <c r="EV286" s="129" t="n"/>
      <c r="EW286" s="129" t="n"/>
      <c r="EX286" s="129" t="n"/>
      <c r="EY286" s="129" t="n"/>
      <c r="EZ286" s="129" t="n"/>
      <c r="FA286" s="129" t="n"/>
      <c r="FB286" s="129" t="n"/>
      <c r="FC286" s="129" t="n"/>
      <c r="FD286" s="129" t="n"/>
      <c r="FE286" s="129" t="n"/>
      <c r="FF286" s="129" t="n"/>
      <c r="FG286" s="129" t="n"/>
      <c r="FH286" s="129" t="n"/>
      <c r="FI286" s="129" t="n"/>
      <c r="FJ286" s="129" t="n"/>
      <c r="FK286" s="129" t="n"/>
      <c r="FL286" s="129" t="n"/>
      <c r="FM286" s="129" t="n"/>
    </row>
    <row r="287" s="135">
      <c r="A287" s="52" t="n">
        <v>41698</v>
      </c>
      <c r="B287" s="30" t="n">
        <v>0.08599999999999999</v>
      </c>
      <c r="C287" s="29" t="n">
        <v>48.5</v>
      </c>
      <c r="D287" s="129" t="n"/>
      <c r="E287" s="129" t="n"/>
      <c r="F287" s="129" t="n"/>
      <c r="G287" s="129" t="n"/>
      <c r="H287" s="129" t="n"/>
      <c r="I287" s="129" t="n"/>
      <c r="J287" s="129" t="n"/>
      <c r="K287" s="129" t="n"/>
      <c r="L287" s="129" t="n"/>
      <c r="M287" s="129" t="n"/>
      <c r="N287" s="129" t="n"/>
      <c r="O287" s="129" t="n"/>
      <c r="P287" s="129" t="n"/>
      <c r="Q287" s="129" t="n"/>
      <c r="R287" s="129" t="n"/>
      <c r="S287" s="129" t="n"/>
      <c r="T287" s="129" t="n"/>
      <c r="U287" s="129" t="n"/>
      <c r="V287" s="129" t="n"/>
      <c r="W287" s="129" t="n"/>
      <c r="X287" s="129" t="n"/>
      <c r="Y287" s="129" t="n"/>
      <c r="Z287" s="129" t="n"/>
      <c r="AA287" s="129" t="n"/>
      <c r="AB287" s="129" t="n"/>
      <c r="AC287" s="129" t="n"/>
      <c r="AD287" s="129" t="n"/>
      <c r="AE287" s="129" t="n"/>
      <c r="AF287" s="129" t="n"/>
      <c r="AG287" s="129" t="n"/>
      <c r="AH287" s="129" t="n"/>
      <c r="AI287" s="129" t="n"/>
      <c r="AJ287" s="129" t="n"/>
      <c r="AK287" s="129" t="n"/>
      <c r="AL287" s="129" t="n"/>
      <c r="AM287" s="129" t="n"/>
      <c r="AN287" s="129" t="n"/>
      <c r="AO287" s="129" t="n"/>
      <c r="AP287" s="129" t="n"/>
      <c r="AQ287" s="129" t="n"/>
      <c r="AR287" s="129" t="n"/>
      <c r="AS287" s="129" t="n"/>
      <c r="AT287" s="129" t="n"/>
      <c r="AU287" s="129" t="n"/>
      <c r="AV287" s="129" t="n"/>
      <c r="AW287" s="129" t="n"/>
      <c r="AX287" s="129" t="n"/>
      <c r="AY287" s="129" t="n"/>
      <c r="AZ287" s="129" t="n"/>
      <c r="BA287" s="129" t="n"/>
      <c r="BB287" s="129" t="n"/>
      <c r="BC287" s="129" t="n"/>
      <c r="BD287" s="129" t="n"/>
      <c r="BE287" s="129" t="n"/>
      <c r="BF287" s="129" t="n"/>
      <c r="BG287" s="129" t="n"/>
      <c r="BH287" s="129" t="n"/>
      <c r="BI287" s="129" t="n"/>
      <c r="BJ287" s="129" t="n"/>
      <c r="BK287" s="129" t="n"/>
      <c r="BL287" s="129" t="n"/>
      <c r="BM287" s="129" t="n"/>
      <c r="BN287" s="129" t="n"/>
      <c r="BO287" s="129" t="n"/>
      <c r="BP287" s="129" t="n"/>
      <c r="BQ287" s="129" t="n"/>
      <c r="BR287" s="129" t="n"/>
      <c r="BS287" s="129" t="n"/>
      <c r="BT287" s="129" t="n"/>
      <c r="BU287" s="129" t="n"/>
      <c r="BV287" s="129" t="n"/>
      <c r="BW287" s="129" t="n"/>
      <c r="BX287" s="129" t="n"/>
      <c r="BY287" s="129" t="n"/>
      <c r="BZ287" s="129" t="n"/>
      <c r="CA287" s="129" t="n"/>
      <c r="CB287" s="129" t="n"/>
      <c r="CC287" s="129" t="n"/>
      <c r="CD287" s="129" t="n"/>
      <c r="CE287" s="129" t="n"/>
      <c r="CF287" s="129" t="n"/>
      <c r="CG287" s="129" t="n"/>
      <c r="CH287" s="129" t="n"/>
      <c r="CI287" s="129" t="n"/>
      <c r="CJ287" s="129" t="n"/>
      <c r="CK287" s="129" t="n"/>
      <c r="CL287" s="129" t="n"/>
      <c r="CM287" s="129" t="n"/>
      <c r="CN287" s="129" t="n"/>
      <c r="CO287" s="129" t="n"/>
      <c r="CP287" s="129" t="n"/>
      <c r="CQ287" s="129" t="n"/>
      <c r="CR287" s="129" t="n"/>
      <c r="CS287" s="129" t="n"/>
      <c r="CT287" s="129" t="n"/>
      <c r="CU287" s="129" t="n"/>
      <c r="CV287" s="129" t="n"/>
      <c r="CW287" s="129" t="n"/>
      <c r="CX287" s="129" t="n"/>
      <c r="CY287" s="129" t="n"/>
      <c r="CZ287" s="129" t="n"/>
      <c r="DA287" s="129" t="n"/>
      <c r="DB287" s="129" t="n"/>
      <c r="DC287" s="129" t="n"/>
      <c r="DD287" s="129" t="n"/>
      <c r="DE287" s="129" t="n"/>
      <c r="DF287" s="129" t="n"/>
      <c r="DG287" s="129" t="n"/>
      <c r="DH287" s="129" t="n"/>
      <c r="DI287" s="129" t="n"/>
      <c r="DJ287" s="129" t="n"/>
      <c r="DK287" s="129" t="n"/>
      <c r="DL287" s="129" t="n"/>
      <c r="DM287" s="129" t="n"/>
      <c r="DN287" s="129" t="n"/>
      <c r="DO287" s="129" t="n"/>
      <c r="DP287" s="129" t="n"/>
      <c r="DQ287" s="129" t="n"/>
      <c r="DR287" s="129" t="n"/>
      <c r="DS287" s="129" t="n"/>
      <c r="DT287" s="129" t="n"/>
      <c r="DU287" s="129" t="n"/>
      <c r="DV287" s="129" t="n"/>
      <c r="DW287" s="129" t="n"/>
      <c r="DX287" s="129" t="n"/>
      <c r="DY287" s="129" t="n"/>
      <c r="DZ287" s="129" t="n"/>
      <c r="EA287" s="129" t="n"/>
      <c r="EB287" s="129" t="n"/>
      <c r="EC287" s="129" t="n"/>
      <c r="ED287" s="129" t="n"/>
      <c r="EE287" s="129" t="n"/>
      <c r="EF287" s="129" t="n"/>
      <c r="EG287" s="129" t="n"/>
      <c r="EH287" s="129" t="n"/>
      <c r="EI287" s="129" t="n"/>
      <c r="EJ287" s="129" t="n"/>
      <c r="EK287" s="129" t="n"/>
      <c r="EL287" s="129" t="n"/>
      <c r="EM287" s="129" t="n"/>
      <c r="EN287" s="129" t="n"/>
      <c r="EO287" s="129" t="n"/>
      <c r="EP287" s="129" t="n"/>
      <c r="EQ287" s="129" t="n"/>
      <c r="ER287" s="129" t="n"/>
      <c r="ES287" s="129" t="n"/>
      <c r="ET287" s="129" t="n"/>
      <c r="EU287" s="129" t="n"/>
      <c r="EV287" s="129" t="n"/>
      <c r="EW287" s="129" t="n"/>
      <c r="EX287" s="129" t="n"/>
      <c r="EY287" s="129" t="n"/>
      <c r="EZ287" s="129" t="n"/>
      <c r="FA287" s="129" t="n"/>
      <c r="FB287" s="129" t="n"/>
      <c r="FC287" s="129" t="n"/>
      <c r="FD287" s="129" t="n"/>
      <c r="FE287" s="129" t="n"/>
      <c r="FF287" s="129" t="n"/>
      <c r="FG287" s="129" t="n"/>
      <c r="FH287" s="129" t="n"/>
      <c r="FI287" s="129" t="n"/>
      <c r="FJ287" s="129" t="n"/>
      <c r="FK287" s="129" t="n"/>
      <c r="FL287" s="129" t="n"/>
      <c r="FM287" s="129" t="n"/>
    </row>
    <row r="288" s="135">
      <c r="A288" s="53" t="n">
        <v>41729</v>
      </c>
      <c r="B288" s="54" t="n">
        <v>0.08799999999999999</v>
      </c>
      <c r="C288" s="29" t="n">
        <v>48</v>
      </c>
      <c r="D288" s="129" t="n"/>
      <c r="E288" s="129" t="n"/>
      <c r="F288" s="129" t="n"/>
      <c r="G288" s="129" t="n"/>
      <c r="H288" s="129" t="n"/>
      <c r="I288" s="129" t="n"/>
      <c r="J288" s="129" t="n"/>
      <c r="K288" s="129" t="n"/>
      <c r="L288" s="129" t="n"/>
      <c r="M288" s="129" t="n"/>
      <c r="N288" s="129" t="n"/>
      <c r="O288" s="129" t="n"/>
      <c r="P288" s="129" t="n"/>
      <c r="Q288" s="129" t="n"/>
      <c r="R288" s="129" t="n"/>
      <c r="S288" s="129" t="n"/>
      <c r="T288" s="129" t="n"/>
      <c r="U288" s="129" t="n"/>
      <c r="V288" s="129" t="n"/>
      <c r="W288" s="129" t="n"/>
      <c r="X288" s="129" t="n"/>
      <c r="Y288" s="129" t="n"/>
      <c r="Z288" s="129" t="n"/>
      <c r="AA288" s="129" t="n"/>
      <c r="AB288" s="129" t="n"/>
      <c r="AC288" s="129" t="n"/>
      <c r="AD288" s="129" t="n"/>
      <c r="AE288" s="129" t="n"/>
      <c r="AF288" s="129" t="n"/>
      <c r="AG288" s="129" t="n"/>
      <c r="AH288" s="129" t="n"/>
      <c r="AI288" s="129" t="n"/>
      <c r="AJ288" s="129" t="n"/>
      <c r="AK288" s="129" t="n"/>
      <c r="AL288" s="129" t="n"/>
      <c r="AM288" s="129" t="n"/>
      <c r="AN288" s="129" t="n"/>
      <c r="AO288" s="129" t="n"/>
      <c r="AP288" s="129" t="n"/>
      <c r="AQ288" s="129" t="n"/>
      <c r="AR288" s="129" t="n"/>
      <c r="AS288" s="129" t="n"/>
      <c r="AT288" s="129" t="n"/>
      <c r="AU288" s="129" t="n"/>
      <c r="AV288" s="129" t="n"/>
      <c r="AW288" s="129" t="n"/>
      <c r="AX288" s="129" t="n"/>
      <c r="AY288" s="129" t="n"/>
      <c r="AZ288" s="129" t="n"/>
      <c r="BA288" s="129" t="n"/>
      <c r="BB288" s="129" t="n"/>
      <c r="BC288" s="129" t="n"/>
      <c r="BD288" s="129" t="n"/>
      <c r="BE288" s="129" t="n"/>
      <c r="BF288" s="129" t="n"/>
      <c r="BG288" s="129" t="n"/>
      <c r="BH288" s="129" t="n"/>
      <c r="BI288" s="129" t="n"/>
      <c r="BJ288" s="129" t="n"/>
      <c r="BK288" s="129" t="n"/>
      <c r="BL288" s="129" t="n"/>
      <c r="BM288" s="129" t="n"/>
      <c r="BN288" s="129" t="n"/>
      <c r="BO288" s="129" t="n"/>
      <c r="BP288" s="129" t="n"/>
      <c r="BQ288" s="129" t="n"/>
      <c r="BR288" s="129" t="n"/>
      <c r="BS288" s="129" t="n"/>
      <c r="BT288" s="129" t="n"/>
      <c r="BU288" s="129" t="n"/>
      <c r="BV288" s="129" t="n"/>
      <c r="BW288" s="129" t="n"/>
      <c r="BX288" s="129" t="n"/>
      <c r="BY288" s="129" t="n"/>
      <c r="BZ288" s="129" t="n"/>
      <c r="CA288" s="129" t="n"/>
      <c r="CB288" s="129" t="n"/>
      <c r="CC288" s="129" t="n"/>
      <c r="CD288" s="129" t="n"/>
      <c r="CE288" s="129" t="n"/>
      <c r="CF288" s="129" t="n"/>
      <c r="CG288" s="129" t="n"/>
      <c r="CH288" s="129" t="n"/>
      <c r="CI288" s="129" t="n"/>
      <c r="CJ288" s="129" t="n"/>
      <c r="CK288" s="129" t="n"/>
      <c r="CL288" s="129" t="n"/>
      <c r="CM288" s="129" t="n"/>
      <c r="CN288" s="129" t="n"/>
      <c r="CO288" s="129" t="n"/>
      <c r="CP288" s="129" t="n"/>
      <c r="CQ288" s="129" t="n"/>
      <c r="CR288" s="129" t="n"/>
      <c r="CS288" s="129" t="n"/>
      <c r="CT288" s="129" t="n"/>
      <c r="CU288" s="129" t="n"/>
      <c r="CV288" s="129" t="n"/>
      <c r="CW288" s="129" t="n"/>
      <c r="CX288" s="129" t="n"/>
      <c r="CY288" s="129" t="n"/>
      <c r="CZ288" s="129" t="n"/>
      <c r="DA288" s="129" t="n"/>
      <c r="DB288" s="129" t="n"/>
      <c r="DC288" s="129" t="n"/>
      <c r="DD288" s="129" t="n"/>
      <c r="DE288" s="129" t="n"/>
      <c r="DF288" s="129" t="n"/>
      <c r="DG288" s="129" t="n"/>
      <c r="DH288" s="129" t="n"/>
      <c r="DI288" s="129" t="n"/>
      <c r="DJ288" s="129" t="n"/>
      <c r="DK288" s="129" t="n"/>
      <c r="DL288" s="129" t="n"/>
      <c r="DM288" s="129" t="n"/>
      <c r="DN288" s="129" t="n"/>
      <c r="DO288" s="129" t="n"/>
      <c r="DP288" s="129" t="n"/>
      <c r="DQ288" s="129" t="n"/>
      <c r="DR288" s="129" t="n"/>
      <c r="DS288" s="129" t="n"/>
      <c r="DT288" s="129" t="n"/>
      <c r="DU288" s="129" t="n"/>
      <c r="DV288" s="129" t="n"/>
      <c r="DW288" s="129" t="n"/>
      <c r="DX288" s="129" t="n"/>
      <c r="DY288" s="129" t="n"/>
      <c r="DZ288" s="129" t="n"/>
      <c r="EA288" s="129" t="n"/>
      <c r="EB288" s="129" t="n"/>
      <c r="EC288" s="129" t="n"/>
      <c r="ED288" s="129" t="n"/>
      <c r="EE288" s="129" t="n"/>
      <c r="EF288" s="129" t="n"/>
      <c r="EG288" s="129" t="n"/>
      <c r="EH288" s="129" t="n"/>
      <c r="EI288" s="129" t="n"/>
      <c r="EJ288" s="129" t="n"/>
      <c r="EK288" s="129" t="n"/>
      <c r="EL288" s="129" t="n"/>
      <c r="EM288" s="129" t="n"/>
      <c r="EN288" s="129" t="n"/>
      <c r="EO288" s="129" t="n"/>
      <c r="EP288" s="129" t="n"/>
      <c r="EQ288" s="129" t="n"/>
      <c r="ER288" s="129" t="n"/>
      <c r="ES288" s="129" t="n"/>
      <c r="ET288" s="129" t="n"/>
      <c r="EU288" s="129" t="n"/>
      <c r="EV288" s="129" t="n"/>
      <c r="EW288" s="129" t="n"/>
      <c r="EX288" s="129" t="n"/>
      <c r="EY288" s="129" t="n"/>
      <c r="EZ288" s="129" t="n"/>
      <c r="FA288" s="129" t="n"/>
      <c r="FB288" s="129" t="n"/>
      <c r="FC288" s="129" t="n"/>
      <c r="FD288" s="129" t="n"/>
      <c r="FE288" s="129" t="n"/>
      <c r="FF288" s="129" t="n"/>
      <c r="FG288" s="129" t="n"/>
      <c r="FH288" s="129" t="n"/>
      <c r="FI288" s="129" t="n"/>
      <c r="FJ288" s="129" t="n"/>
      <c r="FK288" s="129" t="n"/>
      <c r="FL288" s="129" t="n"/>
      <c r="FM288" s="129" t="n"/>
    </row>
    <row r="289" s="135">
      <c r="A289" s="52" t="n">
        <v>41759</v>
      </c>
      <c r="B289" s="30" t="n">
        <v>0.08699999999999999</v>
      </c>
      <c r="C289" s="29" t="n">
        <v>48.1</v>
      </c>
      <c r="D289" s="129" t="n"/>
      <c r="E289" s="129" t="n"/>
      <c r="F289" s="129" t="n"/>
      <c r="G289" s="129" t="n"/>
      <c r="H289" s="129" t="n"/>
      <c r="I289" s="129" t="n"/>
      <c r="J289" s="129" t="n"/>
      <c r="K289" s="129" t="n"/>
      <c r="L289" s="129" t="n"/>
      <c r="M289" s="129" t="n"/>
      <c r="N289" s="129" t="n"/>
      <c r="O289" s="129" t="n"/>
      <c r="P289" s="129" t="n"/>
      <c r="Q289" s="129" t="n"/>
      <c r="R289" s="129" t="n"/>
      <c r="S289" s="129" t="n"/>
      <c r="T289" s="129" t="n"/>
      <c r="U289" s="129" t="n"/>
      <c r="V289" s="129" t="n"/>
      <c r="W289" s="129" t="n"/>
      <c r="X289" s="129" t="n"/>
      <c r="Y289" s="129" t="n"/>
      <c r="Z289" s="129" t="n"/>
      <c r="AA289" s="129" t="n"/>
      <c r="AB289" s="129" t="n"/>
      <c r="AC289" s="129" t="n"/>
      <c r="AD289" s="129" t="n"/>
      <c r="AE289" s="129" t="n"/>
      <c r="AF289" s="129" t="n"/>
      <c r="AG289" s="129" t="n"/>
      <c r="AH289" s="129" t="n"/>
      <c r="AI289" s="129" t="n"/>
      <c r="AJ289" s="129" t="n"/>
      <c r="AK289" s="129" t="n"/>
      <c r="AL289" s="129" t="n"/>
      <c r="AM289" s="129" t="n"/>
      <c r="AN289" s="129" t="n"/>
      <c r="AO289" s="129" t="n"/>
      <c r="AP289" s="129" t="n"/>
      <c r="AQ289" s="129" t="n"/>
      <c r="AR289" s="129" t="n"/>
      <c r="AS289" s="129" t="n"/>
      <c r="AT289" s="129" t="n"/>
      <c r="AU289" s="129" t="n"/>
      <c r="AV289" s="129" t="n"/>
      <c r="AW289" s="129" t="n"/>
      <c r="AX289" s="129" t="n"/>
      <c r="AY289" s="129" t="n"/>
      <c r="AZ289" s="129" t="n"/>
      <c r="BA289" s="129" t="n"/>
      <c r="BB289" s="129" t="n"/>
      <c r="BC289" s="129" t="n"/>
      <c r="BD289" s="129" t="n"/>
      <c r="BE289" s="129" t="n"/>
      <c r="BF289" s="129" t="n"/>
      <c r="BG289" s="129" t="n"/>
      <c r="BH289" s="129" t="n"/>
      <c r="BI289" s="129" t="n"/>
      <c r="BJ289" s="129" t="n"/>
      <c r="BK289" s="129" t="n"/>
      <c r="BL289" s="129" t="n"/>
      <c r="BM289" s="129" t="n"/>
      <c r="BN289" s="129" t="n"/>
      <c r="BO289" s="129" t="n"/>
      <c r="BP289" s="129" t="n"/>
      <c r="BQ289" s="129" t="n"/>
      <c r="BR289" s="129" t="n"/>
      <c r="BS289" s="129" t="n"/>
      <c r="BT289" s="129" t="n"/>
      <c r="BU289" s="129" t="n"/>
      <c r="BV289" s="129" t="n"/>
      <c r="BW289" s="129" t="n"/>
      <c r="BX289" s="129" t="n"/>
      <c r="BY289" s="129" t="n"/>
      <c r="BZ289" s="129" t="n"/>
      <c r="CA289" s="129" t="n"/>
      <c r="CB289" s="129" t="n"/>
      <c r="CC289" s="129" t="n"/>
      <c r="CD289" s="129" t="n"/>
      <c r="CE289" s="129" t="n"/>
      <c r="CF289" s="129" t="n"/>
      <c r="CG289" s="129" t="n"/>
      <c r="CH289" s="129" t="n"/>
      <c r="CI289" s="129" t="n"/>
      <c r="CJ289" s="129" t="n"/>
      <c r="CK289" s="129" t="n"/>
      <c r="CL289" s="129" t="n"/>
      <c r="CM289" s="129" t="n"/>
      <c r="CN289" s="129" t="n"/>
      <c r="CO289" s="129" t="n"/>
      <c r="CP289" s="129" t="n"/>
      <c r="CQ289" s="129" t="n"/>
      <c r="CR289" s="129" t="n"/>
      <c r="CS289" s="129" t="n"/>
      <c r="CT289" s="129" t="n"/>
      <c r="CU289" s="129" t="n"/>
      <c r="CV289" s="129" t="n"/>
      <c r="CW289" s="129" t="n"/>
      <c r="CX289" s="129" t="n"/>
      <c r="CY289" s="129" t="n"/>
      <c r="CZ289" s="129" t="n"/>
      <c r="DA289" s="129" t="n"/>
      <c r="DB289" s="129" t="n"/>
      <c r="DC289" s="129" t="n"/>
      <c r="DD289" s="129" t="n"/>
      <c r="DE289" s="129" t="n"/>
      <c r="DF289" s="129" t="n"/>
      <c r="DG289" s="129" t="n"/>
      <c r="DH289" s="129" t="n"/>
      <c r="DI289" s="129" t="n"/>
      <c r="DJ289" s="129" t="n"/>
      <c r="DK289" s="129" t="n"/>
      <c r="DL289" s="129" t="n"/>
      <c r="DM289" s="129" t="n"/>
      <c r="DN289" s="129" t="n"/>
      <c r="DO289" s="129" t="n"/>
      <c r="DP289" s="129" t="n"/>
      <c r="DQ289" s="129" t="n"/>
      <c r="DR289" s="129" t="n"/>
      <c r="DS289" s="129" t="n"/>
      <c r="DT289" s="129" t="n"/>
      <c r="DU289" s="129" t="n"/>
      <c r="DV289" s="129" t="n"/>
      <c r="DW289" s="129" t="n"/>
      <c r="DX289" s="129" t="n"/>
      <c r="DY289" s="129" t="n"/>
      <c r="DZ289" s="129" t="n"/>
      <c r="EA289" s="129" t="n"/>
      <c r="EB289" s="129" t="n"/>
      <c r="EC289" s="129" t="n"/>
      <c r="ED289" s="129" t="n"/>
      <c r="EE289" s="129" t="n"/>
      <c r="EF289" s="129" t="n"/>
      <c r="EG289" s="129" t="n"/>
      <c r="EH289" s="129" t="n"/>
      <c r="EI289" s="129" t="n"/>
      <c r="EJ289" s="129" t="n"/>
      <c r="EK289" s="129" t="n"/>
      <c r="EL289" s="129" t="n"/>
      <c r="EM289" s="129" t="n"/>
      <c r="EN289" s="129" t="n"/>
      <c r="EO289" s="129" t="n"/>
      <c r="EP289" s="129" t="n"/>
      <c r="EQ289" s="129" t="n"/>
      <c r="ER289" s="129" t="n"/>
      <c r="ES289" s="129" t="n"/>
      <c r="ET289" s="129" t="n"/>
      <c r="EU289" s="129" t="n"/>
      <c r="EV289" s="129" t="n"/>
      <c r="EW289" s="129" t="n"/>
      <c r="EX289" s="129" t="n"/>
      <c r="EY289" s="129" t="n"/>
      <c r="EZ289" s="129" t="n"/>
      <c r="FA289" s="129" t="n"/>
      <c r="FB289" s="129" t="n"/>
      <c r="FC289" s="129" t="n"/>
      <c r="FD289" s="129" t="n"/>
      <c r="FE289" s="129" t="n"/>
      <c r="FF289" s="129" t="n"/>
      <c r="FG289" s="129" t="n"/>
      <c r="FH289" s="129" t="n"/>
      <c r="FI289" s="129" t="n"/>
      <c r="FJ289" s="129" t="n"/>
      <c r="FK289" s="129" t="n"/>
      <c r="FL289" s="129" t="n"/>
      <c r="FM289" s="129" t="n"/>
    </row>
    <row r="290" s="135">
      <c r="A290" s="53" t="n">
        <v>41790</v>
      </c>
      <c r="B290" s="54" t="n">
        <v>0.08799999999999999</v>
      </c>
      <c r="C290" s="29" t="n">
        <v>49.4</v>
      </c>
      <c r="D290" s="129" t="n"/>
      <c r="E290" s="129" t="n"/>
      <c r="F290" s="129" t="n"/>
      <c r="G290" s="129" t="n"/>
      <c r="H290" s="129" t="n"/>
      <c r="I290" s="129" t="n"/>
      <c r="J290" s="129" t="n"/>
      <c r="K290" s="129" t="n"/>
      <c r="L290" s="129" t="n"/>
      <c r="M290" s="129" t="n"/>
      <c r="N290" s="129" t="n"/>
      <c r="O290" s="129" t="n"/>
      <c r="P290" s="129" t="n"/>
      <c r="Q290" s="129" t="n"/>
      <c r="R290" s="129" t="n"/>
      <c r="S290" s="129" t="n"/>
      <c r="T290" s="129" t="n"/>
      <c r="U290" s="129" t="n"/>
      <c r="V290" s="129" t="n"/>
      <c r="W290" s="129" t="n"/>
      <c r="X290" s="129" t="n"/>
      <c r="Y290" s="129" t="n"/>
      <c r="Z290" s="129" t="n"/>
      <c r="AA290" s="129" t="n"/>
      <c r="AB290" s="129" t="n"/>
      <c r="AC290" s="129" t="n"/>
      <c r="AD290" s="129" t="n"/>
      <c r="AE290" s="129" t="n"/>
      <c r="AF290" s="129" t="n"/>
      <c r="AG290" s="129" t="n"/>
      <c r="AH290" s="129" t="n"/>
      <c r="AI290" s="129" t="n"/>
      <c r="AJ290" s="129" t="n"/>
      <c r="AK290" s="129" t="n"/>
      <c r="AL290" s="129" t="n"/>
      <c r="AM290" s="129" t="n"/>
      <c r="AN290" s="129" t="n"/>
      <c r="AO290" s="129" t="n"/>
      <c r="AP290" s="129" t="n"/>
      <c r="AQ290" s="129" t="n"/>
      <c r="AR290" s="129" t="n"/>
      <c r="AS290" s="129" t="n"/>
      <c r="AT290" s="129" t="n"/>
      <c r="AU290" s="129" t="n"/>
      <c r="AV290" s="129" t="n"/>
      <c r="AW290" s="129" t="n"/>
      <c r="AX290" s="129" t="n"/>
      <c r="AY290" s="129" t="n"/>
      <c r="AZ290" s="129" t="n"/>
      <c r="BA290" s="129" t="n"/>
      <c r="BB290" s="129" t="n"/>
      <c r="BC290" s="129" t="n"/>
      <c r="BD290" s="129" t="n"/>
      <c r="BE290" s="129" t="n"/>
      <c r="BF290" s="129" t="n"/>
      <c r="BG290" s="129" t="n"/>
      <c r="BH290" s="129" t="n"/>
      <c r="BI290" s="129" t="n"/>
      <c r="BJ290" s="129" t="n"/>
      <c r="BK290" s="129" t="n"/>
      <c r="BL290" s="129" t="n"/>
      <c r="BM290" s="129" t="n"/>
      <c r="BN290" s="129" t="n"/>
      <c r="BO290" s="129" t="n"/>
      <c r="BP290" s="129" t="n"/>
      <c r="BQ290" s="129" t="n"/>
      <c r="BR290" s="129" t="n"/>
      <c r="BS290" s="129" t="n"/>
      <c r="BT290" s="129" t="n"/>
      <c r="BU290" s="129" t="n"/>
      <c r="BV290" s="129" t="n"/>
      <c r="BW290" s="129" t="n"/>
      <c r="BX290" s="129" t="n"/>
      <c r="BY290" s="129" t="n"/>
      <c r="BZ290" s="129" t="n"/>
      <c r="CA290" s="129" t="n"/>
      <c r="CB290" s="129" t="n"/>
      <c r="CC290" s="129" t="n"/>
      <c r="CD290" s="129" t="n"/>
      <c r="CE290" s="129" t="n"/>
      <c r="CF290" s="129" t="n"/>
      <c r="CG290" s="129" t="n"/>
      <c r="CH290" s="129" t="n"/>
      <c r="CI290" s="129" t="n"/>
      <c r="CJ290" s="129" t="n"/>
      <c r="CK290" s="129" t="n"/>
      <c r="CL290" s="129" t="n"/>
      <c r="CM290" s="129" t="n"/>
      <c r="CN290" s="129" t="n"/>
      <c r="CO290" s="129" t="n"/>
      <c r="CP290" s="129" t="n"/>
      <c r="CQ290" s="129" t="n"/>
      <c r="CR290" s="129" t="n"/>
      <c r="CS290" s="129" t="n"/>
      <c r="CT290" s="129" t="n"/>
      <c r="CU290" s="129" t="n"/>
      <c r="CV290" s="129" t="n"/>
      <c r="CW290" s="129" t="n"/>
      <c r="CX290" s="129" t="n"/>
      <c r="CY290" s="129" t="n"/>
      <c r="CZ290" s="129" t="n"/>
      <c r="DA290" s="129" t="n"/>
      <c r="DB290" s="129" t="n"/>
      <c r="DC290" s="129" t="n"/>
      <c r="DD290" s="129" t="n"/>
      <c r="DE290" s="129" t="n"/>
      <c r="DF290" s="129" t="n"/>
      <c r="DG290" s="129" t="n"/>
      <c r="DH290" s="129" t="n"/>
      <c r="DI290" s="129" t="n"/>
      <c r="DJ290" s="129" t="n"/>
      <c r="DK290" s="129" t="n"/>
      <c r="DL290" s="129" t="n"/>
      <c r="DM290" s="129" t="n"/>
      <c r="DN290" s="129" t="n"/>
      <c r="DO290" s="129" t="n"/>
      <c r="DP290" s="129" t="n"/>
      <c r="DQ290" s="129" t="n"/>
      <c r="DR290" s="129" t="n"/>
      <c r="DS290" s="129" t="n"/>
      <c r="DT290" s="129" t="n"/>
      <c r="DU290" s="129" t="n"/>
      <c r="DV290" s="129" t="n"/>
      <c r="DW290" s="129" t="n"/>
      <c r="DX290" s="129" t="n"/>
      <c r="DY290" s="129" t="n"/>
      <c r="DZ290" s="129" t="n"/>
      <c r="EA290" s="129" t="n"/>
      <c r="EB290" s="129" t="n"/>
      <c r="EC290" s="129" t="n"/>
      <c r="ED290" s="129" t="n"/>
      <c r="EE290" s="129" t="n"/>
      <c r="EF290" s="129" t="n"/>
      <c r="EG290" s="129" t="n"/>
      <c r="EH290" s="129" t="n"/>
      <c r="EI290" s="129" t="n"/>
      <c r="EJ290" s="129" t="n"/>
      <c r="EK290" s="129" t="n"/>
      <c r="EL290" s="129" t="n"/>
      <c r="EM290" s="129" t="n"/>
      <c r="EN290" s="129" t="n"/>
      <c r="EO290" s="129" t="n"/>
      <c r="EP290" s="129" t="n"/>
      <c r="EQ290" s="129" t="n"/>
      <c r="ER290" s="129" t="n"/>
      <c r="ES290" s="129" t="n"/>
      <c r="ET290" s="129" t="n"/>
      <c r="EU290" s="129" t="n"/>
      <c r="EV290" s="129" t="n"/>
      <c r="EW290" s="129" t="n"/>
      <c r="EX290" s="129" t="n"/>
      <c r="EY290" s="129" t="n"/>
      <c r="EZ290" s="129" t="n"/>
      <c r="FA290" s="129" t="n"/>
      <c r="FB290" s="129" t="n"/>
      <c r="FC290" s="129" t="n"/>
      <c r="FD290" s="129" t="n"/>
      <c r="FE290" s="129" t="n"/>
      <c r="FF290" s="129" t="n"/>
      <c r="FG290" s="129" t="n"/>
      <c r="FH290" s="129" t="n"/>
      <c r="FI290" s="129" t="n"/>
      <c r="FJ290" s="129" t="n"/>
      <c r="FK290" s="129" t="n"/>
      <c r="FL290" s="129" t="n"/>
      <c r="FM290" s="129" t="n"/>
    </row>
    <row r="291" s="135">
      <c r="A291" s="52" t="n">
        <v>41820</v>
      </c>
      <c r="B291" s="30" t="n">
        <v>0.092</v>
      </c>
      <c r="C291" s="29" t="n">
        <v>50.7</v>
      </c>
      <c r="D291" s="129" t="n"/>
      <c r="E291" s="129" t="n"/>
      <c r="F291" s="129" t="n"/>
      <c r="G291" s="129" t="n"/>
      <c r="H291" s="129" t="n"/>
      <c r="I291" s="129" t="n"/>
      <c r="J291" s="129" t="n"/>
      <c r="K291" s="129" t="n"/>
      <c r="L291" s="129" t="n"/>
      <c r="M291" s="129" t="n"/>
      <c r="N291" s="129" t="n"/>
      <c r="O291" s="129" t="n"/>
      <c r="P291" s="129" t="n"/>
      <c r="Q291" s="129" t="n"/>
      <c r="R291" s="129" t="n"/>
      <c r="S291" s="129" t="n"/>
      <c r="T291" s="129" t="n"/>
      <c r="U291" s="129" t="n"/>
      <c r="V291" s="129" t="n"/>
      <c r="W291" s="129" t="n"/>
      <c r="X291" s="129" t="n"/>
      <c r="Y291" s="129" t="n"/>
      <c r="Z291" s="129" t="n"/>
      <c r="AA291" s="129" t="n"/>
      <c r="AB291" s="129" t="n"/>
      <c r="AC291" s="129" t="n"/>
      <c r="AD291" s="129" t="n"/>
      <c r="AE291" s="129" t="n"/>
      <c r="AF291" s="129" t="n"/>
      <c r="AG291" s="129" t="n"/>
      <c r="AH291" s="129" t="n"/>
      <c r="AI291" s="129" t="n"/>
      <c r="AJ291" s="129" t="n"/>
      <c r="AK291" s="129" t="n"/>
      <c r="AL291" s="129" t="n"/>
      <c r="AM291" s="129" t="n"/>
      <c r="AN291" s="129" t="n"/>
      <c r="AO291" s="129" t="n"/>
      <c r="AP291" s="129" t="n"/>
      <c r="AQ291" s="129" t="n"/>
      <c r="AR291" s="129" t="n"/>
      <c r="AS291" s="129" t="n"/>
      <c r="AT291" s="129" t="n"/>
      <c r="AU291" s="129" t="n"/>
      <c r="AV291" s="129" t="n"/>
      <c r="AW291" s="129" t="n"/>
      <c r="AX291" s="129" t="n"/>
      <c r="AY291" s="129" t="n"/>
      <c r="AZ291" s="129" t="n"/>
      <c r="BA291" s="129" t="n"/>
      <c r="BB291" s="129" t="n"/>
      <c r="BC291" s="129" t="n"/>
      <c r="BD291" s="129" t="n"/>
      <c r="BE291" s="129" t="n"/>
      <c r="BF291" s="129" t="n"/>
      <c r="BG291" s="129" t="n"/>
      <c r="BH291" s="129" t="n"/>
      <c r="BI291" s="129" t="n"/>
      <c r="BJ291" s="129" t="n"/>
      <c r="BK291" s="129" t="n"/>
      <c r="BL291" s="129" t="n"/>
      <c r="BM291" s="129" t="n"/>
      <c r="BN291" s="129" t="n"/>
      <c r="BO291" s="129" t="n"/>
      <c r="BP291" s="129" t="n"/>
      <c r="BQ291" s="129" t="n"/>
      <c r="BR291" s="129" t="n"/>
      <c r="BS291" s="129" t="n"/>
      <c r="BT291" s="129" t="n"/>
      <c r="BU291" s="129" t="n"/>
      <c r="BV291" s="129" t="n"/>
      <c r="BW291" s="129" t="n"/>
      <c r="BX291" s="129" t="n"/>
      <c r="BY291" s="129" t="n"/>
      <c r="BZ291" s="129" t="n"/>
      <c r="CA291" s="129" t="n"/>
      <c r="CB291" s="129" t="n"/>
      <c r="CC291" s="129" t="n"/>
      <c r="CD291" s="129" t="n"/>
      <c r="CE291" s="129" t="n"/>
      <c r="CF291" s="129" t="n"/>
      <c r="CG291" s="129" t="n"/>
      <c r="CH291" s="129" t="n"/>
      <c r="CI291" s="129" t="n"/>
      <c r="CJ291" s="129" t="n"/>
      <c r="CK291" s="129" t="n"/>
      <c r="CL291" s="129" t="n"/>
      <c r="CM291" s="129" t="n"/>
      <c r="CN291" s="129" t="n"/>
      <c r="CO291" s="129" t="n"/>
      <c r="CP291" s="129" t="n"/>
      <c r="CQ291" s="129" t="n"/>
      <c r="CR291" s="129" t="n"/>
      <c r="CS291" s="129" t="n"/>
      <c r="CT291" s="129" t="n"/>
      <c r="CU291" s="129" t="n"/>
      <c r="CV291" s="129" t="n"/>
      <c r="CW291" s="129" t="n"/>
      <c r="CX291" s="129" t="n"/>
      <c r="CY291" s="129" t="n"/>
      <c r="CZ291" s="129" t="n"/>
      <c r="DA291" s="129" t="n"/>
      <c r="DB291" s="129" t="n"/>
      <c r="DC291" s="129" t="n"/>
      <c r="DD291" s="129" t="n"/>
      <c r="DE291" s="129" t="n"/>
      <c r="DF291" s="129" t="n"/>
      <c r="DG291" s="129" t="n"/>
      <c r="DH291" s="129" t="n"/>
      <c r="DI291" s="129" t="n"/>
      <c r="DJ291" s="129" t="n"/>
      <c r="DK291" s="129" t="n"/>
      <c r="DL291" s="129" t="n"/>
      <c r="DM291" s="129" t="n"/>
      <c r="DN291" s="129" t="n"/>
      <c r="DO291" s="129" t="n"/>
      <c r="DP291" s="129" t="n"/>
      <c r="DQ291" s="129" t="n"/>
      <c r="DR291" s="129" t="n"/>
      <c r="DS291" s="129" t="n"/>
      <c r="DT291" s="129" t="n"/>
      <c r="DU291" s="129" t="n"/>
      <c r="DV291" s="129" t="n"/>
      <c r="DW291" s="129" t="n"/>
      <c r="DX291" s="129" t="n"/>
      <c r="DY291" s="129" t="n"/>
      <c r="DZ291" s="129" t="n"/>
      <c r="EA291" s="129" t="n"/>
      <c r="EB291" s="129" t="n"/>
      <c r="EC291" s="129" t="n"/>
      <c r="ED291" s="129" t="n"/>
      <c r="EE291" s="129" t="n"/>
      <c r="EF291" s="129" t="n"/>
      <c r="EG291" s="129" t="n"/>
      <c r="EH291" s="129" t="n"/>
      <c r="EI291" s="129" t="n"/>
      <c r="EJ291" s="129" t="n"/>
      <c r="EK291" s="129" t="n"/>
      <c r="EL291" s="129" t="n"/>
      <c r="EM291" s="129" t="n"/>
      <c r="EN291" s="129" t="n"/>
      <c r="EO291" s="129" t="n"/>
      <c r="EP291" s="129" t="n"/>
      <c r="EQ291" s="129" t="n"/>
      <c r="ER291" s="129" t="n"/>
      <c r="ES291" s="129" t="n"/>
      <c r="ET291" s="129" t="n"/>
      <c r="EU291" s="129" t="n"/>
      <c r="EV291" s="129" t="n"/>
      <c r="EW291" s="129" t="n"/>
      <c r="EX291" s="129" t="n"/>
      <c r="EY291" s="129" t="n"/>
      <c r="EZ291" s="129" t="n"/>
      <c r="FA291" s="129" t="n"/>
      <c r="FB291" s="129" t="n"/>
      <c r="FC291" s="129" t="n"/>
      <c r="FD291" s="129" t="n"/>
      <c r="FE291" s="129" t="n"/>
      <c r="FF291" s="129" t="n"/>
      <c r="FG291" s="129" t="n"/>
      <c r="FH291" s="129" t="n"/>
      <c r="FI291" s="129" t="n"/>
      <c r="FJ291" s="129" t="n"/>
      <c r="FK291" s="129" t="n"/>
      <c r="FL291" s="129" t="n"/>
      <c r="FM291" s="129" t="n"/>
    </row>
    <row r="292" s="135">
      <c r="A292" s="53" t="n">
        <v>41851</v>
      </c>
      <c r="B292" s="54" t="n">
        <v>0.09</v>
      </c>
      <c r="C292" s="29" t="n">
        <v>51.7</v>
      </c>
      <c r="D292" s="129" t="n"/>
      <c r="E292" s="129" t="n"/>
      <c r="F292" s="129" t="n"/>
      <c r="G292" s="129" t="n"/>
      <c r="H292" s="129" t="n"/>
      <c r="I292" s="129" t="n"/>
      <c r="J292" s="129" t="n"/>
      <c r="K292" s="129" t="n"/>
      <c r="L292" s="129" t="n"/>
      <c r="M292" s="129" t="n"/>
      <c r="N292" s="129" t="n"/>
      <c r="O292" s="129" t="n"/>
      <c r="P292" s="129" t="n"/>
      <c r="Q292" s="129" t="n"/>
      <c r="R292" s="129" t="n"/>
      <c r="S292" s="129" t="n"/>
      <c r="T292" s="129" t="n"/>
      <c r="U292" s="129" t="n"/>
      <c r="V292" s="129" t="n"/>
      <c r="W292" s="129" t="n"/>
      <c r="X292" s="129" t="n"/>
      <c r="Y292" s="129" t="n"/>
      <c r="Z292" s="129" t="n"/>
      <c r="AA292" s="129" t="n"/>
      <c r="AB292" s="129" t="n"/>
      <c r="AC292" s="129" t="n"/>
      <c r="AD292" s="129" t="n"/>
      <c r="AE292" s="129" t="n"/>
      <c r="AF292" s="129" t="n"/>
      <c r="AG292" s="129" t="n"/>
      <c r="AH292" s="129" t="n"/>
      <c r="AI292" s="129" t="n"/>
      <c r="AJ292" s="129" t="n"/>
      <c r="AK292" s="129" t="n"/>
      <c r="AL292" s="129" t="n"/>
      <c r="AM292" s="129" t="n"/>
      <c r="AN292" s="129" t="n"/>
      <c r="AO292" s="129" t="n"/>
      <c r="AP292" s="129" t="n"/>
      <c r="AQ292" s="129" t="n"/>
      <c r="AR292" s="129" t="n"/>
      <c r="AS292" s="129" t="n"/>
      <c r="AT292" s="129" t="n"/>
      <c r="AU292" s="129" t="n"/>
      <c r="AV292" s="129" t="n"/>
      <c r="AW292" s="129" t="n"/>
      <c r="AX292" s="129" t="n"/>
      <c r="AY292" s="129" t="n"/>
      <c r="AZ292" s="129" t="n"/>
      <c r="BA292" s="129" t="n"/>
      <c r="BB292" s="129" t="n"/>
      <c r="BC292" s="129" t="n"/>
      <c r="BD292" s="129" t="n"/>
      <c r="BE292" s="129" t="n"/>
      <c r="BF292" s="129" t="n"/>
      <c r="BG292" s="129" t="n"/>
      <c r="BH292" s="129" t="n"/>
      <c r="BI292" s="129" t="n"/>
      <c r="BJ292" s="129" t="n"/>
      <c r="BK292" s="129" t="n"/>
      <c r="BL292" s="129" t="n"/>
      <c r="BM292" s="129" t="n"/>
      <c r="BN292" s="129" t="n"/>
      <c r="BO292" s="129" t="n"/>
      <c r="BP292" s="129" t="n"/>
      <c r="BQ292" s="129" t="n"/>
      <c r="BR292" s="129" t="n"/>
      <c r="BS292" s="129" t="n"/>
      <c r="BT292" s="129" t="n"/>
      <c r="BU292" s="129" t="n"/>
      <c r="BV292" s="129" t="n"/>
      <c r="BW292" s="129" t="n"/>
      <c r="BX292" s="129" t="n"/>
      <c r="BY292" s="129" t="n"/>
      <c r="BZ292" s="129" t="n"/>
      <c r="CA292" s="129" t="n"/>
      <c r="CB292" s="129" t="n"/>
      <c r="CC292" s="129" t="n"/>
      <c r="CD292" s="129" t="n"/>
      <c r="CE292" s="129" t="n"/>
      <c r="CF292" s="129" t="n"/>
      <c r="CG292" s="129" t="n"/>
      <c r="CH292" s="129" t="n"/>
      <c r="CI292" s="129" t="n"/>
      <c r="CJ292" s="129" t="n"/>
      <c r="CK292" s="129" t="n"/>
      <c r="CL292" s="129" t="n"/>
      <c r="CM292" s="129" t="n"/>
      <c r="CN292" s="129" t="n"/>
      <c r="CO292" s="129" t="n"/>
      <c r="CP292" s="129" t="n"/>
      <c r="CQ292" s="129" t="n"/>
      <c r="CR292" s="129" t="n"/>
      <c r="CS292" s="129" t="n"/>
      <c r="CT292" s="129" t="n"/>
      <c r="CU292" s="129" t="n"/>
      <c r="CV292" s="129" t="n"/>
      <c r="CW292" s="129" t="n"/>
      <c r="CX292" s="129" t="n"/>
      <c r="CY292" s="129" t="n"/>
      <c r="CZ292" s="129" t="n"/>
      <c r="DA292" s="129" t="n"/>
      <c r="DB292" s="129" t="n"/>
      <c r="DC292" s="129" t="n"/>
      <c r="DD292" s="129" t="n"/>
      <c r="DE292" s="129" t="n"/>
      <c r="DF292" s="129" t="n"/>
      <c r="DG292" s="129" t="n"/>
      <c r="DH292" s="129" t="n"/>
      <c r="DI292" s="129" t="n"/>
      <c r="DJ292" s="129" t="n"/>
      <c r="DK292" s="129" t="n"/>
      <c r="DL292" s="129" t="n"/>
      <c r="DM292" s="129" t="n"/>
      <c r="DN292" s="129" t="n"/>
      <c r="DO292" s="129" t="n"/>
      <c r="DP292" s="129" t="n"/>
      <c r="DQ292" s="129" t="n"/>
      <c r="DR292" s="129" t="n"/>
      <c r="DS292" s="129" t="n"/>
      <c r="DT292" s="129" t="n"/>
      <c r="DU292" s="129" t="n"/>
      <c r="DV292" s="129" t="n"/>
      <c r="DW292" s="129" t="n"/>
      <c r="DX292" s="129" t="n"/>
      <c r="DY292" s="129" t="n"/>
      <c r="DZ292" s="129" t="n"/>
      <c r="EA292" s="129" t="n"/>
      <c r="EB292" s="129" t="n"/>
      <c r="EC292" s="129" t="n"/>
      <c r="ED292" s="129" t="n"/>
      <c r="EE292" s="129" t="n"/>
      <c r="EF292" s="129" t="n"/>
      <c r="EG292" s="129" t="n"/>
      <c r="EH292" s="129" t="n"/>
      <c r="EI292" s="129" t="n"/>
      <c r="EJ292" s="129" t="n"/>
      <c r="EK292" s="129" t="n"/>
      <c r="EL292" s="129" t="n"/>
      <c r="EM292" s="129" t="n"/>
      <c r="EN292" s="129" t="n"/>
      <c r="EO292" s="129" t="n"/>
      <c r="EP292" s="129" t="n"/>
      <c r="EQ292" s="129" t="n"/>
      <c r="ER292" s="129" t="n"/>
      <c r="ES292" s="129" t="n"/>
      <c r="ET292" s="129" t="n"/>
      <c r="EU292" s="129" t="n"/>
      <c r="EV292" s="129" t="n"/>
      <c r="EW292" s="129" t="n"/>
      <c r="EX292" s="129" t="n"/>
      <c r="EY292" s="129" t="n"/>
      <c r="EZ292" s="129" t="n"/>
      <c r="FA292" s="129" t="n"/>
      <c r="FB292" s="129" t="n"/>
      <c r="FC292" s="129" t="n"/>
      <c r="FD292" s="129" t="n"/>
      <c r="FE292" s="129" t="n"/>
      <c r="FF292" s="129" t="n"/>
      <c r="FG292" s="129" t="n"/>
      <c r="FH292" s="129" t="n"/>
      <c r="FI292" s="129" t="n"/>
      <c r="FJ292" s="129" t="n"/>
      <c r="FK292" s="129" t="n"/>
      <c r="FL292" s="129" t="n"/>
      <c r="FM292" s="129" t="n"/>
    </row>
    <row r="293" s="135">
      <c r="A293" s="52" t="n">
        <v>41882</v>
      </c>
      <c r="B293" s="30" t="n">
        <v>0.06900000000000001</v>
      </c>
      <c r="C293" s="29" t="n">
        <v>50.2</v>
      </c>
      <c r="D293" s="129" t="n"/>
      <c r="E293" s="129" t="n"/>
      <c r="F293" s="129" t="n"/>
      <c r="G293" s="129" t="n"/>
      <c r="H293" s="129" t="n"/>
      <c r="I293" s="129" t="n"/>
      <c r="J293" s="129" t="n"/>
      <c r="K293" s="129" t="n"/>
      <c r="L293" s="129" t="n"/>
      <c r="M293" s="129" t="n"/>
      <c r="N293" s="129" t="n"/>
      <c r="O293" s="129" t="n"/>
      <c r="P293" s="129" t="n"/>
      <c r="Q293" s="129" t="n"/>
      <c r="R293" s="129" t="n"/>
      <c r="S293" s="129" t="n"/>
      <c r="T293" s="129" t="n"/>
      <c r="U293" s="129" t="n"/>
      <c r="V293" s="129" t="n"/>
      <c r="W293" s="129" t="n"/>
      <c r="X293" s="129" t="n"/>
      <c r="Y293" s="129" t="n"/>
      <c r="Z293" s="129" t="n"/>
      <c r="AA293" s="129" t="n"/>
      <c r="AB293" s="129" t="n"/>
      <c r="AC293" s="129" t="n"/>
      <c r="AD293" s="129" t="n"/>
      <c r="AE293" s="129" t="n"/>
      <c r="AF293" s="129" t="n"/>
      <c r="AG293" s="129" t="n"/>
      <c r="AH293" s="129" t="n"/>
      <c r="AI293" s="129" t="n"/>
      <c r="AJ293" s="129" t="n"/>
      <c r="AK293" s="129" t="n"/>
      <c r="AL293" s="129" t="n"/>
      <c r="AM293" s="129" t="n"/>
      <c r="AN293" s="129" t="n"/>
      <c r="AO293" s="129" t="n"/>
      <c r="AP293" s="129" t="n"/>
      <c r="AQ293" s="129" t="n"/>
      <c r="AR293" s="129" t="n"/>
      <c r="AS293" s="129" t="n"/>
      <c r="AT293" s="129" t="n"/>
      <c r="AU293" s="129" t="n"/>
      <c r="AV293" s="129" t="n"/>
      <c r="AW293" s="129" t="n"/>
      <c r="AX293" s="129" t="n"/>
      <c r="AY293" s="129" t="n"/>
      <c r="AZ293" s="129" t="n"/>
      <c r="BA293" s="129" t="n"/>
      <c r="BB293" s="129" t="n"/>
      <c r="BC293" s="129" t="n"/>
      <c r="BD293" s="129" t="n"/>
      <c r="BE293" s="129" t="n"/>
      <c r="BF293" s="129" t="n"/>
      <c r="BG293" s="129" t="n"/>
      <c r="BH293" s="129" t="n"/>
      <c r="BI293" s="129" t="n"/>
      <c r="BJ293" s="129" t="n"/>
      <c r="BK293" s="129" t="n"/>
      <c r="BL293" s="129" t="n"/>
      <c r="BM293" s="129" t="n"/>
      <c r="BN293" s="129" t="n"/>
      <c r="BO293" s="129" t="n"/>
      <c r="BP293" s="129" t="n"/>
      <c r="BQ293" s="129" t="n"/>
      <c r="BR293" s="129" t="n"/>
      <c r="BS293" s="129" t="n"/>
      <c r="BT293" s="129" t="n"/>
      <c r="BU293" s="129" t="n"/>
      <c r="BV293" s="129" t="n"/>
      <c r="BW293" s="129" t="n"/>
      <c r="BX293" s="129" t="n"/>
      <c r="BY293" s="129" t="n"/>
      <c r="BZ293" s="129" t="n"/>
      <c r="CA293" s="129" t="n"/>
      <c r="CB293" s="129" t="n"/>
      <c r="CC293" s="129" t="n"/>
      <c r="CD293" s="129" t="n"/>
      <c r="CE293" s="129" t="n"/>
      <c r="CF293" s="129" t="n"/>
      <c r="CG293" s="129" t="n"/>
      <c r="CH293" s="129" t="n"/>
      <c r="CI293" s="129" t="n"/>
      <c r="CJ293" s="129" t="n"/>
      <c r="CK293" s="129" t="n"/>
      <c r="CL293" s="129" t="n"/>
      <c r="CM293" s="129" t="n"/>
      <c r="CN293" s="129" t="n"/>
      <c r="CO293" s="129" t="n"/>
      <c r="CP293" s="129" t="n"/>
      <c r="CQ293" s="129" t="n"/>
      <c r="CR293" s="129" t="n"/>
      <c r="CS293" s="129" t="n"/>
      <c r="CT293" s="129" t="n"/>
      <c r="CU293" s="129" t="n"/>
      <c r="CV293" s="129" t="n"/>
      <c r="CW293" s="129" t="n"/>
      <c r="CX293" s="129" t="n"/>
      <c r="CY293" s="129" t="n"/>
      <c r="CZ293" s="129" t="n"/>
      <c r="DA293" s="129" t="n"/>
      <c r="DB293" s="129" t="n"/>
      <c r="DC293" s="129" t="n"/>
      <c r="DD293" s="129" t="n"/>
      <c r="DE293" s="129" t="n"/>
      <c r="DF293" s="129" t="n"/>
      <c r="DG293" s="129" t="n"/>
      <c r="DH293" s="129" t="n"/>
      <c r="DI293" s="129" t="n"/>
      <c r="DJ293" s="129" t="n"/>
      <c r="DK293" s="129" t="n"/>
      <c r="DL293" s="129" t="n"/>
      <c r="DM293" s="129" t="n"/>
      <c r="DN293" s="129" t="n"/>
      <c r="DO293" s="129" t="n"/>
      <c r="DP293" s="129" t="n"/>
      <c r="DQ293" s="129" t="n"/>
      <c r="DR293" s="129" t="n"/>
      <c r="DS293" s="129" t="n"/>
      <c r="DT293" s="129" t="n"/>
      <c r="DU293" s="129" t="n"/>
      <c r="DV293" s="129" t="n"/>
      <c r="DW293" s="129" t="n"/>
      <c r="DX293" s="129" t="n"/>
      <c r="DY293" s="129" t="n"/>
      <c r="DZ293" s="129" t="n"/>
      <c r="EA293" s="129" t="n"/>
      <c r="EB293" s="129" t="n"/>
      <c r="EC293" s="129" t="n"/>
      <c r="ED293" s="129" t="n"/>
      <c r="EE293" s="129" t="n"/>
      <c r="EF293" s="129" t="n"/>
      <c r="EG293" s="129" t="n"/>
      <c r="EH293" s="129" t="n"/>
      <c r="EI293" s="129" t="n"/>
      <c r="EJ293" s="129" t="n"/>
      <c r="EK293" s="129" t="n"/>
      <c r="EL293" s="129" t="n"/>
      <c r="EM293" s="129" t="n"/>
      <c r="EN293" s="129" t="n"/>
      <c r="EO293" s="129" t="n"/>
      <c r="EP293" s="129" t="n"/>
      <c r="EQ293" s="129" t="n"/>
      <c r="ER293" s="129" t="n"/>
      <c r="ES293" s="129" t="n"/>
      <c r="ET293" s="129" t="n"/>
      <c r="EU293" s="129" t="n"/>
      <c r="EV293" s="129" t="n"/>
      <c r="EW293" s="129" t="n"/>
      <c r="EX293" s="129" t="n"/>
      <c r="EY293" s="129" t="n"/>
      <c r="EZ293" s="129" t="n"/>
      <c r="FA293" s="129" t="n"/>
      <c r="FB293" s="129" t="n"/>
      <c r="FC293" s="129" t="n"/>
      <c r="FD293" s="129" t="n"/>
      <c r="FE293" s="129" t="n"/>
      <c r="FF293" s="129" t="n"/>
      <c r="FG293" s="129" t="n"/>
      <c r="FH293" s="129" t="n"/>
      <c r="FI293" s="129" t="n"/>
      <c r="FJ293" s="129" t="n"/>
      <c r="FK293" s="129" t="n"/>
      <c r="FL293" s="129" t="n"/>
      <c r="FM293" s="129" t="n"/>
    </row>
    <row r="294" s="135">
      <c r="A294" s="53" t="n">
        <v>41912</v>
      </c>
      <c r="B294" s="54" t="n">
        <v>0.08</v>
      </c>
      <c r="C294" s="29" t="n">
        <v>51.1</v>
      </c>
      <c r="D294" s="129" t="n"/>
      <c r="E294" s="129" t="n"/>
      <c r="F294" s="129" t="n"/>
      <c r="G294" s="129" t="n"/>
      <c r="H294" s="129" t="n"/>
      <c r="I294" s="129" t="n"/>
      <c r="J294" s="129" t="n"/>
      <c r="K294" s="129" t="n"/>
      <c r="L294" s="129" t="n"/>
      <c r="M294" s="129" t="n"/>
      <c r="N294" s="129" t="n"/>
      <c r="O294" s="129" t="n"/>
      <c r="P294" s="129" t="n"/>
      <c r="Q294" s="129" t="n"/>
      <c r="R294" s="129" t="n"/>
      <c r="S294" s="129" t="n"/>
      <c r="T294" s="129" t="n"/>
      <c r="U294" s="129" t="n"/>
      <c r="V294" s="129" t="n"/>
      <c r="W294" s="129" t="n"/>
      <c r="X294" s="129" t="n"/>
      <c r="Y294" s="129" t="n"/>
      <c r="Z294" s="129" t="n"/>
      <c r="AA294" s="129" t="n"/>
      <c r="AB294" s="129" t="n"/>
      <c r="AC294" s="129" t="n"/>
      <c r="AD294" s="129" t="n"/>
      <c r="AE294" s="129" t="n"/>
      <c r="AF294" s="129" t="n"/>
      <c r="AG294" s="129" t="n"/>
      <c r="AH294" s="129" t="n"/>
      <c r="AI294" s="129" t="n"/>
      <c r="AJ294" s="129" t="n"/>
      <c r="AK294" s="129" t="n"/>
      <c r="AL294" s="129" t="n"/>
      <c r="AM294" s="129" t="n"/>
      <c r="AN294" s="129" t="n"/>
      <c r="AO294" s="129" t="n"/>
      <c r="AP294" s="129" t="n"/>
      <c r="AQ294" s="129" t="n"/>
      <c r="AR294" s="129" t="n"/>
      <c r="AS294" s="129" t="n"/>
      <c r="AT294" s="129" t="n"/>
      <c r="AU294" s="129" t="n"/>
      <c r="AV294" s="129" t="n"/>
      <c r="AW294" s="129" t="n"/>
      <c r="AX294" s="129" t="n"/>
      <c r="AY294" s="129" t="n"/>
      <c r="AZ294" s="129" t="n"/>
      <c r="BA294" s="129" t="n"/>
      <c r="BB294" s="129" t="n"/>
      <c r="BC294" s="129" t="n"/>
      <c r="BD294" s="129" t="n"/>
      <c r="BE294" s="129" t="n"/>
      <c r="BF294" s="129" t="n"/>
      <c r="BG294" s="129" t="n"/>
      <c r="BH294" s="129" t="n"/>
      <c r="BI294" s="129" t="n"/>
      <c r="BJ294" s="129" t="n"/>
      <c r="BK294" s="129" t="n"/>
      <c r="BL294" s="129" t="n"/>
      <c r="BM294" s="129" t="n"/>
      <c r="BN294" s="129" t="n"/>
      <c r="BO294" s="129" t="n"/>
      <c r="BP294" s="129" t="n"/>
      <c r="BQ294" s="129" t="n"/>
      <c r="BR294" s="129" t="n"/>
      <c r="BS294" s="129" t="n"/>
      <c r="BT294" s="129" t="n"/>
      <c r="BU294" s="129" t="n"/>
      <c r="BV294" s="129" t="n"/>
      <c r="BW294" s="129" t="n"/>
      <c r="BX294" s="129" t="n"/>
      <c r="BY294" s="129" t="n"/>
      <c r="BZ294" s="129" t="n"/>
      <c r="CA294" s="129" t="n"/>
      <c r="CB294" s="129" t="n"/>
      <c r="CC294" s="129" t="n"/>
      <c r="CD294" s="129" t="n"/>
      <c r="CE294" s="129" t="n"/>
      <c r="CF294" s="129" t="n"/>
      <c r="CG294" s="129" t="n"/>
      <c r="CH294" s="129" t="n"/>
      <c r="CI294" s="129" t="n"/>
      <c r="CJ294" s="129" t="n"/>
      <c r="CK294" s="129" t="n"/>
      <c r="CL294" s="129" t="n"/>
      <c r="CM294" s="129" t="n"/>
      <c r="CN294" s="129" t="n"/>
      <c r="CO294" s="129" t="n"/>
      <c r="CP294" s="129" t="n"/>
      <c r="CQ294" s="129" t="n"/>
      <c r="CR294" s="129" t="n"/>
      <c r="CS294" s="129" t="n"/>
      <c r="CT294" s="129" t="n"/>
      <c r="CU294" s="129" t="n"/>
      <c r="CV294" s="129" t="n"/>
      <c r="CW294" s="129" t="n"/>
      <c r="CX294" s="129" t="n"/>
      <c r="CY294" s="129" t="n"/>
      <c r="CZ294" s="129" t="n"/>
      <c r="DA294" s="129" t="n"/>
      <c r="DB294" s="129" t="n"/>
      <c r="DC294" s="129" t="n"/>
      <c r="DD294" s="129" t="n"/>
      <c r="DE294" s="129" t="n"/>
      <c r="DF294" s="129" t="n"/>
      <c r="DG294" s="129" t="n"/>
      <c r="DH294" s="129" t="n"/>
      <c r="DI294" s="129" t="n"/>
      <c r="DJ294" s="129" t="n"/>
      <c r="DK294" s="129" t="n"/>
      <c r="DL294" s="129" t="n"/>
      <c r="DM294" s="129" t="n"/>
      <c r="DN294" s="129" t="n"/>
      <c r="DO294" s="129" t="n"/>
      <c r="DP294" s="129" t="n"/>
      <c r="DQ294" s="129" t="n"/>
      <c r="DR294" s="129" t="n"/>
      <c r="DS294" s="129" t="n"/>
      <c r="DT294" s="129" t="n"/>
      <c r="DU294" s="129" t="n"/>
      <c r="DV294" s="129" t="n"/>
      <c r="DW294" s="129" t="n"/>
      <c r="DX294" s="129" t="n"/>
      <c r="DY294" s="129" t="n"/>
      <c r="DZ294" s="129" t="n"/>
      <c r="EA294" s="129" t="n"/>
      <c r="EB294" s="129" t="n"/>
      <c r="EC294" s="129" t="n"/>
      <c r="ED294" s="129" t="n"/>
      <c r="EE294" s="129" t="n"/>
      <c r="EF294" s="129" t="n"/>
      <c r="EG294" s="129" t="n"/>
      <c r="EH294" s="129" t="n"/>
      <c r="EI294" s="129" t="n"/>
      <c r="EJ294" s="129" t="n"/>
      <c r="EK294" s="129" t="n"/>
      <c r="EL294" s="129" t="n"/>
      <c r="EM294" s="129" t="n"/>
      <c r="EN294" s="129" t="n"/>
      <c r="EO294" s="129" t="n"/>
      <c r="EP294" s="129" t="n"/>
      <c r="EQ294" s="129" t="n"/>
      <c r="ER294" s="129" t="n"/>
      <c r="ES294" s="129" t="n"/>
      <c r="ET294" s="129" t="n"/>
      <c r="EU294" s="129" t="n"/>
      <c r="EV294" s="129" t="n"/>
      <c r="EW294" s="129" t="n"/>
      <c r="EX294" s="129" t="n"/>
      <c r="EY294" s="129" t="n"/>
      <c r="EZ294" s="129" t="n"/>
      <c r="FA294" s="129" t="n"/>
      <c r="FB294" s="129" t="n"/>
      <c r="FC294" s="129" t="n"/>
      <c r="FD294" s="129" t="n"/>
      <c r="FE294" s="129" t="n"/>
      <c r="FF294" s="129" t="n"/>
      <c r="FG294" s="129" t="n"/>
      <c r="FH294" s="129" t="n"/>
      <c r="FI294" s="129" t="n"/>
      <c r="FJ294" s="129" t="n"/>
      <c r="FK294" s="129" t="n"/>
      <c r="FL294" s="129" t="n"/>
      <c r="FM294" s="129" t="n"/>
    </row>
    <row r="295" s="135">
      <c r="A295" s="52" t="n">
        <v>41943</v>
      </c>
      <c r="B295" s="30" t="n">
        <v>0.077</v>
      </c>
      <c r="C295" s="29" t="n">
        <v>50.8</v>
      </c>
      <c r="D295" s="129" t="n"/>
      <c r="E295" s="129" t="n"/>
      <c r="F295" s="129" t="n"/>
      <c r="G295" s="129" t="n"/>
      <c r="H295" s="129" t="n"/>
      <c r="I295" s="129" t="n"/>
      <c r="J295" s="129" t="n"/>
      <c r="K295" s="129" t="n"/>
      <c r="L295" s="129" t="n"/>
      <c r="M295" s="129" t="n"/>
      <c r="N295" s="129" t="n"/>
      <c r="O295" s="129" t="n"/>
      <c r="P295" s="129" t="n"/>
      <c r="Q295" s="129" t="n"/>
      <c r="R295" s="129" t="n"/>
      <c r="S295" s="129" t="n"/>
      <c r="T295" s="129" t="n"/>
      <c r="U295" s="129" t="n"/>
      <c r="V295" s="129" t="n"/>
      <c r="W295" s="129" t="n"/>
      <c r="X295" s="129" t="n"/>
      <c r="Y295" s="129" t="n"/>
      <c r="Z295" s="129" t="n"/>
      <c r="AA295" s="129" t="n"/>
      <c r="AB295" s="129" t="n"/>
      <c r="AC295" s="129" t="n"/>
      <c r="AD295" s="129" t="n"/>
      <c r="AE295" s="129" t="n"/>
      <c r="AF295" s="129" t="n"/>
      <c r="AG295" s="129" t="n"/>
      <c r="AH295" s="129" t="n"/>
      <c r="AI295" s="129" t="n"/>
      <c r="AJ295" s="129" t="n"/>
      <c r="AK295" s="129" t="n"/>
      <c r="AL295" s="129" t="n"/>
      <c r="AM295" s="129" t="n"/>
      <c r="AN295" s="129" t="n"/>
      <c r="AO295" s="129" t="n"/>
      <c r="AP295" s="129" t="n"/>
      <c r="AQ295" s="129" t="n"/>
      <c r="AR295" s="129" t="n"/>
      <c r="AS295" s="129" t="n"/>
      <c r="AT295" s="129" t="n"/>
      <c r="AU295" s="129" t="n"/>
      <c r="AV295" s="129" t="n"/>
      <c r="AW295" s="129" t="n"/>
      <c r="AX295" s="129" t="n"/>
      <c r="AY295" s="129" t="n"/>
      <c r="AZ295" s="129" t="n"/>
      <c r="BA295" s="129" t="n"/>
      <c r="BB295" s="129" t="n"/>
      <c r="BC295" s="129" t="n"/>
      <c r="BD295" s="129" t="n"/>
      <c r="BE295" s="129" t="n"/>
      <c r="BF295" s="129" t="n"/>
      <c r="BG295" s="129" t="n"/>
      <c r="BH295" s="129" t="n"/>
      <c r="BI295" s="129" t="n"/>
      <c r="BJ295" s="129" t="n"/>
      <c r="BK295" s="129" t="n"/>
      <c r="BL295" s="129" t="n"/>
      <c r="BM295" s="129" t="n"/>
      <c r="BN295" s="129" t="n"/>
      <c r="BO295" s="129" t="n"/>
      <c r="BP295" s="129" t="n"/>
      <c r="BQ295" s="129" t="n"/>
      <c r="BR295" s="129" t="n"/>
      <c r="BS295" s="129" t="n"/>
      <c r="BT295" s="129" t="n"/>
      <c r="BU295" s="129" t="n"/>
      <c r="BV295" s="129" t="n"/>
      <c r="BW295" s="129" t="n"/>
      <c r="BX295" s="129" t="n"/>
      <c r="BY295" s="129" t="n"/>
      <c r="BZ295" s="129" t="n"/>
      <c r="CA295" s="129" t="n"/>
      <c r="CB295" s="129" t="n"/>
      <c r="CC295" s="129" t="n"/>
      <c r="CD295" s="129" t="n"/>
      <c r="CE295" s="129" t="n"/>
      <c r="CF295" s="129" t="n"/>
      <c r="CG295" s="129" t="n"/>
      <c r="CH295" s="129" t="n"/>
      <c r="CI295" s="129" t="n"/>
      <c r="CJ295" s="129" t="n"/>
      <c r="CK295" s="129" t="n"/>
      <c r="CL295" s="129" t="n"/>
      <c r="CM295" s="129" t="n"/>
      <c r="CN295" s="129" t="n"/>
      <c r="CO295" s="129" t="n"/>
      <c r="CP295" s="129" t="n"/>
      <c r="CQ295" s="129" t="n"/>
      <c r="CR295" s="129" t="n"/>
      <c r="CS295" s="129" t="n"/>
      <c r="CT295" s="129" t="n"/>
      <c r="CU295" s="129" t="n"/>
      <c r="CV295" s="129" t="n"/>
      <c r="CW295" s="129" t="n"/>
      <c r="CX295" s="129" t="n"/>
      <c r="CY295" s="129" t="n"/>
      <c r="CZ295" s="129" t="n"/>
      <c r="DA295" s="129" t="n"/>
      <c r="DB295" s="129" t="n"/>
      <c r="DC295" s="129" t="n"/>
      <c r="DD295" s="129" t="n"/>
      <c r="DE295" s="129" t="n"/>
      <c r="DF295" s="129" t="n"/>
      <c r="DG295" s="129" t="n"/>
      <c r="DH295" s="129" t="n"/>
      <c r="DI295" s="129" t="n"/>
      <c r="DJ295" s="129" t="n"/>
      <c r="DK295" s="129" t="n"/>
      <c r="DL295" s="129" t="n"/>
      <c r="DM295" s="129" t="n"/>
      <c r="DN295" s="129" t="n"/>
      <c r="DO295" s="129" t="n"/>
      <c r="DP295" s="129" t="n"/>
      <c r="DQ295" s="129" t="n"/>
      <c r="DR295" s="129" t="n"/>
      <c r="DS295" s="129" t="n"/>
      <c r="DT295" s="129" t="n"/>
      <c r="DU295" s="129" t="n"/>
      <c r="DV295" s="129" t="n"/>
      <c r="DW295" s="129" t="n"/>
      <c r="DX295" s="129" t="n"/>
      <c r="DY295" s="129" t="n"/>
      <c r="DZ295" s="129" t="n"/>
      <c r="EA295" s="129" t="n"/>
      <c r="EB295" s="129" t="n"/>
      <c r="EC295" s="129" t="n"/>
      <c r="ED295" s="129" t="n"/>
      <c r="EE295" s="129" t="n"/>
      <c r="EF295" s="129" t="n"/>
      <c r="EG295" s="129" t="n"/>
      <c r="EH295" s="129" t="n"/>
      <c r="EI295" s="129" t="n"/>
      <c r="EJ295" s="129" t="n"/>
      <c r="EK295" s="129" t="n"/>
      <c r="EL295" s="129" t="n"/>
      <c r="EM295" s="129" t="n"/>
      <c r="EN295" s="129" t="n"/>
      <c r="EO295" s="129" t="n"/>
      <c r="EP295" s="129" t="n"/>
      <c r="EQ295" s="129" t="n"/>
      <c r="ER295" s="129" t="n"/>
      <c r="ES295" s="129" t="n"/>
      <c r="ET295" s="129" t="n"/>
      <c r="EU295" s="129" t="n"/>
      <c r="EV295" s="129" t="n"/>
      <c r="EW295" s="129" t="n"/>
      <c r="EX295" s="129" t="n"/>
      <c r="EY295" s="129" t="n"/>
      <c r="EZ295" s="129" t="n"/>
      <c r="FA295" s="129" t="n"/>
      <c r="FB295" s="129" t="n"/>
      <c r="FC295" s="129" t="n"/>
      <c r="FD295" s="129" t="n"/>
      <c r="FE295" s="129" t="n"/>
      <c r="FF295" s="129" t="n"/>
      <c r="FG295" s="129" t="n"/>
      <c r="FH295" s="129" t="n"/>
      <c r="FI295" s="129" t="n"/>
      <c r="FJ295" s="129" t="n"/>
      <c r="FK295" s="129" t="n"/>
      <c r="FL295" s="129" t="n"/>
      <c r="FM295" s="129" t="n"/>
    </row>
    <row r="296" s="135">
      <c r="A296" s="53" t="n">
        <v>41973</v>
      </c>
      <c r="B296" s="54" t="n">
        <v>0.07199999999999999</v>
      </c>
      <c r="C296" s="29" t="n">
        <v>50.3</v>
      </c>
      <c r="D296" s="129" t="n"/>
      <c r="E296" s="129" t="n"/>
      <c r="F296" s="129" t="n"/>
      <c r="G296" s="129" t="n"/>
      <c r="H296" s="129" t="n"/>
      <c r="I296" s="129" t="n"/>
      <c r="J296" s="129" t="n"/>
      <c r="K296" s="129" t="n"/>
      <c r="L296" s="129" t="n"/>
      <c r="M296" s="129" t="n"/>
      <c r="N296" s="129" t="n"/>
      <c r="O296" s="129" t="n"/>
      <c r="P296" s="129" t="n"/>
      <c r="Q296" s="129" t="n"/>
      <c r="R296" s="129" t="n"/>
      <c r="S296" s="129" t="n"/>
      <c r="T296" s="129" t="n"/>
      <c r="U296" s="129" t="n"/>
      <c r="V296" s="129" t="n"/>
      <c r="W296" s="129" t="n"/>
      <c r="X296" s="129" t="n"/>
      <c r="Y296" s="129" t="n"/>
      <c r="Z296" s="129" t="n"/>
      <c r="AA296" s="129" t="n"/>
      <c r="AB296" s="129" t="n"/>
      <c r="AC296" s="129" t="n"/>
      <c r="AD296" s="129" t="n"/>
      <c r="AE296" s="129" t="n"/>
      <c r="AF296" s="129" t="n"/>
      <c r="AG296" s="129" t="n"/>
      <c r="AH296" s="129" t="n"/>
      <c r="AI296" s="129" t="n"/>
      <c r="AJ296" s="129" t="n"/>
      <c r="AK296" s="129" t="n"/>
      <c r="AL296" s="129" t="n"/>
      <c r="AM296" s="129" t="n"/>
      <c r="AN296" s="129" t="n"/>
      <c r="AO296" s="129" t="n"/>
      <c r="AP296" s="129" t="n"/>
      <c r="AQ296" s="129" t="n"/>
      <c r="AR296" s="129" t="n"/>
      <c r="AS296" s="129" t="n"/>
      <c r="AT296" s="129" t="n"/>
      <c r="AU296" s="129" t="n"/>
      <c r="AV296" s="129" t="n"/>
      <c r="AW296" s="129" t="n"/>
      <c r="AX296" s="129" t="n"/>
      <c r="AY296" s="129" t="n"/>
      <c r="AZ296" s="129" t="n"/>
      <c r="BA296" s="129" t="n"/>
      <c r="BB296" s="129" t="n"/>
      <c r="BC296" s="129" t="n"/>
      <c r="BD296" s="129" t="n"/>
      <c r="BE296" s="129" t="n"/>
      <c r="BF296" s="129" t="n"/>
      <c r="BG296" s="129" t="n"/>
      <c r="BH296" s="129" t="n"/>
      <c r="BI296" s="129" t="n"/>
      <c r="BJ296" s="129" t="n"/>
      <c r="BK296" s="129" t="n"/>
      <c r="BL296" s="129" t="n"/>
      <c r="BM296" s="129" t="n"/>
      <c r="BN296" s="129" t="n"/>
      <c r="BO296" s="129" t="n"/>
      <c r="BP296" s="129" t="n"/>
      <c r="BQ296" s="129" t="n"/>
      <c r="BR296" s="129" t="n"/>
      <c r="BS296" s="129" t="n"/>
      <c r="BT296" s="129" t="n"/>
      <c r="BU296" s="129" t="n"/>
      <c r="BV296" s="129" t="n"/>
      <c r="BW296" s="129" t="n"/>
      <c r="BX296" s="129" t="n"/>
      <c r="BY296" s="129" t="n"/>
      <c r="BZ296" s="129" t="n"/>
      <c r="CA296" s="129" t="n"/>
      <c r="CB296" s="129" t="n"/>
      <c r="CC296" s="129" t="n"/>
      <c r="CD296" s="129" t="n"/>
      <c r="CE296" s="129" t="n"/>
      <c r="CF296" s="129" t="n"/>
      <c r="CG296" s="129" t="n"/>
      <c r="CH296" s="129" t="n"/>
      <c r="CI296" s="129" t="n"/>
      <c r="CJ296" s="129" t="n"/>
      <c r="CK296" s="129" t="n"/>
      <c r="CL296" s="129" t="n"/>
      <c r="CM296" s="129" t="n"/>
      <c r="CN296" s="129" t="n"/>
      <c r="CO296" s="129" t="n"/>
      <c r="CP296" s="129" t="n"/>
      <c r="CQ296" s="129" t="n"/>
      <c r="CR296" s="129" t="n"/>
      <c r="CS296" s="129" t="n"/>
      <c r="CT296" s="129" t="n"/>
      <c r="CU296" s="129" t="n"/>
      <c r="CV296" s="129" t="n"/>
      <c r="CW296" s="129" t="n"/>
      <c r="CX296" s="129" t="n"/>
      <c r="CY296" s="129" t="n"/>
      <c r="CZ296" s="129" t="n"/>
      <c r="DA296" s="129" t="n"/>
      <c r="DB296" s="129" t="n"/>
      <c r="DC296" s="129" t="n"/>
      <c r="DD296" s="129" t="n"/>
      <c r="DE296" s="129" t="n"/>
      <c r="DF296" s="129" t="n"/>
      <c r="DG296" s="129" t="n"/>
      <c r="DH296" s="129" t="n"/>
      <c r="DI296" s="129" t="n"/>
      <c r="DJ296" s="129" t="n"/>
      <c r="DK296" s="129" t="n"/>
      <c r="DL296" s="129" t="n"/>
      <c r="DM296" s="129" t="n"/>
      <c r="DN296" s="129" t="n"/>
      <c r="DO296" s="129" t="n"/>
      <c r="DP296" s="129" t="n"/>
      <c r="DQ296" s="129" t="n"/>
      <c r="DR296" s="129" t="n"/>
      <c r="DS296" s="129" t="n"/>
      <c r="DT296" s="129" t="n"/>
      <c r="DU296" s="129" t="n"/>
      <c r="DV296" s="129" t="n"/>
      <c r="DW296" s="129" t="n"/>
      <c r="DX296" s="129" t="n"/>
      <c r="DY296" s="129" t="n"/>
      <c r="DZ296" s="129" t="n"/>
      <c r="EA296" s="129" t="n"/>
      <c r="EB296" s="129" t="n"/>
      <c r="EC296" s="129" t="n"/>
      <c r="ED296" s="129" t="n"/>
      <c r="EE296" s="129" t="n"/>
      <c r="EF296" s="129" t="n"/>
      <c r="EG296" s="129" t="n"/>
      <c r="EH296" s="129" t="n"/>
      <c r="EI296" s="129" t="n"/>
      <c r="EJ296" s="129" t="n"/>
      <c r="EK296" s="129" t="n"/>
      <c r="EL296" s="129" t="n"/>
      <c r="EM296" s="129" t="n"/>
      <c r="EN296" s="129" t="n"/>
      <c r="EO296" s="129" t="n"/>
      <c r="EP296" s="129" t="n"/>
      <c r="EQ296" s="129" t="n"/>
      <c r="ER296" s="129" t="n"/>
      <c r="ES296" s="129" t="n"/>
      <c r="ET296" s="129" t="n"/>
      <c r="EU296" s="129" t="n"/>
      <c r="EV296" s="129" t="n"/>
      <c r="EW296" s="129" t="n"/>
      <c r="EX296" s="129" t="n"/>
      <c r="EY296" s="129" t="n"/>
      <c r="EZ296" s="129" t="n"/>
      <c r="FA296" s="129" t="n"/>
      <c r="FB296" s="129" t="n"/>
      <c r="FC296" s="129" t="n"/>
      <c r="FD296" s="129" t="n"/>
      <c r="FE296" s="129" t="n"/>
      <c r="FF296" s="129" t="n"/>
      <c r="FG296" s="129" t="n"/>
      <c r="FH296" s="129" t="n"/>
      <c r="FI296" s="129" t="n"/>
      <c r="FJ296" s="129" t="n"/>
      <c r="FK296" s="129" t="n"/>
      <c r="FL296" s="129" t="n"/>
      <c r="FM296" s="129" t="n"/>
    </row>
    <row r="297" s="135">
      <c r="A297" s="52" t="n">
        <v>42004</v>
      </c>
      <c r="B297" s="30" t="n">
        <v>0.079</v>
      </c>
      <c r="C297" s="29" t="n">
        <v>50.1</v>
      </c>
      <c r="D297" s="129" t="n"/>
      <c r="E297" s="129" t="n"/>
      <c r="F297" s="129" t="n"/>
      <c r="G297" s="129" t="n"/>
      <c r="H297" s="129" t="n"/>
      <c r="I297" s="129" t="n"/>
      <c r="J297" s="129" t="n"/>
      <c r="K297" s="129" t="n"/>
      <c r="L297" s="129" t="n"/>
      <c r="M297" s="129" t="n"/>
      <c r="N297" s="129" t="n"/>
      <c r="O297" s="129" t="n"/>
      <c r="P297" s="129" t="n"/>
      <c r="Q297" s="129" t="n"/>
      <c r="R297" s="129" t="n"/>
      <c r="S297" s="129" t="n"/>
      <c r="T297" s="129" t="n"/>
      <c r="U297" s="129" t="n"/>
      <c r="V297" s="129" t="n"/>
      <c r="W297" s="129" t="n"/>
      <c r="X297" s="129" t="n"/>
      <c r="Y297" s="129" t="n"/>
      <c r="Z297" s="129" t="n"/>
      <c r="AA297" s="129" t="n"/>
      <c r="AB297" s="129" t="n"/>
      <c r="AC297" s="129" t="n"/>
      <c r="AD297" s="129" t="n"/>
      <c r="AE297" s="129" t="n"/>
      <c r="AF297" s="129" t="n"/>
      <c r="AG297" s="129" t="n"/>
      <c r="AH297" s="129" t="n"/>
      <c r="AI297" s="129" t="n"/>
      <c r="AJ297" s="129" t="n"/>
      <c r="AK297" s="129" t="n"/>
      <c r="AL297" s="129" t="n"/>
      <c r="AM297" s="129" t="n"/>
      <c r="AN297" s="129" t="n"/>
      <c r="AO297" s="129" t="n"/>
      <c r="AP297" s="129" t="n"/>
      <c r="AQ297" s="129" t="n"/>
      <c r="AR297" s="129" t="n"/>
      <c r="AS297" s="129" t="n"/>
      <c r="AT297" s="129" t="n"/>
      <c r="AU297" s="129" t="n"/>
      <c r="AV297" s="129" t="n"/>
      <c r="AW297" s="129" t="n"/>
      <c r="AX297" s="129" t="n"/>
      <c r="AY297" s="129" t="n"/>
      <c r="AZ297" s="129" t="n"/>
      <c r="BA297" s="129" t="n"/>
      <c r="BB297" s="129" t="n"/>
      <c r="BC297" s="129" t="n"/>
      <c r="BD297" s="129" t="n"/>
      <c r="BE297" s="129" t="n"/>
      <c r="BF297" s="129" t="n"/>
      <c r="BG297" s="129" t="n"/>
      <c r="BH297" s="129" t="n"/>
      <c r="BI297" s="129" t="n"/>
      <c r="BJ297" s="129" t="n"/>
      <c r="BK297" s="129" t="n"/>
      <c r="BL297" s="129" t="n"/>
      <c r="BM297" s="129" t="n"/>
      <c r="BN297" s="129" t="n"/>
      <c r="BO297" s="129" t="n"/>
      <c r="BP297" s="129" t="n"/>
      <c r="BQ297" s="129" t="n"/>
      <c r="BR297" s="129" t="n"/>
      <c r="BS297" s="129" t="n"/>
      <c r="BT297" s="129" t="n"/>
      <c r="BU297" s="129" t="n"/>
      <c r="BV297" s="129" t="n"/>
      <c r="BW297" s="129" t="n"/>
      <c r="BX297" s="129" t="n"/>
      <c r="BY297" s="129" t="n"/>
      <c r="BZ297" s="129" t="n"/>
      <c r="CA297" s="129" t="n"/>
      <c r="CB297" s="129" t="n"/>
      <c r="CC297" s="129" t="n"/>
      <c r="CD297" s="129" t="n"/>
      <c r="CE297" s="129" t="n"/>
      <c r="CF297" s="129" t="n"/>
      <c r="CG297" s="129" t="n"/>
      <c r="CH297" s="129" t="n"/>
      <c r="CI297" s="129" t="n"/>
      <c r="CJ297" s="129" t="n"/>
      <c r="CK297" s="129" t="n"/>
      <c r="CL297" s="129" t="n"/>
      <c r="CM297" s="129" t="n"/>
      <c r="CN297" s="129" t="n"/>
      <c r="CO297" s="129" t="n"/>
      <c r="CP297" s="129" t="n"/>
      <c r="CQ297" s="129" t="n"/>
      <c r="CR297" s="129" t="n"/>
      <c r="CS297" s="129" t="n"/>
      <c r="CT297" s="129" t="n"/>
      <c r="CU297" s="129" t="n"/>
      <c r="CV297" s="129" t="n"/>
      <c r="CW297" s="129" t="n"/>
      <c r="CX297" s="129" t="n"/>
      <c r="CY297" s="129" t="n"/>
      <c r="CZ297" s="129" t="n"/>
      <c r="DA297" s="129" t="n"/>
      <c r="DB297" s="129" t="n"/>
      <c r="DC297" s="129" t="n"/>
      <c r="DD297" s="129" t="n"/>
      <c r="DE297" s="129" t="n"/>
      <c r="DF297" s="129" t="n"/>
      <c r="DG297" s="129" t="n"/>
      <c r="DH297" s="129" t="n"/>
      <c r="DI297" s="129" t="n"/>
      <c r="DJ297" s="129" t="n"/>
      <c r="DK297" s="129" t="n"/>
      <c r="DL297" s="129" t="n"/>
      <c r="DM297" s="129" t="n"/>
      <c r="DN297" s="129" t="n"/>
      <c r="DO297" s="129" t="n"/>
      <c r="DP297" s="129" t="n"/>
      <c r="DQ297" s="129" t="n"/>
      <c r="DR297" s="129" t="n"/>
      <c r="DS297" s="129" t="n"/>
      <c r="DT297" s="129" t="n"/>
      <c r="DU297" s="129" t="n"/>
      <c r="DV297" s="129" t="n"/>
      <c r="DW297" s="129" t="n"/>
      <c r="DX297" s="129" t="n"/>
      <c r="DY297" s="129" t="n"/>
      <c r="DZ297" s="129" t="n"/>
      <c r="EA297" s="129" t="n"/>
      <c r="EB297" s="129" t="n"/>
      <c r="EC297" s="129" t="n"/>
      <c r="ED297" s="129" t="n"/>
      <c r="EE297" s="129" t="n"/>
      <c r="EF297" s="129" t="n"/>
      <c r="EG297" s="129" t="n"/>
      <c r="EH297" s="129" t="n"/>
      <c r="EI297" s="129" t="n"/>
      <c r="EJ297" s="129" t="n"/>
      <c r="EK297" s="129" t="n"/>
      <c r="EL297" s="129" t="n"/>
      <c r="EM297" s="129" t="n"/>
      <c r="EN297" s="129" t="n"/>
      <c r="EO297" s="129" t="n"/>
      <c r="EP297" s="129" t="n"/>
      <c r="EQ297" s="129" t="n"/>
      <c r="ER297" s="129" t="n"/>
      <c r="ES297" s="129" t="n"/>
      <c r="ET297" s="129" t="n"/>
      <c r="EU297" s="129" t="n"/>
      <c r="EV297" s="129" t="n"/>
      <c r="EW297" s="129" t="n"/>
      <c r="EX297" s="129" t="n"/>
      <c r="EY297" s="129" t="n"/>
      <c r="EZ297" s="129" t="n"/>
      <c r="FA297" s="129" t="n"/>
      <c r="FB297" s="129" t="n"/>
      <c r="FC297" s="129" t="n"/>
      <c r="FD297" s="129" t="n"/>
      <c r="FE297" s="129" t="n"/>
      <c r="FF297" s="129" t="n"/>
      <c r="FG297" s="129" t="n"/>
      <c r="FH297" s="129" t="n"/>
      <c r="FI297" s="129" t="n"/>
      <c r="FJ297" s="129" t="n"/>
      <c r="FK297" s="129" t="n"/>
      <c r="FL297" s="129" t="n"/>
      <c r="FM297" s="129" t="n"/>
    </row>
    <row r="298" s="135">
      <c r="A298" s="53" t="n">
        <v>42063</v>
      </c>
      <c r="B298" s="54" t="n">
        <v>0.068</v>
      </c>
      <c r="C298" s="29" t="n">
        <v>49.9</v>
      </c>
      <c r="D298" s="129" t="n"/>
      <c r="E298" s="129" t="n"/>
      <c r="F298" s="129" t="n"/>
      <c r="G298" s="129" t="n"/>
      <c r="H298" s="129" t="n"/>
      <c r="I298" s="129" t="n"/>
      <c r="J298" s="129" t="n"/>
      <c r="K298" s="129" t="n"/>
      <c r="L298" s="129" t="n"/>
      <c r="M298" s="129" t="n"/>
      <c r="N298" s="129" t="n"/>
      <c r="O298" s="129" t="n"/>
      <c r="P298" s="129" t="n"/>
      <c r="Q298" s="129" t="n"/>
      <c r="R298" s="129" t="n"/>
      <c r="S298" s="129" t="n"/>
      <c r="T298" s="129" t="n"/>
      <c r="U298" s="129" t="n"/>
      <c r="V298" s="129" t="n"/>
      <c r="W298" s="129" t="n"/>
      <c r="X298" s="129" t="n"/>
      <c r="Y298" s="129" t="n"/>
      <c r="Z298" s="129" t="n"/>
      <c r="AA298" s="129" t="n"/>
      <c r="AB298" s="129" t="n"/>
      <c r="AC298" s="129" t="n"/>
      <c r="AD298" s="129" t="n"/>
      <c r="AE298" s="129" t="n"/>
      <c r="AF298" s="129" t="n"/>
      <c r="AG298" s="129" t="n"/>
      <c r="AH298" s="129" t="n"/>
      <c r="AI298" s="129" t="n"/>
      <c r="AJ298" s="129" t="n"/>
      <c r="AK298" s="129" t="n"/>
      <c r="AL298" s="129" t="n"/>
      <c r="AM298" s="129" t="n"/>
      <c r="AN298" s="129" t="n"/>
      <c r="AO298" s="129" t="n"/>
      <c r="AP298" s="129" t="n"/>
      <c r="AQ298" s="129" t="n"/>
      <c r="AR298" s="129" t="n"/>
      <c r="AS298" s="129" t="n"/>
      <c r="AT298" s="129" t="n"/>
      <c r="AU298" s="129" t="n"/>
      <c r="AV298" s="129" t="n"/>
      <c r="AW298" s="129" t="n"/>
      <c r="AX298" s="129" t="n"/>
      <c r="AY298" s="129" t="n"/>
      <c r="AZ298" s="129" t="n"/>
      <c r="BA298" s="129" t="n"/>
      <c r="BB298" s="129" t="n"/>
      <c r="BC298" s="129" t="n"/>
      <c r="BD298" s="129" t="n"/>
      <c r="BE298" s="129" t="n"/>
      <c r="BF298" s="129" t="n"/>
      <c r="BG298" s="129" t="n"/>
      <c r="BH298" s="129" t="n"/>
      <c r="BI298" s="129" t="n"/>
      <c r="BJ298" s="129" t="n"/>
      <c r="BK298" s="129" t="n"/>
      <c r="BL298" s="129" t="n"/>
      <c r="BM298" s="129" t="n"/>
      <c r="BN298" s="129" t="n"/>
      <c r="BO298" s="129" t="n"/>
      <c r="BP298" s="129" t="n"/>
      <c r="BQ298" s="129" t="n"/>
      <c r="BR298" s="129" t="n"/>
      <c r="BS298" s="129" t="n"/>
      <c r="BT298" s="129" t="n"/>
      <c r="BU298" s="129" t="n"/>
      <c r="BV298" s="129" t="n"/>
      <c r="BW298" s="129" t="n"/>
      <c r="BX298" s="129" t="n"/>
      <c r="BY298" s="129" t="n"/>
      <c r="BZ298" s="129" t="n"/>
      <c r="CA298" s="129" t="n"/>
      <c r="CB298" s="129" t="n"/>
      <c r="CC298" s="129" t="n"/>
      <c r="CD298" s="129" t="n"/>
      <c r="CE298" s="129" t="n"/>
      <c r="CF298" s="129" t="n"/>
      <c r="CG298" s="129" t="n"/>
      <c r="CH298" s="129" t="n"/>
      <c r="CI298" s="129" t="n"/>
      <c r="CJ298" s="129" t="n"/>
      <c r="CK298" s="129" t="n"/>
      <c r="CL298" s="129" t="n"/>
      <c r="CM298" s="129" t="n"/>
      <c r="CN298" s="129" t="n"/>
      <c r="CO298" s="129" t="n"/>
      <c r="CP298" s="129" t="n"/>
      <c r="CQ298" s="129" t="n"/>
      <c r="CR298" s="129" t="n"/>
      <c r="CS298" s="129" t="n"/>
      <c r="CT298" s="129" t="n"/>
      <c r="CU298" s="129" t="n"/>
      <c r="CV298" s="129" t="n"/>
      <c r="CW298" s="129" t="n"/>
      <c r="CX298" s="129" t="n"/>
      <c r="CY298" s="129" t="n"/>
      <c r="CZ298" s="129" t="n"/>
      <c r="DA298" s="129" t="n"/>
      <c r="DB298" s="129" t="n"/>
      <c r="DC298" s="129" t="n"/>
      <c r="DD298" s="129" t="n"/>
      <c r="DE298" s="129" t="n"/>
      <c r="DF298" s="129" t="n"/>
      <c r="DG298" s="129" t="n"/>
      <c r="DH298" s="129" t="n"/>
      <c r="DI298" s="129" t="n"/>
      <c r="DJ298" s="129" t="n"/>
      <c r="DK298" s="129" t="n"/>
      <c r="DL298" s="129" t="n"/>
      <c r="DM298" s="129" t="n"/>
      <c r="DN298" s="129" t="n"/>
      <c r="DO298" s="129" t="n"/>
      <c r="DP298" s="129" t="n"/>
      <c r="DQ298" s="129" t="n"/>
      <c r="DR298" s="129" t="n"/>
      <c r="DS298" s="129" t="n"/>
      <c r="DT298" s="129" t="n"/>
      <c r="DU298" s="129" t="n"/>
      <c r="DV298" s="129" t="n"/>
      <c r="DW298" s="129" t="n"/>
      <c r="DX298" s="129" t="n"/>
      <c r="DY298" s="129" t="n"/>
      <c r="DZ298" s="129" t="n"/>
      <c r="EA298" s="129" t="n"/>
      <c r="EB298" s="129" t="n"/>
      <c r="EC298" s="129" t="n"/>
      <c r="ED298" s="129" t="n"/>
      <c r="EE298" s="129" t="n"/>
      <c r="EF298" s="129" t="n"/>
      <c r="EG298" s="129" t="n"/>
      <c r="EH298" s="129" t="n"/>
      <c r="EI298" s="129" t="n"/>
      <c r="EJ298" s="129" t="n"/>
      <c r="EK298" s="129" t="n"/>
      <c r="EL298" s="129" t="n"/>
      <c r="EM298" s="129" t="n"/>
      <c r="EN298" s="129" t="n"/>
      <c r="EO298" s="129" t="n"/>
      <c r="EP298" s="129" t="n"/>
      <c r="EQ298" s="129" t="n"/>
      <c r="ER298" s="129" t="n"/>
      <c r="ES298" s="129" t="n"/>
      <c r="ET298" s="129" t="n"/>
      <c r="EU298" s="129" t="n"/>
      <c r="EV298" s="129" t="n"/>
      <c r="EW298" s="129" t="n"/>
      <c r="EX298" s="129" t="n"/>
      <c r="EY298" s="129" t="n"/>
      <c r="EZ298" s="129" t="n"/>
      <c r="FA298" s="129" t="n"/>
      <c r="FB298" s="129" t="n"/>
      <c r="FC298" s="129" t="n"/>
      <c r="FD298" s="129" t="n"/>
      <c r="FE298" s="129" t="n"/>
      <c r="FF298" s="129" t="n"/>
      <c r="FG298" s="129" t="n"/>
      <c r="FH298" s="129" t="n"/>
      <c r="FI298" s="129" t="n"/>
      <c r="FJ298" s="129" t="n"/>
      <c r="FK298" s="129" t="n"/>
      <c r="FL298" s="129" t="n"/>
      <c r="FM298" s="129" t="n"/>
    </row>
    <row r="299" s="135">
      <c r="A299" s="52" t="n">
        <v>42094</v>
      </c>
      <c r="B299" s="30" t="n">
        <v>0.056</v>
      </c>
      <c r="C299" s="29" t="n">
        <v>50.1</v>
      </c>
      <c r="D299" s="129" t="n"/>
      <c r="E299" s="129" t="n"/>
      <c r="F299" s="129" t="n"/>
      <c r="G299" s="129" t="n"/>
      <c r="H299" s="129" t="n"/>
      <c r="I299" s="129" t="n"/>
      <c r="J299" s="129" t="n"/>
      <c r="K299" s="129" t="n"/>
      <c r="L299" s="129" t="n"/>
      <c r="M299" s="129" t="n"/>
      <c r="N299" s="129" t="n"/>
      <c r="O299" s="129" t="n"/>
      <c r="P299" s="129" t="n"/>
      <c r="Q299" s="129" t="n"/>
      <c r="R299" s="129" t="n"/>
      <c r="S299" s="129" t="n"/>
      <c r="T299" s="129" t="n"/>
      <c r="U299" s="129" t="n"/>
      <c r="V299" s="129" t="n"/>
      <c r="W299" s="129" t="n"/>
      <c r="X299" s="129" t="n"/>
      <c r="Y299" s="129" t="n"/>
      <c r="Z299" s="129" t="n"/>
      <c r="AA299" s="129" t="n"/>
      <c r="AB299" s="129" t="n"/>
      <c r="AC299" s="129" t="n"/>
      <c r="AD299" s="129" t="n"/>
      <c r="AE299" s="129" t="n"/>
      <c r="AF299" s="129" t="n"/>
      <c r="AG299" s="129" t="n"/>
      <c r="AH299" s="129" t="n"/>
      <c r="AI299" s="129" t="n"/>
      <c r="AJ299" s="129" t="n"/>
      <c r="AK299" s="129" t="n"/>
      <c r="AL299" s="129" t="n"/>
      <c r="AM299" s="129" t="n"/>
      <c r="AN299" s="129" t="n"/>
      <c r="AO299" s="129" t="n"/>
      <c r="AP299" s="129" t="n"/>
      <c r="AQ299" s="129" t="n"/>
      <c r="AR299" s="129" t="n"/>
      <c r="AS299" s="129" t="n"/>
      <c r="AT299" s="129" t="n"/>
      <c r="AU299" s="129" t="n"/>
      <c r="AV299" s="129" t="n"/>
      <c r="AW299" s="129" t="n"/>
      <c r="AX299" s="129" t="n"/>
      <c r="AY299" s="129" t="n"/>
      <c r="AZ299" s="129" t="n"/>
      <c r="BA299" s="129" t="n"/>
      <c r="BB299" s="129" t="n"/>
      <c r="BC299" s="129" t="n"/>
      <c r="BD299" s="129" t="n"/>
      <c r="BE299" s="129" t="n"/>
      <c r="BF299" s="129" t="n"/>
      <c r="BG299" s="129" t="n"/>
      <c r="BH299" s="129" t="n"/>
      <c r="BI299" s="129" t="n"/>
      <c r="BJ299" s="129" t="n"/>
      <c r="BK299" s="129" t="n"/>
      <c r="BL299" s="129" t="n"/>
      <c r="BM299" s="129" t="n"/>
      <c r="BN299" s="129" t="n"/>
      <c r="BO299" s="129" t="n"/>
      <c r="BP299" s="129" t="n"/>
      <c r="BQ299" s="129" t="n"/>
      <c r="BR299" s="129" t="n"/>
      <c r="BS299" s="129" t="n"/>
      <c r="BT299" s="129" t="n"/>
      <c r="BU299" s="129" t="n"/>
      <c r="BV299" s="129" t="n"/>
      <c r="BW299" s="129" t="n"/>
      <c r="BX299" s="129" t="n"/>
      <c r="BY299" s="129" t="n"/>
      <c r="BZ299" s="129" t="n"/>
      <c r="CA299" s="129" t="n"/>
      <c r="CB299" s="129" t="n"/>
      <c r="CC299" s="129" t="n"/>
      <c r="CD299" s="129" t="n"/>
      <c r="CE299" s="129" t="n"/>
      <c r="CF299" s="129" t="n"/>
      <c r="CG299" s="129" t="n"/>
      <c r="CH299" s="129" t="n"/>
      <c r="CI299" s="129" t="n"/>
      <c r="CJ299" s="129" t="n"/>
      <c r="CK299" s="129" t="n"/>
      <c r="CL299" s="129" t="n"/>
      <c r="CM299" s="129" t="n"/>
      <c r="CN299" s="129" t="n"/>
      <c r="CO299" s="129" t="n"/>
      <c r="CP299" s="129" t="n"/>
      <c r="CQ299" s="129" t="n"/>
      <c r="CR299" s="129" t="n"/>
      <c r="CS299" s="129" t="n"/>
      <c r="CT299" s="129" t="n"/>
      <c r="CU299" s="129" t="n"/>
      <c r="CV299" s="129" t="n"/>
      <c r="CW299" s="129" t="n"/>
      <c r="CX299" s="129" t="n"/>
      <c r="CY299" s="129" t="n"/>
      <c r="CZ299" s="129" t="n"/>
      <c r="DA299" s="129" t="n"/>
      <c r="DB299" s="129" t="n"/>
      <c r="DC299" s="129" t="n"/>
      <c r="DD299" s="129" t="n"/>
      <c r="DE299" s="129" t="n"/>
      <c r="DF299" s="129" t="n"/>
      <c r="DG299" s="129" t="n"/>
      <c r="DH299" s="129" t="n"/>
      <c r="DI299" s="129" t="n"/>
      <c r="DJ299" s="129" t="n"/>
      <c r="DK299" s="129" t="n"/>
      <c r="DL299" s="129" t="n"/>
      <c r="DM299" s="129" t="n"/>
      <c r="DN299" s="129" t="n"/>
      <c r="DO299" s="129" t="n"/>
      <c r="DP299" s="129" t="n"/>
      <c r="DQ299" s="129" t="n"/>
      <c r="DR299" s="129" t="n"/>
      <c r="DS299" s="129" t="n"/>
      <c r="DT299" s="129" t="n"/>
      <c r="DU299" s="129" t="n"/>
      <c r="DV299" s="129" t="n"/>
      <c r="DW299" s="129" t="n"/>
      <c r="DX299" s="129" t="n"/>
      <c r="DY299" s="129" t="n"/>
      <c r="DZ299" s="129" t="n"/>
      <c r="EA299" s="129" t="n"/>
      <c r="EB299" s="129" t="n"/>
      <c r="EC299" s="129" t="n"/>
      <c r="ED299" s="129" t="n"/>
      <c r="EE299" s="129" t="n"/>
      <c r="EF299" s="129" t="n"/>
      <c r="EG299" s="129" t="n"/>
      <c r="EH299" s="129" t="n"/>
      <c r="EI299" s="129" t="n"/>
      <c r="EJ299" s="129" t="n"/>
      <c r="EK299" s="129" t="n"/>
      <c r="EL299" s="129" t="n"/>
      <c r="EM299" s="129" t="n"/>
      <c r="EN299" s="129" t="n"/>
      <c r="EO299" s="129" t="n"/>
      <c r="EP299" s="129" t="n"/>
      <c r="EQ299" s="129" t="n"/>
      <c r="ER299" s="129" t="n"/>
      <c r="ES299" s="129" t="n"/>
      <c r="ET299" s="129" t="n"/>
      <c r="EU299" s="129" t="n"/>
      <c r="EV299" s="129" t="n"/>
      <c r="EW299" s="129" t="n"/>
      <c r="EX299" s="129" t="n"/>
      <c r="EY299" s="129" t="n"/>
      <c r="EZ299" s="129" t="n"/>
      <c r="FA299" s="129" t="n"/>
      <c r="FB299" s="129" t="n"/>
      <c r="FC299" s="129" t="n"/>
      <c r="FD299" s="129" t="n"/>
      <c r="FE299" s="129" t="n"/>
      <c r="FF299" s="129" t="n"/>
      <c r="FG299" s="129" t="n"/>
      <c r="FH299" s="129" t="n"/>
      <c r="FI299" s="129" t="n"/>
      <c r="FJ299" s="129" t="n"/>
      <c r="FK299" s="129" t="n"/>
      <c r="FL299" s="129" t="n"/>
      <c r="FM299" s="129" t="n"/>
    </row>
    <row r="300" s="135">
      <c r="A300" s="53" t="n">
        <v>42124</v>
      </c>
      <c r="B300" s="54" t="n">
        <v>0.059</v>
      </c>
      <c r="C300" s="29" t="n">
        <v>50.1</v>
      </c>
      <c r="D300" s="129" t="n"/>
      <c r="E300" s="129" t="n"/>
      <c r="F300" s="129" t="n"/>
      <c r="G300" s="129" t="n"/>
      <c r="H300" s="129" t="n"/>
      <c r="I300" s="129" t="n"/>
      <c r="J300" s="129" t="n"/>
      <c r="K300" s="129" t="n"/>
      <c r="L300" s="129" t="n"/>
      <c r="M300" s="129" t="n"/>
      <c r="N300" s="129" t="n"/>
      <c r="O300" s="129" t="n"/>
      <c r="P300" s="129" t="n"/>
      <c r="Q300" s="129" t="n"/>
      <c r="R300" s="129" t="n"/>
      <c r="S300" s="129" t="n"/>
      <c r="T300" s="129" t="n"/>
      <c r="U300" s="129" t="n"/>
      <c r="V300" s="129" t="n"/>
      <c r="W300" s="129" t="n"/>
      <c r="X300" s="129" t="n"/>
      <c r="Y300" s="129" t="n"/>
      <c r="Z300" s="129" t="n"/>
      <c r="AA300" s="129" t="n"/>
      <c r="AB300" s="129" t="n"/>
      <c r="AC300" s="129" t="n"/>
      <c r="AD300" s="129" t="n"/>
      <c r="AE300" s="129" t="n"/>
      <c r="AF300" s="129" t="n"/>
      <c r="AG300" s="129" t="n"/>
      <c r="AH300" s="129" t="n"/>
      <c r="AI300" s="129" t="n"/>
      <c r="AJ300" s="129" t="n"/>
      <c r="AK300" s="129" t="n"/>
      <c r="AL300" s="129" t="n"/>
      <c r="AM300" s="129" t="n"/>
      <c r="AN300" s="129" t="n"/>
      <c r="AO300" s="129" t="n"/>
      <c r="AP300" s="129" t="n"/>
      <c r="AQ300" s="129" t="n"/>
      <c r="AR300" s="129" t="n"/>
      <c r="AS300" s="129" t="n"/>
      <c r="AT300" s="129" t="n"/>
      <c r="AU300" s="129" t="n"/>
      <c r="AV300" s="129" t="n"/>
      <c r="AW300" s="129" t="n"/>
      <c r="AX300" s="129" t="n"/>
      <c r="AY300" s="129" t="n"/>
      <c r="AZ300" s="129" t="n"/>
      <c r="BA300" s="129" t="n"/>
      <c r="BB300" s="129" t="n"/>
      <c r="BC300" s="129" t="n"/>
      <c r="BD300" s="129" t="n"/>
      <c r="BE300" s="129" t="n"/>
      <c r="BF300" s="129" t="n"/>
      <c r="BG300" s="129" t="n"/>
      <c r="BH300" s="129" t="n"/>
      <c r="BI300" s="129" t="n"/>
      <c r="BJ300" s="129" t="n"/>
      <c r="BK300" s="129" t="n"/>
      <c r="BL300" s="129" t="n"/>
      <c r="BM300" s="129" t="n"/>
      <c r="BN300" s="129" t="n"/>
      <c r="BO300" s="129" t="n"/>
      <c r="BP300" s="129" t="n"/>
      <c r="BQ300" s="129" t="n"/>
      <c r="BR300" s="129" t="n"/>
      <c r="BS300" s="129" t="n"/>
      <c r="BT300" s="129" t="n"/>
      <c r="BU300" s="129" t="n"/>
      <c r="BV300" s="129" t="n"/>
      <c r="BW300" s="129" t="n"/>
      <c r="BX300" s="129" t="n"/>
      <c r="BY300" s="129" t="n"/>
      <c r="BZ300" s="129" t="n"/>
      <c r="CA300" s="129" t="n"/>
      <c r="CB300" s="129" t="n"/>
      <c r="CC300" s="129" t="n"/>
      <c r="CD300" s="129" t="n"/>
      <c r="CE300" s="129" t="n"/>
      <c r="CF300" s="129" t="n"/>
      <c r="CG300" s="129" t="n"/>
      <c r="CH300" s="129" t="n"/>
      <c r="CI300" s="129" t="n"/>
      <c r="CJ300" s="129" t="n"/>
      <c r="CK300" s="129" t="n"/>
      <c r="CL300" s="129" t="n"/>
      <c r="CM300" s="129" t="n"/>
      <c r="CN300" s="129" t="n"/>
      <c r="CO300" s="129" t="n"/>
      <c r="CP300" s="129" t="n"/>
      <c r="CQ300" s="129" t="n"/>
      <c r="CR300" s="129" t="n"/>
      <c r="CS300" s="129" t="n"/>
      <c r="CT300" s="129" t="n"/>
      <c r="CU300" s="129" t="n"/>
      <c r="CV300" s="129" t="n"/>
      <c r="CW300" s="129" t="n"/>
      <c r="CX300" s="129" t="n"/>
      <c r="CY300" s="129" t="n"/>
      <c r="CZ300" s="129" t="n"/>
      <c r="DA300" s="129" t="n"/>
      <c r="DB300" s="129" t="n"/>
      <c r="DC300" s="129" t="n"/>
      <c r="DD300" s="129" t="n"/>
      <c r="DE300" s="129" t="n"/>
      <c r="DF300" s="129" t="n"/>
      <c r="DG300" s="129" t="n"/>
      <c r="DH300" s="129" t="n"/>
      <c r="DI300" s="129" t="n"/>
      <c r="DJ300" s="129" t="n"/>
      <c r="DK300" s="129" t="n"/>
      <c r="DL300" s="129" t="n"/>
      <c r="DM300" s="129" t="n"/>
      <c r="DN300" s="129" t="n"/>
      <c r="DO300" s="129" t="n"/>
      <c r="DP300" s="129" t="n"/>
      <c r="DQ300" s="129" t="n"/>
      <c r="DR300" s="129" t="n"/>
      <c r="DS300" s="129" t="n"/>
      <c r="DT300" s="129" t="n"/>
      <c r="DU300" s="129" t="n"/>
      <c r="DV300" s="129" t="n"/>
      <c r="DW300" s="129" t="n"/>
      <c r="DX300" s="129" t="n"/>
      <c r="DY300" s="129" t="n"/>
      <c r="DZ300" s="129" t="n"/>
      <c r="EA300" s="129" t="n"/>
      <c r="EB300" s="129" t="n"/>
      <c r="EC300" s="129" t="n"/>
      <c r="ED300" s="129" t="n"/>
      <c r="EE300" s="129" t="n"/>
      <c r="EF300" s="129" t="n"/>
      <c r="EG300" s="129" t="n"/>
      <c r="EH300" s="129" t="n"/>
      <c r="EI300" s="129" t="n"/>
      <c r="EJ300" s="129" t="n"/>
      <c r="EK300" s="129" t="n"/>
      <c r="EL300" s="129" t="n"/>
      <c r="EM300" s="129" t="n"/>
      <c r="EN300" s="129" t="n"/>
      <c r="EO300" s="129" t="n"/>
      <c r="EP300" s="129" t="n"/>
      <c r="EQ300" s="129" t="n"/>
      <c r="ER300" s="129" t="n"/>
      <c r="ES300" s="129" t="n"/>
      <c r="ET300" s="129" t="n"/>
      <c r="EU300" s="129" t="n"/>
      <c r="EV300" s="129" t="n"/>
      <c r="EW300" s="129" t="n"/>
      <c r="EX300" s="129" t="n"/>
      <c r="EY300" s="129" t="n"/>
      <c r="EZ300" s="129" t="n"/>
      <c r="FA300" s="129" t="n"/>
      <c r="FB300" s="129" t="n"/>
      <c r="FC300" s="129" t="n"/>
      <c r="FD300" s="129" t="n"/>
      <c r="FE300" s="129" t="n"/>
      <c r="FF300" s="129" t="n"/>
      <c r="FG300" s="129" t="n"/>
      <c r="FH300" s="129" t="n"/>
      <c r="FI300" s="129" t="n"/>
      <c r="FJ300" s="129" t="n"/>
      <c r="FK300" s="129" t="n"/>
      <c r="FL300" s="129" t="n"/>
      <c r="FM300" s="129" t="n"/>
    </row>
    <row r="301" s="135">
      <c r="A301" s="52" t="n">
        <v>42155</v>
      </c>
      <c r="B301" s="30" t="n">
        <v>0.061</v>
      </c>
      <c r="C301" s="29" t="n">
        <v>50.2</v>
      </c>
      <c r="D301" s="129" t="n"/>
      <c r="E301" s="129" t="n"/>
      <c r="F301" s="129" t="n"/>
      <c r="G301" s="129" t="n"/>
      <c r="H301" s="129" t="n"/>
      <c r="I301" s="129" t="n"/>
      <c r="J301" s="129" t="n"/>
      <c r="K301" s="129" t="n"/>
      <c r="L301" s="129" t="n"/>
      <c r="M301" s="129" t="n"/>
      <c r="N301" s="129" t="n"/>
      <c r="O301" s="129" t="n"/>
      <c r="P301" s="129" t="n"/>
      <c r="Q301" s="129" t="n"/>
      <c r="R301" s="129" t="n"/>
      <c r="S301" s="129" t="n"/>
      <c r="T301" s="129" t="n"/>
      <c r="U301" s="129" t="n"/>
      <c r="V301" s="129" t="n"/>
      <c r="W301" s="129" t="n"/>
      <c r="X301" s="129" t="n"/>
      <c r="Y301" s="129" t="n"/>
      <c r="Z301" s="129" t="n"/>
      <c r="AA301" s="129" t="n"/>
      <c r="AB301" s="129" t="n"/>
      <c r="AC301" s="129" t="n"/>
      <c r="AD301" s="129" t="n"/>
      <c r="AE301" s="129" t="n"/>
      <c r="AF301" s="129" t="n"/>
      <c r="AG301" s="129" t="n"/>
      <c r="AH301" s="129" t="n"/>
      <c r="AI301" s="129" t="n"/>
      <c r="AJ301" s="129" t="n"/>
      <c r="AK301" s="129" t="n"/>
      <c r="AL301" s="129" t="n"/>
      <c r="AM301" s="129" t="n"/>
      <c r="AN301" s="129" t="n"/>
      <c r="AO301" s="129" t="n"/>
      <c r="AP301" s="129" t="n"/>
      <c r="AQ301" s="129" t="n"/>
      <c r="AR301" s="129" t="n"/>
      <c r="AS301" s="129" t="n"/>
      <c r="AT301" s="129" t="n"/>
      <c r="AU301" s="129" t="n"/>
      <c r="AV301" s="129" t="n"/>
      <c r="AW301" s="129" t="n"/>
      <c r="AX301" s="129" t="n"/>
      <c r="AY301" s="129" t="n"/>
      <c r="AZ301" s="129" t="n"/>
      <c r="BA301" s="129" t="n"/>
      <c r="BB301" s="129" t="n"/>
      <c r="BC301" s="129" t="n"/>
      <c r="BD301" s="129" t="n"/>
      <c r="BE301" s="129" t="n"/>
      <c r="BF301" s="129" t="n"/>
      <c r="BG301" s="129" t="n"/>
      <c r="BH301" s="129" t="n"/>
      <c r="BI301" s="129" t="n"/>
      <c r="BJ301" s="129" t="n"/>
      <c r="BK301" s="129" t="n"/>
      <c r="BL301" s="129" t="n"/>
      <c r="BM301" s="129" t="n"/>
      <c r="BN301" s="129" t="n"/>
      <c r="BO301" s="129" t="n"/>
      <c r="BP301" s="129" t="n"/>
      <c r="BQ301" s="129" t="n"/>
      <c r="BR301" s="129" t="n"/>
      <c r="BS301" s="129" t="n"/>
      <c r="BT301" s="129" t="n"/>
      <c r="BU301" s="129" t="n"/>
      <c r="BV301" s="129" t="n"/>
      <c r="BW301" s="129" t="n"/>
      <c r="BX301" s="129" t="n"/>
      <c r="BY301" s="129" t="n"/>
      <c r="BZ301" s="129" t="n"/>
      <c r="CA301" s="129" t="n"/>
      <c r="CB301" s="129" t="n"/>
      <c r="CC301" s="129" t="n"/>
      <c r="CD301" s="129" t="n"/>
      <c r="CE301" s="129" t="n"/>
      <c r="CF301" s="129" t="n"/>
      <c r="CG301" s="129" t="n"/>
      <c r="CH301" s="129" t="n"/>
      <c r="CI301" s="129" t="n"/>
      <c r="CJ301" s="129" t="n"/>
      <c r="CK301" s="129" t="n"/>
      <c r="CL301" s="129" t="n"/>
      <c r="CM301" s="129" t="n"/>
      <c r="CN301" s="129" t="n"/>
      <c r="CO301" s="129" t="n"/>
      <c r="CP301" s="129" t="n"/>
      <c r="CQ301" s="129" t="n"/>
      <c r="CR301" s="129" t="n"/>
      <c r="CS301" s="129" t="n"/>
      <c r="CT301" s="129" t="n"/>
      <c r="CU301" s="129" t="n"/>
      <c r="CV301" s="129" t="n"/>
      <c r="CW301" s="129" t="n"/>
      <c r="CX301" s="129" t="n"/>
      <c r="CY301" s="129" t="n"/>
      <c r="CZ301" s="129" t="n"/>
      <c r="DA301" s="129" t="n"/>
      <c r="DB301" s="129" t="n"/>
      <c r="DC301" s="129" t="n"/>
      <c r="DD301" s="129" t="n"/>
      <c r="DE301" s="129" t="n"/>
      <c r="DF301" s="129" t="n"/>
      <c r="DG301" s="129" t="n"/>
      <c r="DH301" s="129" t="n"/>
      <c r="DI301" s="129" t="n"/>
      <c r="DJ301" s="129" t="n"/>
      <c r="DK301" s="129" t="n"/>
      <c r="DL301" s="129" t="n"/>
      <c r="DM301" s="129" t="n"/>
      <c r="DN301" s="129" t="n"/>
      <c r="DO301" s="129" t="n"/>
      <c r="DP301" s="129" t="n"/>
      <c r="DQ301" s="129" t="n"/>
      <c r="DR301" s="129" t="n"/>
      <c r="DS301" s="129" t="n"/>
      <c r="DT301" s="129" t="n"/>
      <c r="DU301" s="129" t="n"/>
      <c r="DV301" s="129" t="n"/>
      <c r="DW301" s="129" t="n"/>
      <c r="DX301" s="129" t="n"/>
      <c r="DY301" s="129" t="n"/>
      <c r="DZ301" s="129" t="n"/>
      <c r="EA301" s="129" t="n"/>
      <c r="EB301" s="129" t="n"/>
      <c r="EC301" s="129" t="n"/>
      <c r="ED301" s="129" t="n"/>
      <c r="EE301" s="129" t="n"/>
      <c r="EF301" s="129" t="n"/>
      <c r="EG301" s="129" t="n"/>
      <c r="EH301" s="129" t="n"/>
      <c r="EI301" s="129" t="n"/>
      <c r="EJ301" s="129" t="n"/>
      <c r="EK301" s="129" t="n"/>
      <c r="EL301" s="129" t="n"/>
      <c r="EM301" s="129" t="n"/>
      <c r="EN301" s="129" t="n"/>
      <c r="EO301" s="129" t="n"/>
      <c r="EP301" s="129" t="n"/>
      <c r="EQ301" s="129" t="n"/>
      <c r="ER301" s="129" t="n"/>
      <c r="ES301" s="129" t="n"/>
      <c r="ET301" s="129" t="n"/>
      <c r="EU301" s="129" t="n"/>
      <c r="EV301" s="129" t="n"/>
      <c r="EW301" s="129" t="n"/>
      <c r="EX301" s="129" t="n"/>
      <c r="EY301" s="129" t="n"/>
      <c r="EZ301" s="129" t="n"/>
      <c r="FA301" s="129" t="n"/>
      <c r="FB301" s="129" t="n"/>
      <c r="FC301" s="129" t="n"/>
      <c r="FD301" s="129" t="n"/>
      <c r="FE301" s="129" t="n"/>
      <c r="FF301" s="129" t="n"/>
      <c r="FG301" s="129" t="n"/>
      <c r="FH301" s="129" t="n"/>
      <c r="FI301" s="129" t="n"/>
      <c r="FJ301" s="129" t="n"/>
      <c r="FK301" s="129" t="n"/>
      <c r="FL301" s="129" t="n"/>
      <c r="FM301" s="129" t="n"/>
    </row>
    <row r="302" s="135">
      <c r="A302" s="53" t="n">
        <v>42185</v>
      </c>
      <c r="B302" s="54" t="n">
        <v>0.068</v>
      </c>
      <c r="C302" s="29" t="n">
        <v>50.2</v>
      </c>
      <c r="D302" s="129" t="n"/>
      <c r="E302" s="129" t="n"/>
      <c r="F302" s="129" t="n"/>
      <c r="G302" s="129" t="n"/>
      <c r="H302" s="129" t="n"/>
      <c r="I302" s="129" t="n"/>
      <c r="J302" s="129" t="n"/>
      <c r="K302" s="129" t="n"/>
      <c r="L302" s="129" t="n"/>
      <c r="M302" s="129" t="n"/>
      <c r="N302" s="129" t="n"/>
      <c r="O302" s="129" t="n"/>
      <c r="P302" s="129" t="n"/>
      <c r="Q302" s="129" t="n"/>
      <c r="R302" s="129" t="n"/>
      <c r="S302" s="129" t="n"/>
      <c r="T302" s="129" t="n"/>
      <c r="U302" s="129" t="n"/>
      <c r="V302" s="129" t="n"/>
      <c r="W302" s="129" t="n"/>
      <c r="X302" s="129" t="n"/>
      <c r="Y302" s="129" t="n"/>
      <c r="Z302" s="129" t="n"/>
      <c r="AA302" s="129" t="n"/>
      <c r="AB302" s="129" t="n"/>
      <c r="AC302" s="129" t="n"/>
      <c r="AD302" s="129" t="n"/>
      <c r="AE302" s="129" t="n"/>
      <c r="AF302" s="129" t="n"/>
      <c r="AG302" s="129" t="n"/>
      <c r="AH302" s="129" t="n"/>
      <c r="AI302" s="129" t="n"/>
      <c r="AJ302" s="129" t="n"/>
      <c r="AK302" s="129" t="n"/>
      <c r="AL302" s="129" t="n"/>
      <c r="AM302" s="129" t="n"/>
      <c r="AN302" s="129" t="n"/>
      <c r="AO302" s="129" t="n"/>
      <c r="AP302" s="129" t="n"/>
      <c r="AQ302" s="129" t="n"/>
      <c r="AR302" s="129" t="n"/>
      <c r="AS302" s="129" t="n"/>
      <c r="AT302" s="129" t="n"/>
      <c r="AU302" s="129" t="n"/>
      <c r="AV302" s="129" t="n"/>
      <c r="AW302" s="129" t="n"/>
      <c r="AX302" s="129" t="n"/>
      <c r="AY302" s="129" t="n"/>
      <c r="AZ302" s="129" t="n"/>
      <c r="BA302" s="129" t="n"/>
      <c r="BB302" s="129" t="n"/>
      <c r="BC302" s="129" t="n"/>
      <c r="BD302" s="129" t="n"/>
      <c r="BE302" s="129" t="n"/>
      <c r="BF302" s="129" t="n"/>
      <c r="BG302" s="129" t="n"/>
      <c r="BH302" s="129" t="n"/>
      <c r="BI302" s="129" t="n"/>
      <c r="BJ302" s="129" t="n"/>
      <c r="BK302" s="129" t="n"/>
      <c r="BL302" s="129" t="n"/>
      <c r="BM302" s="129" t="n"/>
      <c r="BN302" s="129" t="n"/>
      <c r="BO302" s="129" t="n"/>
      <c r="BP302" s="129" t="n"/>
      <c r="BQ302" s="129" t="n"/>
      <c r="BR302" s="129" t="n"/>
      <c r="BS302" s="129" t="n"/>
      <c r="BT302" s="129" t="n"/>
      <c r="BU302" s="129" t="n"/>
      <c r="BV302" s="129" t="n"/>
      <c r="BW302" s="129" t="n"/>
      <c r="BX302" s="129" t="n"/>
      <c r="BY302" s="129" t="n"/>
      <c r="BZ302" s="129" t="n"/>
      <c r="CA302" s="129" t="n"/>
      <c r="CB302" s="129" t="n"/>
      <c r="CC302" s="129" t="n"/>
      <c r="CD302" s="129" t="n"/>
      <c r="CE302" s="129" t="n"/>
      <c r="CF302" s="129" t="n"/>
      <c r="CG302" s="129" t="n"/>
      <c r="CH302" s="129" t="n"/>
      <c r="CI302" s="129" t="n"/>
      <c r="CJ302" s="129" t="n"/>
      <c r="CK302" s="129" t="n"/>
      <c r="CL302" s="129" t="n"/>
      <c r="CM302" s="129" t="n"/>
      <c r="CN302" s="129" t="n"/>
      <c r="CO302" s="129" t="n"/>
      <c r="CP302" s="129" t="n"/>
      <c r="CQ302" s="129" t="n"/>
      <c r="CR302" s="129" t="n"/>
      <c r="CS302" s="129" t="n"/>
      <c r="CT302" s="129" t="n"/>
      <c r="CU302" s="129" t="n"/>
      <c r="CV302" s="129" t="n"/>
      <c r="CW302" s="129" t="n"/>
      <c r="CX302" s="129" t="n"/>
      <c r="CY302" s="129" t="n"/>
      <c r="CZ302" s="129" t="n"/>
      <c r="DA302" s="129" t="n"/>
      <c r="DB302" s="129" t="n"/>
      <c r="DC302" s="129" t="n"/>
      <c r="DD302" s="129" t="n"/>
      <c r="DE302" s="129" t="n"/>
      <c r="DF302" s="129" t="n"/>
      <c r="DG302" s="129" t="n"/>
      <c r="DH302" s="129" t="n"/>
      <c r="DI302" s="129" t="n"/>
      <c r="DJ302" s="129" t="n"/>
      <c r="DK302" s="129" t="n"/>
      <c r="DL302" s="129" t="n"/>
      <c r="DM302" s="129" t="n"/>
      <c r="DN302" s="129" t="n"/>
      <c r="DO302" s="129" t="n"/>
      <c r="DP302" s="129" t="n"/>
      <c r="DQ302" s="129" t="n"/>
      <c r="DR302" s="129" t="n"/>
      <c r="DS302" s="129" t="n"/>
      <c r="DT302" s="129" t="n"/>
      <c r="DU302" s="129" t="n"/>
      <c r="DV302" s="129" t="n"/>
      <c r="DW302" s="129" t="n"/>
      <c r="DX302" s="129" t="n"/>
      <c r="DY302" s="129" t="n"/>
      <c r="DZ302" s="129" t="n"/>
      <c r="EA302" s="129" t="n"/>
      <c r="EB302" s="129" t="n"/>
      <c r="EC302" s="129" t="n"/>
      <c r="ED302" s="129" t="n"/>
      <c r="EE302" s="129" t="n"/>
      <c r="EF302" s="129" t="n"/>
      <c r="EG302" s="129" t="n"/>
      <c r="EH302" s="129" t="n"/>
      <c r="EI302" s="129" t="n"/>
      <c r="EJ302" s="129" t="n"/>
      <c r="EK302" s="129" t="n"/>
      <c r="EL302" s="129" t="n"/>
      <c r="EM302" s="129" t="n"/>
      <c r="EN302" s="129" t="n"/>
      <c r="EO302" s="129" t="n"/>
      <c r="EP302" s="129" t="n"/>
      <c r="EQ302" s="129" t="n"/>
      <c r="ER302" s="129" t="n"/>
      <c r="ES302" s="129" t="n"/>
      <c r="ET302" s="129" t="n"/>
      <c r="EU302" s="129" t="n"/>
      <c r="EV302" s="129" t="n"/>
      <c r="EW302" s="129" t="n"/>
      <c r="EX302" s="129" t="n"/>
      <c r="EY302" s="129" t="n"/>
      <c r="EZ302" s="129" t="n"/>
      <c r="FA302" s="129" t="n"/>
      <c r="FB302" s="129" t="n"/>
      <c r="FC302" s="129" t="n"/>
      <c r="FD302" s="129" t="n"/>
      <c r="FE302" s="129" t="n"/>
      <c r="FF302" s="129" t="n"/>
      <c r="FG302" s="129" t="n"/>
      <c r="FH302" s="129" t="n"/>
      <c r="FI302" s="129" t="n"/>
      <c r="FJ302" s="129" t="n"/>
      <c r="FK302" s="129" t="n"/>
      <c r="FL302" s="129" t="n"/>
      <c r="FM302" s="129" t="n"/>
    </row>
    <row r="303" s="135">
      <c r="A303" s="52" t="n">
        <v>42216</v>
      </c>
      <c r="B303" s="30" t="n">
        <v>0.06</v>
      </c>
      <c r="C303" s="29" t="n">
        <v>50</v>
      </c>
      <c r="D303" s="129" t="n"/>
      <c r="E303" s="129" t="n"/>
      <c r="F303" s="129" t="n"/>
      <c r="G303" s="129" t="n"/>
      <c r="H303" s="129" t="n"/>
      <c r="I303" s="129" t="n"/>
      <c r="J303" s="129" t="n"/>
      <c r="K303" s="129" t="n"/>
      <c r="L303" s="129" t="n"/>
      <c r="M303" s="129" t="n"/>
      <c r="N303" s="129" t="n"/>
      <c r="O303" s="129" t="n"/>
      <c r="P303" s="129" t="n"/>
      <c r="Q303" s="129" t="n"/>
      <c r="R303" s="129" t="n"/>
      <c r="S303" s="129" t="n"/>
      <c r="T303" s="129" t="n"/>
      <c r="U303" s="129" t="n"/>
      <c r="V303" s="129" t="n"/>
      <c r="W303" s="129" t="n"/>
      <c r="X303" s="129" t="n"/>
      <c r="Y303" s="129" t="n"/>
      <c r="Z303" s="129" t="n"/>
      <c r="AA303" s="129" t="n"/>
      <c r="AB303" s="129" t="n"/>
      <c r="AC303" s="129" t="n"/>
      <c r="AD303" s="129" t="n"/>
      <c r="AE303" s="129" t="n"/>
      <c r="AF303" s="129" t="n"/>
      <c r="AG303" s="129" t="n"/>
      <c r="AH303" s="129" t="n"/>
      <c r="AI303" s="129" t="n"/>
      <c r="AJ303" s="129" t="n"/>
      <c r="AK303" s="129" t="n"/>
      <c r="AL303" s="129" t="n"/>
      <c r="AM303" s="129" t="n"/>
      <c r="AN303" s="129" t="n"/>
      <c r="AO303" s="129" t="n"/>
      <c r="AP303" s="129" t="n"/>
      <c r="AQ303" s="129" t="n"/>
      <c r="AR303" s="129" t="n"/>
      <c r="AS303" s="129" t="n"/>
      <c r="AT303" s="129" t="n"/>
      <c r="AU303" s="129" t="n"/>
      <c r="AV303" s="129" t="n"/>
      <c r="AW303" s="129" t="n"/>
      <c r="AX303" s="129" t="n"/>
      <c r="AY303" s="129" t="n"/>
      <c r="AZ303" s="129" t="n"/>
      <c r="BA303" s="129" t="n"/>
      <c r="BB303" s="129" t="n"/>
      <c r="BC303" s="129" t="n"/>
      <c r="BD303" s="129" t="n"/>
      <c r="BE303" s="129" t="n"/>
      <c r="BF303" s="129" t="n"/>
      <c r="BG303" s="129" t="n"/>
      <c r="BH303" s="129" t="n"/>
      <c r="BI303" s="129" t="n"/>
      <c r="BJ303" s="129" t="n"/>
      <c r="BK303" s="129" t="n"/>
      <c r="BL303" s="129" t="n"/>
      <c r="BM303" s="129" t="n"/>
      <c r="BN303" s="129" t="n"/>
      <c r="BO303" s="129" t="n"/>
      <c r="BP303" s="129" t="n"/>
      <c r="BQ303" s="129" t="n"/>
      <c r="BR303" s="129" t="n"/>
      <c r="BS303" s="129" t="n"/>
      <c r="BT303" s="129" t="n"/>
      <c r="BU303" s="129" t="n"/>
      <c r="BV303" s="129" t="n"/>
      <c r="BW303" s="129" t="n"/>
      <c r="BX303" s="129" t="n"/>
      <c r="BY303" s="129" t="n"/>
      <c r="BZ303" s="129" t="n"/>
      <c r="CA303" s="129" t="n"/>
      <c r="CB303" s="129" t="n"/>
      <c r="CC303" s="129" t="n"/>
      <c r="CD303" s="129" t="n"/>
      <c r="CE303" s="129" t="n"/>
      <c r="CF303" s="129" t="n"/>
      <c r="CG303" s="129" t="n"/>
      <c r="CH303" s="129" t="n"/>
      <c r="CI303" s="129" t="n"/>
      <c r="CJ303" s="129" t="n"/>
      <c r="CK303" s="129" t="n"/>
      <c r="CL303" s="129" t="n"/>
      <c r="CM303" s="129" t="n"/>
      <c r="CN303" s="129" t="n"/>
      <c r="CO303" s="129" t="n"/>
      <c r="CP303" s="129" t="n"/>
      <c r="CQ303" s="129" t="n"/>
      <c r="CR303" s="129" t="n"/>
      <c r="CS303" s="129" t="n"/>
      <c r="CT303" s="129" t="n"/>
      <c r="CU303" s="129" t="n"/>
      <c r="CV303" s="129" t="n"/>
      <c r="CW303" s="129" t="n"/>
      <c r="CX303" s="129" t="n"/>
      <c r="CY303" s="129" t="n"/>
      <c r="CZ303" s="129" t="n"/>
      <c r="DA303" s="129" t="n"/>
      <c r="DB303" s="129" t="n"/>
      <c r="DC303" s="129" t="n"/>
      <c r="DD303" s="129" t="n"/>
      <c r="DE303" s="129" t="n"/>
      <c r="DF303" s="129" t="n"/>
      <c r="DG303" s="129" t="n"/>
      <c r="DH303" s="129" t="n"/>
      <c r="DI303" s="129" t="n"/>
      <c r="DJ303" s="129" t="n"/>
      <c r="DK303" s="129" t="n"/>
      <c r="DL303" s="129" t="n"/>
      <c r="DM303" s="129" t="n"/>
      <c r="DN303" s="129" t="n"/>
      <c r="DO303" s="129" t="n"/>
      <c r="DP303" s="129" t="n"/>
      <c r="DQ303" s="129" t="n"/>
      <c r="DR303" s="129" t="n"/>
      <c r="DS303" s="129" t="n"/>
      <c r="DT303" s="129" t="n"/>
      <c r="DU303" s="129" t="n"/>
      <c r="DV303" s="129" t="n"/>
      <c r="DW303" s="129" t="n"/>
      <c r="DX303" s="129" t="n"/>
      <c r="DY303" s="129" t="n"/>
      <c r="DZ303" s="129" t="n"/>
      <c r="EA303" s="129" t="n"/>
      <c r="EB303" s="129" t="n"/>
      <c r="EC303" s="129" t="n"/>
      <c r="ED303" s="129" t="n"/>
      <c r="EE303" s="129" t="n"/>
      <c r="EF303" s="129" t="n"/>
      <c r="EG303" s="129" t="n"/>
      <c r="EH303" s="129" t="n"/>
      <c r="EI303" s="129" t="n"/>
      <c r="EJ303" s="129" t="n"/>
      <c r="EK303" s="129" t="n"/>
      <c r="EL303" s="129" t="n"/>
      <c r="EM303" s="129" t="n"/>
      <c r="EN303" s="129" t="n"/>
      <c r="EO303" s="129" t="n"/>
      <c r="EP303" s="129" t="n"/>
      <c r="EQ303" s="129" t="n"/>
      <c r="ER303" s="129" t="n"/>
      <c r="ES303" s="129" t="n"/>
      <c r="ET303" s="129" t="n"/>
      <c r="EU303" s="129" t="n"/>
      <c r="EV303" s="129" t="n"/>
      <c r="EW303" s="129" t="n"/>
      <c r="EX303" s="129" t="n"/>
      <c r="EY303" s="129" t="n"/>
      <c r="EZ303" s="129" t="n"/>
      <c r="FA303" s="129" t="n"/>
      <c r="FB303" s="129" t="n"/>
      <c r="FC303" s="129" t="n"/>
      <c r="FD303" s="129" t="n"/>
      <c r="FE303" s="129" t="n"/>
      <c r="FF303" s="129" t="n"/>
      <c r="FG303" s="129" t="n"/>
      <c r="FH303" s="129" t="n"/>
      <c r="FI303" s="129" t="n"/>
      <c r="FJ303" s="129" t="n"/>
      <c r="FK303" s="129" t="n"/>
      <c r="FL303" s="129" t="n"/>
      <c r="FM303" s="129" t="n"/>
    </row>
    <row r="304" s="135">
      <c r="A304" s="53" t="n">
        <v>42247</v>
      </c>
      <c r="B304" s="54" t="n">
        <v>0.061</v>
      </c>
      <c r="C304" s="29" t="n">
        <v>47.3</v>
      </c>
      <c r="D304" s="129" t="n"/>
      <c r="E304" s="129" t="n"/>
      <c r="F304" s="129" t="n"/>
      <c r="G304" s="129" t="n"/>
      <c r="H304" s="129" t="n"/>
      <c r="I304" s="129" t="n"/>
      <c r="J304" s="129" t="n"/>
      <c r="K304" s="129" t="n"/>
      <c r="L304" s="129" t="n"/>
      <c r="M304" s="129" t="n"/>
      <c r="N304" s="129" t="n"/>
      <c r="O304" s="129" t="n"/>
      <c r="P304" s="129" t="n"/>
      <c r="Q304" s="129" t="n"/>
      <c r="R304" s="129" t="n"/>
      <c r="S304" s="129" t="n"/>
      <c r="T304" s="129" t="n"/>
      <c r="U304" s="129" t="n"/>
      <c r="V304" s="129" t="n"/>
      <c r="W304" s="129" t="n"/>
      <c r="X304" s="129" t="n"/>
      <c r="Y304" s="129" t="n"/>
      <c r="Z304" s="129" t="n"/>
      <c r="AA304" s="129" t="n"/>
      <c r="AB304" s="129" t="n"/>
      <c r="AC304" s="129" t="n"/>
      <c r="AD304" s="129" t="n"/>
      <c r="AE304" s="129" t="n"/>
      <c r="AF304" s="129" t="n"/>
      <c r="AG304" s="129" t="n"/>
      <c r="AH304" s="129" t="n"/>
      <c r="AI304" s="129" t="n"/>
      <c r="AJ304" s="129" t="n"/>
      <c r="AK304" s="129" t="n"/>
      <c r="AL304" s="129" t="n"/>
      <c r="AM304" s="129" t="n"/>
      <c r="AN304" s="129" t="n"/>
      <c r="AO304" s="129" t="n"/>
      <c r="AP304" s="129" t="n"/>
      <c r="AQ304" s="129" t="n"/>
      <c r="AR304" s="129" t="n"/>
      <c r="AS304" s="129" t="n"/>
      <c r="AT304" s="129" t="n"/>
      <c r="AU304" s="129" t="n"/>
      <c r="AV304" s="129" t="n"/>
      <c r="AW304" s="129" t="n"/>
      <c r="AX304" s="129" t="n"/>
      <c r="AY304" s="129" t="n"/>
      <c r="AZ304" s="129" t="n"/>
      <c r="BA304" s="129" t="n"/>
      <c r="BB304" s="129" t="n"/>
      <c r="BC304" s="129" t="n"/>
      <c r="BD304" s="129" t="n"/>
      <c r="BE304" s="129" t="n"/>
      <c r="BF304" s="129" t="n"/>
      <c r="BG304" s="129" t="n"/>
      <c r="BH304" s="129" t="n"/>
      <c r="BI304" s="129" t="n"/>
      <c r="BJ304" s="129" t="n"/>
      <c r="BK304" s="129" t="n"/>
      <c r="BL304" s="129" t="n"/>
      <c r="BM304" s="129" t="n"/>
      <c r="BN304" s="129" t="n"/>
      <c r="BO304" s="129" t="n"/>
      <c r="BP304" s="129" t="n"/>
      <c r="BQ304" s="129" t="n"/>
      <c r="BR304" s="129" t="n"/>
      <c r="BS304" s="129" t="n"/>
      <c r="BT304" s="129" t="n"/>
      <c r="BU304" s="129" t="n"/>
      <c r="BV304" s="129" t="n"/>
      <c r="BW304" s="129" t="n"/>
      <c r="BX304" s="129" t="n"/>
      <c r="BY304" s="129" t="n"/>
      <c r="BZ304" s="129" t="n"/>
      <c r="CA304" s="129" t="n"/>
      <c r="CB304" s="129" t="n"/>
      <c r="CC304" s="129" t="n"/>
      <c r="CD304" s="129" t="n"/>
      <c r="CE304" s="129" t="n"/>
      <c r="CF304" s="129" t="n"/>
      <c r="CG304" s="129" t="n"/>
      <c r="CH304" s="129" t="n"/>
      <c r="CI304" s="129" t="n"/>
      <c r="CJ304" s="129" t="n"/>
      <c r="CK304" s="129" t="n"/>
      <c r="CL304" s="129" t="n"/>
      <c r="CM304" s="129" t="n"/>
      <c r="CN304" s="129" t="n"/>
      <c r="CO304" s="129" t="n"/>
      <c r="CP304" s="129" t="n"/>
      <c r="CQ304" s="129" t="n"/>
      <c r="CR304" s="129" t="n"/>
      <c r="CS304" s="129" t="n"/>
      <c r="CT304" s="129" t="n"/>
      <c r="CU304" s="129" t="n"/>
      <c r="CV304" s="129" t="n"/>
      <c r="CW304" s="129" t="n"/>
      <c r="CX304" s="129" t="n"/>
      <c r="CY304" s="129" t="n"/>
      <c r="CZ304" s="129" t="n"/>
      <c r="DA304" s="129" t="n"/>
      <c r="DB304" s="129" t="n"/>
      <c r="DC304" s="129" t="n"/>
      <c r="DD304" s="129" t="n"/>
      <c r="DE304" s="129" t="n"/>
      <c r="DF304" s="129" t="n"/>
      <c r="DG304" s="129" t="n"/>
      <c r="DH304" s="129" t="n"/>
      <c r="DI304" s="129" t="n"/>
      <c r="DJ304" s="129" t="n"/>
      <c r="DK304" s="129" t="n"/>
      <c r="DL304" s="129" t="n"/>
      <c r="DM304" s="129" t="n"/>
      <c r="DN304" s="129" t="n"/>
      <c r="DO304" s="129" t="n"/>
      <c r="DP304" s="129" t="n"/>
      <c r="DQ304" s="129" t="n"/>
      <c r="DR304" s="129" t="n"/>
      <c r="DS304" s="129" t="n"/>
      <c r="DT304" s="129" t="n"/>
      <c r="DU304" s="129" t="n"/>
      <c r="DV304" s="129" t="n"/>
      <c r="DW304" s="129" t="n"/>
      <c r="DX304" s="129" t="n"/>
      <c r="DY304" s="129" t="n"/>
      <c r="DZ304" s="129" t="n"/>
      <c r="EA304" s="129" t="n"/>
      <c r="EB304" s="129" t="n"/>
      <c r="EC304" s="129" t="n"/>
      <c r="ED304" s="129" t="n"/>
      <c r="EE304" s="129" t="n"/>
      <c r="EF304" s="129" t="n"/>
      <c r="EG304" s="129" t="n"/>
      <c r="EH304" s="129" t="n"/>
      <c r="EI304" s="129" t="n"/>
      <c r="EJ304" s="129" t="n"/>
      <c r="EK304" s="129" t="n"/>
      <c r="EL304" s="129" t="n"/>
      <c r="EM304" s="129" t="n"/>
      <c r="EN304" s="129" t="n"/>
      <c r="EO304" s="129" t="n"/>
      <c r="EP304" s="129" t="n"/>
      <c r="EQ304" s="129" t="n"/>
      <c r="ER304" s="129" t="n"/>
      <c r="ES304" s="129" t="n"/>
      <c r="ET304" s="129" t="n"/>
      <c r="EU304" s="129" t="n"/>
      <c r="EV304" s="129" t="n"/>
      <c r="EW304" s="129" t="n"/>
      <c r="EX304" s="129" t="n"/>
      <c r="EY304" s="129" t="n"/>
      <c r="EZ304" s="129" t="n"/>
      <c r="FA304" s="129" t="n"/>
      <c r="FB304" s="129" t="n"/>
      <c r="FC304" s="129" t="n"/>
      <c r="FD304" s="129" t="n"/>
      <c r="FE304" s="129" t="n"/>
      <c r="FF304" s="129" t="n"/>
      <c r="FG304" s="129" t="n"/>
      <c r="FH304" s="129" t="n"/>
      <c r="FI304" s="129" t="n"/>
      <c r="FJ304" s="129" t="n"/>
      <c r="FK304" s="129" t="n"/>
      <c r="FL304" s="129" t="n"/>
      <c r="FM304" s="129" t="n"/>
    </row>
    <row r="305" s="135">
      <c r="A305" s="52" t="n">
        <v>42277</v>
      </c>
      <c r="B305" s="30" t="n">
        <v>0.057</v>
      </c>
      <c r="C305" s="29" t="n">
        <v>47.2</v>
      </c>
      <c r="D305" s="129" t="n"/>
      <c r="E305" s="129" t="n"/>
      <c r="F305" s="129" t="n"/>
      <c r="G305" s="129" t="n"/>
      <c r="H305" s="129" t="n"/>
      <c r="I305" s="129" t="n"/>
      <c r="J305" s="129" t="n"/>
      <c r="K305" s="129" t="n"/>
      <c r="L305" s="129" t="n"/>
      <c r="M305" s="129" t="n"/>
      <c r="N305" s="129" t="n"/>
      <c r="O305" s="129" t="n"/>
      <c r="P305" s="129" t="n"/>
      <c r="Q305" s="129" t="n"/>
      <c r="R305" s="129" t="n"/>
      <c r="S305" s="129" t="n"/>
      <c r="T305" s="129" t="n"/>
      <c r="U305" s="129" t="n"/>
      <c r="V305" s="129" t="n"/>
      <c r="W305" s="129" t="n"/>
      <c r="X305" s="129" t="n"/>
      <c r="Y305" s="129" t="n"/>
      <c r="Z305" s="129" t="n"/>
      <c r="AA305" s="129" t="n"/>
      <c r="AB305" s="129" t="n"/>
      <c r="AC305" s="129" t="n"/>
      <c r="AD305" s="129" t="n"/>
      <c r="AE305" s="129" t="n"/>
      <c r="AF305" s="129" t="n"/>
      <c r="AG305" s="129" t="n"/>
      <c r="AH305" s="129" t="n"/>
      <c r="AI305" s="129" t="n"/>
      <c r="AJ305" s="129" t="n"/>
      <c r="AK305" s="129" t="n"/>
      <c r="AL305" s="129" t="n"/>
      <c r="AM305" s="129" t="n"/>
      <c r="AN305" s="129" t="n"/>
      <c r="AO305" s="129" t="n"/>
      <c r="AP305" s="129" t="n"/>
      <c r="AQ305" s="129" t="n"/>
      <c r="AR305" s="129" t="n"/>
      <c r="AS305" s="129" t="n"/>
      <c r="AT305" s="129" t="n"/>
      <c r="AU305" s="129" t="n"/>
      <c r="AV305" s="129" t="n"/>
      <c r="AW305" s="129" t="n"/>
      <c r="AX305" s="129" t="n"/>
      <c r="AY305" s="129" t="n"/>
      <c r="AZ305" s="129" t="n"/>
      <c r="BA305" s="129" t="n"/>
      <c r="BB305" s="129" t="n"/>
      <c r="BC305" s="129" t="n"/>
      <c r="BD305" s="129" t="n"/>
      <c r="BE305" s="129" t="n"/>
      <c r="BF305" s="129" t="n"/>
      <c r="BG305" s="129" t="n"/>
      <c r="BH305" s="129" t="n"/>
      <c r="BI305" s="129" t="n"/>
      <c r="BJ305" s="129" t="n"/>
      <c r="BK305" s="129" t="n"/>
      <c r="BL305" s="129" t="n"/>
      <c r="BM305" s="129" t="n"/>
      <c r="BN305" s="129" t="n"/>
      <c r="BO305" s="129" t="n"/>
      <c r="BP305" s="129" t="n"/>
      <c r="BQ305" s="129" t="n"/>
      <c r="BR305" s="129" t="n"/>
      <c r="BS305" s="129" t="n"/>
      <c r="BT305" s="129" t="n"/>
      <c r="BU305" s="129" t="n"/>
      <c r="BV305" s="129" t="n"/>
      <c r="BW305" s="129" t="n"/>
      <c r="BX305" s="129" t="n"/>
      <c r="BY305" s="129" t="n"/>
      <c r="BZ305" s="129" t="n"/>
      <c r="CA305" s="129" t="n"/>
      <c r="CB305" s="129" t="n"/>
      <c r="CC305" s="129" t="n"/>
      <c r="CD305" s="129" t="n"/>
      <c r="CE305" s="129" t="n"/>
      <c r="CF305" s="129" t="n"/>
      <c r="CG305" s="129" t="n"/>
      <c r="CH305" s="129" t="n"/>
      <c r="CI305" s="129" t="n"/>
      <c r="CJ305" s="129" t="n"/>
      <c r="CK305" s="129" t="n"/>
      <c r="CL305" s="129" t="n"/>
      <c r="CM305" s="129" t="n"/>
      <c r="CN305" s="129" t="n"/>
      <c r="CO305" s="129" t="n"/>
      <c r="CP305" s="129" t="n"/>
      <c r="CQ305" s="129" t="n"/>
      <c r="CR305" s="129" t="n"/>
      <c r="CS305" s="129" t="n"/>
      <c r="CT305" s="129" t="n"/>
      <c r="CU305" s="129" t="n"/>
      <c r="CV305" s="129" t="n"/>
      <c r="CW305" s="129" t="n"/>
      <c r="CX305" s="129" t="n"/>
      <c r="CY305" s="129" t="n"/>
      <c r="CZ305" s="129" t="n"/>
      <c r="DA305" s="129" t="n"/>
      <c r="DB305" s="129" t="n"/>
      <c r="DC305" s="129" t="n"/>
      <c r="DD305" s="129" t="n"/>
      <c r="DE305" s="129" t="n"/>
      <c r="DF305" s="129" t="n"/>
      <c r="DG305" s="129" t="n"/>
      <c r="DH305" s="129" t="n"/>
      <c r="DI305" s="129" t="n"/>
      <c r="DJ305" s="129" t="n"/>
      <c r="DK305" s="129" t="n"/>
      <c r="DL305" s="129" t="n"/>
      <c r="DM305" s="129" t="n"/>
      <c r="DN305" s="129" t="n"/>
      <c r="DO305" s="129" t="n"/>
      <c r="DP305" s="129" t="n"/>
      <c r="DQ305" s="129" t="n"/>
      <c r="DR305" s="129" t="n"/>
      <c r="DS305" s="129" t="n"/>
      <c r="DT305" s="129" t="n"/>
      <c r="DU305" s="129" t="n"/>
      <c r="DV305" s="129" t="n"/>
      <c r="DW305" s="129" t="n"/>
      <c r="DX305" s="129" t="n"/>
      <c r="DY305" s="129" t="n"/>
      <c r="DZ305" s="129" t="n"/>
      <c r="EA305" s="129" t="n"/>
      <c r="EB305" s="129" t="n"/>
      <c r="EC305" s="129" t="n"/>
      <c r="ED305" s="129" t="n"/>
      <c r="EE305" s="129" t="n"/>
      <c r="EF305" s="129" t="n"/>
      <c r="EG305" s="129" t="n"/>
      <c r="EH305" s="129" t="n"/>
      <c r="EI305" s="129" t="n"/>
      <c r="EJ305" s="129" t="n"/>
      <c r="EK305" s="129" t="n"/>
      <c r="EL305" s="129" t="n"/>
      <c r="EM305" s="129" t="n"/>
      <c r="EN305" s="129" t="n"/>
      <c r="EO305" s="129" t="n"/>
      <c r="EP305" s="129" t="n"/>
      <c r="EQ305" s="129" t="n"/>
      <c r="ER305" s="129" t="n"/>
      <c r="ES305" s="129" t="n"/>
      <c r="ET305" s="129" t="n"/>
      <c r="EU305" s="129" t="n"/>
      <c r="EV305" s="129" t="n"/>
      <c r="EW305" s="129" t="n"/>
      <c r="EX305" s="129" t="n"/>
      <c r="EY305" s="129" t="n"/>
      <c r="EZ305" s="129" t="n"/>
      <c r="FA305" s="129" t="n"/>
      <c r="FB305" s="129" t="n"/>
      <c r="FC305" s="129" t="n"/>
      <c r="FD305" s="129" t="n"/>
      <c r="FE305" s="129" t="n"/>
      <c r="FF305" s="129" t="n"/>
      <c r="FG305" s="129" t="n"/>
      <c r="FH305" s="129" t="n"/>
      <c r="FI305" s="129" t="n"/>
      <c r="FJ305" s="129" t="n"/>
      <c r="FK305" s="129" t="n"/>
      <c r="FL305" s="129" t="n"/>
      <c r="FM305" s="129" t="n"/>
    </row>
    <row r="306" s="135">
      <c r="A306" s="53" t="n">
        <v>42308</v>
      </c>
      <c r="B306" s="54" t="n">
        <v>0.056</v>
      </c>
      <c r="C306" s="29" t="n">
        <v>48.3</v>
      </c>
      <c r="D306" s="129" t="n"/>
      <c r="E306" s="129" t="n"/>
      <c r="F306" s="129" t="n"/>
      <c r="G306" s="129" t="n"/>
      <c r="H306" s="129" t="n"/>
      <c r="I306" s="129" t="n"/>
      <c r="J306" s="129" t="n"/>
      <c r="K306" s="129" t="n"/>
      <c r="L306" s="129" t="n"/>
      <c r="M306" s="129" t="n"/>
      <c r="N306" s="129" t="n"/>
      <c r="O306" s="129" t="n"/>
      <c r="P306" s="129" t="n"/>
      <c r="Q306" s="129" t="n"/>
      <c r="R306" s="129" t="n"/>
      <c r="S306" s="129" t="n"/>
      <c r="T306" s="129" t="n"/>
      <c r="U306" s="129" t="n"/>
      <c r="V306" s="129" t="n"/>
      <c r="W306" s="129" t="n"/>
      <c r="X306" s="129" t="n"/>
      <c r="Y306" s="129" t="n"/>
      <c r="Z306" s="129" t="n"/>
      <c r="AA306" s="129" t="n"/>
      <c r="AB306" s="129" t="n"/>
      <c r="AC306" s="129" t="n"/>
      <c r="AD306" s="129" t="n"/>
      <c r="AE306" s="129" t="n"/>
      <c r="AF306" s="129" t="n"/>
      <c r="AG306" s="129" t="n"/>
      <c r="AH306" s="129" t="n"/>
      <c r="AI306" s="129" t="n"/>
      <c r="AJ306" s="129" t="n"/>
      <c r="AK306" s="129" t="n"/>
      <c r="AL306" s="129" t="n"/>
      <c r="AM306" s="129" t="n"/>
      <c r="AN306" s="129" t="n"/>
      <c r="AO306" s="129" t="n"/>
      <c r="AP306" s="129" t="n"/>
      <c r="AQ306" s="129" t="n"/>
      <c r="AR306" s="129" t="n"/>
      <c r="AS306" s="129" t="n"/>
      <c r="AT306" s="129" t="n"/>
      <c r="AU306" s="129" t="n"/>
      <c r="AV306" s="129" t="n"/>
      <c r="AW306" s="129" t="n"/>
      <c r="AX306" s="129" t="n"/>
      <c r="AY306" s="129" t="n"/>
      <c r="AZ306" s="129" t="n"/>
      <c r="BA306" s="129" t="n"/>
      <c r="BB306" s="129" t="n"/>
      <c r="BC306" s="129" t="n"/>
      <c r="BD306" s="129" t="n"/>
      <c r="BE306" s="129" t="n"/>
      <c r="BF306" s="129" t="n"/>
      <c r="BG306" s="129" t="n"/>
      <c r="BH306" s="129" t="n"/>
      <c r="BI306" s="129" t="n"/>
      <c r="BJ306" s="129" t="n"/>
      <c r="BK306" s="129" t="n"/>
      <c r="BL306" s="129" t="n"/>
      <c r="BM306" s="129" t="n"/>
      <c r="BN306" s="129" t="n"/>
      <c r="BO306" s="129" t="n"/>
      <c r="BP306" s="129" t="n"/>
      <c r="BQ306" s="129" t="n"/>
      <c r="BR306" s="129" t="n"/>
      <c r="BS306" s="129" t="n"/>
      <c r="BT306" s="129" t="n"/>
      <c r="BU306" s="129" t="n"/>
      <c r="BV306" s="129" t="n"/>
      <c r="BW306" s="129" t="n"/>
      <c r="BX306" s="129" t="n"/>
      <c r="BY306" s="129" t="n"/>
      <c r="BZ306" s="129" t="n"/>
      <c r="CA306" s="129" t="n"/>
      <c r="CB306" s="129" t="n"/>
      <c r="CC306" s="129" t="n"/>
      <c r="CD306" s="129" t="n"/>
      <c r="CE306" s="129" t="n"/>
      <c r="CF306" s="129" t="n"/>
      <c r="CG306" s="129" t="n"/>
      <c r="CH306" s="129" t="n"/>
      <c r="CI306" s="129" t="n"/>
      <c r="CJ306" s="129" t="n"/>
      <c r="CK306" s="129" t="n"/>
      <c r="CL306" s="129" t="n"/>
      <c r="CM306" s="129" t="n"/>
      <c r="CN306" s="129" t="n"/>
      <c r="CO306" s="129" t="n"/>
      <c r="CP306" s="129" t="n"/>
      <c r="CQ306" s="129" t="n"/>
      <c r="CR306" s="129" t="n"/>
      <c r="CS306" s="129" t="n"/>
      <c r="CT306" s="129" t="n"/>
      <c r="CU306" s="129" t="n"/>
      <c r="CV306" s="129" t="n"/>
      <c r="CW306" s="129" t="n"/>
      <c r="CX306" s="129" t="n"/>
      <c r="CY306" s="129" t="n"/>
      <c r="CZ306" s="129" t="n"/>
      <c r="DA306" s="129" t="n"/>
      <c r="DB306" s="129" t="n"/>
      <c r="DC306" s="129" t="n"/>
      <c r="DD306" s="129" t="n"/>
      <c r="DE306" s="129" t="n"/>
      <c r="DF306" s="129" t="n"/>
      <c r="DG306" s="129" t="n"/>
      <c r="DH306" s="129" t="n"/>
      <c r="DI306" s="129" t="n"/>
      <c r="DJ306" s="129" t="n"/>
      <c r="DK306" s="129" t="n"/>
      <c r="DL306" s="129" t="n"/>
      <c r="DM306" s="129" t="n"/>
      <c r="DN306" s="129" t="n"/>
      <c r="DO306" s="129" t="n"/>
      <c r="DP306" s="129" t="n"/>
      <c r="DQ306" s="129" t="n"/>
      <c r="DR306" s="129" t="n"/>
      <c r="DS306" s="129" t="n"/>
      <c r="DT306" s="129" t="n"/>
      <c r="DU306" s="129" t="n"/>
      <c r="DV306" s="129" t="n"/>
      <c r="DW306" s="129" t="n"/>
      <c r="DX306" s="129" t="n"/>
      <c r="DY306" s="129" t="n"/>
      <c r="DZ306" s="129" t="n"/>
      <c r="EA306" s="129" t="n"/>
      <c r="EB306" s="129" t="n"/>
      <c r="EC306" s="129" t="n"/>
      <c r="ED306" s="129" t="n"/>
      <c r="EE306" s="129" t="n"/>
      <c r="EF306" s="129" t="n"/>
      <c r="EG306" s="129" t="n"/>
      <c r="EH306" s="129" t="n"/>
      <c r="EI306" s="129" t="n"/>
      <c r="EJ306" s="129" t="n"/>
      <c r="EK306" s="129" t="n"/>
      <c r="EL306" s="129" t="n"/>
      <c r="EM306" s="129" t="n"/>
      <c r="EN306" s="129" t="n"/>
      <c r="EO306" s="129" t="n"/>
      <c r="EP306" s="129" t="n"/>
      <c r="EQ306" s="129" t="n"/>
      <c r="ER306" s="129" t="n"/>
      <c r="ES306" s="129" t="n"/>
      <c r="ET306" s="129" t="n"/>
      <c r="EU306" s="129" t="n"/>
      <c r="EV306" s="129" t="n"/>
      <c r="EW306" s="129" t="n"/>
      <c r="EX306" s="129" t="n"/>
      <c r="EY306" s="129" t="n"/>
      <c r="EZ306" s="129" t="n"/>
      <c r="FA306" s="129" t="n"/>
      <c r="FB306" s="129" t="n"/>
      <c r="FC306" s="129" t="n"/>
      <c r="FD306" s="129" t="n"/>
      <c r="FE306" s="129" t="n"/>
      <c r="FF306" s="129" t="n"/>
      <c r="FG306" s="129" t="n"/>
      <c r="FH306" s="129" t="n"/>
      <c r="FI306" s="129" t="n"/>
      <c r="FJ306" s="129" t="n"/>
      <c r="FK306" s="129" t="n"/>
      <c r="FL306" s="129" t="n"/>
      <c r="FM306" s="129" t="n"/>
    </row>
    <row r="307" s="135">
      <c r="A307" s="52" t="n">
        <v>42338</v>
      </c>
      <c r="B307" s="30" t="n">
        <v>0.062</v>
      </c>
      <c r="C307" s="29" t="n">
        <v>48.6</v>
      </c>
      <c r="D307" s="129" t="n"/>
      <c r="E307" s="129" t="n"/>
      <c r="F307" s="129" t="n"/>
      <c r="G307" s="129" t="n"/>
      <c r="H307" s="129" t="n"/>
      <c r="I307" s="129" t="n"/>
      <c r="J307" s="129" t="n"/>
      <c r="K307" s="129" t="n"/>
      <c r="L307" s="129" t="n"/>
      <c r="M307" s="129" t="n"/>
      <c r="N307" s="129" t="n"/>
      <c r="O307" s="129" t="n"/>
      <c r="P307" s="129" t="n"/>
      <c r="Q307" s="129" t="n"/>
      <c r="R307" s="129" t="n"/>
      <c r="S307" s="129" t="n"/>
      <c r="T307" s="129" t="n"/>
      <c r="U307" s="129" t="n"/>
      <c r="V307" s="129" t="n"/>
      <c r="W307" s="129" t="n"/>
      <c r="X307" s="129" t="n"/>
      <c r="Y307" s="129" t="n"/>
      <c r="Z307" s="129" t="n"/>
      <c r="AA307" s="129" t="n"/>
      <c r="AB307" s="129" t="n"/>
      <c r="AC307" s="129" t="n"/>
      <c r="AD307" s="129" t="n"/>
      <c r="AE307" s="129" t="n"/>
      <c r="AF307" s="129" t="n"/>
      <c r="AG307" s="129" t="n"/>
      <c r="AH307" s="129" t="n"/>
      <c r="AI307" s="129" t="n"/>
      <c r="AJ307" s="129" t="n"/>
      <c r="AK307" s="129" t="n"/>
      <c r="AL307" s="129" t="n"/>
      <c r="AM307" s="129" t="n"/>
      <c r="AN307" s="129" t="n"/>
      <c r="AO307" s="129" t="n"/>
      <c r="AP307" s="129" t="n"/>
      <c r="AQ307" s="129" t="n"/>
      <c r="AR307" s="129" t="n"/>
      <c r="AS307" s="129" t="n"/>
      <c r="AT307" s="129" t="n"/>
      <c r="AU307" s="129" t="n"/>
      <c r="AV307" s="129" t="n"/>
      <c r="AW307" s="129" t="n"/>
      <c r="AX307" s="129" t="n"/>
      <c r="AY307" s="129" t="n"/>
      <c r="AZ307" s="129" t="n"/>
      <c r="BA307" s="129" t="n"/>
      <c r="BB307" s="129" t="n"/>
      <c r="BC307" s="129" t="n"/>
      <c r="BD307" s="129" t="n"/>
      <c r="BE307" s="129" t="n"/>
      <c r="BF307" s="129" t="n"/>
      <c r="BG307" s="129" t="n"/>
      <c r="BH307" s="129" t="n"/>
      <c r="BI307" s="129" t="n"/>
      <c r="BJ307" s="129" t="n"/>
      <c r="BK307" s="129" t="n"/>
      <c r="BL307" s="129" t="n"/>
      <c r="BM307" s="129" t="n"/>
      <c r="BN307" s="129" t="n"/>
      <c r="BO307" s="129" t="n"/>
      <c r="BP307" s="129" t="n"/>
      <c r="BQ307" s="129" t="n"/>
      <c r="BR307" s="129" t="n"/>
      <c r="BS307" s="129" t="n"/>
      <c r="BT307" s="129" t="n"/>
      <c r="BU307" s="129" t="n"/>
      <c r="BV307" s="129" t="n"/>
      <c r="BW307" s="129" t="n"/>
      <c r="BX307" s="129" t="n"/>
      <c r="BY307" s="129" t="n"/>
      <c r="BZ307" s="129" t="n"/>
      <c r="CA307" s="129" t="n"/>
      <c r="CB307" s="129" t="n"/>
      <c r="CC307" s="129" t="n"/>
      <c r="CD307" s="129" t="n"/>
      <c r="CE307" s="129" t="n"/>
      <c r="CF307" s="129" t="n"/>
      <c r="CG307" s="129" t="n"/>
      <c r="CH307" s="129" t="n"/>
      <c r="CI307" s="129" t="n"/>
      <c r="CJ307" s="129" t="n"/>
      <c r="CK307" s="129" t="n"/>
      <c r="CL307" s="129" t="n"/>
      <c r="CM307" s="129" t="n"/>
      <c r="CN307" s="129" t="n"/>
      <c r="CO307" s="129" t="n"/>
      <c r="CP307" s="129" t="n"/>
      <c r="CQ307" s="129" t="n"/>
      <c r="CR307" s="129" t="n"/>
      <c r="CS307" s="129" t="n"/>
      <c r="CT307" s="129" t="n"/>
      <c r="CU307" s="129" t="n"/>
      <c r="CV307" s="129" t="n"/>
      <c r="CW307" s="129" t="n"/>
      <c r="CX307" s="129" t="n"/>
      <c r="CY307" s="129" t="n"/>
      <c r="CZ307" s="129" t="n"/>
      <c r="DA307" s="129" t="n"/>
      <c r="DB307" s="129" t="n"/>
      <c r="DC307" s="129" t="n"/>
      <c r="DD307" s="129" t="n"/>
      <c r="DE307" s="129" t="n"/>
      <c r="DF307" s="129" t="n"/>
      <c r="DG307" s="129" t="n"/>
      <c r="DH307" s="129" t="n"/>
      <c r="DI307" s="129" t="n"/>
      <c r="DJ307" s="129" t="n"/>
      <c r="DK307" s="129" t="n"/>
      <c r="DL307" s="129" t="n"/>
      <c r="DM307" s="129" t="n"/>
      <c r="DN307" s="129" t="n"/>
      <c r="DO307" s="129" t="n"/>
      <c r="DP307" s="129" t="n"/>
      <c r="DQ307" s="129" t="n"/>
      <c r="DR307" s="129" t="n"/>
      <c r="DS307" s="129" t="n"/>
      <c r="DT307" s="129" t="n"/>
      <c r="DU307" s="129" t="n"/>
      <c r="DV307" s="129" t="n"/>
      <c r="DW307" s="129" t="n"/>
      <c r="DX307" s="129" t="n"/>
      <c r="DY307" s="129" t="n"/>
      <c r="DZ307" s="129" t="n"/>
      <c r="EA307" s="129" t="n"/>
      <c r="EB307" s="129" t="n"/>
      <c r="EC307" s="129" t="n"/>
      <c r="ED307" s="129" t="n"/>
      <c r="EE307" s="129" t="n"/>
      <c r="EF307" s="129" t="n"/>
      <c r="EG307" s="129" t="n"/>
      <c r="EH307" s="129" t="n"/>
      <c r="EI307" s="129" t="n"/>
      <c r="EJ307" s="129" t="n"/>
      <c r="EK307" s="129" t="n"/>
      <c r="EL307" s="129" t="n"/>
      <c r="EM307" s="129" t="n"/>
      <c r="EN307" s="129" t="n"/>
      <c r="EO307" s="129" t="n"/>
      <c r="EP307" s="129" t="n"/>
      <c r="EQ307" s="129" t="n"/>
      <c r="ER307" s="129" t="n"/>
      <c r="ES307" s="129" t="n"/>
      <c r="ET307" s="129" t="n"/>
      <c r="EU307" s="129" t="n"/>
      <c r="EV307" s="129" t="n"/>
      <c r="EW307" s="129" t="n"/>
      <c r="EX307" s="129" t="n"/>
      <c r="EY307" s="129" t="n"/>
      <c r="EZ307" s="129" t="n"/>
      <c r="FA307" s="129" t="n"/>
      <c r="FB307" s="129" t="n"/>
      <c r="FC307" s="129" t="n"/>
      <c r="FD307" s="129" t="n"/>
      <c r="FE307" s="129" t="n"/>
      <c r="FF307" s="129" t="n"/>
      <c r="FG307" s="129" t="n"/>
      <c r="FH307" s="129" t="n"/>
      <c r="FI307" s="129" t="n"/>
      <c r="FJ307" s="129" t="n"/>
      <c r="FK307" s="129" t="n"/>
      <c r="FL307" s="129" t="n"/>
      <c r="FM307" s="129" t="n"/>
    </row>
    <row r="308" s="135">
      <c r="A308" s="53" t="n">
        <v>42369</v>
      </c>
      <c r="B308" s="54" t="n">
        <v>0.059</v>
      </c>
      <c r="C308" s="29" t="n">
        <v>48.2</v>
      </c>
      <c r="D308" s="129" t="n"/>
      <c r="E308" s="129" t="n"/>
      <c r="F308" s="129" t="n"/>
      <c r="G308" s="129" t="n"/>
      <c r="H308" s="129" t="n"/>
      <c r="I308" s="129" t="n"/>
      <c r="J308" s="129" t="n"/>
      <c r="K308" s="129" t="n"/>
      <c r="L308" s="129" t="n"/>
      <c r="M308" s="129" t="n"/>
      <c r="N308" s="129" t="n"/>
      <c r="O308" s="129" t="n"/>
      <c r="P308" s="129" t="n"/>
      <c r="Q308" s="129" t="n"/>
      <c r="R308" s="129" t="n"/>
      <c r="S308" s="129" t="n"/>
      <c r="T308" s="129" t="n"/>
      <c r="U308" s="129" t="n"/>
      <c r="V308" s="129" t="n"/>
      <c r="W308" s="129" t="n"/>
      <c r="X308" s="129" t="n"/>
      <c r="Y308" s="129" t="n"/>
      <c r="Z308" s="129" t="n"/>
      <c r="AA308" s="129" t="n"/>
      <c r="AB308" s="129" t="n"/>
      <c r="AC308" s="129" t="n"/>
      <c r="AD308" s="129" t="n"/>
      <c r="AE308" s="129" t="n"/>
      <c r="AF308" s="129" t="n"/>
      <c r="AG308" s="129" t="n"/>
      <c r="AH308" s="129" t="n"/>
      <c r="AI308" s="129" t="n"/>
      <c r="AJ308" s="129" t="n"/>
      <c r="AK308" s="129" t="n"/>
      <c r="AL308" s="129" t="n"/>
      <c r="AM308" s="129" t="n"/>
      <c r="AN308" s="129" t="n"/>
      <c r="AO308" s="129" t="n"/>
      <c r="AP308" s="129" t="n"/>
      <c r="AQ308" s="129" t="n"/>
      <c r="AR308" s="129" t="n"/>
      <c r="AS308" s="129" t="n"/>
      <c r="AT308" s="129" t="n"/>
      <c r="AU308" s="129" t="n"/>
      <c r="AV308" s="129" t="n"/>
      <c r="AW308" s="129" t="n"/>
      <c r="AX308" s="129" t="n"/>
      <c r="AY308" s="129" t="n"/>
      <c r="AZ308" s="129" t="n"/>
      <c r="BA308" s="129" t="n"/>
      <c r="BB308" s="129" t="n"/>
      <c r="BC308" s="129" t="n"/>
      <c r="BD308" s="129" t="n"/>
      <c r="BE308" s="129" t="n"/>
      <c r="BF308" s="129" t="n"/>
      <c r="BG308" s="129" t="n"/>
      <c r="BH308" s="129" t="n"/>
      <c r="BI308" s="129" t="n"/>
      <c r="BJ308" s="129" t="n"/>
      <c r="BK308" s="129" t="n"/>
      <c r="BL308" s="129" t="n"/>
      <c r="BM308" s="129" t="n"/>
      <c r="BN308" s="129" t="n"/>
      <c r="BO308" s="129" t="n"/>
      <c r="BP308" s="129" t="n"/>
      <c r="BQ308" s="129" t="n"/>
      <c r="BR308" s="129" t="n"/>
      <c r="BS308" s="129" t="n"/>
      <c r="BT308" s="129" t="n"/>
      <c r="BU308" s="129" t="n"/>
      <c r="BV308" s="129" t="n"/>
      <c r="BW308" s="129" t="n"/>
      <c r="BX308" s="129" t="n"/>
      <c r="BY308" s="129" t="n"/>
      <c r="BZ308" s="129" t="n"/>
      <c r="CA308" s="129" t="n"/>
      <c r="CB308" s="129" t="n"/>
      <c r="CC308" s="129" t="n"/>
      <c r="CD308" s="129" t="n"/>
      <c r="CE308" s="129" t="n"/>
      <c r="CF308" s="129" t="n"/>
      <c r="CG308" s="129" t="n"/>
      <c r="CH308" s="129" t="n"/>
      <c r="CI308" s="129" t="n"/>
      <c r="CJ308" s="129" t="n"/>
      <c r="CK308" s="129" t="n"/>
      <c r="CL308" s="129" t="n"/>
      <c r="CM308" s="129" t="n"/>
      <c r="CN308" s="129" t="n"/>
      <c r="CO308" s="129" t="n"/>
      <c r="CP308" s="129" t="n"/>
      <c r="CQ308" s="129" t="n"/>
      <c r="CR308" s="129" t="n"/>
      <c r="CS308" s="129" t="n"/>
      <c r="CT308" s="129" t="n"/>
      <c r="CU308" s="129" t="n"/>
      <c r="CV308" s="129" t="n"/>
      <c r="CW308" s="129" t="n"/>
      <c r="CX308" s="129" t="n"/>
      <c r="CY308" s="129" t="n"/>
      <c r="CZ308" s="129" t="n"/>
      <c r="DA308" s="129" t="n"/>
      <c r="DB308" s="129" t="n"/>
      <c r="DC308" s="129" t="n"/>
      <c r="DD308" s="129" t="n"/>
      <c r="DE308" s="129" t="n"/>
      <c r="DF308" s="129" t="n"/>
      <c r="DG308" s="129" t="n"/>
      <c r="DH308" s="129" t="n"/>
      <c r="DI308" s="129" t="n"/>
      <c r="DJ308" s="129" t="n"/>
      <c r="DK308" s="129" t="n"/>
      <c r="DL308" s="129" t="n"/>
      <c r="DM308" s="129" t="n"/>
      <c r="DN308" s="129" t="n"/>
      <c r="DO308" s="129" t="n"/>
      <c r="DP308" s="129" t="n"/>
      <c r="DQ308" s="129" t="n"/>
      <c r="DR308" s="129" t="n"/>
      <c r="DS308" s="129" t="n"/>
      <c r="DT308" s="129" t="n"/>
      <c r="DU308" s="129" t="n"/>
      <c r="DV308" s="129" t="n"/>
      <c r="DW308" s="129" t="n"/>
      <c r="DX308" s="129" t="n"/>
      <c r="DY308" s="129" t="n"/>
      <c r="DZ308" s="129" t="n"/>
      <c r="EA308" s="129" t="n"/>
      <c r="EB308" s="129" t="n"/>
      <c r="EC308" s="129" t="n"/>
      <c r="ED308" s="129" t="n"/>
      <c r="EE308" s="129" t="n"/>
      <c r="EF308" s="129" t="n"/>
      <c r="EG308" s="129" t="n"/>
      <c r="EH308" s="129" t="n"/>
      <c r="EI308" s="129" t="n"/>
      <c r="EJ308" s="129" t="n"/>
      <c r="EK308" s="129" t="n"/>
      <c r="EL308" s="129" t="n"/>
      <c r="EM308" s="129" t="n"/>
      <c r="EN308" s="129" t="n"/>
      <c r="EO308" s="129" t="n"/>
      <c r="EP308" s="129" t="n"/>
      <c r="EQ308" s="129" t="n"/>
      <c r="ER308" s="129" t="n"/>
      <c r="ES308" s="129" t="n"/>
      <c r="ET308" s="129" t="n"/>
      <c r="EU308" s="129" t="n"/>
      <c r="EV308" s="129" t="n"/>
      <c r="EW308" s="129" t="n"/>
      <c r="EX308" s="129" t="n"/>
      <c r="EY308" s="129" t="n"/>
      <c r="EZ308" s="129" t="n"/>
      <c r="FA308" s="129" t="n"/>
      <c r="FB308" s="129" t="n"/>
      <c r="FC308" s="129" t="n"/>
      <c r="FD308" s="129" t="n"/>
      <c r="FE308" s="129" t="n"/>
      <c r="FF308" s="129" t="n"/>
      <c r="FG308" s="129" t="n"/>
      <c r="FH308" s="129" t="n"/>
      <c r="FI308" s="129" t="n"/>
      <c r="FJ308" s="129" t="n"/>
      <c r="FK308" s="129" t="n"/>
      <c r="FL308" s="129" t="n"/>
      <c r="FM308" s="129" t="n"/>
    </row>
    <row r="309" s="135">
      <c r="A309" s="52" t="n">
        <v>42400</v>
      </c>
      <c r="B309" s="30" t="n">
        <v>0.054</v>
      </c>
      <c r="C309" s="29" t="n">
        <v>48.4</v>
      </c>
      <c r="D309" s="129" t="n"/>
      <c r="E309" s="129" t="n"/>
      <c r="F309" s="129" t="n"/>
      <c r="G309" s="129" t="n"/>
      <c r="H309" s="129" t="n"/>
      <c r="I309" s="129" t="n"/>
      <c r="J309" s="129" t="n"/>
      <c r="K309" s="129" t="n"/>
      <c r="L309" s="129" t="n"/>
      <c r="M309" s="129" t="n"/>
      <c r="N309" s="129" t="n"/>
      <c r="O309" s="129" t="n"/>
      <c r="P309" s="129" t="n"/>
      <c r="Q309" s="129" t="n"/>
      <c r="R309" s="129" t="n"/>
      <c r="S309" s="129" t="n"/>
      <c r="T309" s="129" t="n"/>
      <c r="U309" s="129" t="n"/>
      <c r="V309" s="129" t="n"/>
      <c r="W309" s="129" t="n"/>
      <c r="X309" s="129" t="n"/>
      <c r="Y309" s="129" t="n"/>
      <c r="Z309" s="129" t="n"/>
      <c r="AA309" s="129" t="n"/>
      <c r="AB309" s="129" t="n"/>
      <c r="AC309" s="129" t="n"/>
      <c r="AD309" s="129" t="n"/>
      <c r="AE309" s="129" t="n"/>
      <c r="AF309" s="129" t="n"/>
      <c r="AG309" s="129" t="n"/>
      <c r="AH309" s="129" t="n"/>
      <c r="AI309" s="129" t="n"/>
      <c r="AJ309" s="129" t="n"/>
      <c r="AK309" s="129" t="n"/>
      <c r="AL309" s="129" t="n"/>
      <c r="AM309" s="129" t="n"/>
      <c r="AN309" s="129" t="n"/>
      <c r="AO309" s="129" t="n"/>
      <c r="AP309" s="129" t="n"/>
      <c r="AQ309" s="129" t="n"/>
      <c r="AR309" s="129" t="n"/>
      <c r="AS309" s="129" t="n"/>
      <c r="AT309" s="129" t="n"/>
      <c r="AU309" s="129" t="n"/>
      <c r="AV309" s="129" t="n"/>
      <c r="AW309" s="129" t="n"/>
      <c r="AX309" s="129" t="n"/>
      <c r="AY309" s="129" t="n"/>
      <c r="AZ309" s="129" t="n"/>
      <c r="BA309" s="129" t="n"/>
      <c r="BB309" s="129" t="n"/>
      <c r="BC309" s="129" t="n"/>
      <c r="BD309" s="129" t="n"/>
      <c r="BE309" s="129" t="n"/>
      <c r="BF309" s="129" t="n"/>
      <c r="BG309" s="129" t="n"/>
      <c r="BH309" s="129" t="n"/>
      <c r="BI309" s="129" t="n"/>
      <c r="BJ309" s="129" t="n"/>
      <c r="BK309" s="129" t="n"/>
      <c r="BL309" s="129" t="n"/>
      <c r="BM309" s="129" t="n"/>
      <c r="BN309" s="129" t="n"/>
      <c r="BO309" s="129" t="n"/>
      <c r="BP309" s="129" t="n"/>
      <c r="BQ309" s="129" t="n"/>
      <c r="BR309" s="129" t="n"/>
      <c r="BS309" s="129" t="n"/>
      <c r="BT309" s="129" t="n"/>
      <c r="BU309" s="129" t="n"/>
      <c r="BV309" s="129" t="n"/>
      <c r="BW309" s="129" t="n"/>
      <c r="BX309" s="129" t="n"/>
      <c r="BY309" s="129" t="n"/>
      <c r="BZ309" s="129" t="n"/>
      <c r="CA309" s="129" t="n"/>
      <c r="CB309" s="129" t="n"/>
      <c r="CC309" s="129" t="n"/>
      <c r="CD309" s="129" t="n"/>
      <c r="CE309" s="129" t="n"/>
      <c r="CF309" s="129" t="n"/>
      <c r="CG309" s="129" t="n"/>
      <c r="CH309" s="129" t="n"/>
      <c r="CI309" s="129" t="n"/>
      <c r="CJ309" s="129" t="n"/>
      <c r="CK309" s="129" t="n"/>
      <c r="CL309" s="129" t="n"/>
      <c r="CM309" s="129" t="n"/>
      <c r="CN309" s="129" t="n"/>
      <c r="CO309" s="129" t="n"/>
      <c r="CP309" s="129" t="n"/>
      <c r="CQ309" s="129" t="n"/>
      <c r="CR309" s="129" t="n"/>
      <c r="CS309" s="129" t="n"/>
      <c r="CT309" s="129" t="n"/>
      <c r="CU309" s="129" t="n"/>
      <c r="CV309" s="129" t="n"/>
      <c r="CW309" s="129" t="n"/>
      <c r="CX309" s="129" t="n"/>
      <c r="CY309" s="129" t="n"/>
      <c r="CZ309" s="129" t="n"/>
      <c r="DA309" s="129" t="n"/>
      <c r="DB309" s="129" t="n"/>
      <c r="DC309" s="129" t="n"/>
      <c r="DD309" s="129" t="n"/>
      <c r="DE309" s="129" t="n"/>
      <c r="DF309" s="129" t="n"/>
      <c r="DG309" s="129" t="n"/>
      <c r="DH309" s="129" t="n"/>
      <c r="DI309" s="129" t="n"/>
      <c r="DJ309" s="129" t="n"/>
      <c r="DK309" s="129" t="n"/>
      <c r="DL309" s="129" t="n"/>
      <c r="DM309" s="129" t="n"/>
      <c r="DN309" s="129" t="n"/>
      <c r="DO309" s="129" t="n"/>
      <c r="DP309" s="129" t="n"/>
      <c r="DQ309" s="129" t="n"/>
      <c r="DR309" s="129" t="n"/>
      <c r="DS309" s="129" t="n"/>
      <c r="DT309" s="129" t="n"/>
      <c r="DU309" s="129" t="n"/>
      <c r="DV309" s="129" t="n"/>
      <c r="DW309" s="129" t="n"/>
      <c r="DX309" s="129" t="n"/>
      <c r="DY309" s="129" t="n"/>
      <c r="DZ309" s="129" t="n"/>
      <c r="EA309" s="129" t="n"/>
      <c r="EB309" s="129" t="n"/>
      <c r="EC309" s="129" t="n"/>
      <c r="ED309" s="129" t="n"/>
      <c r="EE309" s="129" t="n"/>
      <c r="EF309" s="129" t="n"/>
      <c r="EG309" s="129" t="n"/>
      <c r="EH309" s="129" t="n"/>
      <c r="EI309" s="129" t="n"/>
      <c r="EJ309" s="129" t="n"/>
      <c r="EK309" s="129" t="n"/>
      <c r="EL309" s="129" t="n"/>
      <c r="EM309" s="129" t="n"/>
      <c r="EN309" s="129" t="n"/>
      <c r="EO309" s="129" t="n"/>
      <c r="EP309" s="129" t="n"/>
      <c r="EQ309" s="129" t="n"/>
      <c r="ER309" s="129" t="n"/>
      <c r="ES309" s="129" t="n"/>
      <c r="ET309" s="129" t="n"/>
      <c r="EU309" s="129" t="n"/>
      <c r="EV309" s="129" t="n"/>
      <c r="EW309" s="129" t="n"/>
      <c r="EX309" s="129" t="n"/>
      <c r="EY309" s="129" t="n"/>
      <c r="EZ309" s="129" t="n"/>
      <c r="FA309" s="129" t="n"/>
      <c r="FB309" s="129" t="n"/>
      <c r="FC309" s="129" t="n"/>
      <c r="FD309" s="129" t="n"/>
      <c r="FE309" s="129" t="n"/>
      <c r="FF309" s="129" t="n"/>
      <c r="FG309" s="129" t="n"/>
      <c r="FH309" s="129" t="n"/>
      <c r="FI309" s="129" t="n"/>
      <c r="FJ309" s="129" t="n"/>
      <c r="FK309" s="129" t="n"/>
      <c r="FL309" s="129" t="n"/>
      <c r="FM309" s="129" t="n"/>
    </row>
    <row r="310" s="135">
      <c r="A310" s="53" t="n">
        <v>42460</v>
      </c>
      <c r="B310" s="54" t="n">
        <v>0.068</v>
      </c>
      <c r="C310" s="29" t="n">
        <v>49.7</v>
      </c>
      <c r="D310" s="129" t="n"/>
      <c r="E310" s="129" t="n"/>
      <c r="F310" s="129" t="n"/>
      <c r="G310" s="129" t="n"/>
      <c r="H310" s="129" t="n"/>
      <c r="I310" s="129" t="n"/>
      <c r="J310" s="129" t="n"/>
      <c r="K310" s="129" t="n"/>
      <c r="L310" s="129" t="n"/>
      <c r="M310" s="129" t="n"/>
      <c r="N310" s="129" t="n"/>
      <c r="O310" s="129" t="n"/>
      <c r="P310" s="129" t="n"/>
      <c r="Q310" s="129" t="n"/>
      <c r="R310" s="129" t="n"/>
      <c r="S310" s="129" t="n"/>
      <c r="T310" s="129" t="n"/>
      <c r="U310" s="129" t="n"/>
      <c r="V310" s="129" t="n"/>
      <c r="W310" s="129" t="n"/>
      <c r="X310" s="129" t="n"/>
      <c r="Y310" s="129" t="n"/>
      <c r="Z310" s="129" t="n"/>
      <c r="AA310" s="129" t="n"/>
      <c r="AB310" s="129" t="n"/>
      <c r="AC310" s="129" t="n"/>
      <c r="AD310" s="129" t="n"/>
      <c r="AE310" s="129" t="n"/>
      <c r="AF310" s="129" t="n"/>
      <c r="AG310" s="129" t="n"/>
      <c r="AH310" s="129" t="n"/>
      <c r="AI310" s="129" t="n"/>
      <c r="AJ310" s="129" t="n"/>
      <c r="AK310" s="129" t="n"/>
      <c r="AL310" s="129" t="n"/>
      <c r="AM310" s="129" t="n"/>
      <c r="AN310" s="129" t="n"/>
      <c r="AO310" s="129" t="n"/>
      <c r="AP310" s="129" t="n"/>
      <c r="AQ310" s="129" t="n"/>
      <c r="AR310" s="129" t="n"/>
      <c r="AS310" s="129" t="n"/>
      <c r="AT310" s="129" t="n"/>
      <c r="AU310" s="129" t="n"/>
      <c r="AV310" s="129" t="n"/>
      <c r="AW310" s="129" t="n"/>
      <c r="AX310" s="129" t="n"/>
      <c r="AY310" s="129" t="n"/>
      <c r="AZ310" s="129" t="n"/>
      <c r="BA310" s="129" t="n"/>
      <c r="BB310" s="129" t="n"/>
      <c r="BC310" s="129" t="n"/>
      <c r="BD310" s="129" t="n"/>
      <c r="BE310" s="129" t="n"/>
      <c r="BF310" s="129" t="n"/>
      <c r="BG310" s="129" t="n"/>
      <c r="BH310" s="129" t="n"/>
      <c r="BI310" s="129" t="n"/>
      <c r="BJ310" s="129" t="n"/>
      <c r="BK310" s="129" t="n"/>
      <c r="BL310" s="129" t="n"/>
      <c r="BM310" s="129" t="n"/>
      <c r="BN310" s="129" t="n"/>
      <c r="BO310" s="129" t="n"/>
      <c r="BP310" s="129" t="n"/>
      <c r="BQ310" s="129" t="n"/>
      <c r="BR310" s="129" t="n"/>
      <c r="BS310" s="129" t="n"/>
      <c r="BT310" s="129" t="n"/>
      <c r="BU310" s="129" t="n"/>
      <c r="BV310" s="129" t="n"/>
      <c r="BW310" s="129" t="n"/>
      <c r="BX310" s="129" t="n"/>
      <c r="BY310" s="129" t="n"/>
      <c r="BZ310" s="129" t="n"/>
      <c r="CA310" s="129" t="n"/>
      <c r="CB310" s="129" t="n"/>
      <c r="CC310" s="129" t="n"/>
      <c r="CD310" s="129" t="n"/>
      <c r="CE310" s="129" t="n"/>
      <c r="CF310" s="129" t="n"/>
      <c r="CG310" s="129" t="n"/>
      <c r="CH310" s="129" t="n"/>
      <c r="CI310" s="129" t="n"/>
      <c r="CJ310" s="129" t="n"/>
      <c r="CK310" s="129" t="n"/>
      <c r="CL310" s="129" t="n"/>
      <c r="CM310" s="129" t="n"/>
      <c r="CN310" s="129" t="n"/>
      <c r="CO310" s="129" t="n"/>
      <c r="CP310" s="129" t="n"/>
      <c r="CQ310" s="129" t="n"/>
      <c r="CR310" s="129" t="n"/>
      <c r="CS310" s="129" t="n"/>
      <c r="CT310" s="129" t="n"/>
      <c r="CU310" s="129" t="n"/>
      <c r="CV310" s="129" t="n"/>
      <c r="CW310" s="129" t="n"/>
      <c r="CX310" s="129" t="n"/>
      <c r="CY310" s="129" t="n"/>
      <c r="CZ310" s="129" t="n"/>
      <c r="DA310" s="129" t="n"/>
      <c r="DB310" s="129" t="n"/>
      <c r="DC310" s="129" t="n"/>
      <c r="DD310" s="129" t="n"/>
      <c r="DE310" s="129" t="n"/>
      <c r="DF310" s="129" t="n"/>
      <c r="DG310" s="129" t="n"/>
      <c r="DH310" s="129" t="n"/>
      <c r="DI310" s="129" t="n"/>
      <c r="DJ310" s="129" t="n"/>
      <c r="DK310" s="129" t="n"/>
      <c r="DL310" s="129" t="n"/>
      <c r="DM310" s="129" t="n"/>
      <c r="DN310" s="129" t="n"/>
      <c r="DO310" s="129" t="n"/>
      <c r="DP310" s="129" t="n"/>
      <c r="DQ310" s="129" t="n"/>
      <c r="DR310" s="129" t="n"/>
      <c r="DS310" s="129" t="n"/>
      <c r="DT310" s="129" t="n"/>
      <c r="DU310" s="129" t="n"/>
      <c r="DV310" s="129" t="n"/>
      <c r="DW310" s="129" t="n"/>
      <c r="DX310" s="129" t="n"/>
      <c r="DY310" s="129" t="n"/>
      <c r="DZ310" s="129" t="n"/>
      <c r="EA310" s="129" t="n"/>
      <c r="EB310" s="129" t="n"/>
      <c r="EC310" s="129" t="n"/>
      <c r="ED310" s="129" t="n"/>
      <c r="EE310" s="129" t="n"/>
      <c r="EF310" s="129" t="n"/>
      <c r="EG310" s="129" t="n"/>
      <c r="EH310" s="129" t="n"/>
      <c r="EI310" s="129" t="n"/>
      <c r="EJ310" s="129" t="n"/>
      <c r="EK310" s="129" t="n"/>
      <c r="EL310" s="129" t="n"/>
      <c r="EM310" s="129" t="n"/>
      <c r="EN310" s="129" t="n"/>
      <c r="EO310" s="129" t="n"/>
      <c r="EP310" s="129" t="n"/>
      <c r="EQ310" s="129" t="n"/>
      <c r="ER310" s="129" t="n"/>
      <c r="ES310" s="129" t="n"/>
      <c r="ET310" s="129" t="n"/>
      <c r="EU310" s="129" t="n"/>
      <c r="EV310" s="129" t="n"/>
      <c r="EW310" s="129" t="n"/>
      <c r="EX310" s="129" t="n"/>
      <c r="EY310" s="129" t="n"/>
      <c r="EZ310" s="129" t="n"/>
      <c r="FA310" s="129" t="n"/>
      <c r="FB310" s="129" t="n"/>
      <c r="FC310" s="129" t="n"/>
      <c r="FD310" s="129" t="n"/>
      <c r="FE310" s="129" t="n"/>
      <c r="FF310" s="129" t="n"/>
      <c r="FG310" s="129" t="n"/>
      <c r="FH310" s="129" t="n"/>
      <c r="FI310" s="129" t="n"/>
      <c r="FJ310" s="129" t="n"/>
      <c r="FK310" s="129" t="n"/>
      <c r="FL310" s="129" t="n"/>
      <c r="FM310" s="129" t="n"/>
    </row>
    <row r="311" s="135">
      <c r="A311" s="52" t="n">
        <v>42490</v>
      </c>
      <c r="B311" s="30" t="n">
        <v>0.06</v>
      </c>
      <c r="C311" s="29" t="n">
        <v>49.4</v>
      </c>
      <c r="D311" s="129" t="n"/>
      <c r="E311" s="129" t="n"/>
      <c r="F311" s="129" t="n"/>
      <c r="G311" s="129" t="n"/>
      <c r="H311" s="129" t="n"/>
      <c r="I311" s="129" t="n"/>
      <c r="J311" s="129" t="n"/>
      <c r="K311" s="129" t="n"/>
      <c r="L311" s="129" t="n"/>
      <c r="M311" s="129" t="n"/>
      <c r="N311" s="129" t="n"/>
      <c r="O311" s="129" t="n"/>
      <c r="P311" s="129" t="n"/>
      <c r="Q311" s="129" t="n"/>
      <c r="R311" s="129" t="n"/>
      <c r="S311" s="129" t="n"/>
      <c r="T311" s="129" t="n"/>
      <c r="U311" s="129" t="n"/>
      <c r="V311" s="129" t="n"/>
      <c r="W311" s="129" t="n"/>
      <c r="X311" s="129" t="n"/>
      <c r="Y311" s="129" t="n"/>
      <c r="Z311" s="129" t="n"/>
      <c r="AA311" s="129" t="n"/>
      <c r="AB311" s="129" t="n"/>
      <c r="AC311" s="129" t="n"/>
      <c r="AD311" s="129" t="n"/>
      <c r="AE311" s="129" t="n"/>
      <c r="AF311" s="129" t="n"/>
      <c r="AG311" s="129" t="n"/>
      <c r="AH311" s="129" t="n"/>
      <c r="AI311" s="129" t="n"/>
      <c r="AJ311" s="129" t="n"/>
      <c r="AK311" s="129" t="n"/>
      <c r="AL311" s="129" t="n"/>
      <c r="AM311" s="129" t="n"/>
      <c r="AN311" s="129" t="n"/>
      <c r="AO311" s="129" t="n"/>
      <c r="AP311" s="129" t="n"/>
      <c r="AQ311" s="129" t="n"/>
      <c r="AR311" s="129" t="n"/>
      <c r="AS311" s="129" t="n"/>
      <c r="AT311" s="129" t="n"/>
      <c r="AU311" s="129" t="n"/>
      <c r="AV311" s="129" t="n"/>
      <c r="AW311" s="129" t="n"/>
      <c r="AX311" s="129" t="n"/>
      <c r="AY311" s="129" t="n"/>
      <c r="AZ311" s="129" t="n"/>
      <c r="BA311" s="129" t="n"/>
      <c r="BB311" s="129" t="n"/>
      <c r="BC311" s="129" t="n"/>
      <c r="BD311" s="129" t="n"/>
      <c r="BE311" s="129" t="n"/>
      <c r="BF311" s="129" t="n"/>
      <c r="BG311" s="129" t="n"/>
      <c r="BH311" s="129" t="n"/>
      <c r="BI311" s="129" t="n"/>
      <c r="BJ311" s="129" t="n"/>
      <c r="BK311" s="129" t="n"/>
      <c r="BL311" s="129" t="n"/>
      <c r="BM311" s="129" t="n"/>
      <c r="BN311" s="129" t="n"/>
      <c r="BO311" s="129" t="n"/>
      <c r="BP311" s="129" t="n"/>
      <c r="BQ311" s="129" t="n"/>
      <c r="BR311" s="129" t="n"/>
      <c r="BS311" s="129" t="n"/>
      <c r="BT311" s="129" t="n"/>
      <c r="BU311" s="129" t="n"/>
      <c r="BV311" s="129" t="n"/>
      <c r="BW311" s="129" t="n"/>
      <c r="BX311" s="129" t="n"/>
      <c r="BY311" s="129" t="n"/>
      <c r="BZ311" s="129" t="n"/>
      <c r="CA311" s="129" t="n"/>
      <c r="CB311" s="129" t="n"/>
      <c r="CC311" s="129" t="n"/>
      <c r="CD311" s="129" t="n"/>
      <c r="CE311" s="129" t="n"/>
      <c r="CF311" s="129" t="n"/>
      <c r="CG311" s="129" t="n"/>
      <c r="CH311" s="129" t="n"/>
      <c r="CI311" s="129" t="n"/>
      <c r="CJ311" s="129" t="n"/>
      <c r="CK311" s="129" t="n"/>
      <c r="CL311" s="129" t="n"/>
      <c r="CM311" s="129" t="n"/>
      <c r="CN311" s="129" t="n"/>
      <c r="CO311" s="129" t="n"/>
      <c r="CP311" s="129" t="n"/>
      <c r="CQ311" s="129" t="n"/>
      <c r="CR311" s="129" t="n"/>
      <c r="CS311" s="129" t="n"/>
      <c r="CT311" s="129" t="n"/>
      <c r="CU311" s="129" t="n"/>
      <c r="CV311" s="129" t="n"/>
      <c r="CW311" s="129" t="n"/>
      <c r="CX311" s="129" t="n"/>
      <c r="CY311" s="129" t="n"/>
      <c r="CZ311" s="129" t="n"/>
      <c r="DA311" s="129" t="n"/>
      <c r="DB311" s="129" t="n"/>
      <c r="DC311" s="129" t="n"/>
      <c r="DD311" s="129" t="n"/>
      <c r="DE311" s="129" t="n"/>
      <c r="DF311" s="129" t="n"/>
      <c r="DG311" s="129" t="n"/>
      <c r="DH311" s="129" t="n"/>
      <c r="DI311" s="129" t="n"/>
      <c r="DJ311" s="129" t="n"/>
      <c r="DK311" s="129" t="n"/>
      <c r="DL311" s="129" t="n"/>
      <c r="DM311" s="129" t="n"/>
      <c r="DN311" s="129" t="n"/>
      <c r="DO311" s="129" t="n"/>
      <c r="DP311" s="129" t="n"/>
      <c r="DQ311" s="129" t="n"/>
      <c r="DR311" s="129" t="n"/>
      <c r="DS311" s="129" t="n"/>
      <c r="DT311" s="129" t="n"/>
      <c r="DU311" s="129" t="n"/>
      <c r="DV311" s="129" t="n"/>
      <c r="DW311" s="129" t="n"/>
      <c r="DX311" s="129" t="n"/>
      <c r="DY311" s="129" t="n"/>
      <c r="DZ311" s="129" t="n"/>
      <c r="EA311" s="129" t="n"/>
      <c r="EB311" s="129" t="n"/>
      <c r="EC311" s="129" t="n"/>
      <c r="ED311" s="129" t="n"/>
      <c r="EE311" s="129" t="n"/>
      <c r="EF311" s="129" t="n"/>
      <c r="EG311" s="129" t="n"/>
      <c r="EH311" s="129" t="n"/>
      <c r="EI311" s="129" t="n"/>
      <c r="EJ311" s="129" t="n"/>
      <c r="EK311" s="129" t="n"/>
      <c r="EL311" s="129" t="n"/>
      <c r="EM311" s="129" t="n"/>
      <c r="EN311" s="129" t="n"/>
      <c r="EO311" s="129" t="n"/>
      <c r="EP311" s="129" t="n"/>
      <c r="EQ311" s="129" t="n"/>
      <c r="ER311" s="129" t="n"/>
      <c r="ES311" s="129" t="n"/>
      <c r="ET311" s="129" t="n"/>
      <c r="EU311" s="129" t="n"/>
      <c r="EV311" s="129" t="n"/>
      <c r="EW311" s="129" t="n"/>
      <c r="EX311" s="129" t="n"/>
      <c r="EY311" s="129" t="n"/>
      <c r="EZ311" s="129" t="n"/>
      <c r="FA311" s="129" t="n"/>
      <c r="FB311" s="129" t="n"/>
      <c r="FC311" s="129" t="n"/>
      <c r="FD311" s="129" t="n"/>
      <c r="FE311" s="129" t="n"/>
      <c r="FF311" s="129" t="n"/>
      <c r="FG311" s="129" t="n"/>
      <c r="FH311" s="129" t="n"/>
      <c r="FI311" s="129" t="n"/>
      <c r="FJ311" s="129" t="n"/>
      <c r="FK311" s="129" t="n"/>
      <c r="FL311" s="129" t="n"/>
      <c r="FM311" s="129" t="n"/>
    </row>
    <row r="312" s="135">
      <c r="A312" s="53" t="n">
        <v>42521</v>
      </c>
      <c r="B312" s="54" t="n">
        <v>0.06</v>
      </c>
      <c r="C312" s="29" t="n">
        <v>49.2</v>
      </c>
      <c r="D312" s="129" t="n"/>
      <c r="E312" s="129" t="n"/>
      <c r="F312" s="129" t="n"/>
      <c r="G312" s="129" t="n"/>
      <c r="H312" s="129" t="n"/>
      <c r="I312" s="129" t="n"/>
      <c r="J312" s="129" t="n"/>
      <c r="K312" s="129" t="n"/>
      <c r="L312" s="129" t="n"/>
      <c r="M312" s="129" t="n"/>
      <c r="N312" s="129" t="n"/>
      <c r="O312" s="129" t="n"/>
      <c r="P312" s="129" t="n"/>
      <c r="Q312" s="129" t="n"/>
      <c r="R312" s="129" t="n"/>
      <c r="S312" s="129" t="n"/>
      <c r="T312" s="129" t="n"/>
      <c r="U312" s="129" t="n"/>
      <c r="V312" s="129" t="n"/>
      <c r="W312" s="129" t="n"/>
      <c r="X312" s="129" t="n"/>
      <c r="Y312" s="129" t="n"/>
      <c r="Z312" s="129" t="n"/>
      <c r="AA312" s="129" t="n"/>
      <c r="AB312" s="129" t="n"/>
      <c r="AC312" s="129" t="n"/>
      <c r="AD312" s="129" t="n"/>
      <c r="AE312" s="129" t="n"/>
      <c r="AF312" s="129" t="n"/>
      <c r="AG312" s="129" t="n"/>
      <c r="AH312" s="129" t="n"/>
      <c r="AI312" s="129" t="n"/>
      <c r="AJ312" s="129" t="n"/>
      <c r="AK312" s="129" t="n"/>
      <c r="AL312" s="129" t="n"/>
      <c r="AM312" s="129" t="n"/>
      <c r="AN312" s="129" t="n"/>
      <c r="AO312" s="129" t="n"/>
      <c r="AP312" s="129" t="n"/>
      <c r="AQ312" s="129" t="n"/>
      <c r="AR312" s="129" t="n"/>
      <c r="AS312" s="129" t="n"/>
      <c r="AT312" s="129" t="n"/>
      <c r="AU312" s="129" t="n"/>
      <c r="AV312" s="129" t="n"/>
      <c r="AW312" s="129" t="n"/>
      <c r="AX312" s="129" t="n"/>
      <c r="AY312" s="129" t="n"/>
      <c r="AZ312" s="129" t="n"/>
      <c r="BA312" s="129" t="n"/>
      <c r="BB312" s="129" t="n"/>
      <c r="BC312" s="129" t="n"/>
      <c r="BD312" s="129" t="n"/>
      <c r="BE312" s="129" t="n"/>
      <c r="BF312" s="129" t="n"/>
      <c r="BG312" s="129" t="n"/>
      <c r="BH312" s="129" t="n"/>
      <c r="BI312" s="129" t="n"/>
      <c r="BJ312" s="129" t="n"/>
      <c r="BK312" s="129" t="n"/>
      <c r="BL312" s="129" t="n"/>
      <c r="BM312" s="129" t="n"/>
      <c r="BN312" s="129" t="n"/>
      <c r="BO312" s="129" t="n"/>
      <c r="BP312" s="129" t="n"/>
      <c r="BQ312" s="129" t="n"/>
      <c r="BR312" s="129" t="n"/>
      <c r="BS312" s="129" t="n"/>
      <c r="BT312" s="129" t="n"/>
      <c r="BU312" s="129" t="n"/>
      <c r="BV312" s="129" t="n"/>
      <c r="BW312" s="129" t="n"/>
      <c r="BX312" s="129" t="n"/>
      <c r="BY312" s="129" t="n"/>
      <c r="BZ312" s="129" t="n"/>
      <c r="CA312" s="129" t="n"/>
      <c r="CB312" s="129" t="n"/>
      <c r="CC312" s="129" t="n"/>
      <c r="CD312" s="129" t="n"/>
      <c r="CE312" s="129" t="n"/>
      <c r="CF312" s="129" t="n"/>
      <c r="CG312" s="129" t="n"/>
      <c r="CH312" s="129" t="n"/>
      <c r="CI312" s="129" t="n"/>
      <c r="CJ312" s="129" t="n"/>
      <c r="CK312" s="129" t="n"/>
      <c r="CL312" s="129" t="n"/>
      <c r="CM312" s="129" t="n"/>
      <c r="CN312" s="129" t="n"/>
      <c r="CO312" s="129" t="n"/>
      <c r="CP312" s="129" t="n"/>
      <c r="CQ312" s="129" t="n"/>
      <c r="CR312" s="129" t="n"/>
      <c r="CS312" s="129" t="n"/>
      <c r="CT312" s="129" t="n"/>
      <c r="CU312" s="129" t="n"/>
      <c r="CV312" s="129" t="n"/>
      <c r="CW312" s="129" t="n"/>
      <c r="CX312" s="129" t="n"/>
      <c r="CY312" s="129" t="n"/>
      <c r="CZ312" s="129" t="n"/>
      <c r="DA312" s="129" t="n"/>
      <c r="DB312" s="129" t="n"/>
      <c r="DC312" s="129" t="n"/>
      <c r="DD312" s="129" t="n"/>
      <c r="DE312" s="129" t="n"/>
      <c r="DF312" s="129" t="n"/>
      <c r="DG312" s="129" t="n"/>
      <c r="DH312" s="129" t="n"/>
      <c r="DI312" s="129" t="n"/>
      <c r="DJ312" s="129" t="n"/>
      <c r="DK312" s="129" t="n"/>
      <c r="DL312" s="129" t="n"/>
      <c r="DM312" s="129" t="n"/>
      <c r="DN312" s="129" t="n"/>
      <c r="DO312" s="129" t="n"/>
      <c r="DP312" s="129" t="n"/>
      <c r="DQ312" s="129" t="n"/>
      <c r="DR312" s="129" t="n"/>
      <c r="DS312" s="129" t="n"/>
      <c r="DT312" s="129" t="n"/>
      <c r="DU312" s="129" t="n"/>
      <c r="DV312" s="129" t="n"/>
      <c r="DW312" s="129" t="n"/>
      <c r="DX312" s="129" t="n"/>
      <c r="DY312" s="129" t="n"/>
      <c r="DZ312" s="129" t="n"/>
      <c r="EA312" s="129" t="n"/>
      <c r="EB312" s="129" t="n"/>
      <c r="EC312" s="129" t="n"/>
      <c r="ED312" s="129" t="n"/>
      <c r="EE312" s="129" t="n"/>
      <c r="EF312" s="129" t="n"/>
      <c r="EG312" s="129" t="n"/>
      <c r="EH312" s="129" t="n"/>
      <c r="EI312" s="129" t="n"/>
      <c r="EJ312" s="129" t="n"/>
      <c r="EK312" s="129" t="n"/>
      <c r="EL312" s="129" t="n"/>
      <c r="EM312" s="129" t="n"/>
      <c r="EN312" s="129" t="n"/>
      <c r="EO312" s="129" t="n"/>
      <c r="EP312" s="129" t="n"/>
      <c r="EQ312" s="129" t="n"/>
      <c r="ER312" s="129" t="n"/>
      <c r="ES312" s="129" t="n"/>
      <c r="ET312" s="129" t="n"/>
      <c r="EU312" s="129" t="n"/>
      <c r="EV312" s="129" t="n"/>
      <c r="EW312" s="129" t="n"/>
      <c r="EX312" s="129" t="n"/>
      <c r="EY312" s="129" t="n"/>
      <c r="EZ312" s="129" t="n"/>
      <c r="FA312" s="129" t="n"/>
      <c r="FB312" s="129" t="n"/>
      <c r="FC312" s="129" t="n"/>
      <c r="FD312" s="129" t="n"/>
      <c r="FE312" s="129" t="n"/>
      <c r="FF312" s="129" t="n"/>
      <c r="FG312" s="129" t="n"/>
      <c r="FH312" s="129" t="n"/>
      <c r="FI312" s="129" t="n"/>
      <c r="FJ312" s="129" t="n"/>
      <c r="FK312" s="129" t="n"/>
      <c r="FL312" s="129" t="n"/>
      <c r="FM312" s="129" t="n"/>
    </row>
    <row r="313" s="135">
      <c r="A313" s="52" t="n">
        <v>42551</v>
      </c>
      <c r="B313" s="30" t="n">
        <v>0.062</v>
      </c>
      <c r="C313" s="29" t="n">
        <v>48.6</v>
      </c>
      <c r="D313" s="129" t="n"/>
      <c r="E313" s="129" t="n"/>
      <c r="F313" s="129" t="n"/>
      <c r="G313" s="129" t="n"/>
      <c r="H313" s="129" t="n"/>
      <c r="I313" s="129" t="n"/>
      <c r="J313" s="129" t="n"/>
      <c r="K313" s="129" t="n"/>
      <c r="L313" s="129" t="n"/>
      <c r="M313" s="129" t="n"/>
      <c r="N313" s="129" t="n"/>
      <c r="O313" s="129" t="n"/>
      <c r="P313" s="129" t="n"/>
      <c r="Q313" s="129" t="n"/>
      <c r="R313" s="129" t="n"/>
      <c r="S313" s="129" t="n"/>
      <c r="T313" s="129" t="n"/>
      <c r="U313" s="129" t="n"/>
      <c r="V313" s="129" t="n"/>
      <c r="W313" s="129" t="n"/>
      <c r="X313" s="129" t="n"/>
      <c r="Y313" s="129" t="n"/>
      <c r="Z313" s="129" t="n"/>
      <c r="AA313" s="129" t="n"/>
      <c r="AB313" s="129" t="n"/>
      <c r="AC313" s="129" t="n"/>
      <c r="AD313" s="129" t="n"/>
      <c r="AE313" s="129" t="n"/>
      <c r="AF313" s="129" t="n"/>
      <c r="AG313" s="129" t="n"/>
      <c r="AH313" s="129" t="n"/>
      <c r="AI313" s="129" t="n"/>
      <c r="AJ313" s="129" t="n"/>
      <c r="AK313" s="129" t="n"/>
      <c r="AL313" s="129" t="n"/>
      <c r="AM313" s="129" t="n"/>
      <c r="AN313" s="129" t="n"/>
      <c r="AO313" s="129" t="n"/>
      <c r="AP313" s="129" t="n"/>
      <c r="AQ313" s="129" t="n"/>
      <c r="AR313" s="129" t="n"/>
      <c r="AS313" s="129" t="n"/>
      <c r="AT313" s="129" t="n"/>
      <c r="AU313" s="129" t="n"/>
      <c r="AV313" s="129" t="n"/>
      <c r="AW313" s="129" t="n"/>
      <c r="AX313" s="129" t="n"/>
      <c r="AY313" s="129" t="n"/>
      <c r="AZ313" s="129" t="n"/>
      <c r="BA313" s="129" t="n"/>
      <c r="BB313" s="129" t="n"/>
      <c r="BC313" s="129" t="n"/>
      <c r="BD313" s="129" t="n"/>
      <c r="BE313" s="129" t="n"/>
      <c r="BF313" s="129" t="n"/>
      <c r="BG313" s="129" t="n"/>
      <c r="BH313" s="129" t="n"/>
      <c r="BI313" s="129" t="n"/>
      <c r="BJ313" s="129" t="n"/>
      <c r="BK313" s="129" t="n"/>
      <c r="BL313" s="129" t="n"/>
      <c r="BM313" s="129" t="n"/>
      <c r="BN313" s="129" t="n"/>
      <c r="BO313" s="129" t="n"/>
      <c r="BP313" s="129" t="n"/>
      <c r="BQ313" s="129" t="n"/>
      <c r="BR313" s="129" t="n"/>
      <c r="BS313" s="129" t="n"/>
      <c r="BT313" s="129" t="n"/>
      <c r="BU313" s="129" t="n"/>
      <c r="BV313" s="129" t="n"/>
      <c r="BW313" s="129" t="n"/>
      <c r="BX313" s="129" t="n"/>
      <c r="BY313" s="129" t="n"/>
      <c r="BZ313" s="129" t="n"/>
      <c r="CA313" s="129" t="n"/>
      <c r="CB313" s="129" t="n"/>
      <c r="CC313" s="129" t="n"/>
      <c r="CD313" s="129" t="n"/>
      <c r="CE313" s="129" t="n"/>
      <c r="CF313" s="129" t="n"/>
      <c r="CG313" s="129" t="n"/>
      <c r="CH313" s="129" t="n"/>
      <c r="CI313" s="129" t="n"/>
      <c r="CJ313" s="129" t="n"/>
      <c r="CK313" s="129" t="n"/>
      <c r="CL313" s="129" t="n"/>
      <c r="CM313" s="129" t="n"/>
      <c r="CN313" s="129" t="n"/>
      <c r="CO313" s="129" t="n"/>
      <c r="CP313" s="129" t="n"/>
      <c r="CQ313" s="129" t="n"/>
      <c r="CR313" s="129" t="n"/>
      <c r="CS313" s="129" t="n"/>
      <c r="CT313" s="129" t="n"/>
      <c r="CU313" s="129" t="n"/>
      <c r="CV313" s="129" t="n"/>
      <c r="CW313" s="129" t="n"/>
      <c r="CX313" s="129" t="n"/>
      <c r="CY313" s="129" t="n"/>
      <c r="CZ313" s="129" t="n"/>
      <c r="DA313" s="129" t="n"/>
      <c r="DB313" s="129" t="n"/>
      <c r="DC313" s="129" t="n"/>
      <c r="DD313" s="129" t="n"/>
      <c r="DE313" s="129" t="n"/>
      <c r="DF313" s="129" t="n"/>
      <c r="DG313" s="129" t="n"/>
      <c r="DH313" s="129" t="n"/>
      <c r="DI313" s="129" t="n"/>
      <c r="DJ313" s="129" t="n"/>
      <c r="DK313" s="129" t="n"/>
      <c r="DL313" s="129" t="n"/>
      <c r="DM313" s="129" t="n"/>
      <c r="DN313" s="129" t="n"/>
      <c r="DO313" s="129" t="n"/>
      <c r="DP313" s="129" t="n"/>
      <c r="DQ313" s="129" t="n"/>
      <c r="DR313" s="129" t="n"/>
      <c r="DS313" s="129" t="n"/>
      <c r="DT313" s="129" t="n"/>
      <c r="DU313" s="129" t="n"/>
      <c r="DV313" s="129" t="n"/>
      <c r="DW313" s="129" t="n"/>
      <c r="DX313" s="129" t="n"/>
      <c r="DY313" s="129" t="n"/>
      <c r="DZ313" s="129" t="n"/>
      <c r="EA313" s="129" t="n"/>
      <c r="EB313" s="129" t="n"/>
      <c r="EC313" s="129" t="n"/>
      <c r="ED313" s="129" t="n"/>
      <c r="EE313" s="129" t="n"/>
      <c r="EF313" s="129" t="n"/>
      <c r="EG313" s="129" t="n"/>
      <c r="EH313" s="129" t="n"/>
      <c r="EI313" s="129" t="n"/>
      <c r="EJ313" s="129" t="n"/>
      <c r="EK313" s="129" t="n"/>
      <c r="EL313" s="129" t="n"/>
      <c r="EM313" s="129" t="n"/>
      <c r="EN313" s="129" t="n"/>
      <c r="EO313" s="129" t="n"/>
      <c r="EP313" s="129" t="n"/>
      <c r="EQ313" s="129" t="n"/>
      <c r="ER313" s="129" t="n"/>
      <c r="ES313" s="129" t="n"/>
      <c r="ET313" s="129" t="n"/>
      <c r="EU313" s="129" t="n"/>
      <c r="EV313" s="129" t="n"/>
      <c r="EW313" s="129" t="n"/>
      <c r="EX313" s="129" t="n"/>
      <c r="EY313" s="129" t="n"/>
      <c r="EZ313" s="129" t="n"/>
      <c r="FA313" s="129" t="n"/>
      <c r="FB313" s="129" t="n"/>
      <c r="FC313" s="129" t="n"/>
      <c r="FD313" s="129" t="n"/>
      <c r="FE313" s="129" t="n"/>
      <c r="FF313" s="129" t="n"/>
      <c r="FG313" s="129" t="n"/>
      <c r="FH313" s="129" t="n"/>
      <c r="FI313" s="129" t="n"/>
      <c r="FJ313" s="129" t="n"/>
      <c r="FK313" s="129" t="n"/>
      <c r="FL313" s="129" t="n"/>
      <c r="FM313" s="129" t="n"/>
    </row>
    <row r="314" s="135">
      <c r="A314" s="53" t="n">
        <v>42582</v>
      </c>
      <c r="B314" s="54" t="n">
        <v>0.06</v>
      </c>
      <c r="C314" s="29" t="n">
        <v>50.6</v>
      </c>
      <c r="D314" s="129" t="n"/>
      <c r="E314" s="129" t="n"/>
      <c r="F314" s="129" t="n"/>
      <c r="G314" s="129" t="n"/>
      <c r="H314" s="129" t="n"/>
      <c r="I314" s="129" t="n"/>
      <c r="J314" s="129" t="n"/>
      <c r="K314" s="129" t="n"/>
      <c r="L314" s="129" t="n"/>
      <c r="M314" s="129" t="n"/>
      <c r="N314" s="129" t="n"/>
      <c r="O314" s="129" t="n"/>
      <c r="P314" s="129" t="n"/>
      <c r="Q314" s="129" t="n"/>
      <c r="R314" s="129" t="n"/>
      <c r="S314" s="129" t="n"/>
      <c r="T314" s="129" t="n"/>
      <c r="U314" s="129" t="n"/>
      <c r="V314" s="129" t="n"/>
      <c r="W314" s="129" t="n"/>
      <c r="X314" s="129" t="n"/>
      <c r="Y314" s="129" t="n"/>
      <c r="Z314" s="129" t="n"/>
      <c r="AA314" s="129" t="n"/>
      <c r="AB314" s="129" t="n"/>
      <c r="AC314" s="129" t="n"/>
      <c r="AD314" s="129" t="n"/>
      <c r="AE314" s="129" t="n"/>
      <c r="AF314" s="129" t="n"/>
      <c r="AG314" s="129" t="n"/>
      <c r="AH314" s="129" t="n"/>
      <c r="AI314" s="129" t="n"/>
      <c r="AJ314" s="129" t="n"/>
      <c r="AK314" s="129" t="n"/>
      <c r="AL314" s="129" t="n"/>
      <c r="AM314" s="129" t="n"/>
      <c r="AN314" s="129" t="n"/>
      <c r="AO314" s="129" t="n"/>
      <c r="AP314" s="129" t="n"/>
      <c r="AQ314" s="129" t="n"/>
      <c r="AR314" s="129" t="n"/>
      <c r="AS314" s="129" t="n"/>
      <c r="AT314" s="129" t="n"/>
      <c r="AU314" s="129" t="n"/>
      <c r="AV314" s="129" t="n"/>
      <c r="AW314" s="129" t="n"/>
      <c r="AX314" s="129" t="n"/>
      <c r="AY314" s="129" t="n"/>
      <c r="AZ314" s="129" t="n"/>
      <c r="BA314" s="129" t="n"/>
      <c r="BB314" s="129" t="n"/>
      <c r="BC314" s="129" t="n"/>
      <c r="BD314" s="129" t="n"/>
      <c r="BE314" s="129" t="n"/>
      <c r="BF314" s="129" t="n"/>
      <c r="BG314" s="129" t="n"/>
      <c r="BH314" s="129" t="n"/>
      <c r="BI314" s="129" t="n"/>
      <c r="BJ314" s="129" t="n"/>
      <c r="BK314" s="129" t="n"/>
      <c r="BL314" s="129" t="n"/>
      <c r="BM314" s="129" t="n"/>
      <c r="BN314" s="129" t="n"/>
      <c r="BO314" s="129" t="n"/>
      <c r="BP314" s="129" t="n"/>
      <c r="BQ314" s="129" t="n"/>
      <c r="BR314" s="129" t="n"/>
      <c r="BS314" s="129" t="n"/>
      <c r="BT314" s="129" t="n"/>
      <c r="BU314" s="129" t="n"/>
      <c r="BV314" s="129" t="n"/>
      <c r="BW314" s="129" t="n"/>
      <c r="BX314" s="129" t="n"/>
      <c r="BY314" s="129" t="n"/>
      <c r="BZ314" s="129" t="n"/>
      <c r="CA314" s="129" t="n"/>
      <c r="CB314" s="129" t="n"/>
      <c r="CC314" s="129" t="n"/>
      <c r="CD314" s="129" t="n"/>
      <c r="CE314" s="129" t="n"/>
      <c r="CF314" s="129" t="n"/>
      <c r="CG314" s="129" t="n"/>
      <c r="CH314" s="129" t="n"/>
      <c r="CI314" s="129" t="n"/>
      <c r="CJ314" s="129" t="n"/>
      <c r="CK314" s="129" t="n"/>
      <c r="CL314" s="129" t="n"/>
      <c r="CM314" s="129" t="n"/>
      <c r="CN314" s="129" t="n"/>
      <c r="CO314" s="129" t="n"/>
      <c r="CP314" s="129" t="n"/>
      <c r="CQ314" s="129" t="n"/>
      <c r="CR314" s="129" t="n"/>
      <c r="CS314" s="129" t="n"/>
      <c r="CT314" s="129" t="n"/>
      <c r="CU314" s="129" t="n"/>
      <c r="CV314" s="129" t="n"/>
      <c r="CW314" s="129" t="n"/>
      <c r="CX314" s="129" t="n"/>
      <c r="CY314" s="129" t="n"/>
      <c r="CZ314" s="129" t="n"/>
      <c r="DA314" s="129" t="n"/>
      <c r="DB314" s="129" t="n"/>
      <c r="DC314" s="129" t="n"/>
      <c r="DD314" s="129" t="n"/>
      <c r="DE314" s="129" t="n"/>
      <c r="DF314" s="129" t="n"/>
      <c r="DG314" s="129" t="n"/>
      <c r="DH314" s="129" t="n"/>
      <c r="DI314" s="129" t="n"/>
      <c r="DJ314" s="129" t="n"/>
      <c r="DK314" s="129" t="n"/>
      <c r="DL314" s="129" t="n"/>
      <c r="DM314" s="129" t="n"/>
      <c r="DN314" s="129" t="n"/>
      <c r="DO314" s="129" t="n"/>
      <c r="DP314" s="129" t="n"/>
      <c r="DQ314" s="129" t="n"/>
      <c r="DR314" s="129" t="n"/>
      <c r="DS314" s="129" t="n"/>
      <c r="DT314" s="129" t="n"/>
      <c r="DU314" s="129" t="n"/>
      <c r="DV314" s="129" t="n"/>
      <c r="DW314" s="129" t="n"/>
      <c r="DX314" s="129" t="n"/>
      <c r="DY314" s="129" t="n"/>
      <c r="DZ314" s="129" t="n"/>
      <c r="EA314" s="129" t="n"/>
      <c r="EB314" s="129" t="n"/>
      <c r="EC314" s="129" t="n"/>
      <c r="ED314" s="129" t="n"/>
      <c r="EE314" s="129" t="n"/>
      <c r="EF314" s="129" t="n"/>
      <c r="EG314" s="129" t="n"/>
      <c r="EH314" s="129" t="n"/>
      <c r="EI314" s="129" t="n"/>
      <c r="EJ314" s="129" t="n"/>
      <c r="EK314" s="129" t="n"/>
      <c r="EL314" s="129" t="n"/>
      <c r="EM314" s="129" t="n"/>
      <c r="EN314" s="129" t="n"/>
      <c r="EO314" s="129" t="n"/>
      <c r="EP314" s="129" t="n"/>
      <c r="EQ314" s="129" t="n"/>
      <c r="ER314" s="129" t="n"/>
      <c r="ES314" s="129" t="n"/>
      <c r="ET314" s="129" t="n"/>
      <c r="EU314" s="129" t="n"/>
      <c r="EV314" s="129" t="n"/>
      <c r="EW314" s="129" t="n"/>
      <c r="EX314" s="129" t="n"/>
      <c r="EY314" s="129" t="n"/>
      <c r="EZ314" s="129" t="n"/>
      <c r="FA314" s="129" t="n"/>
      <c r="FB314" s="129" t="n"/>
      <c r="FC314" s="129" t="n"/>
      <c r="FD314" s="129" t="n"/>
      <c r="FE314" s="129" t="n"/>
      <c r="FF314" s="129" t="n"/>
      <c r="FG314" s="129" t="n"/>
      <c r="FH314" s="129" t="n"/>
      <c r="FI314" s="129" t="n"/>
      <c r="FJ314" s="129" t="n"/>
      <c r="FK314" s="129" t="n"/>
      <c r="FL314" s="129" t="n"/>
      <c r="FM314" s="129" t="n"/>
    </row>
    <row r="315" s="135">
      <c r="A315" s="52" t="n">
        <v>42613</v>
      </c>
      <c r="B315" s="30" t="n">
        <v>0.063</v>
      </c>
      <c r="C315" s="29" t="n">
        <v>50</v>
      </c>
      <c r="D315" s="129" t="n"/>
      <c r="E315" s="129" t="n"/>
      <c r="F315" s="129" t="n"/>
      <c r="G315" s="129" t="n"/>
      <c r="H315" s="129" t="n"/>
      <c r="I315" s="129" t="n"/>
      <c r="J315" s="129" t="n"/>
      <c r="K315" s="129" t="n"/>
      <c r="L315" s="129" t="n"/>
      <c r="M315" s="129" t="n"/>
      <c r="N315" s="129" t="n"/>
      <c r="O315" s="129" t="n"/>
      <c r="P315" s="129" t="n"/>
      <c r="Q315" s="129" t="n"/>
      <c r="R315" s="129" t="n"/>
      <c r="S315" s="129" t="n"/>
      <c r="T315" s="129" t="n"/>
      <c r="U315" s="129" t="n"/>
      <c r="V315" s="129" t="n"/>
      <c r="W315" s="129" t="n"/>
      <c r="X315" s="129" t="n"/>
      <c r="Y315" s="129" t="n"/>
      <c r="Z315" s="129" t="n"/>
      <c r="AA315" s="129" t="n"/>
      <c r="AB315" s="129" t="n"/>
      <c r="AC315" s="129" t="n"/>
      <c r="AD315" s="129" t="n"/>
      <c r="AE315" s="129" t="n"/>
      <c r="AF315" s="129" t="n"/>
      <c r="AG315" s="129" t="n"/>
      <c r="AH315" s="129" t="n"/>
      <c r="AI315" s="129" t="n"/>
      <c r="AJ315" s="129" t="n"/>
      <c r="AK315" s="129" t="n"/>
      <c r="AL315" s="129" t="n"/>
      <c r="AM315" s="129" t="n"/>
      <c r="AN315" s="129" t="n"/>
      <c r="AO315" s="129" t="n"/>
      <c r="AP315" s="129" t="n"/>
      <c r="AQ315" s="129" t="n"/>
      <c r="AR315" s="129" t="n"/>
      <c r="AS315" s="129" t="n"/>
      <c r="AT315" s="129" t="n"/>
      <c r="AU315" s="129" t="n"/>
      <c r="AV315" s="129" t="n"/>
      <c r="AW315" s="129" t="n"/>
      <c r="AX315" s="129" t="n"/>
      <c r="AY315" s="129" t="n"/>
      <c r="AZ315" s="129" t="n"/>
      <c r="BA315" s="129" t="n"/>
      <c r="BB315" s="129" t="n"/>
      <c r="BC315" s="129" t="n"/>
      <c r="BD315" s="129" t="n"/>
      <c r="BE315" s="129" t="n"/>
      <c r="BF315" s="129" t="n"/>
      <c r="BG315" s="129" t="n"/>
      <c r="BH315" s="129" t="n"/>
      <c r="BI315" s="129" t="n"/>
      <c r="BJ315" s="129" t="n"/>
      <c r="BK315" s="129" t="n"/>
      <c r="BL315" s="129" t="n"/>
      <c r="BM315" s="129" t="n"/>
      <c r="BN315" s="129" t="n"/>
      <c r="BO315" s="129" t="n"/>
      <c r="BP315" s="129" t="n"/>
      <c r="BQ315" s="129" t="n"/>
      <c r="BR315" s="129" t="n"/>
      <c r="BS315" s="129" t="n"/>
      <c r="BT315" s="129" t="n"/>
      <c r="BU315" s="129" t="n"/>
      <c r="BV315" s="129" t="n"/>
      <c r="BW315" s="129" t="n"/>
      <c r="BX315" s="129" t="n"/>
      <c r="BY315" s="129" t="n"/>
      <c r="BZ315" s="129" t="n"/>
      <c r="CA315" s="129" t="n"/>
      <c r="CB315" s="129" t="n"/>
      <c r="CC315" s="129" t="n"/>
      <c r="CD315" s="129" t="n"/>
      <c r="CE315" s="129" t="n"/>
      <c r="CF315" s="129" t="n"/>
      <c r="CG315" s="129" t="n"/>
      <c r="CH315" s="129" t="n"/>
      <c r="CI315" s="129" t="n"/>
      <c r="CJ315" s="129" t="n"/>
      <c r="CK315" s="129" t="n"/>
      <c r="CL315" s="129" t="n"/>
      <c r="CM315" s="129" t="n"/>
      <c r="CN315" s="129" t="n"/>
      <c r="CO315" s="129" t="n"/>
      <c r="CP315" s="129" t="n"/>
      <c r="CQ315" s="129" t="n"/>
      <c r="CR315" s="129" t="n"/>
      <c r="CS315" s="129" t="n"/>
      <c r="CT315" s="129" t="n"/>
      <c r="CU315" s="129" t="n"/>
      <c r="CV315" s="129" t="n"/>
      <c r="CW315" s="129" t="n"/>
      <c r="CX315" s="129" t="n"/>
      <c r="CY315" s="129" t="n"/>
      <c r="CZ315" s="129" t="n"/>
      <c r="DA315" s="129" t="n"/>
      <c r="DB315" s="129" t="n"/>
      <c r="DC315" s="129" t="n"/>
      <c r="DD315" s="129" t="n"/>
      <c r="DE315" s="129" t="n"/>
      <c r="DF315" s="129" t="n"/>
      <c r="DG315" s="129" t="n"/>
      <c r="DH315" s="129" t="n"/>
      <c r="DI315" s="129" t="n"/>
      <c r="DJ315" s="129" t="n"/>
      <c r="DK315" s="129" t="n"/>
      <c r="DL315" s="129" t="n"/>
      <c r="DM315" s="129" t="n"/>
      <c r="DN315" s="129" t="n"/>
      <c r="DO315" s="129" t="n"/>
      <c r="DP315" s="129" t="n"/>
      <c r="DQ315" s="129" t="n"/>
      <c r="DR315" s="129" t="n"/>
      <c r="DS315" s="129" t="n"/>
      <c r="DT315" s="129" t="n"/>
      <c r="DU315" s="129" t="n"/>
      <c r="DV315" s="129" t="n"/>
      <c r="DW315" s="129" t="n"/>
      <c r="DX315" s="129" t="n"/>
      <c r="DY315" s="129" t="n"/>
      <c r="DZ315" s="129" t="n"/>
      <c r="EA315" s="129" t="n"/>
      <c r="EB315" s="129" t="n"/>
      <c r="EC315" s="129" t="n"/>
      <c r="ED315" s="129" t="n"/>
      <c r="EE315" s="129" t="n"/>
      <c r="EF315" s="129" t="n"/>
      <c r="EG315" s="129" t="n"/>
      <c r="EH315" s="129" t="n"/>
      <c r="EI315" s="129" t="n"/>
      <c r="EJ315" s="129" t="n"/>
      <c r="EK315" s="129" t="n"/>
      <c r="EL315" s="129" t="n"/>
      <c r="EM315" s="129" t="n"/>
      <c r="EN315" s="129" t="n"/>
      <c r="EO315" s="129" t="n"/>
      <c r="EP315" s="129" t="n"/>
      <c r="EQ315" s="129" t="n"/>
      <c r="ER315" s="129" t="n"/>
      <c r="ES315" s="129" t="n"/>
      <c r="ET315" s="129" t="n"/>
      <c r="EU315" s="129" t="n"/>
      <c r="EV315" s="129" t="n"/>
      <c r="EW315" s="129" t="n"/>
      <c r="EX315" s="129" t="n"/>
      <c r="EY315" s="129" t="n"/>
      <c r="EZ315" s="129" t="n"/>
      <c r="FA315" s="129" t="n"/>
      <c r="FB315" s="129" t="n"/>
      <c r="FC315" s="129" t="n"/>
      <c r="FD315" s="129" t="n"/>
      <c r="FE315" s="129" t="n"/>
      <c r="FF315" s="129" t="n"/>
      <c r="FG315" s="129" t="n"/>
      <c r="FH315" s="129" t="n"/>
      <c r="FI315" s="129" t="n"/>
      <c r="FJ315" s="129" t="n"/>
      <c r="FK315" s="129" t="n"/>
      <c r="FL315" s="129" t="n"/>
      <c r="FM315" s="129" t="n"/>
    </row>
    <row r="316" s="135">
      <c r="A316" s="53" t="n">
        <v>42643</v>
      </c>
      <c r="B316" s="54" t="n">
        <v>0.061</v>
      </c>
      <c r="C316" s="29" t="n">
        <v>50.1</v>
      </c>
      <c r="D316" s="129" t="n"/>
      <c r="E316" s="129" t="n"/>
      <c r="F316" s="129" t="n"/>
      <c r="G316" s="129" t="n"/>
      <c r="H316" s="129" t="n"/>
      <c r="I316" s="129" t="n"/>
      <c r="J316" s="129" t="n"/>
      <c r="K316" s="129" t="n"/>
      <c r="L316" s="129" t="n"/>
      <c r="M316" s="129" t="n"/>
      <c r="N316" s="129" t="n"/>
      <c r="O316" s="129" t="n"/>
      <c r="P316" s="129" t="n"/>
      <c r="Q316" s="129" t="n"/>
      <c r="R316" s="129" t="n"/>
      <c r="S316" s="129" t="n"/>
      <c r="T316" s="129" t="n"/>
      <c r="U316" s="129" t="n"/>
      <c r="V316" s="129" t="n"/>
      <c r="W316" s="129" t="n"/>
      <c r="X316" s="129" t="n"/>
      <c r="Y316" s="129" t="n"/>
      <c r="Z316" s="129" t="n"/>
      <c r="AA316" s="129" t="n"/>
      <c r="AB316" s="129" t="n"/>
      <c r="AC316" s="129" t="n"/>
      <c r="AD316" s="129" t="n"/>
      <c r="AE316" s="129" t="n"/>
      <c r="AF316" s="129" t="n"/>
      <c r="AG316" s="129" t="n"/>
      <c r="AH316" s="129" t="n"/>
      <c r="AI316" s="129" t="n"/>
      <c r="AJ316" s="129" t="n"/>
      <c r="AK316" s="129" t="n"/>
      <c r="AL316" s="129" t="n"/>
      <c r="AM316" s="129" t="n"/>
      <c r="AN316" s="129" t="n"/>
      <c r="AO316" s="129" t="n"/>
      <c r="AP316" s="129" t="n"/>
      <c r="AQ316" s="129" t="n"/>
      <c r="AR316" s="129" t="n"/>
      <c r="AS316" s="129" t="n"/>
      <c r="AT316" s="129" t="n"/>
      <c r="AU316" s="129" t="n"/>
      <c r="AV316" s="129" t="n"/>
      <c r="AW316" s="129" t="n"/>
      <c r="AX316" s="129" t="n"/>
      <c r="AY316" s="129" t="n"/>
      <c r="AZ316" s="129" t="n"/>
      <c r="BA316" s="129" t="n"/>
      <c r="BB316" s="129" t="n"/>
      <c r="BC316" s="129" t="n"/>
      <c r="BD316" s="129" t="n"/>
      <c r="BE316" s="129" t="n"/>
      <c r="BF316" s="129" t="n"/>
      <c r="BG316" s="129" t="n"/>
      <c r="BH316" s="129" t="n"/>
      <c r="BI316" s="129" t="n"/>
      <c r="BJ316" s="129" t="n"/>
      <c r="BK316" s="129" t="n"/>
      <c r="BL316" s="129" t="n"/>
      <c r="BM316" s="129" t="n"/>
      <c r="BN316" s="129" t="n"/>
      <c r="BO316" s="129" t="n"/>
      <c r="BP316" s="129" t="n"/>
      <c r="BQ316" s="129" t="n"/>
      <c r="BR316" s="129" t="n"/>
      <c r="BS316" s="129" t="n"/>
      <c r="BT316" s="129" t="n"/>
      <c r="BU316" s="129" t="n"/>
      <c r="BV316" s="129" t="n"/>
      <c r="BW316" s="129" t="n"/>
      <c r="BX316" s="129" t="n"/>
      <c r="BY316" s="129" t="n"/>
      <c r="BZ316" s="129" t="n"/>
      <c r="CA316" s="129" t="n"/>
      <c r="CB316" s="129" t="n"/>
      <c r="CC316" s="129" t="n"/>
      <c r="CD316" s="129" t="n"/>
      <c r="CE316" s="129" t="n"/>
      <c r="CF316" s="129" t="n"/>
      <c r="CG316" s="129" t="n"/>
      <c r="CH316" s="129" t="n"/>
      <c r="CI316" s="129" t="n"/>
      <c r="CJ316" s="129" t="n"/>
      <c r="CK316" s="129" t="n"/>
      <c r="CL316" s="129" t="n"/>
      <c r="CM316" s="129" t="n"/>
      <c r="CN316" s="129" t="n"/>
      <c r="CO316" s="129" t="n"/>
      <c r="CP316" s="129" t="n"/>
      <c r="CQ316" s="129" t="n"/>
      <c r="CR316" s="129" t="n"/>
      <c r="CS316" s="129" t="n"/>
      <c r="CT316" s="129" t="n"/>
      <c r="CU316" s="129" t="n"/>
      <c r="CV316" s="129" t="n"/>
      <c r="CW316" s="129" t="n"/>
      <c r="CX316" s="129" t="n"/>
      <c r="CY316" s="129" t="n"/>
      <c r="CZ316" s="129" t="n"/>
      <c r="DA316" s="129" t="n"/>
      <c r="DB316" s="129" t="n"/>
      <c r="DC316" s="129" t="n"/>
      <c r="DD316" s="129" t="n"/>
      <c r="DE316" s="129" t="n"/>
      <c r="DF316" s="129" t="n"/>
      <c r="DG316" s="129" t="n"/>
      <c r="DH316" s="129" t="n"/>
      <c r="DI316" s="129" t="n"/>
      <c r="DJ316" s="129" t="n"/>
      <c r="DK316" s="129" t="n"/>
      <c r="DL316" s="129" t="n"/>
      <c r="DM316" s="129" t="n"/>
      <c r="DN316" s="129" t="n"/>
      <c r="DO316" s="129" t="n"/>
      <c r="DP316" s="129" t="n"/>
      <c r="DQ316" s="129" t="n"/>
      <c r="DR316" s="129" t="n"/>
      <c r="DS316" s="129" t="n"/>
      <c r="DT316" s="129" t="n"/>
      <c r="DU316" s="129" t="n"/>
      <c r="DV316" s="129" t="n"/>
      <c r="DW316" s="129" t="n"/>
      <c r="DX316" s="129" t="n"/>
      <c r="DY316" s="129" t="n"/>
      <c r="DZ316" s="129" t="n"/>
      <c r="EA316" s="129" t="n"/>
      <c r="EB316" s="129" t="n"/>
      <c r="EC316" s="129" t="n"/>
      <c r="ED316" s="129" t="n"/>
      <c r="EE316" s="129" t="n"/>
      <c r="EF316" s="129" t="n"/>
      <c r="EG316" s="129" t="n"/>
      <c r="EH316" s="129" t="n"/>
      <c r="EI316" s="129" t="n"/>
      <c r="EJ316" s="129" t="n"/>
      <c r="EK316" s="129" t="n"/>
      <c r="EL316" s="129" t="n"/>
      <c r="EM316" s="129" t="n"/>
      <c r="EN316" s="129" t="n"/>
      <c r="EO316" s="129" t="n"/>
      <c r="EP316" s="129" t="n"/>
      <c r="EQ316" s="129" t="n"/>
      <c r="ER316" s="129" t="n"/>
      <c r="ES316" s="129" t="n"/>
      <c r="ET316" s="129" t="n"/>
      <c r="EU316" s="129" t="n"/>
      <c r="EV316" s="129" t="n"/>
      <c r="EW316" s="129" t="n"/>
      <c r="EX316" s="129" t="n"/>
      <c r="EY316" s="129" t="n"/>
      <c r="EZ316" s="129" t="n"/>
      <c r="FA316" s="129" t="n"/>
      <c r="FB316" s="129" t="n"/>
      <c r="FC316" s="129" t="n"/>
      <c r="FD316" s="129" t="n"/>
      <c r="FE316" s="129" t="n"/>
      <c r="FF316" s="129" t="n"/>
      <c r="FG316" s="129" t="n"/>
      <c r="FH316" s="129" t="n"/>
      <c r="FI316" s="129" t="n"/>
      <c r="FJ316" s="129" t="n"/>
      <c r="FK316" s="129" t="n"/>
      <c r="FL316" s="129" t="n"/>
      <c r="FM316" s="129" t="n"/>
    </row>
    <row r="317" s="135">
      <c r="A317" s="52" t="n">
        <v>42674</v>
      </c>
      <c r="B317" s="30" t="n">
        <v>0.061</v>
      </c>
      <c r="C317" s="29" t="n">
        <v>51.2</v>
      </c>
      <c r="D317" s="129" t="n"/>
      <c r="E317" s="129" t="n"/>
      <c r="F317" s="129" t="n"/>
      <c r="G317" s="129" t="n"/>
      <c r="H317" s="129" t="n"/>
      <c r="I317" s="129" t="n"/>
      <c r="J317" s="129" t="n"/>
      <c r="K317" s="129" t="n"/>
      <c r="L317" s="129" t="n"/>
      <c r="M317" s="129" t="n"/>
      <c r="N317" s="129" t="n"/>
      <c r="O317" s="129" t="n"/>
      <c r="P317" s="129" t="n"/>
      <c r="Q317" s="129" t="n"/>
      <c r="R317" s="129" t="n"/>
      <c r="S317" s="129" t="n"/>
      <c r="T317" s="129" t="n"/>
      <c r="U317" s="129" t="n"/>
      <c r="V317" s="129" t="n"/>
      <c r="W317" s="129" t="n"/>
      <c r="X317" s="129" t="n"/>
      <c r="Y317" s="129" t="n"/>
      <c r="Z317" s="129" t="n"/>
      <c r="AA317" s="129" t="n"/>
      <c r="AB317" s="129" t="n"/>
      <c r="AC317" s="129" t="n"/>
      <c r="AD317" s="129" t="n"/>
      <c r="AE317" s="129" t="n"/>
      <c r="AF317" s="129" t="n"/>
      <c r="AG317" s="129" t="n"/>
      <c r="AH317" s="129" t="n"/>
      <c r="AI317" s="129" t="n"/>
      <c r="AJ317" s="129" t="n"/>
      <c r="AK317" s="129" t="n"/>
      <c r="AL317" s="129" t="n"/>
      <c r="AM317" s="129" t="n"/>
      <c r="AN317" s="129" t="n"/>
      <c r="AO317" s="129" t="n"/>
      <c r="AP317" s="129" t="n"/>
      <c r="AQ317" s="129" t="n"/>
      <c r="AR317" s="129" t="n"/>
      <c r="AS317" s="129" t="n"/>
      <c r="AT317" s="129" t="n"/>
      <c r="AU317" s="129" t="n"/>
      <c r="AV317" s="129" t="n"/>
      <c r="AW317" s="129" t="n"/>
      <c r="AX317" s="129" t="n"/>
      <c r="AY317" s="129" t="n"/>
      <c r="AZ317" s="129" t="n"/>
      <c r="BA317" s="129" t="n"/>
      <c r="BB317" s="129" t="n"/>
      <c r="BC317" s="129" t="n"/>
      <c r="BD317" s="129" t="n"/>
      <c r="BE317" s="129" t="n"/>
      <c r="BF317" s="129" t="n"/>
      <c r="BG317" s="129" t="n"/>
      <c r="BH317" s="129" t="n"/>
      <c r="BI317" s="129" t="n"/>
      <c r="BJ317" s="129" t="n"/>
      <c r="BK317" s="129" t="n"/>
      <c r="BL317" s="129" t="n"/>
      <c r="BM317" s="129" t="n"/>
      <c r="BN317" s="129" t="n"/>
      <c r="BO317" s="129" t="n"/>
      <c r="BP317" s="129" t="n"/>
      <c r="BQ317" s="129" t="n"/>
      <c r="BR317" s="129" t="n"/>
      <c r="BS317" s="129" t="n"/>
      <c r="BT317" s="129" t="n"/>
      <c r="BU317" s="129" t="n"/>
      <c r="BV317" s="129" t="n"/>
      <c r="BW317" s="129" t="n"/>
      <c r="BX317" s="129" t="n"/>
      <c r="BY317" s="129" t="n"/>
      <c r="BZ317" s="129" t="n"/>
      <c r="CA317" s="129" t="n"/>
      <c r="CB317" s="129" t="n"/>
      <c r="CC317" s="129" t="n"/>
      <c r="CD317" s="129" t="n"/>
      <c r="CE317" s="129" t="n"/>
      <c r="CF317" s="129" t="n"/>
      <c r="CG317" s="129" t="n"/>
      <c r="CH317" s="129" t="n"/>
      <c r="CI317" s="129" t="n"/>
      <c r="CJ317" s="129" t="n"/>
      <c r="CK317" s="129" t="n"/>
      <c r="CL317" s="129" t="n"/>
      <c r="CM317" s="129" t="n"/>
      <c r="CN317" s="129" t="n"/>
      <c r="CO317" s="129" t="n"/>
      <c r="CP317" s="129" t="n"/>
      <c r="CQ317" s="129" t="n"/>
      <c r="CR317" s="129" t="n"/>
      <c r="CS317" s="129" t="n"/>
      <c r="CT317" s="129" t="n"/>
      <c r="CU317" s="129" t="n"/>
      <c r="CV317" s="129" t="n"/>
      <c r="CW317" s="129" t="n"/>
      <c r="CX317" s="129" t="n"/>
      <c r="CY317" s="129" t="n"/>
      <c r="CZ317" s="129" t="n"/>
      <c r="DA317" s="129" t="n"/>
      <c r="DB317" s="129" t="n"/>
      <c r="DC317" s="129" t="n"/>
      <c r="DD317" s="129" t="n"/>
      <c r="DE317" s="129" t="n"/>
      <c r="DF317" s="129" t="n"/>
      <c r="DG317" s="129" t="n"/>
      <c r="DH317" s="129" t="n"/>
      <c r="DI317" s="129" t="n"/>
      <c r="DJ317" s="129" t="n"/>
      <c r="DK317" s="129" t="n"/>
      <c r="DL317" s="129" t="n"/>
      <c r="DM317" s="129" t="n"/>
      <c r="DN317" s="129" t="n"/>
      <c r="DO317" s="129" t="n"/>
      <c r="DP317" s="129" t="n"/>
      <c r="DQ317" s="129" t="n"/>
      <c r="DR317" s="129" t="n"/>
      <c r="DS317" s="129" t="n"/>
      <c r="DT317" s="129" t="n"/>
      <c r="DU317" s="129" t="n"/>
      <c r="DV317" s="129" t="n"/>
      <c r="DW317" s="129" t="n"/>
      <c r="DX317" s="129" t="n"/>
      <c r="DY317" s="129" t="n"/>
      <c r="DZ317" s="129" t="n"/>
      <c r="EA317" s="129" t="n"/>
      <c r="EB317" s="129" t="n"/>
      <c r="EC317" s="129" t="n"/>
      <c r="ED317" s="129" t="n"/>
      <c r="EE317" s="129" t="n"/>
      <c r="EF317" s="129" t="n"/>
      <c r="EG317" s="129" t="n"/>
      <c r="EH317" s="129" t="n"/>
      <c r="EI317" s="129" t="n"/>
      <c r="EJ317" s="129" t="n"/>
      <c r="EK317" s="129" t="n"/>
      <c r="EL317" s="129" t="n"/>
      <c r="EM317" s="129" t="n"/>
      <c r="EN317" s="129" t="n"/>
      <c r="EO317" s="129" t="n"/>
      <c r="EP317" s="129" t="n"/>
      <c r="EQ317" s="129" t="n"/>
      <c r="ER317" s="129" t="n"/>
      <c r="ES317" s="129" t="n"/>
      <c r="ET317" s="129" t="n"/>
      <c r="EU317" s="129" t="n"/>
      <c r="EV317" s="129" t="n"/>
      <c r="EW317" s="129" t="n"/>
      <c r="EX317" s="129" t="n"/>
      <c r="EY317" s="129" t="n"/>
      <c r="EZ317" s="129" t="n"/>
      <c r="FA317" s="129" t="n"/>
      <c r="FB317" s="129" t="n"/>
      <c r="FC317" s="129" t="n"/>
      <c r="FD317" s="129" t="n"/>
      <c r="FE317" s="129" t="n"/>
      <c r="FF317" s="129" t="n"/>
      <c r="FG317" s="129" t="n"/>
      <c r="FH317" s="129" t="n"/>
      <c r="FI317" s="129" t="n"/>
      <c r="FJ317" s="129" t="n"/>
      <c r="FK317" s="129" t="n"/>
      <c r="FL317" s="129" t="n"/>
      <c r="FM317" s="129" t="n"/>
    </row>
    <row r="318" s="135">
      <c r="A318" s="53" t="n">
        <v>42704</v>
      </c>
      <c r="B318" s="54" t="n">
        <v>0.062</v>
      </c>
      <c r="C318" s="29" t="n">
        <v>50.9</v>
      </c>
      <c r="D318" s="129" t="n"/>
      <c r="E318" s="129" t="n"/>
      <c r="F318" s="129" t="n"/>
      <c r="G318" s="129" t="n"/>
      <c r="H318" s="129" t="n"/>
      <c r="I318" s="129" t="n"/>
      <c r="J318" s="129" t="n"/>
      <c r="K318" s="129" t="n"/>
      <c r="L318" s="129" t="n"/>
      <c r="M318" s="129" t="n"/>
      <c r="N318" s="129" t="n"/>
      <c r="O318" s="129" t="n"/>
      <c r="P318" s="129" t="n"/>
      <c r="Q318" s="129" t="n"/>
      <c r="R318" s="129" t="n"/>
      <c r="S318" s="129" t="n"/>
      <c r="T318" s="129" t="n"/>
      <c r="U318" s="129" t="n"/>
      <c r="V318" s="129" t="n"/>
      <c r="W318" s="129" t="n"/>
      <c r="X318" s="129" t="n"/>
      <c r="Y318" s="129" t="n"/>
      <c r="Z318" s="129" t="n"/>
      <c r="AA318" s="129" t="n"/>
      <c r="AB318" s="129" t="n"/>
      <c r="AC318" s="129" t="n"/>
      <c r="AD318" s="129" t="n"/>
      <c r="AE318" s="129" t="n"/>
      <c r="AF318" s="129" t="n"/>
      <c r="AG318" s="129" t="n"/>
      <c r="AH318" s="129" t="n"/>
      <c r="AI318" s="129" t="n"/>
      <c r="AJ318" s="129" t="n"/>
      <c r="AK318" s="129" t="n"/>
      <c r="AL318" s="129" t="n"/>
      <c r="AM318" s="129" t="n"/>
      <c r="AN318" s="129" t="n"/>
      <c r="AO318" s="129" t="n"/>
      <c r="AP318" s="129" t="n"/>
      <c r="AQ318" s="129" t="n"/>
      <c r="AR318" s="129" t="n"/>
      <c r="AS318" s="129" t="n"/>
      <c r="AT318" s="129" t="n"/>
      <c r="AU318" s="129" t="n"/>
      <c r="AV318" s="129" t="n"/>
      <c r="AW318" s="129" t="n"/>
      <c r="AX318" s="129" t="n"/>
      <c r="AY318" s="129" t="n"/>
      <c r="AZ318" s="129" t="n"/>
      <c r="BA318" s="129" t="n"/>
      <c r="BB318" s="129" t="n"/>
      <c r="BC318" s="129" t="n"/>
      <c r="BD318" s="129" t="n"/>
      <c r="BE318" s="129" t="n"/>
      <c r="BF318" s="129" t="n"/>
      <c r="BG318" s="129" t="n"/>
      <c r="BH318" s="129" t="n"/>
      <c r="BI318" s="129" t="n"/>
      <c r="BJ318" s="129" t="n"/>
      <c r="BK318" s="129" t="n"/>
      <c r="BL318" s="129" t="n"/>
      <c r="BM318" s="129" t="n"/>
      <c r="BN318" s="129" t="n"/>
      <c r="BO318" s="129" t="n"/>
      <c r="BP318" s="129" t="n"/>
      <c r="BQ318" s="129" t="n"/>
      <c r="BR318" s="129" t="n"/>
      <c r="BS318" s="129" t="n"/>
      <c r="BT318" s="129" t="n"/>
      <c r="BU318" s="129" t="n"/>
      <c r="BV318" s="129" t="n"/>
      <c r="BW318" s="129" t="n"/>
      <c r="BX318" s="129" t="n"/>
      <c r="BY318" s="129" t="n"/>
      <c r="BZ318" s="129" t="n"/>
      <c r="CA318" s="129" t="n"/>
      <c r="CB318" s="129" t="n"/>
      <c r="CC318" s="129" t="n"/>
      <c r="CD318" s="129" t="n"/>
      <c r="CE318" s="129" t="n"/>
      <c r="CF318" s="129" t="n"/>
      <c r="CG318" s="129" t="n"/>
      <c r="CH318" s="129" t="n"/>
      <c r="CI318" s="129" t="n"/>
      <c r="CJ318" s="129" t="n"/>
      <c r="CK318" s="129" t="n"/>
      <c r="CL318" s="129" t="n"/>
      <c r="CM318" s="129" t="n"/>
      <c r="CN318" s="129" t="n"/>
      <c r="CO318" s="129" t="n"/>
      <c r="CP318" s="129" t="n"/>
      <c r="CQ318" s="129" t="n"/>
      <c r="CR318" s="129" t="n"/>
      <c r="CS318" s="129" t="n"/>
      <c r="CT318" s="129" t="n"/>
      <c r="CU318" s="129" t="n"/>
      <c r="CV318" s="129" t="n"/>
      <c r="CW318" s="129" t="n"/>
      <c r="CX318" s="129" t="n"/>
      <c r="CY318" s="129" t="n"/>
      <c r="CZ318" s="129" t="n"/>
      <c r="DA318" s="129" t="n"/>
      <c r="DB318" s="129" t="n"/>
      <c r="DC318" s="129" t="n"/>
      <c r="DD318" s="129" t="n"/>
      <c r="DE318" s="129" t="n"/>
      <c r="DF318" s="129" t="n"/>
      <c r="DG318" s="129" t="n"/>
      <c r="DH318" s="129" t="n"/>
      <c r="DI318" s="129" t="n"/>
      <c r="DJ318" s="129" t="n"/>
      <c r="DK318" s="129" t="n"/>
      <c r="DL318" s="129" t="n"/>
      <c r="DM318" s="129" t="n"/>
      <c r="DN318" s="129" t="n"/>
      <c r="DO318" s="129" t="n"/>
      <c r="DP318" s="129" t="n"/>
      <c r="DQ318" s="129" t="n"/>
      <c r="DR318" s="129" t="n"/>
      <c r="DS318" s="129" t="n"/>
      <c r="DT318" s="129" t="n"/>
      <c r="DU318" s="129" t="n"/>
      <c r="DV318" s="129" t="n"/>
      <c r="DW318" s="129" t="n"/>
      <c r="DX318" s="129" t="n"/>
      <c r="DY318" s="129" t="n"/>
      <c r="DZ318" s="129" t="n"/>
      <c r="EA318" s="129" t="n"/>
      <c r="EB318" s="129" t="n"/>
      <c r="EC318" s="129" t="n"/>
      <c r="ED318" s="129" t="n"/>
      <c r="EE318" s="129" t="n"/>
      <c r="EF318" s="129" t="n"/>
      <c r="EG318" s="129" t="n"/>
      <c r="EH318" s="129" t="n"/>
      <c r="EI318" s="129" t="n"/>
      <c r="EJ318" s="129" t="n"/>
      <c r="EK318" s="129" t="n"/>
      <c r="EL318" s="129" t="n"/>
      <c r="EM318" s="129" t="n"/>
      <c r="EN318" s="129" t="n"/>
      <c r="EO318" s="129" t="n"/>
      <c r="EP318" s="129" t="n"/>
      <c r="EQ318" s="129" t="n"/>
      <c r="ER318" s="129" t="n"/>
      <c r="ES318" s="129" t="n"/>
      <c r="ET318" s="129" t="n"/>
      <c r="EU318" s="129" t="n"/>
      <c r="EV318" s="129" t="n"/>
      <c r="EW318" s="129" t="n"/>
      <c r="EX318" s="129" t="n"/>
      <c r="EY318" s="129" t="n"/>
      <c r="EZ318" s="129" t="n"/>
      <c r="FA318" s="129" t="n"/>
      <c r="FB318" s="129" t="n"/>
      <c r="FC318" s="129" t="n"/>
      <c r="FD318" s="129" t="n"/>
      <c r="FE318" s="129" t="n"/>
      <c r="FF318" s="129" t="n"/>
      <c r="FG318" s="129" t="n"/>
      <c r="FH318" s="129" t="n"/>
      <c r="FI318" s="129" t="n"/>
      <c r="FJ318" s="129" t="n"/>
      <c r="FK318" s="129" t="n"/>
      <c r="FL318" s="129" t="n"/>
      <c r="FM318" s="129" t="n"/>
    </row>
    <row r="319" s="135">
      <c r="A319" s="52" t="n">
        <v>42735</v>
      </c>
      <c r="B319" s="30" t="n">
        <v>0.06</v>
      </c>
      <c r="C319" s="29" t="n">
        <v>51.9</v>
      </c>
      <c r="D319" s="129" t="n"/>
      <c r="E319" s="129" t="n"/>
      <c r="F319" s="129" t="n"/>
      <c r="G319" s="129" t="n"/>
      <c r="H319" s="129" t="n"/>
      <c r="I319" s="129" t="n"/>
      <c r="J319" s="129" t="n"/>
      <c r="K319" s="129" t="n"/>
      <c r="L319" s="129" t="n"/>
      <c r="M319" s="129" t="n"/>
      <c r="N319" s="129" t="n"/>
      <c r="O319" s="129" t="n"/>
      <c r="P319" s="129" t="n"/>
      <c r="Q319" s="129" t="n"/>
      <c r="R319" s="129" t="n"/>
      <c r="S319" s="129" t="n"/>
      <c r="T319" s="129" t="n"/>
      <c r="U319" s="129" t="n"/>
      <c r="V319" s="129" t="n"/>
      <c r="W319" s="129" t="n"/>
      <c r="X319" s="129" t="n"/>
      <c r="Y319" s="129" t="n"/>
      <c r="Z319" s="129" t="n"/>
      <c r="AA319" s="129" t="n"/>
      <c r="AB319" s="129" t="n"/>
      <c r="AC319" s="129" t="n"/>
      <c r="AD319" s="129" t="n"/>
      <c r="AE319" s="129" t="n"/>
      <c r="AF319" s="129" t="n"/>
      <c r="AG319" s="129" t="n"/>
      <c r="AH319" s="129" t="n"/>
      <c r="AI319" s="129" t="n"/>
      <c r="AJ319" s="129" t="n"/>
      <c r="AK319" s="129" t="n"/>
      <c r="AL319" s="129" t="n"/>
      <c r="AM319" s="129" t="n"/>
      <c r="AN319" s="129" t="n"/>
      <c r="AO319" s="129" t="n"/>
      <c r="AP319" s="129" t="n"/>
      <c r="AQ319" s="129" t="n"/>
      <c r="AR319" s="129" t="n"/>
      <c r="AS319" s="129" t="n"/>
      <c r="AT319" s="129" t="n"/>
      <c r="AU319" s="129" t="n"/>
      <c r="AV319" s="129" t="n"/>
      <c r="AW319" s="129" t="n"/>
      <c r="AX319" s="129" t="n"/>
      <c r="AY319" s="129" t="n"/>
      <c r="AZ319" s="129" t="n"/>
      <c r="BA319" s="129" t="n"/>
      <c r="BB319" s="129" t="n"/>
      <c r="BC319" s="129" t="n"/>
      <c r="BD319" s="129" t="n"/>
      <c r="BE319" s="129" t="n"/>
      <c r="BF319" s="129" t="n"/>
      <c r="BG319" s="129" t="n"/>
      <c r="BH319" s="129" t="n"/>
      <c r="BI319" s="129" t="n"/>
      <c r="BJ319" s="129" t="n"/>
      <c r="BK319" s="129" t="n"/>
      <c r="BL319" s="129" t="n"/>
      <c r="BM319" s="129" t="n"/>
      <c r="BN319" s="129" t="n"/>
      <c r="BO319" s="129" t="n"/>
      <c r="BP319" s="129" t="n"/>
      <c r="BQ319" s="129" t="n"/>
      <c r="BR319" s="129" t="n"/>
      <c r="BS319" s="129" t="n"/>
      <c r="BT319" s="129" t="n"/>
      <c r="BU319" s="129" t="n"/>
      <c r="BV319" s="129" t="n"/>
      <c r="BW319" s="129" t="n"/>
      <c r="BX319" s="129" t="n"/>
      <c r="BY319" s="129" t="n"/>
      <c r="BZ319" s="129" t="n"/>
      <c r="CA319" s="129" t="n"/>
      <c r="CB319" s="129" t="n"/>
      <c r="CC319" s="129" t="n"/>
      <c r="CD319" s="129" t="n"/>
      <c r="CE319" s="129" t="n"/>
      <c r="CF319" s="129" t="n"/>
      <c r="CG319" s="129" t="n"/>
      <c r="CH319" s="129" t="n"/>
      <c r="CI319" s="129" t="n"/>
      <c r="CJ319" s="129" t="n"/>
      <c r="CK319" s="129" t="n"/>
      <c r="CL319" s="129" t="n"/>
      <c r="CM319" s="129" t="n"/>
      <c r="CN319" s="129" t="n"/>
      <c r="CO319" s="129" t="n"/>
      <c r="CP319" s="129" t="n"/>
      <c r="CQ319" s="129" t="n"/>
      <c r="CR319" s="129" t="n"/>
      <c r="CS319" s="129" t="n"/>
      <c r="CT319" s="129" t="n"/>
      <c r="CU319" s="129" t="n"/>
      <c r="CV319" s="129" t="n"/>
      <c r="CW319" s="129" t="n"/>
      <c r="CX319" s="129" t="n"/>
      <c r="CY319" s="129" t="n"/>
      <c r="CZ319" s="129" t="n"/>
      <c r="DA319" s="129" t="n"/>
      <c r="DB319" s="129" t="n"/>
      <c r="DC319" s="129" t="n"/>
      <c r="DD319" s="129" t="n"/>
      <c r="DE319" s="129" t="n"/>
      <c r="DF319" s="129" t="n"/>
      <c r="DG319" s="129" t="n"/>
      <c r="DH319" s="129" t="n"/>
      <c r="DI319" s="129" t="n"/>
      <c r="DJ319" s="129" t="n"/>
      <c r="DK319" s="129" t="n"/>
      <c r="DL319" s="129" t="n"/>
      <c r="DM319" s="129" t="n"/>
      <c r="DN319" s="129" t="n"/>
      <c r="DO319" s="129" t="n"/>
      <c r="DP319" s="129" t="n"/>
      <c r="DQ319" s="129" t="n"/>
      <c r="DR319" s="129" t="n"/>
      <c r="DS319" s="129" t="n"/>
      <c r="DT319" s="129" t="n"/>
      <c r="DU319" s="129" t="n"/>
      <c r="DV319" s="129" t="n"/>
      <c r="DW319" s="129" t="n"/>
      <c r="DX319" s="129" t="n"/>
      <c r="DY319" s="129" t="n"/>
      <c r="DZ319" s="129" t="n"/>
      <c r="EA319" s="129" t="n"/>
      <c r="EB319" s="129" t="n"/>
      <c r="EC319" s="129" t="n"/>
      <c r="ED319" s="129" t="n"/>
      <c r="EE319" s="129" t="n"/>
      <c r="EF319" s="129" t="n"/>
      <c r="EG319" s="129" t="n"/>
      <c r="EH319" s="129" t="n"/>
      <c r="EI319" s="129" t="n"/>
      <c r="EJ319" s="129" t="n"/>
      <c r="EK319" s="129" t="n"/>
      <c r="EL319" s="129" t="n"/>
      <c r="EM319" s="129" t="n"/>
      <c r="EN319" s="129" t="n"/>
      <c r="EO319" s="129" t="n"/>
      <c r="EP319" s="129" t="n"/>
      <c r="EQ319" s="129" t="n"/>
      <c r="ER319" s="129" t="n"/>
      <c r="ES319" s="129" t="n"/>
      <c r="ET319" s="129" t="n"/>
      <c r="EU319" s="129" t="n"/>
      <c r="EV319" s="129" t="n"/>
      <c r="EW319" s="129" t="n"/>
      <c r="EX319" s="129" t="n"/>
      <c r="EY319" s="129" t="n"/>
      <c r="EZ319" s="129" t="n"/>
      <c r="FA319" s="129" t="n"/>
      <c r="FB319" s="129" t="n"/>
      <c r="FC319" s="129" t="n"/>
      <c r="FD319" s="129" t="n"/>
      <c r="FE319" s="129" t="n"/>
      <c r="FF319" s="129" t="n"/>
      <c r="FG319" s="129" t="n"/>
      <c r="FH319" s="129" t="n"/>
      <c r="FI319" s="129" t="n"/>
      <c r="FJ319" s="129" t="n"/>
      <c r="FK319" s="129" t="n"/>
      <c r="FL319" s="129" t="n"/>
      <c r="FM319" s="129" t="n"/>
    </row>
    <row r="320" s="135">
      <c r="A320" s="53" t="n">
        <v>42766</v>
      </c>
      <c r="B320" s="54" t="n">
        <v>0.063</v>
      </c>
      <c r="C320" s="29" t="n">
        <v>51</v>
      </c>
      <c r="D320" s="129" t="n"/>
      <c r="E320" s="129" t="n"/>
      <c r="F320" s="129" t="n"/>
      <c r="G320" s="129" t="n"/>
      <c r="H320" s="129" t="n"/>
      <c r="I320" s="129" t="n"/>
      <c r="J320" s="129" t="n"/>
      <c r="K320" s="129" t="n"/>
      <c r="L320" s="129" t="n"/>
      <c r="M320" s="129" t="n"/>
      <c r="N320" s="129" t="n"/>
      <c r="O320" s="129" t="n"/>
      <c r="P320" s="129" t="n"/>
      <c r="Q320" s="129" t="n"/>
      <c r="R320" s="129" t="n"/>
      <c r="S320" s="129" t="n"/>
      <c r="T320" s="129" t="n"/>
      <c r="U320" s="129" t="n"/>
      <c r="V320" s="129" t="n"/>
      <c r="W320" s="129" t="n"/>
      <c r="X320" s="129" t="n"/>
      <c r="Y320" s="129" t="n"/>
      <c r="Z320" s="129" t="n"/>
      <c r="AA320" s="129" t="n"/>
      <c r="AB320" s="129" t="n"/>
      <c r="AC320" s="129" t="n"/>
      <c r="AD320" s="129" t="n"/>
      <c r="AE320" s="129" t="n"/>
      <c r="AF320" s="129" t="n"/>
      <c r="AG320" s="129" t="n"/>
      <c r="AH320" s="129" t="n"/>
      <c r="AI320" s="129" t="n"/>
      <c r="AJ320" s="129" t="n"/>
      <c r="AK320" s="129" t="n"/>
      <c r="AL320" s="129" t="n"/>
      <c r="AM320" s="129" t="n"/>
      <c r="AN320" s="129" t="n"/>
      <c r="AO320" s="129" t="n"/>
      <c r="AP320" s="129" t="n"/>
      <c r="AQ320" s="129" t="n"/>
      <c r="AR320" s="129" t="n"/>
      <c r="AS320" s="129" t="n"/>
      <c r="AT320" s="129" t="n"/>
      <c r="AU320" s="129" t="n"/>
      <c r="AV320" s="129" t="n"/>
      <c r="AW320" s="129" t="n"/>
      <c r="AX320" s="129" t="n"/>
      <c r="AY320" s="129" t="n"/>
      <c r="AZ320" s="129" t="n"/>
      <c r="BA320" s="129" t="n"/>
      <c r="BB320" s="129" t="n"/>
      <c r="BC320" s="129" t="n"/>
      <c r="BD320" s="129" t="n"/>
      <c r="BE320" s="129" t="n"/>
      <c r="BF320" s="129" t="n"/>
      <c r="BG320" s="129" t="n"/>
      <c r="BH320" s="129" t="n"/>
      <c r="BI320" s="129" t="n"/>
      <c r="BJ320" s="129" t="n"/>
      <c r="BK320" s="129" t="n"/>
      <c r="BL320" s="129" t="n"/>
      <c r="BM320" s="129" t="n"/>
      <c r="BN320" s="129" t="n"/>
      <c r="BO320" s="129" t="n"/>
      <c r="BP320" s="129" t="n"/>
      <c r="BQ320" s="129" t="n"/>
      <c r="BR320" s="129" t="n"/>
      <c r="BS320" s="129" t="n"/>
      <c r="BT320" s="129" t="n"/>
      <c r="BU320" s="129" t="n"/>
      <c r="BV320" s="129" t="n"/>
      <c r="BW320" s="129" t="n"/>
      <c r="BX320" s="129" t="n"/>
      <c r="BY320" s="129" t="n"/>
      <c r="BZ320" s="129" t="n"/>
      <c r="CA320" s="129" t="n"/>
      <c r="CB320" s="129" t="n"/>
      <c r="CC320" s="129" t="n"/>
      <c r="CD320" s="129" t="n"/>
      <c r="CE320" s="129" t="n"/>
      <c r="CF320" s="129" t="n"/>
      <c r="CG320" s="129" t="n"/>
      <c r="CH320" s="129" t="n"/>
      <c r="CI320" s="129" t="n"/>
      <c r="CJ320" s="129" t="n"/>
      <c r="CK320" s="129" t="n"/>
      <c r="CL320" s="129" t="n"/>
      <c r="CM320" s="129" t="n"/>
      <c r="CN320" s="129" t="n"/>
      <c r="CO320" s="129" t="n"/>
      <c r="CP320" s="129" t="n"/>
      <c r="CQ320" s="129" t="n"/>
      <c r="CR320" s="129" t="n"/>
      <c r="CS320" s="129" t="n"/>
      <c r="CT320" s="129" t="n"/>
      <c r="CU320" s="129" t="n"/>
      <c r="CV320" s="129" t="n"/>
      <c r="CW320" s="129" t="n"/>
      <c r="CX320" s="129" t="n"/>
      <c r="CY320" s="129" t="n"/>
      <c r="CZ320" s="129" t="n"/>
      <c r="DA320" s="129" t="n"/>
      <c r="DB320" s="129" t="n"/>
      <c r="DC320" s="129" t="n"/>
      <c r="DD320" s="129" t="n"/>
      <c r="DE320" s="129" t="n"/>
      <c r="DF320" s="129" t="n"/>
      <c r="DG320" s="129" t="n"/>
      <c r="DH320" s="129" t="n"/>
      <c r="DI320" s="129" t="n"/>
      <c r="DJ320" s="129" t="n"/>
      <c r="DK320" s="129" t="n"/>
      <c r="DL320" s="129" t="n"/>
      <c r="DM320" s="129" t="n"/>
      <c r="DN320" s="129" t="n"/>
      <c r="DO320" s="129" t="n"/>
      <c r="DP320" s="129" t="n"/>
      <c r="DQ320" s="129" t="n"/>
      <c r="DR320" s="129" t="n"/>
      <c r="DS320" s="129" t="n"/>
      <c r="DT320" s="129" t="n"/>
      <c r="DU320" s="129" t="n"/>
      <c r="DV320" s="129" t="n"/>
      <c r="DW320" s="129" t="n"/>
      <c r="DX320" s="129" t="n"/>
      <c r="DY320" s="129" t="n"/>
      <c r="DZ320" s="129" t="n"/>
      <c r="EA320" s="129" t="n"/>
      <c r="EB320" s="129" t="n"/>
      <c r="EC320" s="129" t="n"/>
      <c r="ED320" s="129" t="n"/>
      <c r="EE320" s="129" t="n"/>
      <c r="EF320" s="129" t="n"/>
      <c r="EG320" s="129" t="n"/>
      <c r="EH320" s="129" t="n"/>
      <c r="EI320" s="129" t="n"/>
      <c r="EJ320" s="129" t="n"/>
      <c r="EK320" s="129" t="n"/>
      <c r="EL320" s="129" t="n"/>
      <c r="EM320" s="129" t="n"/>
      <c r="EN320" s="129" t="n"/>
      <c r="EO320" s="129" t="n"/>
      <c r="EP320" s="129" t="n"/>
      <c r="EQ320" s="129" t="n"/>
      <c r="ER320" s="129" t="n"/>
      <c r="ES320" s="129" t="n"/>
      <c r="ET320" s="129" t="n"/>
      <c r="EU320" s="129" t="n"/>
      <c r="EV320" s="129" t="n"/>
      <c r="EW320" s="129" t="n"/>
      <c r="EX320" s="129" t="n"/>
      <c r="EY320" s="129" t="n"/>
      <c r="EZ320" s="129" t="n"/>
      <c r="FA320" s="129" t="n"/>
      <c r="FB320" s="129" t="n"/>
      <c r="FC320" s="129" t="n"/>
      <c r="FD320" s="129" t="n"/>
      <c r="FE320" s="129" t="n"/>
      <c r="FF320" s="129" t="n"/>
      <c r="FG320" s="129" t="n"/>
      <c r="FH320" s="129" t="n"/>
      <c r="FI320" s="129" t="n"/>
      <c r="FJ320" s="129" t="n"/>
      <c r="FK320" s="129" t="n"/>
      <c r="FL320" s="129" t="n"/>
      <c r="FM320" s="129" t="n"/>
    </row>
    <row r="321" s="135">
      <c r="A321" s="52" t="n">
        <v>42825</v>
      </c>
      <c r="B321" s="30" t="n">
        <v>0.076</v>
      </c>
      <c r="C321" s="29" t="n">
        <v>51.2</v>
      </c>
      <c r="D321" s="129" t="n"/>
      <c r="E321" s="129" t="n"/>
      <c r="F321" s="129" t="n"/>
      <c r="G321" s="129" t="n"/>
      <c r="H321" s="129" t="n"/>
      <c r="I321" s="129" t="n"/>
      <c r="J321" s="129" t="n"/>
      <c r="K321" s="129" t="n"/>
      <c r="L321" s="129" t="n"/>
      <c r="M321" s="129" t="n"/>
      <c r="N321" s="129" t="n"/>
      <c r="O321" s="129" t="n"/>
      <c r="P321" s="129" t="n"/>
      <c r="Q321" s="129" t="n"/>
      <c r="R321" s="129" t="n"/>
      <c r="S321" s="129" t="n"/>
      <c r="T321" s="129" t="n"/>
      <c r="U321" s="129" t="n"/>
      <c r="V321" s="129" t="n"/>
      <c r="W321" s="129" t="n"/>
      <c r="X321" s="129" t="n"/>
      <c r="Y321" s="129" t="n"/>
      <c r="Z321" s="129" t="n"/>
      <c r="AA321" s="129" t="n"/>
      <c r="AB321" s="129" t="n"/>
      <c r="AC321" s="129" t="n"/>
      <c r="AD321" s="129" t="n"/>
      <c r="AE321" s="129" t="n"/>
      <c r="AF321" s="129" t="n"/>
      <c r="AG321" s="129" t="n"/>
      <c r="AH321" s="129" t="n"/>
      <c r="AI321" s="129" t="n"/>
      <c r="AJ321" s="129" t="n"/>
      <c r="AK321" s="129" t="n"/>
      <c r="AL321" s="129" t="n"/>
      <c r="AM321" s="129" t="n"/>
      <c r="AN321" s="129" t="n"/>
      <c r="AO321" s="129" t="n"/>
      <c r="AP321" s="129" t="n"/>
      <c r="AQ321" s="129" t="n"/>
      <c r="AR321" s="129" t="n"/>
      <c r="AS321" s="129" t="n"/>
      <c r="AT321" s="129" t="n"/>
      <c r="AU321" s="129" t="n"/>
      <c r="AV321" s="129" t="n"/>
      <c r="AW321" s="129" t="n"/>
      <c r="AX321" s="129" t="n"/>
      <c r="AY321" s="129" t="n"/>
      <c r="AZ321" s="129" t="n"/>
      <c r="BA321" s="129" t="n"/>
      <c r="BB321" s="129" t="n"/>
      <c r="BC321" s="129" t="n"/>
      <c r="BD321" s="129" t="n"/>
      <c r="BE321" s="129" t="n"/>
      <c r="BF321" s="129" t="n"/>
      <c r="BG321" s="129" t="n"/>
      <c r="BH321" s="129" t="n"/>
      <c r="BI321" s="129" t="n"/>
      <c r="BJ321" s="129" t="n"/>
      <c r="BK321" s="129" t="n"/>
      <c r="BL321" s="129" t="n"/>
      <c r="BM321" s="129" t="n"/>
      <c r="BN321" s="129" t="n"/>
      <c r="BO321" s="129" t="n"/>
      <c r="BP321" s="129" t="n"/>
      <c r="BQ321" s="129" t="n"/>
      <c r="BR321" s="129" t="n"/>
      <c r="BS321" s="129" t="n"/>
      <c r="BT321" s="129" t="n"/>
      <c r="BU321" s="129" t="n"/>
      <c r="BV321" s="129" t="n"/>
      <c r="BW321" s="129" t="n"/>
      <c r="BX321" s="129" t="n"/>
      <c r="BY321" s="129" t="n"/>
      <c r="BZ321" s="129" t="n"/>
      <c r="CA321" s="129" t="n"/>
      <c r="CB321" s="129" t="n"/>
      <c r="CC321" s="129" t="n"/>
      <c r="CD321" s="129" t="n"/>
      <c r="CE321" s="129" t="n"/>
      <c r="CF321" s="129" t="n"/>
      <c r="CG321" s="129" t="n"/>
      <c r="CH321" s="129" t="n"/>
      <c r="CI321" s="129" t="n"/>
      <c r="CJ321" s="129" t="n"/>
      <c r="CK321" s="129" t="n"/>
      <c r="CL321" s="129" t="n"/>
      <c r="CM321" s="129" t="n"/>
      <c r="CN321" s="129" t="n"/>
      <c r="CO321" s="129" t="n"/>
      <c r="CP321" s="129" t="n"/>
      <c r="CQ321" s="129" t="n"/>
      <c r="CR321" s="129" t="n"/>
      <c r="CS321" s="129" t="n"/>
      <c r="CT321" s="129" t="n"/>
      <c r="CU321" s="129" t="n"/>
      <c r="CV321" s="129" t="n"/>
      <c r="CW321" s="129" t="n"/>
      <c r="CX321" s="129" t="n"/>
      <c r="CY321" s="129" t="n"/>
      <c r="CZ321" s="129" t="n"/>
      <c r="DA321" s="129" t="n"/>
      <c r="DB321" s="129" t="n"/>
      <c r="DC321" s="129" t="n"/>
      <c r="DD321" s="129" t="n"/>
      <c r="DE321" s="129" t="n"/>
      <c r="DF321" s="129" t="n"/>
      <c r="DG321" s="129" t="n"/>
      <c r="DH321" s="129" t="n"/>
      <c r="DI321" s="129" t="n"/>
      <c r="DJ321" s="129" t="n"/>
      <c r="DK321" s="129" t="n"/>
      <c r="DL321" s="129" t="n"/>
      <c r="DM321" s="129" t="n"/>
      <c r="DN321" s="129" t="n"/>
      <c r="DO321" s="129" t="n"/>
      <c r="DP321" s="129" t="n"/>
      <c r="DQ321" s="129" t="n"/>
      <c r="DR321" s="129" t="n"/>
      <c r="DS321" s="129" t="n"/>
      <c r="DT321" s="129" t="n"/>
      <c r="DU321" s="129" t="n"/>
      <c r="DV321" s="129" t="n"/>
      <c r="DW321" s="129" t="n"/>
      <c r="DX321" s="129" t="n"/>
      <c r="DY321" s="129" t="n"/>
      <c r="DZ321" s="129" t="n"/>
      <c r="EA321" s="129" t="n"/>
      <c r="EB321" s="129" t="n"/>
      <c r="EC321" s="129" t="n"/>
      <c r="ED321" s="129" t="n"/>
      <c r="EE321" s="129" t="n"/>
      <c r="EF321" s="129" t="n"/>
      <c r="EG321" s="129" t="n"/>
      <c r="EH321" s="129" t="n"/>
      <c r="EI321" s="129" t="n"/>
      <c r="EJ321" s="129" t="n"/>
      <c r="EK321" s="129" t="n"/>
      <c r="EL321" s="129" t="n"/>
      <c r="EM321" s="129" t="n"/>
      <c r="EN321" s="129" t="n"/>
      <c r="EO321" s="129" t="n"/>
      <c r="EP321" s="129" t="n"/>
      <c r="EQ321" s="129" t="n"/>
      <c r="ER321" s="129" t="n"/>
      <c r="ES321" s="129" t="n"/>
      <c r="ET321" s="129" t="n"/>
      <c r="EU321" s="129" t="n"/>
      <c r="EV321" s="129" t="n"/>
      <c r="EW321" s="129" t="n"/>
      <c r="EX321" s="129" t="n"/>
      <c r="EY321" s="129" t="n"/>
      <c r="EZ321" s="129" t="n"/>
      <c r="FA321" s="129" t="n"/>
      <c r="FB321" s="129" t="n"/>
      <c r="FC321" s="129" t="n"/>
      <c r="FD321" s="129" t="n"/>
      <c r="FE321" s="129" t="n"/>
      <c r="FF321" s="129" t="n"/>
      <c r="FG321" s="129" t="n"/>
      <c r="FH321" s="129" t="n"/>
      <c r="FI321" s="129" t="n"/>
      <c r="FJ321" s="129" t="n"/>
      <c r="FK321" s="129" t="n"/>
      <c r="FL321" s="129" t="n"/>
      <c r="FM321" s="129" t="n"/>
    </row>
    <row r="322" s="135">
      <c r="A322" s="53" t="n">
        <v>42855</v>
      </c>
      <c r="B322" s="54" t="n">
        <v>0.065</v>
      </c>
      <c r="C322" s="29" t="n">
        <v>50.3</v>
      </c>
      <c r="D322" s="129" t="n"/>
      <c r="E322" s="129" t="n"/>
      <c r="F322" s="129" t="n"/>
      <c r="G322" s="129" t="n"/>
      <c r="H322" s="129" t="n"/>
      <c r="I322" s="129" t="n"/>
      <c r="J322" s="129" t="n"/>
      <c r="K322" s="129" t="n"/>
      <c r="L322" s="129" t="n"/>
      <c r="M322" s="129" t="n"/>
      <c r="N322" s="129" t="n"/>
      <c r="O322" s="129" t="n"/>
      <c r="P322" s="129" t="n"/>
      <c r="Q322" s="129" t="n"/>
      <c r="R322" s="129" t="n"/>
      <c r="S322" s="129" t="n"/>
      <c r="T322" s="129" t="n"/>
      <c r="U322" s="129" t="n"/>
      <c r="V322" s="129" t="n"/>
      <c r="W322" s="129" t="n"/>
      <c r="X322" s="129" t="n"/>
      <c r="Y322" s="129" t="n"/>
      <c r="Z322" s="129" t="n"/>
      <c r="AA322" s="129" t="n"/>
      <c r="AB322" s="129" t="n"/>
      <c r="AC322" s="129" t="n"/>
      <c r="AD322" s="129" t="n"/>
      <c r="AE322" s="129" t="n"/>
      <c r="AF322" s="129" t="n"/>
      <c r="AG322" s="129" t="n"/>
      <c r="AH322" s="129" t="n"/>
      <c r="AI322" s="129" t="n"/>
      <c r="AJ322" s="129" t="n"/>
      <c r="AK322" s="129" t="n"/>
      <c r="AL322" s="129" t="n"/>
      <c r="AM322" s="129" t="n"/>
      <c r="AN322" s="129" t="n"/>
      <c r="AO322" s="129" t="n"/>
      <c r="AP322" s="129" t="n"/>
      <c r="AQ322" s="129" t="n"/>
      <c r="AR322" s="129" t="n"/>
      <c r="AS322" s="129" t="n"/>
      <c r="AT322" s="129" t="n"/>
      <c r="AU322" s="129" t="n"/>
      <c r="AV322" s="129" t="n"/>
      <c r="AW322" s="129" t="n"/>
      <c r="AX322" s="129" t="n"/>
      <c r="AY322" s="129" t="n"/>
      <c r="AZ322" s="129" t="n"/>
      <c r="BA322" s="129" t="n"/>
      <c r="BB322" s="129" t="n"/>
      <c r="BC322" s="129" t="n"/>
      <c r="BD322" s="129" t="n"/>
      <c r="BE322" s="129" t="n"/>
      <c r="BF322" s="129" t="n"/>
      <c r="BG322" s="129" t="n"/>
      <c r="BH322" s="129" t="n"/>
      <c r="BI322" s="129" t="n"/>
      <c r="BJ322" s="129" t="n"/>
      <c r="BK322" s="129" t="n"/>
      <c r="BL322" s="129" t="n"/>
      <c r="BM322" s="129" t="n"/>
      <c r="BN322" s="129" t="n"/>
      <c r="BO322" s="129" t="n"/>
      <c r="BP322" s="129" t="n"/>
      <c r="BQ322" s="129" t="n"/>
      <c r="BR322" s="129" t="n"/>
      <c r="BS322" s="129" t="n"/>
      <c r="BT322" s="129" t="n"/>
      <c r="BU322" s="129" t="n"/>
      <c r="BV322" s="129" t="n"/>
      <c r="BW322" s="129" t="n"/>
      <c r="BX322" s="129" t="n"/>
      <c r="BY322" s="129" t="n"/>
      <c r="BZ322" s="129" t="n"/>
      <c r="CA322" s="129" t="n"/>
      <c r="CB322" s="129" t="n"/>
      <c r="CC322" s="129" t="n"/>
      <c r="CD322" s="129" t="n"/>
      <c r="CE322" s="129" t="n"/>
      <c r="CF322" s="129" t="n"/>
      <c r="CG322" s="129" t="n"/>
      <c r="CH322" s="129" t="n"/>
      <c r="CI322" s="129" t="n"/>
      <c r="CJ322" s="129" t="n"/>
      <c r="CK322" s="129" t="n"/>
      <c r="CL322" s="129" t="n"/>
      <c r="CM322" s="129" t="n"/>
      <c r="CN322" s="129" t="n"/>
      <c r="CO322" s="129" t="n"/>
      <c r="CP322" s="129" t="n"/>
      <c r="CQ322" s="129" t="n"/>
      <c r="CR322" s="129" t="n"/>
      <c r="CS322" s="129" t="n"/>
      <c r="CT322" s="129" t="n"/>
      <c r="CU322" s="129" t="n"/>
      <c r="CV322" s="129" t="n"/>
      <c r="CW322" s="129" t="n"/>
      <c r="CX322" s="129" t="n"/>
      <c r="CY322" s="129" t="n"/>
      <c r="CZ322" s="129" t="n"/>
      <c r="DA322" s="129" t="n"/>
      <c r="DB322" s="129" t="n"/>
      <c r="DC322" s="129" t="n"/>
      <c r="DD322" s="129" t="n"/>
      <c r="DE322" s="129" t="n"/>
      <c r="DF322" s="129" t="n"/>
      <c r="DG322" s="129" t="n"/>
      <c r="DH322" s="129" t="n"/>
      <c r="DI322" s="129" t="n"/>
      <c r="DJ322" s="129" t="n"/>
      <c r="DK322" s="129" t="n"/>
      <c r="DL322" s="129" t="n"/>
      <c r="DM322" s="129" t="n"/>
      <c r="DN322" s="129" t="n"/>
      <c r="DO322" s="129" t="n"/>
      <c r="DP322" s="129" t="n"/>
      <c r="DQ322" s="129" t="n"/>
      <c r="DR322" s="129" t="n"/>
      <c r="DS322" s="129" t="n"/>
      <c r="DT322" s="129" t="n"/>
      <c r="DU322" s="129" t="n"/>
      <c r="DV322" s="129" t="n"/>
      <c r="DW322" s="129" t="n"/>
      <c r="DX322" s="129" t="n"/>
      <c r="DY322" s="129" t="n"/>
      <c r="DZ322" s="129" t="n"/>
      <c r="EA322" s="129" t="n"/>
      <c r="EB322" s="129" t="n"/>
      <c r="EC322" s="129" t="n"/>
      <c r="ED322" s="129" t="n"/>
      <c r="EE322" s="129" t="n"/>
      <c r="EF322" s="129" t="n"/>
      <c r="EG322" s="129" t="n"/>
      <c r="EH322" s="129" t="n"/>
      <c r="EI322" s="129" t="n"/>
      <c r="EJ322" s="129" t="n"/>
      <c r="EK322" s="129" t="n"/>
      <c r="EL322" s="129" t="n"/>
      <c r="EM322" s="129" t="n"/>
      <c r="EN322" s="129" t="n"/>
      <c r="EO322" s="129" t="n"/>
      <c r="EP322" s="129" t="n"/>
      <c r="EQ322" s="129" t="n"/>
      <c r="ER322" s="129" t="n"/>
      <c r="ES322" s="129" t="n"/>
      <c r="ET322" s="129" t="n"/>
      <c r="EU322" s="129" t="n"/>
      <c r="EV322" s="129" t="n"/>
      <c r="EW322" s="129" t="n"/>
      <c r="EX322" s="129" t="n"/>
      <c r="EY322" s="129" t="n"/>
      <c r="EZ322" s="129" t="n"/>
      <c r="FA322" s="129" t="n"/>
      <c r="FB322" s="129" t="n"/>
      <c r="FC322" s="129" t="n"/>
      <c r="FD322" s="129" t="n"/>
      <c r="FE322" s="129" t="n"/>
      <c r="FF322" s="129" t="n"/>
      <c r="FG322" s="129" t="n"/>
      <c r="FH322" s="129" t="n"/>
      <c r="FI322" s="129" t="n"/>
      <c r="FJ322" s="129" t="n"/>
      <c r="FK322" s="129" t="n"/>
      <c r="FL322" s="129" t="n"/>
      <c r="FM322" s="129" t="n"/>
    </row>
    <row r="323" s="135">
      <c r="A323" s="52" t="n">
        <v>42886</v>
      </c>
      <c r="B323" s="30" t="n">
        <v>0.065</v>
      </c>
      <c r="C323" s="29" t="n">
        <v>49.6</v>
      </c>
      <c r="D323" s="129" t="n"/>
      <c r="E323" s="129" t="n"/>
      <c r="F323" s="129" t="n"/>
      <c r="G323" s="129" t="n"/>
      <c r="H323" s="129" t="n"/>
      <c r="I323" s="129" t="n"/>
      <c r="J323" s="129" t="n"/>
      <c r="K323" s="129" t="n"/>
      <c r="L323" s="129" t="n"/>
      <c r="M323" s="129" t="n"/>
      <c r="N323" s="129" t="n"/>
      <c r="O323" s="129" t="n"/>
      <c r="P323" s="129" t="n"/>
      <c r="Q323" s="129" t="n"/>
      <c r="R323" s="129" t="n"/>
      <c r="S323" s="129" t="n"/>
      <c r="T323" s="129" t="n"/>
      <c r="U323" s="129" t="n"/>
      <c r="V323" s="129" t="n"/>
      <c r="W323" s="129" t="n"/>
      <c r="X323" s="129" t="n"/>
      <c r="Y323" s="129" t="n"/>
      <c r="Z323" s="129" t="n"/>
      <c r="AA323" s="129" t="n"/>
      <c r="AB323" s="129" t="n"/>
      <c r="AC323" s="129" t="n"/>
      <c r="AD323" s="129" t="n"/>
      <c r="AE323" s="129" t="n"/>
      <c r="AF323" s="129" t="n"/>
      <c r="AG323" s="129" t="n"/>
      <c r="AH323" s="129" t="n"/>
      <c r="AI323" s="129" t="n"/>
      <c r="AJ323" s="129" t="n"/>
      <c r="AK323" s="129" t="n"/>
      <c r="AL323" s="129" t="n"/>
      <c r="AM323" s="129" t="n"/>
      <c r="AN323" s="129" t="n"/>
      <c r="AO323" s="129" t="n"/>
      <c r="AP323" s="129" t="n"/>
      <c r="AQ323" s="129" t="n"/>
      <c r="AR323" s="129" t="n"/>
      <c r="AS323" s="129" t="n"/>
      <c r="AT323" s="129" t="n"/>
      <c r="AU323" s="129" t="n"/>
      <c r="AV323" s="129" t="n"/>
      <c r="AW323" s="129" t="n"/>
      <c r="AX323" s="129" t="n"/>
      <c r="AY323" s="129" t="n"/>
      <c r="AZ323" s="129" t="n"/>
      <c r="BA323" s="129" t="n"/>
      <c r="BB323" s="129" t="n"/>
      <c r="BC323" s="129" t="n"/>
      <c r="BD323" s="129" t="n"/>
      <c r="BE323" s="129" t="n"/>
      <c r="BF323" s="129" t="n"/>
      <c r="BG323" s="129" t="n"/>
      <c r="BH323" s="129" t="n"/>
      <c r="BI323" s="129" t="n"/>
      <c r="BJ323" s="129" t="n"/>
      <c r="BK323" s="129" t="n"/>
      <c r="BL323" s="129" t="n"/>
      <c r="BM323" s="129" t="n"/>
      <c r="BN323" s="129" t="n"/>
      <c r="BO323" s="129" t="n"/>
      <c r="BP323" s="129" t="n"/>
      <c r="BQ323" s="129" t="n"/>
      <c r="BR323" s="129" t="n"/>
      <c r="BS323" s="129" t="n"/>
      <c r="BT323" s="129" t="n"/>
      <c r="BU323" s="129" t="n"/>
      <c r="BV323" s="129" t="n"/>
      <c r="BW323" s="129" t="n"/>
      <c r="BX323" s="129" t="n"/>
      <c r="BY323" s="129" t="n"/>
      <c r="BZ323" s="129" t="n"/>
      <c r="CA323" s="129" t="n"/>
      <c r="CB323" s="129" t="n"/>
      <c r="CC323" s="129" t="n"/>
      <c r="CD323" s="129" t="n"/>
      <c r="CE323" s="129" t="n"/>
      <c r="CF323" s="129" t="n"/>
      <c r="CG323" s="129" t="n"/>
      <c r="CH323" s="129" t="n"/>
      <c r="CI323" s="129" t="n"/>
      <c r="CJ323" s="129" t="n"/>
      <c r="CK323" s="129" t="n"/>
      <c r="CL323" s="129" t="n"/>
      <c r="CM323" s="129" t="n"/>
      <c r="CN323" s="129" t="n"/>
      <c r="CO323" s="129" t="n"/>
      <c r="CP323" s="129" t="n"/>
      <c r="CQ323" s="129" t="n"/>
      <c r="CR323" s="129" t="n"/>
      <c r="CS323" s="129" t="n"/>
      <c r="CT323" s="129" t="n"/>
      <c r="CU323" s="129" t="n"/>
      <c r="CV323" s="129" t="n"/>
      <c r="CW323" s="129" t="n"/>
      <c r="CX323" s="129" t="n"/>
      <c r="CY323" s="129" t="n"/>
      <c r="CZ323" s="129" t="n"/>
      <c r="DA323" s="129" t="n"/>
      <c r="DB323" s="129" t="n"/>
      <c r="DC323" s="129" t="n"/>
      <c r="DD323" s="129" t="n"/>
      <c r="DE323" s="129" t="n"/>
      <c r="DF323" s="129" t="n"/>
      <c r="DG323" s="129" t="n"/>
      <c r="DH323" s="129" t="n"/>
      <c r="DI323" s="129" t="n"/>
      <c r="DJ323" s="129" t="n"/>
      <c r="DK323" s="129" t="n"/>
      <c r="DL323" s="129" t="n"/>
      <c r="DM323" s="129" t="n"/>
      <c r="DN323" s="129" t="n"/>
      <c r="DO323" s="129" t="n"/>
      <c r="DP323" s="129" t="n"/>
      <c r="DQ323" s="129" t="n"/>
      <c r="DR323" s="129" t="n"/>
      <c r="DS323" s="129" t="n"/>
      <c r="DT323" s="129" t="n"/>
      <c r="DU323" s="129" t="n"/>
      <c r="DV323" s="129" t="n"/>
      <c r="DW323" s="129" t="n"/>
      <c r="DX323" s="129" t="n"/>
      <c r="DY323" s="129" t="n"/>
      <c r="DZ323" s="129" t="n"/>
      <c r="EA323" s="129" t="n"/>
      <c r="EB323" s="129" t="n"/>
      <c r="EC323" s="129" t="n"/>
      <c r="ED323" s="129" t="n"/>
      <c r="EE323" s="129" t="n"/>
      <c r="EF323" s="129" t="n"/>
      <c r="EG323" s="129" t="n"/>
      <c r="EH323" s="129" t="n"/>
      <c r="EI323" s="129" t="n"/>
      <c r="EJ323" s="129" t="n"/>
      <c r="EK323" s="129" t="n"/>
      <c r="EL323" s="129" t="n"/>
      <c r="EM323" s="129" t="n"/>
      <c r="EN323" s="129" t="n"/>
      <c r="EO323" s="129" t="n"/>
      <c r="EP323" s="129" t="n"/>
      <c r="EQ323" s="129" t="n"/>
      <c r="ER323" s="129" t="n"/>
      <c r="ES323" s="129" t="n"/>
      <c r="ET323" s="129" t="n"/>
      <c r="EU323" s="129" t="n"/>
      <c r="EV323" s="129" t="n"/>
      <c r="EW323" s="129" t="n"/>
      <c r="EX323" s="129" t="n"/>
      <c r="EY323" s="129" t="n"/>
      <c r="EZ323" s="129" t="n"/>
      <c r="FA323" s="129" t="n"/>
      <c r="FB323" s="129" t="n"/>
      <c r="FC323" s="129" t="n"/>
      <c r="FD323" s="129" t="n"/>
      <c r="FE323" s="129" t="n"/>
      <c r="FF323" s="129" t="n"/>
      <c r="FG323" s="129" t="n"/>
      <c r="FH323" s="129" t="n"/>
      <c r="FI323" s="129" t="n"/>
      <c r="FJ323" s="129" t="n"/>
      <c r="FK323" s="129" t="n"/>
      <c r="FL323" s="129" t="n"/>
      <c r="FM323" s="129" t="n"/>
    </row>
    <row r="324" s="135">
      <c r="A324" s="53" t="n">
        <v>42916</v>
      </c>
      <c r="B324" s="54" t="n">
        <v>0.076</v>
      </c>
      <c r="C324" s="29" t="n">
        <v>50.4</v>
      </c>
      <c r="D324" s="129" t="n"/>
      <c r="E324" s="129" t="n"/>
      <c r="F324" s="129" t="n"/>
      <c r="G324" s="129" t="n"/>
      <c r="H324" s="129" t="n"/>
      <c r="I324" s="129" t="n"/>
      <c r="J324" s="129" t="n"/>
      <c r="K324" s="129" t="n"/>
      <c r="L324" s="129" t="n"/>
      <c r="M324" s="129" t="n"/>
      <c r="N324" s="129" t="n"/>
      <c r="O324" s="129" t="n"/>
      <c r="P324" s="129" t="n"/>
      <c r="Q324" s="129" t="n"/>
      <c r="R324" s="129" t="n"/>
      <c r="S324" s="129" t="n"/>
      <c r="T324" s="129" t="n"/>
      <c r="U324" s="129" t="n"/>
      <c r="V324" s="129" t="n"/>
      <c r="W324" s="129" t="n"/>
      <c r="X324" s="129" t="n"/>
      <c r="Y324" s="129" t="n"/>
      <c r="Z324" s="129" t="n"/>
      <c r="AA324" s="129" t="n"/>
      <c r="AB324" s="129" t="n"/>
      <c r="AC324" s="129" t="n"/>
      <c r="AD324" s="129" t="n"/>
      <c r="AE324" s="129" t="n"/>
      <c r="AF324" s="129" t="n"/>
      <c r="AG324" s="129" t="n"/>
      <c r="AH324" s="129" t="n"/>
      <c r="AI324" s="129" t="n"/>
      <c r="AJ324" s="129" t="n"/>
      <c r="AK324" s="129" t="n"/>
      <c r="AL324" s="129" t="n"/>
      <c r="AM324" s="129" t="n"/>
      <c r="AN324" s="129" t="n"/>
      <c r="AO324" s="129" t="n"/>
      <c r="AP324" s="129" t="n"/>
      <c r="AQ324" s="129" t="n"/>
      <c r="AR324" s="129" t="n"/>
      <c r="AS324" s="129" t="n"/>
      <c r="AT324" s="129" t="n"/>
      <c r="AU324" s="129" t="n"/>
      <c r="AV324" s="129" t="n"/>
      <c r="AW324" s="129" t="n"/>
      <c r="AX324" s="129" t="n"/>
      <c r="AY324" s="129" t="n"/>
      <c r="AZ324" s="129" t="n"/>
      <c r="BA324" s="129" t="n"/>
      <c r="BB324" s="129" t="n"/>
      <c r="BC324" s="129" t="n"/>
      <c r="BD324" s="129" t="n"/>
      <c r="BE324" s="129" t="n"/>
      <c r="BF324" s="129" t="n"/>
      <c r="BG324" s="129" t="n"/>
      <c r="BH324" s="129" t="n"/>
      <c r="BI324" s="129" t="n"/>
      <c r="BJ324" s="129" t="n"/>
      <c r="BK324" s="129" t="n"/>
      <c r="BL324" s="129" t="n"/>
      <c r="BM324" s="129" t="n"/>
      <c r="BN324" s="129" t="n"/>
      <c r="BO324" s="129" t="n"/>
      <c r="BP324" s="129" t="n"/>
      <c r="BQ324" s="129" t="n"/>
      <c r="BR324" s="129" t="n"/>
      <c r="BS324" s="129" t="n"/>
      <c r="BT324" s="129" t="n"/>
      <c r="BU324" s="129" t="n"/>
      <c r="BV324" s="129" t="n"/>
      <c r="BW324" s="129" t="n"/>
      <c r="BX324" s="129" t="n"/>
      <c r="BY324" s="129" t="n"/>
      <c r="BZ324" s="129" t="n"/>
      <c r="CA324" s="129" t="n"/>
      <c r="CB324" s="129" t="n"/>
      <c r="CC324" s="129" t="n"/>
      <c r="CD324" s="129" t="n"/>
      <c r="CE324" s="129" t="n"/>
      <c r="CF324" s="129" t="n"/>
      <c r="CG324" s="129" t="n"/>
      <c r="CH324" s="129" t="n"/>
      <c r="CI324" s="129" t="n"/>
      <c r="CJ324" s="129" t="n"/>
      <c r="CK324" s="129" t="n"/>
      <c r="CL324" s="129" t="n"/>
      <c r="CM324" s="129" t="n"/>
      <c r="CN324" s="129" t="n"/>
      <c r="CO324" s="129" t="n"/>
      <c r="CP324" s="129" t="n"/>
      <c r="CQ324" s="129" t="n"/>
      <c r="CR324" s="129" t="n"/>
      <c r="CS324" s="129" t="n"/>
      <c r="CT324" s="129" t="n"/>
      <c r="CU324" s="129" t="n"/>
      <c r="CV324" s="129" t="n"/>
      <c r="CW324" s="129" t="n"/>
      <c r="CX324" s="129" t="n"/>
      <c r="CY324" s="129" t="n"/>
      <c r="CZ324" s="129" t="n"/>
      <c r="DA324" s="129" t="n"/>
      <c r="DB324" s="129" t="n"/>
      <c r="DC324" s="129" t="n"/>
      <c r="DD324" s="129" t="n"/>
      <c r="DE324" s="129" t="n"/>
      <c r="DF324" s="129" t="n"/>
      <c r="DG324" s="129" t="n"/>
      <c r="DH324" s="129" t="n"/>
      <c r="DI324" s="129" t="n"/>
      <c r="DJ324" s="129" t="n"/>
      <c r="DK324" s="129" t="n"/>
      <c r="DL324" s="129" t="n"/>
      <c r="DM324" s="129" t="n"/>
      <c r="DN324" s="129" t="n"/>
      <c r="DO324" s="129" t="n"/>
      <c r="DP324" s="129" t="n"/>
      <c r="DQ324" s="129" t="n"/>
      <c r="DR324" s="129" t="n"/>
      <c r="DS324" s="129" t="n"/>
      <c r="DT324" s="129" t="n"/>
      <c r="DU324" s="129" t="n"/>
      <c r="DV324" s="129" t="n"/>
      <c r="DW324" s="129" t="n"/>
      <c r="DX324" s="129" t="n"/>
      <c r="DY324" s="129" t="n"/>
      <c r="DZ324" s="129" t="n"/>
      <c r="EA324" s="129" t="n"/>
      <c r="EB324" s="129" t="n"/>
      <c r="EC324" s="129" t="n"/>
      <c r="ED324" s="129" t="n"/>
      <c r="EE324" s="129" t="n"/>
      <c r="EF324" s="129" t="n"/>
      <c r="EG324" s="129" t="n"/>
      <c r="EH324" s="129" t="n"/>
      <c r="EI324" s="129" t="n"/>
      <c r="EJ324" s="129" t="n"/>
      <c r="EK324" s="129" t="n"/>
      <c r="EL324" s="129" t="n"/>
      <c r="EM324" s="129" t="n"/>
      <c r="EN324" s="129" t="n"/>
      <c r="EO324" s="129" t="n"/>
      <c r="EP324" s="129" t="n"/>
      <c r="EQ324" s="129" t="n"/>
      <c r="ER324" s="129" t="n"/>
      <c r="ES324" s="129" t="n"/>
      <c r="ET324" s="129" t="n"/>
      <c r="EU324" s="129" t="n"/>
      <c r="EV324" s="129" t="n"/>
      <c r="EW324" s="129" t="n"/>
      <c r="EX324" s="129" t="n"/>
      <c r="EY324" s="129" t="n"/>
      <c r="EZ324" s="129" t="n"/>
      <c r="FA324" s="129" t="n"/>
      <c r="FB324" s="129" t="n"/>
      <c r="FC324" s="129" t="n"/>
      <c r="FD324" s="129" t="n"/>
      <c r="FE324" s="129" t="n"/>
      <c r="FF324" s="129" t="n"/>
      <c r="FG324" s="129" t="n"/>
      <c r="FH324" s="129" t="n"/>
      <c r="FI324" s="129" t="n"/>
      <c r="FJ324" s="129" t="n"/>
      <c r="FK324" s="129" t="n"/>
      <c r="FL324" s="129" t="n"/>
      <c r="FM324" s="129" t="n"/>
    </row>
    <row r="325" s="135">
      <c r="A325" s="52" t="n">
        <v>42947</v>
      </c>
      <c r="B325" s="30" t="n">
        <v>0.064</v>
      </c>
      <c r="C325" s="29" t="n">
        <v>51.1</v>
      </c>
      <c r="D325" s="129" t="n"/>
      <c r="E325" s="129" t="n"/>
      <c r="F325" s="129" t="n"/>
      <c r="G325" s="129" t="n"/>
      <c r="H325" s="129" t="n"/>
      <c r="I325" s="129" t="n"/>
      <c r="J325" s="129" t="n"/>
      <c r="K325" s="129" t="n"/>
      <c r="L325" s="129" t="n"/>
      <c r="M325" s="129" t="n"/>
      <c r="N325" s="129" t="n"/>
      <c r="O325" s="129" t="n"/>
      <c r="P325" s="129" t="n"/>
      <c r="Q325" s="129" t="n"/>
      <c r="R325" s="129" t="n"/>
      <c r="S325" s="129" t="n"/>
      <c r="T325" s="129" t="n"/>
      <c r="U325" s="129" t="n"/>
      <c r="V325" s="129" t="n"/>
      <c r="W325" s="129" t="n"/>
      <c r="X325" s="129" t="n"/>
      <c r="Y325" s="129" t="n"/>
      <c r="Z325" s="129" t="n"/>
      <c r="AA325" s="129" t="n"/>
      <c r="AB325" s="129" t="n"/>
      <c r="AC325" s="129" t="n"/>
      <c r="AD325" s="129" t="n"/>
      <c r="AE325" s="129" t="n"/>
      <c r="AF325" s="129" t="n"/>
      <c r="AG325" s="129" t="n"/>
      <c r="AH325" s="129" t="n"/>
      <c r="AI325" s="129" t="n"/>
      <c r="AJ325" s="129" t="n"/>
      <c r="AK325" s="129" t="n"/>
      <c r="AL325" s="129" t="n"/>
      <c r="AM325" s="129" t="n"/>
      <c r="AN325" s="129" t="n"/>
      <c r="AO325" s="129" t="n"/>
      <c r="AP325" s="129" t="n"/>
      <c r="AQ325" s="129" t="n"/>
      <c r="AR325" s="129" t="n"/>
      <c r="AS325" s="129" t="n"/>
      <c r="AT325" s="129" t="n"/>
      <c r="AU325" s="129" t="n"/>
      <c r="AV325" s="129" t="n"/>
      <c r="AW325" s="129" t="n"/>
      <c r="AX325" s="129" t="n"/>
      <c r="AY325" s="129" t="n"/>
      <c r="AZ325" s="129" t="n"/>
      <c r="BA325" s="129" t="n"/>
      <c r="BB325" s="129" t="n"/>
      <c r="BC325" s="129" t="n"/>
      <c r="BD325" s="129" t="n"/>
      <c r="BE325" s="129" t="n"/>
      <c r="BF325" s="129" t="n"/>
      <c r="BG325" s="129" t="n"/>
      <c r="BH325" s="129" t="n"/>
      <c r="BI325" s="129" t="n"/>
      <c r="BJ325" s="129" t="n"/>
      <c r="BK325" s="129" t="n"/>
      <c r="BL325" s="129" t="n"/>
      <c r="BM325" s="129" t="n"/>
      <c r="BN325" s="129" t="n"/>
      <c r="BO325" s="129" t="n"/>
      <c r="BP325" s="129" t="n"/>
      <c r="BQ325" s="129" t="n"/>
      <c r="BR325" s="129" t="n"/>
      <c r="BS325" s="129" t="n"/>
      <c r="BT325" s="129" t="n"/>
      <c r="BU325" s="129" t="n"/>
      <c r="BV325" s="129" t="n"/>
      <c r="BW325" s="129" t="n"/>
      <c r="BX325" s="129" t="n"/>
      <c r="BY325" s="129" t="n"/>
      <c r="BZ325" s="129" t="n"/>
      <c r="CA325" s="129" t="n"/>
      <c r="CB325" s="129" t="n"/>
      <c r="CC325" s="129" t="n"/>
      <c r="CD325" s="129" t="n"/>
      <c r="CE325" s="129" t="n"/>
      <c r="CF325" s="129" t="n"/>
      <c r="CG325" s="129" t="n"/>
      <c r="CH325" s="129" t="n"/>
      <c r="CI325" s="129" t="n"/>
      <c r="CJ325" s="129" t="n"/>
      <c r="CK325" s="129" t="n"/>
      <c r="CL325" s="129" t="n"/>
      <c r="CM325" s="129" t="n"/>
      <c r="CN325" s="129" t="n"/>
      <c r="CO325" s="129" t="n"/>
      <c r="CP325" s="129" t="n"/>
      <c r="CQ325" s="129" t="n"/>
      <c r="CR325" s="129" t="n"/>
      <c r="CS325" s="129" t="n"/>
      <c r="CT325" s="129" t="n"/>
      <c r="CU325" s="129" t="n"/>
      <c r="CV325" s="129" t="n"/>
      <c r="CW325" s="129" t="n"/>
      <c r="CX325" s="129" t="n"/>
      <c r="CY325" s="129" t="n"/>
      <c r="CZ325" s="129" t="n"/>
      <c r="DA325" s="129" t="n"/>
      <c r="DB325" s="129" t="n"/>
      <c r="DC325" s="129" t="n"/>
      <c r="DD325" s="129" t="n"/>
      <c r="DE325" s="129" t="n"/>
      <c r="DF325" s="129" t="n"/>
      <c r="DG325" s="129" t="n"/>
      <c r="DH325" s="129" t="n"/>
      <c r="DI325" s="129" t="n"/>
      <c r="DJ325" s="129" t="n"/>
      <c r="DK325" s="129" t="n"/>
      <c r="DL325" s="129" t="n"/>
      <c r="DM325" s="129" t="n"/>
      <c r="DN325" s="129" t="n"/>
      <c r="DO325" s="129" t="n"/>
      <c r="DP325" s="129" t="n"/>
      <c r="DQ325" s="129" t="n"/>
      <c r="DR325" s="129" t="n"/>
      <c r="DS325" s="129" t="n"/>
      <c r="DT325" s="129" t="n"/>
      <c r="DU325" s="129" t="n"/>
      <c r="DV325" s="129" t="n"/>
      <c r="DW325" s="129" t="n"/>
      <c r="DX325" s="129" t="n"/>
      <c r="DY325" s="129" t="n"/>
      <c r="DZ325" s="129" t="n"/>
      <c r="EA325" s="129" t="n"/>
      <c r="EB325" s="129" t="n"/>
      <c r="EC325" s="129" t="n"/>
      <c r="ED325" s="129" t="n"/>
      <c r="EE325" s="129" t="n"/>
      <c r="EF325" s="129" t="n"/>
      <c r="EG325" s="129" t="n"/>
      <c r="EH325" s="129" t="n"/>
      <c r="EI325" s="129" t="n"/>
      <c r="EJ325" s="129" t="n"/>
      <c r="EK325" s="129" t="n"/>
      <c r="EL325" s="129" t="n"/>
      <c r="EM325" s="129" t="n"/>
      <c r="EN325" s="129" t="n"/>
      <c r="EO325" s="129" t="n"/>
      <c r="EP325" s="129" t="n"/>
      <c r="EQ325" s="129" t="n"/>
      <c r="ER325" s="129" t="n"/>
      <c r="ES325" s="129" t="n"/>
      <c r="ET325" s="129" t="n"/>
      <c r="EU325" s="129" t="n"/>
      <c r="EV325" s="129" t="n"/>
      <c r="EW325" s="129" t="n"/>
      <c r="EX325" s="129" t="n"/>
      <c r="EY325" s="129" t="n"/>
      <c r="EZ325" s="129" t="n"/>
      <c r="FA325" s="129" t="n"/>
      <c r="FB325" s="129" t="n"/>
      <c r="FC325" s="129" t="n"/>
      <c r="FD325" s="129" t="n"/>
      <c r="FE325" s="129" t="n"/>
      <c r="FF325" s="129" t="n"/>
      <c r="FG325" s="129" t="n"/>
      <c r="FH325" s="129" t="n"/>
      <c r="FI325" s="129" t="n"/>
      <c r="FJ325" s="129" t="n"/>
      <c r="FK325" s="129" t="n"/>
      <c r="FL325" s="129" t="n"/>
      <c r="FM325" s="129" t="n"/>
    </row>
    <row r="326" s="135">
      <c r="A326" s="53" t="n">
        <v>42978</v>
      </c>
      <c r="B326" s="54" t="n">
        <v>0.06</v>
      </c>
      <c r="C326" s="29" t="n">
        <v>51.6</v>
      </c>
      <c r="D326" s="129" t="n"/>
      <c r="E326" s="129" t="n"/>
      <c r="F326" s="129" t="n"/>
      <c r="G326" s="129" t="n"/>
      <c r="H326" s="129" t="n"/>
      <c r="I326" s="129" t="n"/>
      <c r="J326" s="129" t="n"/>
      <c r="K326" s="129" t="n"/>
      <c r="L326" s="129" t="n"/>
      <c r="M326" s="129" t="n"/>
      <c r="N326" s="129" t="n"/>
      <c r="O326" s="129" t="n"/>
      <c r="P326" s="129" t="n"/>
      <c r="Q326" s="129" t="n"/>
      <c r="R326" s="129" t="n"/>
      <c r="S326" s="129" t="n"/>
      <c r="T326" s="129" t="n"/>
      <c r="U326" s="129" t="n"/>
      <c r="V326" s="129" t="n"/>
      <c r="W326" s="129" t="n"/>
      <c r="X326" s="129" t="n"/>
      <c r="Y326" s="129" t="n"/>
      <c r="Z326" s="129" t="n"/>
      <c r="AA326" s="129" t="n"/>
      <c r="AB326" s="129" t="n"/>
      <c r="AC326" s="129" t="n"/>
      <c r="AD326" s="129" t="n"/>
      <c r="AE326" s="129" t="n"/>
      <c r="AF326" s="129" t="n"/>
      <c r="AG326" s="129" t="n"/>
      <c r="AH326" s="129" t="n"/>
      <c r="AI326" s="129" t="n"/>
      <c r="AJ326" s="129" t="n"/>
      <c r="AK326" s="129" t="n"/>
      <c r="AL326" s="129" t="n"/>
      <c r="AM326" s="129" t="n"/>
      <c r="AN326" s="129" t="n"/>
      <c r="AO326" s="129" t="n"/>
      <c r="AP326" s="129" t="n"/>
      <c r="AQ326" s="129" t="n"/>
      <c r="AR326" s="129" t="n"/>
      <c r="AS326" s="129" t="n"/>
      <c r="AT326" s="129" t="n"/>
      <c r="AU326" s="129" t="n"/>
      <c r="AV326" s="129" t="n"/>
      <c r="AW326" s="129" t="n"/>
      <c r="AX326" s="129" t="n"/>
      <c r="AY326" s="129" t="n"/>
      <c r="AZ326" s="129" t="n"/>
      <c r="BA326" s="129" t="n"/>
      <c r="BB326" s="129" t="n"/>
      <c r="BC326" s="129" t="n"/>
      <c r="BD326" s="129" t="n"/>
      <c r="BE326" s="129" t="n"/>
      <c r="BF326" s="129" t="n"/>
      <c r="BG326" s="129" t="n"/>
      <c r="BH326" s="129" t="n"/>
      <c r="BI326" s="129" t="n"/>
      <c r="BJ326" s="129" t="n"/>
      <c r="BK326" s="129" t="n"/>
      <c r="BL326" s="129" t="n"/>
      <c r="BM326" s="129" t="n"/>
      <c r="BN326" s="129" t="n"/>
      <c r="BO326" s="129" t="n"/>
      <c r="BP326" s="129" t="n"/>
      <c r="BQ326" s="129" t="n"/>
      <c r="BR326" s="129" t="n"/>
      <c r="BS326" s="129" t="n"/>
      <c r="BT326" s="129" t="n"/>
      <c r="BU326" s="129" t="n"/>
      <c r="BV326" s="129" t="n"/>
      <c r="BW326" s="129" t="n"/>
      <c r="BX326" s="129" t="n"/>
      <c r="BY326" s="129" t="n"/>
      <c r="BZ326" s="129" t="n"/>
      <c r="CA326" s="129" t="n"/>
      <c r="CB326" s="129" t="n"/>
      <c r="CC326" s="129" t="n"/>
      <c r="CD326" s="129" t="n"/>
      <c r="CE326" s="129" t="n"/>
      <c r="CF326" s="129" t="n"/>
      <c r="CG326" s="129" t="n"/>
      <c r="CH326" s="129" t="n"/>
      <c r="CI326" s="129" t="n"/>
      <c r="CJ326" s="129" t="n"/>
      <c r="CK326" s="129" t="n"/>
      <c r="CL326" s="129" t="n"/>
      <c r="CM326" s="129" t="n"/>
      <c r="CN326" s="129" t="n"/>
      <c r="CO326" s="129" t="n"/>
      <c r="CP326" s="129" t="n"/>
      <c r="CQ326" s="129" t="n"/>
      <c r="CR326" s="129" t="n"/>
      <c r="CS326" s="129" t="n"/>
      <c r="CT326" s="129" t="n"/>
      <c r="CU326" s="129" t="n"/>
      <c r="CV326" s="129" t="n"/>
      <c r="CW326" s="129" t="n"/>
      <c r="CX326" s="129" t="n"/>
      <c r="CY326" s="129" t="n"/>
      <c r="CZ326" s="129" t="n"/>
      <c r="DA326" s="129" t="n"/>
      <c r="DB326" s="129" t="n"/>
      <c r="DC326" s="129" t="n"/>
      <c r="DD326" s="129" t="n"/>
      <c r="DE326" s="129" t="n"/>
      <c r="DF326" s="129" t="n"/>
      <c r="DG326" s="129" t="n"/>
      <c r="DH326" s="129" t="n"/>
      <c r="DI326" s="129" t="n"/>
      <c r="DJ326" s="129" t="n"/>
      <c r="DK326" s="129" t="n"/>
      <c r="DL326" s="129" t="n"/>
      <c r="DM326" s="129" t="n"/>
      <c r="DN326" s="129" t="n"/>
      <c r="DO326" s="129" t="n"/>
      <c r="DP326" s="129" t="n"/>
      <c r="DQ326" s="129" t="n"/>
      <c r="DR326" s="129" t="n"/>
      <c r="DS326" s="129" t="n"/>
      <c r="DT326" s="129" t="n"/>
      <c r="DU326" s="129" t="n"/>
      <c r="DV326" s="129" t="n"/>
      <c r="DW326" s="129" t="n"/>
      <c r="DX326" s="129" t="n"/>
      <c r="DY326" s="129" t="n"/>
      <c r="DZ326" s="129" t="n"/>
      <c r="EA326" s="129" t="n"/>
      <c r="EB326" s="129" t="n"/>
      <c r="EC326" s="129" t="n"/>
      <c r="ED326" s="129" t="n"/>
      <c r="EE326" s="129" t="n"/>
      <c r="EF326" s="129" t="n"/>
      <c r="EG326" s="129" t="n"/>
      <c r="EH326" s="129" t="n"/>
      <c r="EI326" s="129" t="n"/>
      <c r="EJ326" s="129" t="n"/>
      <c r="EK326" s="129" t="n"/>
      <c r="EL326" s="129" t="n"/>
      <c r="EM326" s="129" t="n"/>
      <c r="EN326" s="129" t="n"/>
      <c r="EO326" s="129" t="n"/>
      <c r="EP326" s="129" t="n"/>
      <c r="EQ326" s="129" t="n"/>
      <c r="ER326" s="129" t="n"/>
      <c r="ES326" s="129" t="n"/>
      <c r="ET326" s="129" t="n"/>
      <c r="EU326" s="129" t="n"/>
      <c r="EV326" s="129" t="n"/>
      <c r="EW326" s="129" t="n"/>
      <c r="EX326" s="129" t="n"/>
      <c r="EY326" s="129" t="n"/>
      <c r="EZ326" s="129" t="n"/>
      <c r="FA326" s="129" t="n"/>
      <c r="FB326" s="129" t="n"/>
      <c r="FC326" s="129" t="n"/>
      <c r="FD326" s="129" t="n"/>
      <c r="FE326" s="129" t="n"/>
      <c r="FF326" s="129" t="n"/>
      <c r="FG326" s="129" t="n"/>
      <c r="FH326" s="129" t="n"/>
      <c r="FI326" s="129" t="n"/>
      <c r="FJ326" s="129" t="n"/>
      <c r="FK326" s="129" t="n"/>
      <c r="FL326" s="129" t="n"/>
      <c r="FM326" s="129" t="n"/>
    </row>
    <row r="327" s="135">
      <c r="A327" s="52" t="n">
        <v>43008</v>
      </c>
      <c r="B327" s="30" t="n">
        <v>0.066</v>
      </c>
      <c r="C327" s="29" t="n">
        <v>51</v>
      </c>
      <c r="D327" s="129" t="n"/>
      <c r="E327" s="129" t="n"/>
      <c r="F327" s="129" t="n"/>
      <c r="G327" s="129" t="n"/>
      <c r="H327" s="129" t="n"/>
      <c r="I327" s="129" t="n"/>
      <c r="J327" s="129" t="n"/>
      <c r="K327" s="129" t="n"/>
      <c r="L327" s="129" t="n"/>
      <c r="M327" s="129" t="n"/>
      <c r="N327" s="129" t="n"/>
      <c r="O327" s="129" t="n"/>
      <c r="P327" s="129" t="n"/>
      <c r="Q327" s="129" t="n"/>
      <c r="R327" s="129" t="n"/>
      <c r="S327" s="129" t="n"/>
      <c r="T327" s="129" t="n"/>
      <c r="U327" s="129" t="n"/>
      <c r="V327" s="129" t="n"/>
      <c r="W327" s="129" t="n"/>
      <c r="X327" s="129" t="n"/>
      <c r="Y327" s="129" t="n"/>
      <c r="Z327" s="129" t="n"/>
      <c r="AA327" s="129" t="n"/>
      <c r="AB327" s="129" t="n"/>
      <c r="AC327" s="129" t="n"/>
      <c r="AD327" s="129" t="n"/>
      <c r="AE327" s="129" t="n"/>
      <c r="AF327" s="129" t="n"/>
      <c r="AG327" s="129" t="n"/>
      <c r="AH327" s="129" t="n"/>
      <c r="AI327" s="129" t="n"/>
      <c r="AJ327" s="129" t="n"/>
      <c r="AK327" s="129" t="n"/>
      <c r="AL327" s="129" t="n"/>
      <c r="AM327" s="129" t="n"/>
      <c r="AN327" s="129" t="n"/>
      <c r="AO327" s="129" t="n"/>
      <c r="AP327" s="129" t="n"/>
      <c r="AQ327" s="129" t="n"/>
      <c r="AR327" s="129" t="n"/>
      <c r="AS327" s="129" t="n"/>
      <c r="AT327" s="129" t="n"/>
      <c r="AU327" s="129" t="n"/>
      <c r="AV327" s="129" t="n"/>
      <c r="AW327" s="129" t="n"/>
      <c r="AX327" s="129" t="n"/>
      <c r="AY327" s="129" t="n"/>
      <c r="AZ327" s="129" t="n"/>
      <c r="BA327" s="129" t="n"/>
      <c r="BB327" s="129" t="n"/>
      <c r="BC327" s="129" t="n"/>
      <c r="BD327" s="129" t="n"/>
      <c r="BE327" s="129" t="n"/>
      <c r="BF327" s="129" t="n"/>
      <c r="BG327" s="129" t="n"/>
      <c r="BH327" s="129" t="n"/>
      <c r="BI327" s="129" t="n"/>
      <c r="BJ327" s="129" t="n"/>
      <c r="BK327" s="129" t="n"/>
      <c r="BL327" s="129" t="n"/>
      <c r="BM327" s="129" t="n"/>
      <c r="BN327" s="129" t="n"/>
      <c r="BO327" s="129" t="n"/>
      <c r="BP327" s="129" t="n"/>
      <c r="BQ327" s="129" t="n"/>
      <c r="BR327" s="129" t="n"/>
      <c r="BS327" s="129" t="n"/>
      <c r="BT327" s="129" t="n"/>
      <c r="BU327" s="129" t="n"/>
      <c r="BV327" s="129" t="n"/>
      <c r="BW327" s="129" t="n"/>
      <c r="BX327" s="129" t="n"/>
      <c r="BY327" s="129" t="n"/>
      <c r="BZ327" s="129" t="n"/>
      <c r="CA327" s="129" t="n"/>
      <c r="CB327" s="129" t="n"/>
      <c r="CC327" s="129" t="n"/>
      <c r="CD327" s="129" t="n"/>
      <c r="CE327" s="129" t="n"/>
      <c r="CF327" s="129" t="n"/>
      <c r="CG327" s="129" t="n"/>
      <c r="CH327" s="129" t="n"/>
      <c r="CI327" s="129" t="n"/>
      <c r="CJ327" s="129" t="n"/>
      <c r="CK327" s="129" t="n"/>
      <c r="CL327" s="129" t="n"/>
      <c r="CM327" s="129" t="n"/>
      <c r="CN327" s="129" t="n"/>
      <c r="CO327" s="129" t="n"/>
      <c r="CP327" s="129" t="n"/>
      <c r="CQ327" s="129" t="n"/>
      <c r="CR327" s="129" t="n"/>
      <c r="CS327" s="129" t="n"/>
      <c r="CT327" s="129" t="n"/>
      <c r="CU327" s="129" t="n"/>
      <c r="CV327" s="129" t="n"/>
      <c r="CW327" s="129" t="n"/>
      <c r="CX327" s="129" t="n"/>
      <c r="CY327" s="129" t="n"/>
      <c r="CZ327" s="129" t="n"/>
      <c r="DA327" s="129" t="n"/>
      <c r="DB327" s="129" t="n"/>
      <c r="DC327" s="129" t="n"/>
      <c r="DD327" s="129" t="n"/>
      <c r="DE327" s="129" t="n"/>
      <c r="DF327" s="129" t="n"/>
      <c r="DG327" s="129" t="n"/>
      <c r="DH327" s="129" t="n"/>
      <c r="DI327" s="129" t="n"/>
      <c r="DJ327" s="129" t="n"/>
      <c r="DK327" s="129" t="n"/>
      <c r="DL327" s="129" t="n"/>
      <c r="DM327" s="129" t="n"/>
      <c r="DN327" s="129" t="n"/>
      <c r="DO327" s="129" t="n"/>
      <c r="DP327" s="129" t="n"/>
      <c r="DQ327" s="129" t="n"/>
      <c r="DR327" s="129" t="n"/>
      <c r="DS327" s="129" t="n"/>
      <c r="DT327" s="129" t="n"/>
      <c r="DU327" s="129" t="n"/>
      <c r="DV327" s="129" t="n"/>
      <c r="DW327" s="129" t="n"/>
      <c r="DX327" s="129" t="n"/>
      <c r="DY327" s="129" t="n"/>
      <c r="DZ327" s="129" t="n"/>
      <c r="EA327" s="129" t="n"/>
      <c r="EB327" s="129" t="n"/>
      <c r="EC327" s="129" t="n"/>
      <c r="ED327" s="129" t="n"/>
      <c r="EE327" s="129" t="n"/>
      <c r="EF327" s="129" t="n"/>
      <c r="EG327" s="129" t="n"/>
      <c r="EH327" s="129" t="n"/>
      <c r="EI327" s="129" t="n"/>
      <c r="EJ327" s="129" t="n"/>
      <c r="EK327" s="129" t="n"/>
      <c r="EL327" s="129" t="n"/>
      <c r="EM327" s="129" t="n"/>
      <c r="EN327" s="129" t="n"/>
      <c r="EO327" s="129" t="n"/>
      <c r="EP327" s="129" t="n"/>
      <c r="EQ327" s="129" t="n"/>
      <c r="ER327" s="129" t="n"/>
      <c r="ES327" s="129" t="n"/>
      <c r="ET327" s="129" t="n"/>
      <c r="EU327" s="129" t="n"/>
      <c r="EV327" s="129" t="n"/>
      <c r="EW327" s="129" t="n"/>
      <c r="EX327" s="129" t="n"/>
      <c r="EY327" s="129" t="n"/>
      <c r="EZ327" s="129" t="n"/>
      <c r="FA327" s="129" t="n"/>
      <c r="FB327" s="129" t="n"/>
      <c r="FC327" s="129" t="n"/>
      <c r="FD327" s="129" t="n"/>
      <c r="FE327" s="129" t="n"/>
      <c r="FF327" s="129" t="n"/>
      <c r="FG327" s="129" t="n"/>
      <c r="FH327" s="129" t="n"/>
      <c r="FI327" s="129" t="n"/>
      <c r="FJ327" s="129" t="n"/>
      <c r="FK327" s="129" t="n"/>
      <c r="FL327" s="129" t="n"/>
      <c r="FM327" s="129" t="n"/>
    </row>
    <row r="328" s="135">
      <c r="A328" s="53" t="n">
        <v>43039</v>
      </c>
      <c r="B328" s="54" t="n">
        <v>0.062</v>
      </c>
      <c r="C328" s="29" t="n">
        <v>51</v>
      </c>
      <c r="D328" s="129" t="n"/>
      <c r="E328" s="129" t="n"/>
      <c r="F328" s="129" t="n"/>
      <c r="G328" s="129" t="n"/>
      <c r="H328" s="129" t="n"/>
      <c r="I328" s="129" t="n"/>
      <c r="J328" s="129" t="n"/>
      <c r="K328" s="129" t="n"/>
      <c r="L328" s="129" t="n"/>
      <c r="M328" s="129" t="n"/>
      <c r="N328" s="129" t="n"/>
      <c r="O328" s="129" t="n"/>
      <c r="P328" s="129" t="n"/>
      <c r="Q328" s="129" t="n"/>
      <c r="R328" s="129" t="n"/>
      <c r="S328" s="129" t="n"/>
      <c r="T328" s="129" t="n"/>
      <c r="U328" s="129" t="n"/>
      <c r="V328" s="129" t="n"/>
      <c r="W328" s="129" t="n"/>
      <c r="X328" s="129" t="n"/>
      <c r="Y328" s="129" t="n"/>
      <c r="Z328" s="129" t="n"/>
      <c r="AA328" s="129" t="n"/>
      <c r="AB328" s="129" t="n"/>
      <c r="AC328" s="129" t="n"/>
      <c r="AD328" s="129" t="n"/>
      <c r="AE328" s="129" t="n"/>
      <c r="AF328" s="129" t="n"/>
      <c r="AG328" s="129" t="n"/>
      <c r="AH328" s="129" t="n"/>
      <c r="AI328" s="129" t="n"/>
      <c r="AJ328" s="129" t="n"/>
      <c r="AK328" s="129" t="n"/>
      <c r="AL328" s="129" t="n"/>
      <c r="AM328" s="129" t="n"/>
      <c r="AN328" s="129" t="n"/>
      <c r="AO328" s="129" t="n"/>
      <c r="AP328" s="129" t="n"/>
      <c r="AQ328" s="129" t="n"/>
      <c r="AR328" s="129" t="n"/>
      <c r="AS328" s="129" t="n"/>
      <c r="AT328" s="129" t="n"/>
      <c r="AU328" s="129" t="n"/>
      <c r="AV328" s="129" t="n"/>
      <c r="AW328" s="129" t="n"/>
      <c r="AX328" s="129" t="n"/>
      <c r="AY328" s="129" t="n"/>
      <c r="AZ328" s="129" t="n"/>
      <c r="BA328" s="129" t="n"/>
      <c r="BB328" s="129" t="n"/>
      <c r="BC328" s="129" t="n"/>
      <c r="BD328" s="129" t="n"/>
      <c r="BE328" s="129" t="n"/>
      <c r="BF328" s="129" t="n"/>
      <c r="BG328" s="129" t="n"/>
      <c r="BH328" s="129" t="n"/>
      <c r="BI328" s="129" t="n"/>
      <c r="BJ328" s="129" t="n"/>
      <c r="BK328" s="129" t="n"/>
      <c r="BL328" s="129" t="n"/>
      <c r="BM328" s="129" t="n"/>
      <c r="BN328" s="129" t="n"/>
      <c r="BO328" s="129" t="n"/>
      <c r="BP328" s="129" t="n"/>
      <c r="BQ328" s="129" t="n"/>
      <c r="BR328" s="129" t="n"/>
      <c r="BS328" s="129" t="n"/>
      <c r="BT328" s="129" t="n"/>
      <c r="BU328" s="129" t="n"/>
      <c r="BV328" s="129" t="n"/>
      <c r="BW328" s="129" t="n"/>
      <c r="BX328" s="129" t="n"/>
      <c r="BY328" s="129" t="n"/>
      <c r="BZ328" s="129" t="n"/>
      <c r="CA328" s="129" t="n"/>
      <c r="CB328" s="129" t="n"/>
      <c r="CC328" s="129" t="n"/>
      <c r="CD328" s="129" t="n"/>
      <c r="CE328" s="129" t="n"/>
      <c r="CF328" s="129" t="n"/>
      <c r="CG328" s="129" t="n"/>
      <c r="CH328" s="129" t="n"/>
      <c r="CI328" s="129" t="n"/>
      <c r="CJ328" s="129" t="n"/>
      <c r="CK328" s="129" t="n"/>
      <c r="CL328" s="129" t="n"/>
      <c r="CM328" s="129" t="n"/>
      <c r="CN328" s="129" t="n"/>
      <c r="CO328" s="129" t="n"/>
      <c r="CP328" s="129" t="n"/>
      <c r="CQ328" s="129" t="n"/>
      <c r="CR328" s="129" t="n"/>
      <c r="CS328" s="129" t="n"/>
      <c r="CT328" s="129" t="n"/>
      <c r="CU328" s="129" t="n"/>
      <c r="CV328" s="129" t="n"/>
      <c r="CW328" s="129" t="n"/>
      <c r="CX328" s="129" t="n"/>
      <c r="CY328" s="129" t="n"/>
      <c r="CZ328" s="129" t="n"/>
      <c r="DA328" s="129" t="n"/>
      <c r="DB328" s="129" t="n"/>
      <c r="DC328" s="129" t="n"/>
      <c r="DD328" s="129" t="n"/>
      <c r="DE328" s="129" t="n"/>
      <c r="DF328" s="129" t="n"/>
      <c r="DG328" s="129" t="n"/>
      <c r="DH328" s="129" t="n"/>
      <c r="DI328" s="129" t="n"/>
      <c r="DJ328" s="129" t="n"/>
      <c r="DK328" s="129" t="n"/>
      <c r="DL328" s="129" t="n"/>
      <c r="DM328" s="129" t="n"/>
      <c r="DN328" s="129" t="n"/>
      <c r="DO328" s="129" t="n"/>
      <c r="DP328" s="129" t="n"/>
      <c r="DQ328" s="129" t="n"/>
      <c r="DR328" s="129" t="n"/>
      <c r="DS328" s="129" t="n"/>
      <c r="DT328" s="129" t="n"/>
      <c r="DU328" s="129" t="n"/>
      <c r="DV328" s="129" t="n"/>
      <c r="DW328" s="129" t="n"/>
      <c r="DX328" s="129" t="n"/>
      <c r="DY328" s="129" t="n"/>
      <c r="DZ328" s="129" t="n"/>
      <c r="EA328" s="129" t="n"/>
      <c r="EB328" s="129" t="n"/>
      <c r="EC328" s="129" t="n"/>
      <c r="ED328" s="129" t="n"/>
      <c r="EE328" s="129" t="n"/>
      <c r="EF328" s="129" t="n"/>
      <c r="EG328" s="129" t="n"/>
      <c r="EH328" s="129" t="n"/>
      <c r="EI328" s="129" t="n"/>
      <c r="EJ328" s="129" t="n"/>
      <c r="EK328" s="129" t="n"/>
      <c r="EL328" s="129" t="n"/>
      <c r="EM328" s="129" t="n"/>
      <c r="EN328" s="129" t="n"/>
      <c r="EO328" s="129" t="n"/>
      <c r="EP328" s="129" t="n"/>
      <c r="EQ328" s="129" t="n"/>
      <c r="ER328" s="129" t="n"/>
      <c r="ES328" s="129" t="n"/>
      <c r="ET328" s="129" t="n"/>
      <c r="EU328" s="129" t="n"/>
      <c r="EV328" s="129" t="n"/>
      <c r="EW328" s="129" t="n"/>
      <c r="EX328" s="129" t="n"/>
      <c r="EY328" s="129" t="n"/>
      <c r="EZ328" s="129" t="n"/>
      <c r="FA328" s="129" t="n"/>
      <c r="FB328" s="129" t="n"/>
      <c r="FC328" s="129" t="n"/>
      <c r="FD328" s="129" t="n"/>
      <c r="FE328" s="129" t="n"/>
      <c r="FF328" s="129" t="n"/>
      <c r="FG328" s="129" t="n"/>
      <c r="FH328" s="129" t="n"/>
      <c r="FI328" s="129" t="n"/>
      <c r="FJ328" s="129" t="n"/>
      <c r="FK328" s="129" t="n"/>
      <c r="FL328" s="129" t="n"/>
      <c r="FM328" s="129" t="n"/>
    </row>
    <row r="329" s="135">
      <c r="A329" s="52" t="n">
        <v>43069</v>
      </c>
      <c r="B329" s="30" t="n">
        <v>0.061</v>
      </c>
      <c r="C329" s="29" t="n">
        <v>50.8</v>
      </c>
      <c r="D329" s="129" t="n"/>
      <c r="E329" s="129" t="n"/>
      <c r="F329" s="129" t="n"/>
      <c r="G329" s="129" t="n"/>
      <c r="H329" s="129" t="n"/>
      <c r="I329" s="129" t="n"/>
      <c r="J329" s="129" t="n"/>
      <c r="K329" s="129" t="n"/>
      <c r="L329" s="129" t="n"/>
      <c r="M329" s="129" t="n"/>
      <c r="N329" s="129" t="n"/>
      <c r="O329" s="129" t="n"/>
      <c r="P329" s="129" t="n"/>
      <c r="Q329" s="129" t="n"/>
      <c r="R329" s="129" t="n"/>
      <c r="S329" s="129" t="n"/>
      <c r="T329" s="129" t="n"/>
      <c r="U329" s="129" t="n"/>
      <c r="V329" s="129" t="n"/>
      <c r="W329" s="129" t="n"/>
      <c r="X329" s="129" t="n"/>
      <c r="Y329" s="129" t="n"/>
      <c r="Z329" s="129" t="n"/>
      <c r="AA329" s="129" t="n"/>
      <c r="AB329" s="129" t="n"/>
      <c r="AC329" s="129" t="n"/>
      <c r="AD329" s="129" t="n"/>
      <c r="AE329" s="129" t="n"/>
      <c r="AF329" s="129" t="n"/>
      <c r="AG329" s="129" t="n"/>
      <c r="AH329" s="129" t="n"/>
      <c r="AI329" s="129" t="n"/>
      <c r="AJ329" s="129" t="n"/>
      <c r="AK329" s="129" t="n"/>
      <c r="AL329" s="129" t="n"/>
      <c r="AM329" s="129" t="n"/>
      <c r="AN329" s="129" t="n"/>
      <c r="AO329" s="129" t="n"/>
      <c r="AP329" s="129" t="n"/>
      <c r="AQ329" s="129" t="n"/>
      <c r="AR329" s="129" t="n"/>
      <c r="AS329" s="129" t="n"/>
      <c r="AT329" s="129" t="n"/>
      <c r="AU329" s="129" t="n"/>
      <c r="AV329" s="129" t="n"/>
      <c r="AW329" s="129" t="n"/>
      <c r="AX329" s="129" t="n"/>
      <c r="AY329" s="129" t="n"/>
      <c r="AZ329" s="129" t="n"/>
      <c r="BA329" s="129" t="n"/>
      <c r="BB329" s="129" t="n"/>
      <c r="BC329" s="129" t="n"/>
      <c r="BD329" s="129" t="n"/>
      <c r="BE329" s="129" t="n"/>
      <c r="BF329" s="129" t="n"/>
      <c r="BG329" s="129" t="n"/>
      <c r="BH329" s="129" t="n"/>
      <c r="BI329" s="129" t="n"/>
      <c r="BJ329" s="129" t="n"/>
      <c r="BK329" s="129" t="n"/>
      <c r="BL329" s="129" t="n"/>
      <c r="BM329" s="129" t="n"/>
      <c r="BN329" s="129" t="n"/>
      <c r="BO329" s="129" t="n"/>
      <c r="BP329" s="129" t="n"/>
      <c r="BQ329" s="129" t="n"/>
      <c r="BR329" s="129" t="n"/>
      <c r="BS329" s="129" t="n"/>
      <c r="BT329" s="129" t="n"/>
      <c r="BU329" s="129" t="n"/>
      <c r="BV329" s="129" t="n"/>
      <c r="BW329" s="129" t="n"/>
      <c r="BX329" s="129" t="n"/>
      <c r="BY329" s="129" t="n"/>
      <c r="BZ329" s="129" t="n"/>
      <c r="CA329" s="129" t="n"/>
      <c r="CB329" s="129" t="n"/>
      <c r="CC329" s="129" t="n"/>
      <c r="CD329" s="129" t="n"/>
      <c r="CE329" s="129" t="n"/>
      <c r="CF329" s="129" t="n"/>
      <c r="CG329" s="129" t="n"/>
      <c r="CH329" s="129" t="n"/>
      <c r="CI329" s="129" t="n"/>
      <c r="CJ329" s="129" t="n"/>
      <c r="CK329" s="129" t="n"/>
      <c r="CL329" s="129" t="n"/>
      <c r="CM329" s="129" t="n"/>
      <c r="CN329" s="129" t="n"/>
      <c r="CO329" s="129" t="n"/>
      <c r="CP329" s="129" t="n"/>
      <c r="CQ329" s="129" t="n"/>
      <c r="CR329" s="129" t="n"/>
      <c r="CS329" s="129" t="n"/>
      <c r="CT329" s="129" t="n"/>
      <c r="CU329" s="129" t="n"/>
      <c r="CV329" s="129" t="n"/>
      <c r="CW329" s="129" t="n"/>
      <c r="CX329" s="129" t="n"/>
      <c r="CY329" s="129" t="n"/>
      <c r="CZ329" s="129" t="n"/>
      <c r="DA329" s="129" t="n"/>
      <c r="DB329" s="129" t="n"/>
      <c r="DC329" s="129" t="n"/>
      <c r="DD329" s="129" t="n"/>
      <c r="DE329" s="129" t="n"/>
      <c r="DF329" s="129" t="n"/>
      <c r="DG329" s="129" t="n"/>
      <c r="DH329" s="129" t="n"/>
      <c r="DI329" s="129" t="n"/>
      <c r="DJ329" s="129" t="n"/>
      <c r="DK329" s="129" t="n"/>
      <c r="DL329" s="129" t="n"/>
      <c r="DM329" s="129" t="n"/>
      <c r="DN329" s="129" t="n"/>
      <c r="DO329" s="129" t="n"/>
      <c r="DP329" s="129" t="n"/>
      <c r="DQ329" s="129" t="n"/>
      <c r="DR329" s="129" t="n"/>
      <c r="DS329" s="129" t="n"/>
      <c r="DT329" s="129" t="n"/>
      <c r="DU329" s="129" t="n"/>
      <c r="DV329" s="129" t="n"/>
      <c r="DW329" s="129" t="n"/>
      <c r="DX329" s="129" t="n"/>
      <c r="DY329" s="129" t="n"/>
      <c r="DZ329" s="129" t="n"/>
      <c r="EA329" s="129" t="n"/>
      <c r="EB329" s="129" t="n"/>
      <c r="EC329" s="129" t="n"/>
      <c r="ED329" s="129" t="n"/>
      <c r="EE329" s="129" t="n"/>
      <c r="EF329" s="129" t="n"/>
      <c r="EG329" s="129" t="n"/>
      <c r="EH329" s="129" t="n"/>
      <c r="EI329" s="129" t="n"/>
      <c r="EJ329" s="129" t="n"/>
      <c r="EK329" s="129" t="n"/>
      <c r="EL329" s="129" t="n"/>
      <c r="EM329" s="129" t="n"/>
      <c r="EN329" s="129" t="n"/>
      <c r="EO329" s="129" t="n"/>
      <c r="EP329" s="129" t="n"/>
      <c r="EQ329" s="129" t="n"/>
      <c r="ER329" s="129" t="n"/>
      <c r="ES329" s="129" t="n"/>
      <c r="ET329" s="129" t="n"/>
      <c r="EU329" s="129" t="n"/>
      <c r="EV329" s="129" t="n"/>
      <c r="EW329" s="129" t="n"/>
      <c r="EX329" s="129" t="n"/>
      <c r="EY329" s="129" t="n"/>
      <c r="EZ329" s="129" t="n"/>
      <c r="FA329" s="129" t="n"/>
      <c r="FB329" s="129" t="n"/>
      <c r="FC329" s="129" t="n"/>
      <c r="FD329" s="129" t="n"/>
      <c r="FE329" s="129" t="n"/>
      <c r="FF329" s="129" t="n"/>
      <c r="FG329" s="129" t="n"/>
      <c r="FH329" s="129" t="n"/>
      <c r="FI329" s="129" t="n"/>
      <c r="FJ329" s="129" t="n"/>
      <c r="FK329" s="129" t="n"/>
      <c r="FL329" s="129" t="n"/>
      <c r="FM329" s="129" t="n"/>
    </row>
    <row r="330" s="135">
      <c r="A330" s="53" t="n">
        <v>43100</v>
      </c>
      <c r="B330" s="54" t="n">
        <v>0.062</v>
      </c>
      <c r="C330" s="29" t="n">
        <v>51.5</v>
      </c>
      <c r="D330" s="129" t="n"/>
      <c r="E330" s="129" t="n"/>
      <c r="F330" s="129" t="n"/>
      <c r="G330" s="129" t="n"/>
      <c r="H330" s="129" t="n"/>
      <c r="I330" s="129" t="n"/>
      <c r="J330" s="129" t="n"/>
      <c r="K330" s="129" t="n"/>
      <c r="L330" s="129" t="n"/>
      <c r="M330" s="129" t="n"/>
      <c r="N330" s="129" t="n"/>
      <c r="O330" s="129" t="n"/>
      <c r="P330" s="129" t="n"/>
      <c r="Q330" s="129" t="n"/>
      <c r="R330" s="129" t="n"/>
      <c r="S330" s="129" t="n"/>
      <c r="T330" s="129" t="n"/>
      <c r="U330" s="129" t="n"/>
      <c r="V330" s="129" t="n"/>
      <c r="W330" s="129" t="n"/>
      <c r="X330" s="129" t="n"/>
      <c r="Y330" s="129" t="n"/>
      <c r="Z330" s="129" t="n"/>
      <c r="AA330" s="129" t="n"/>
      <c r="AB330" s="129" t="n"/>
      <c r="AC330" s="129" t="n"/>
      <c r="AD330" s="129" t="n"/>
      <c r="AE330" s="129" t="n"/>
      <c r="AF330" s="129" t="n"/>
      <c r="AG330" s="129" t="n"/>
      <c r="AH330" s="129" t="n"/>
      <c r="AI330" s="129" t="n"/>
      <c r="AJ330" s="129" t="n"/>
      <c r="AK330" s="129" t="n"/>
      <c r="AL330" s="129" t="n"/>
      <c r="AM330" s="129" t="n"/>
      <c r="AN330" s="129" t="n"/>
      <c r="AO330" s="129" t="n"/>
      <c r="AP330" s="129" t="n"/>
      <c r="AQ330" s="129" t="n"/>
      <c r="AR330" s="129" t="n"/>
      <c r="AS330" s="129" t="n"/>
      <c r="AT330" s="129" t="n"/>
      <c r="AU330" s="129" t="n"/>
      <c r="AV330" s="129" t="n"/>
      <c r="AW330" s="129" t="n"/>
      <c r="AX330" s="129" t="n"/>
      <c r="AY330" s="129" t="n"/>
      <c r="AZ330" s="129" t="n"/>
      <c r="BA330" s="129" t="n"/>
      <c r="BB330" s="129" t="n"/>
      <c r="BC330" s="129" t="n"/>
      <c r="BD330" s="129" t="n"/>
      <c r="BE330" s="129" t="n"/>
      <c r="BF330" s="129" t="n"/>
      <c r="BG330" s="129" t="n"/>
      <c r="BH330" s="129" t="n"/>
      <c r="BI330" s="129" t="n"/>
      <c r="BJ330" s="129" t="n"/>
      <c r="BK330" s="129" t="n"/>
      <c r="BL330" s="129" t="n"/>
      <c r="BM330" s="129" t="n"/>
      <c r="BN330" s="129" t="n"/>
      <c r="BO330" s="129" t="n"/>
      <c r="BP330" s="129" t="n"/>
      <c r="BQ330" s="129" t="n"/>
      <c r="BR330" s="129" t="n"/>
      <c r="BS330" s="129" t="n"/>
      <c r="BT330" s="129" t="n"/>
      <c r="BU330" s="129" t="n"/>
      <c r="BV330" s="129" t="n"/>
      <c r="BW330" s="129" t="n"/>
      <c r="BX330" s="129" t="n"/>
      <c r="BY330" s="129" t="n"/>
      <c r="BZ330" s="129" t="n"/>
      <c r="CA330" s="129" t="n"/>
      <c r="CB330" s="129" t="n"/>
      <c r="CC330" s="129" t="n"/>
      <c r="CD330" s="129" t="n"/>
      <c r="CE330" s="129" t="n"/>
      <c r="CF330" s="129" t="n"/>
      <c r="CG330" s="129" t="n"/>
      <c r="CH330" s="129" t="n"/>
      <c r="CI330" s="129" t="n"/>
      <c r="CJ330" s="129" t="n"/>
      <c r="CK330" s="129" t="n"/>
      <c r="CL330" s="129" t="n"/>
      <c r="CM330" s="129" t="n"/>
      <c r="CN330" s="129" t="n"/>
      <c r="CO330" s="129" t="n"/>
      <c r="CP330" s="129" t="n"/>
      <c r="CQ330" s="129" t="n"/>
      <c r="CR330" s="129" t="n"/>
      <c r="CS330" s="129" t="n"/>
      <c r="CT330" s="129" t="n"/>
      <c r="CU330" s="129" t="n"/>
      <c r="CV330" s="129" t="n"/>
      <c r="CW330" s="129" t="n"/>
      <c r="CX330" s="129" t="n"/>
      <c r="CY330" s="129" t="n"/>
      <c r="CZ330" s="129" t="n"/>
      <c r="DA330" s="129" t="n"/>
      <c r="DB330" s="129" t="n"/>
      <c r="DC330" s="129" t="n"/>
      <c r="DD330" s="129" t="n"/>
      <c r="DE330" s="129" t="n"/>
      <c r="DF330" s="129" t="n"/>
      <c r="DG330" s="129" t="n"/>
      <c r="DH330" s="129" t="n"/>
      <c r="DI330" s="129" t="n"/>
      <c r="DJ330" s="129" t="n"/>
      <c r="DK330" s="129" t="n"/>
      <c r="DL330" s="129" t="n"/>
      <c r="DM330" s="129" t="n"/>
      <c r="DN330" s="129" t="n"/>
      <c r="DO330" s="129" t="n"/>
      <c r="DP330" s="129" t="n"/>
      <c r="DQ330" s="129" t="n"/>
      <c r="DR330" s="129" t="n"/>
      <c r="DS330" s="129" t="n"/>
      <c r="DT330" s="129" t="n"/>
      <c r="DU330" s="129" t="n"/>
      <c r="DV330" s="129" t="n"/>
      <c r="DW330" s="129" t="n"/>
      <c r="DX330" s="129" t="n"/>
      <c r="DY330" s="129" t="n"/>
      <c r="DZ330" s="129" t="n"/>
      <c r="EA330" s="129" t="n"/>
      <c r="EB330" s="129" t="n"/>
      <c r="EC330" s="129" t="n"/>
      <c r="ED330" s="129" t="n"/>
      <c r="EE330" s="129" t="n"/>
      <c r="EF330" s="129" t="n"/>
      <c r="EG330" s="129" t="n"/>
      <c r="EH330" s="129" t="n"/>
      <c r="EI330" s="129" t="n"/>
      <c r="EJ330" s="129" t="n"/>
      <c r="EK330" s="129" t="n"/>
      <c r="EL330" s="129" t="n"/>
      <c r="EM330" s="129" t="n"/>
      <c r="EN330" s="129" t="n"/>
      <c r="EO330" s="129" t="n"/>
      <c r="EP330" s="129" t="n"/>
      <c r="EQ330" s="129" t="n"/>
      <c r="ER330" s="129" t="n"/>
      <c r="ES330" s="129" t="n"/>
      <c r="ET330" s="129" t="n"/>
      <c r="EU330" s="129" t="n"/>
      <c r="EV330" s="129" t="n"/>
      <c r="EW330" s="129" t="n"/>
      <c r="EX330" s="129" t="n"/>
      <c r="EY330" s="129" t="n"/>
      <c r="EZ330" s="129" t="n"/>
      <c r="FA330" s="129" t="n"/>
      <c r="FB330" s="129" t="n"/>
      <c r="FC330" s="129" t="n"/>
      <c r="FD330" s="129" t="n"/>
      <c r="FE330" s="129" t="n"/>
      <c r="FF330" s="129" t="n"/>
      <c r="FG330" s="129" t="n"/>
      <c r="FH330" s="129" t="n"/>
      <c r="FI330" s="129" t="n"/>
      <c r="FJ330" s="129" t="n"/>
      <c r="FK330" s="129" t="n"/>
      <c r="FL330" s="129" t="n"/>
      <c r="FM330" s="129" t="n"/>
    </row>
    <row r="331" s="135">
      <c r="A331" s="52" t="n">
        <v>43159</v>
      </c>
      <c r="B331" s="30" t="n">
        <v>0.07199999999999999</v>
      </c>
      <c r="C331" s="29" t="n">
        <v>51.5</v>
      </c>
      <c r="D331" s="129" t="n"/>
      <c r="E331" s="129" t="n"/>
      <c r="F331" s="129" t="n"/>
      <c r="G331" s="129" t="n"/>
      <c r="H331" s="129" t="n"/>
      <c r="I331" s="129" t="n"/>
      <c r="J331" s="129" t="n"/>
      <c r="K331" s="129" t="n"/>
      <c r="L331" s="129" t="n"/>
      <c r="M331" s="129" t="n"/>
      <c r="N331" s="129" t="n"/>
      <c r="O331" s="129" t="n"/>
      <c r="P331" s="129" t="n"/>
      <c r="Q331" s="129" t="n"/>
      <c r="R331" s="129" t="n"/>
      <c r="S331" s="129" t="n"/>
      <c r="T331" s="129" t="n"/>
      <c r="U331" s="129" t="n"/>
      <c r="V331" s="129" t="n"/>
      <c r="W331" s="129" t="n"/>
      <c r="X331" s="129" t="n"/>
      <c r="Y331" s="129" t="n"/>
      <c r="Z331" s="129" t="n"/>
      <c r="AA331" s="129" t="n"/>
      <c r="AB331" s="129" t="n"/>
      <c r="AC331" s="129" t="n"/>
      <c r="AD331" s="129" t="n"/>
      <c r="AE331" s="129" t="n"/>
      <c r="AF331" s="129" t="n"/>
      <c r="AG331" s="129" t="n"/>
      <c r="AH331" s="129" t="n"/>
      <c r="AI331" s="129" t="n"/>
      <c r="AJ331" s="129" t="n"/>
      <c r="AK331" s="129" t="n"/>
      <c r="AL331" s="129" t="n"/>
      <c r="AM331" s="129" t="n"/>
      <c r="AN331" s="129" t="n"/>
      <c r="AO331" s="129" t="n"/>
      <c r="AP331" s="129" t="n"/>
      <c r="AQ331" s="129" t="n"/>
      <c r="AR331" s="129" t="n"/>
      <c r="AS331" s="129" t="n"/>
      <c r="AT331" s="129" t="n"/>
      <c r="AU331" s="129" t="n"/>
      <c r="AV331" s="129" t="n"/>
      <c r="AW331" s="129" t="n"/>
      <c r="AX331" s="129" t="n"/>
      <c r="AY331" s="129" t="n"/>
      <c r="AZ331" s="129" t="n"/>
      <c r="BA331" s="129" t="n"/>
      <c r="BB331" s="129" t="n"/>
      <c r="BC331" s="129" t="n"/>
      <c r="BD331" s="129" t="n"/>
      <c r="BE331" s="129" t="n"/>
      <c r="BF331" s="129" t="n"/>
      <c r="BG331" s="129" t="n"/>
      <c r="BH331" s="129" t="n"/>
      <c r="BI331" s="129" t="n"/>
      <c r="BJ331" s="129" t="n"/>
      <c r="BK331" s="129" t="n"/>
      <c r="BL331" s="129" t="n"/>
      <c r="BM331" s="129" t="n"/>
      <c r="BN331" s="129" t="n"/>
      <c r="BO331" s="129" t="n"/>
      <c r="BP331" s="129" t="n"/>
      <c r="BQ331" s="129" t="n"/>
      <c r="BR331" s="129" t="n"/>
      <c r="BS331" s="129" t="n"/>
      <c r="BT331" s="129" t="n"/>
      <c r="BU331" s="129" t="n"/>
      <c r="BV331" s="129" t="n"/>
      <c r="BW331" s="129" t="n"/>
      <c r="BX331" s="129" t="n"/>
      <c r="BY331" s="129" t="n"/>
      <c r="BZ331" s="129" t="n"/>
      <c r="CA331" s="129" t="n"/>
      <c r="CB331" s="129" t="n"/>
      <c r="CC331" s="129" t="n"/>
      <c r="CD331" s="129" t="n"/>
      <c r="CE331" s="129" t="n"/>
      <c r="CF331" s="129" t="n"/>
      <c r="CG331" s="129" t="n"/>
      <c r="CH331" s="129" t="n"/>
      <c r="CI331" s="129" t="n"/>
      <c r="CJ331" s="129" t="n"/>
      <c r="CK331" s="129" t="n"/>
      <c r="CL331" s="129" t="n"/>
      <c r="CM331" s="129" t="n"/>
      <c r="CN331" s="129" t="n"/>
      <c r="CO331" s="129" t="n"/>
      <c r="CP331" s="129" t="n"/>
      <c r="CQ331" s="129" t="n"/>
      <c r="CR331" s="129" t="n"/>
      <c r="CS331" s="129" t="n"/>
      <c r="CT331" s="129" t="n"/>
      <c r="CU331" s="129" t="n"/>
      <c r="CV331" s="129" t="n"/>
      <c r="CW331" s="129" t="n"/>
      <c r="CX331" s="129" t="n"/>
      <c r="CY331" s="129" t="n"/>
      <c r="CZ331" s="129" t="n"/>
      <c r="DA331" s="129" t="n"/>
      <c r="DB331" s="129" t="n"/>
      <c r="DC331" s="129" t="n"/>
      <c r="DD331" s="129" t="n"/>
      <c r="DE331" s="129" t="n"/>
      <c r="DF331" s="129" t="n"/>
      <c r="DG331" s="129" t="n"/>
      <c r="DH331" s="129" t="n"/>
      <c r="DI331" s="129" t="n"/>
      <c r="DJ331" s="129" t="n"/>
      <c r="DK331" s="129" t="n"/>
      <c r="DL331" s="129" t="n"/>
      <c r="DM331" s="129" t="n"/>
      <c r="DN331" s="129" t="n"/>
      <c r="DO331" s="129" t="n"/>
      <c r="DP331" s="129" t="n"/>
      <c r="DQ331" s="129" t="n"/>
      <c r="DR331" s="129" t="n"/>
      <c r="DS331" s="129" t="n"/>
      <c r="DT331" s="129" t="n"/>
      <c r="DU331" s="129" t="n"/>
      <c r="DV331" s="129" t="n"/>
      <c r="DW331" s="129" t="n"/>
      <c r="DX331" s="129" t="n"/>
      <c r="DY331" s="129" t="n"/>
      <c r="DZ331" s="129" t="n"/>
      <c r="EA331" s="129" t="n"/>
      <c r="EB331" s="129" t="n"/>
      <c r="EC331" s="129" t="n"/>
      <c r="ED331" s="129" t="n"/>
      <c r="EE331" s="129" t="n"/>
      <c r="EF331" s="129" t="n"/>
      <c r="EG331" s="129" t="n"/>
      <c r="EH331" s="129" t="n"/>
      <c r="EI331" s="129" t="n"/>
      <c r="EJ331" s="129" t="n"/>
      <c r="EK331" s="129" t="n"/>
      <c r="EL331" s="129" t="n"/>
      <c r="EM331" s="129" t="n"/>
      <c r="EN331" s="129" t="n"/>
      <c r="EO331" s="129" t="n"/>
      <c r="EP331" s="129" t="n"/>
      <c r="EQ331" s="129" t="n"/>
      <c r="ER331" s="129" t="n"/>
      <c r="ES331" s="129" t="n"/>
      <c r="ET331" s="129" t="n"/>
      <c r="EU331" s="129" t="n"/>
      <c r="EV331" s="129" t="n"/>
      <c r="EW331" s="129" t="n"/>
      <c r="EX331" s="129" t="n"/>
      <c r="EY331" s="129" t="n"/>
      <c r="EZ331" s="129" t="n"/>
      <c r="FA331" s="129" t="n"/>
      <c r="FB331" s="129" t="n"/>
      <c r="FC331" s="129" t="n"/>
      <c r="FD331" s="129" t="n"/>
      <c r="FE331" s="129" t="n"/>
      <c r="FF331" s="129" t="n"/>
      <c r="FG331" s="129" t="n"/>
      <c r="FH331" s="129" t="n"/>
      <c r="FI331" s="129" t="n"/>
      <c r="FJ331" s="129" t="n"/>
      <c r="FK331" s="129" t="n"/>
      <c r="FL331" s="129" t="n"/>
      <c r="FM331" s="129" t="n"/>
    </row>
    <row r="332" s="135">
      <c r="A332" s="53" t="n">
        <v>43190</v>
      </c>
      <c r="B332" s="54" t="n">
        <v>0.06</v>
      </c>
      <c r="C332" s="29" t="n">
        <v>51</v>
      </c>
      <c r="D332" s="129" t="n"/>
      <c r="E332" s="129" t="n"/>
      <c r="F332" s="129" t="n"/>
      <c r="G332" s="129" t="n"/>
      <c r="H332" s="129" t="n"/>
      <c r="I332" s="129" t="n"/>
      <c r="J332" s="129" t="n"/>
      <c r="K332" s="129" t="n"/>
      <c r="L332" s="129" t="n"/>
      <c r="M332" s="129" t="n"/>
      <c r="N332" s="129" t="n"/>
      <c r="O332" s="129" t="n"/>
      <c r="P332" s="129" t="n"/>
      <c r="Q332" s="129" t="n"/>
      <c r="R332" s="129" t="n"/>
      <c r="S332" s="129" t="n"/>
      <c r="T332" s="129" t="n"/>
      <c r="U332" s="129" t="n"/>
      <c r="V332" s="129" t="n"/>
      <c r="W332" s="129" t="n"/>
      <c r="X332" s="129" t="n"/>
      <c r="Y332" s="129" t="n"/>
      <c r="Z332" s="129" t="n"/>
      <c r="AA332" s="129" t="n"/>
      <c r="AB332" s="129" t="n"/>
      <c r="AC332" s="129" t="n"/>
      <c r="AD332" s="129" t="n"/>
      <c r="AE332" s="129" t="n"/>
      <c r="AF332" s="129" t="n"/>
      <c r="AG332" s="129" t="n"/>
      <c r="AH332" s="129" t="n"/>
      <c r="AI332" s="129" t="n"/>
      <c r="AJ332" s="129" t="n"/>
      <c r="AK332" s="129" t="n"/>
      <c r="AL332" s="129" t="n"/>
      <c r="AM332" s="129" t="n"/>
      <c r="AN332" s="129" t="n"/>
      <c r="AO332" s="129" t="n"/>
      <c r="AP332" s="129" t="n"/>
      <c r="AQ332" s="129" t="n"/>
      <c r="AR332" s="129" t="n"/>
      <c r="AS332" s="129" t="n"/>
      <c r="AT332" s="129" t="n"/>
      <c r="AU332" s="129" t="n"/>
      <c r="AV332" s="129" t="n"/>
      <c r="AW332" s="129" t="n"/>
      <c r="AX332" s="129" t="n"/>
      <c r="AY332" s="129" t="n"/>
      <c r="AZ332" s="129" t="n"/>
      <c r="BA332" s="129" t="n"/>
      <c r="BB332" s="129" t="n"/>
      <c r="BC332" s="129" t="n"/>
      <c r="BD332" s="129" t="n"/>
      <c r="BE332" s="129" t="n"/>
      <c r="BF332" s="129" t="n"/>
      <c r="BG332" s="129" t="n"/>
      <c r="BH332" s="129" t="n"/>
      <c r="BI332" s="129" t="n"/>
      <c r="BJ332" s="129" t="n"/>
      <c r="BK332" s="129" t="n"/>
      <c r="BL332" s="129" t="n"/>
      <c r="BM332" s="129" t="n"/>
      <c r="BN332" s="129" t="n"/>
      <c r="BO332" s="129" t="n"/>
      <c r="BP332" s="129" t="n"/>
      <c r="BQ332" s="129" t="n"/>
      <c r="BR332" s="129" t="n"/>
      <c r="BS332" s="129" t="n"/>
      <c r="BT332" s="129" t="n"/>
      <c r="BU332" s="129" t="n"/>
      <c r="BV332" s="129" t="n"/>
      <c r="BW332" s="129" t="n"/>
      <c r="BX332" s="129" t="n"/>
      <c r="BY332" s="129" t="n"/>
      <c r="BZ332" s="129" t="n"/>
      <c r="CA332" s="129" t="n"/>
      <c r="CB332" s="129" t="n"/>
      <c r="CC332" s="129" t="n"/>
      <c r="CD332" s="129" t="n"/>
      <c r="CE332" s="129" t="n"/>
      <c r="CF332" s="129" t="n"/>
      <c r="CG332" s="129" t="n"/>
      <c r="CH332" s="129" t="n"/>
      <c r="CI332" s="129" t="n"/>
      <c r="CJ332" s="129" t="n"/>
      <c r="CK332" s="129" t="n"/>
      <c r="CL332" s="129" t="n"/>
      <c r="CM332" s="129" t="n"/>
      <c r="CN332" s="129" t="n"/>
      <c r="CO332" s="129" t="n"/>
      <c r="CP332" s="129" t="n"/>
      <c r="CQ332" s="129" t="n"/>
      <c r="CR332" s="129" t="n"/>
      <c r="CS332" s="129" t="n"/>
      <c r="CT332" s="129" t="n"/>
      <c r="CU332" s="129" t="n"/>
      <c r="CV332" s="129" t="n"/>
      <c r="CW332" s="129" t="n"/>
      <c r="CX332" s="129" t="n"/>
      <c r="CY332" s="129" t="n"/>
      <c r="CZ332" s="129" t="n"/>
      <c r="DA332" s="129" t="n"/>
      <c r="DB332" s="129" t="n"/>
      <c r="DC332" s="129" t="n"/>
      <c r="DD332" s="129" t="n"/>
      <c r="DE332" s="129" t="n"/>
      <c r="DF332" s="129" t="n"/>
      <c r="DG332" s="129" t="n"/>
      <c r="DH332" s="129" t="n"/>
      <c r="DI332" s="129" t="n"/>
      <c r="DJ332" s="129" t="n"/>
      <c r="DK332" s="129" t="n"/>
      <c r="DL332" s="129" t="n"/>
      <c r="DM332" s="129" t="n"/>
      <c r="DN332" s="129" t="n"/>
      <c r="DO332" s="129" t="n"/>
      <c r="DP332" s="129" t="n"/>
      <c r="DQ332" s="129" t="n"/>
      <c r="DR332" s="129" t="n"/>
      <c r="DS332" s="129" t="n"/>
      <c r="DT332" s="129" t="n"/>
      <c r="DU332" s="129" t="n"/>
      <c r="DV332" s="129" t="n"/>
      <c r="DW332" s="129" t="n"/>
      <c r="DX332" s="129" t="n"/>
      <c r="DY332" s="129" t="n"/>
      <c r="DZ332" s="129" t="n"/>
      <c r="EA332" s="129" t="n"/>
      <c r="EB332" s="129" t="n"/>
      <c r="EC332" s="129" t="n"/>
      <c r="ED332" s="129" t="n"/>
      <c r="EE332" s="129" t="n"/>
      <c r="EF332" s="129" t="n"/>
      <c r="EG332" s="129" t="n"/>
      <c r="EH332" s="129" t="n"/>
      <c r="EI332" s="129" t="n"/>
      <c r="EJ332" s="129" t="n"/>
      <c r="EK332" s="129" t="n"/>
      <c r="EL332" s="129" t="n"/>
      <c r="EM332" s="129" t="n"/>
      <c r="EN332" s="129" t="n"/>
      <c r="EO332" s="129" t="n"/>
      <c r="EP332" s="129" t="n"/>
      <c r="EQ332" s="129" t="n"/>
      <c r="ER332" s="129" t="n"/>
      <c r="ES332" s="129" t="n"/>
      <c r="ET332" s="129" t="n"/>
      <c r="EU332" s="129" t="n"/>
      <c r="EV332" s="129" t="n"/>
      <c r="EW332" s="129" t="n"/>
      <c r="EX332" s="129" t="n"/>
      <c r="EY332" s="129" t="n"/>
      <c r="EZ332" s="129" t="n"/>
      <c r="FA332" s="129" t="n"/>
      <c r="FB332" s="129" t="n"/>
      <c r="FC332" s="129" t="n"/>
      <c r="FD332" s="129" t="n"/>
      <c r="FE332" s="129" t="n"/>
      <c r="FF332" s="129" t="n"/>
      <c r="FG332" s="129" t="n"/>
      <c r="FH332" s="129" t="n"/>
      <c r="FI332" s="129" t="n"/>
      <c r="FJ332" s="129" t="n"/>
      <c r="FK332" s="129" t="n"/>
      <c r="FL332" s="129" t="n"/>
      <c r="FM332" s="129" t="n"/>
    </row>
    <row r="333" s="135">
      <c r="A333" s="52" t="n">
        <v>43220</v>
      </c>
      <c r="B333" s="30" t="n">
        <v>0.07000000000000001</v>
      </c>
      <c r="C333" s="29" t="n">
        <v>51.1</v>
      </c>
      <c r="D333" s="129" t="n"/>
      <c r="E333" s="129" t="n"/>
      <c r="F333" s="129" t="n"/>
      <c r="G333" s="129" t="n"/>
      <c r="H333" s="129" t="n"/>
      <c r="I333" s="129" t="n"/>
      <c r="J333" s="129" t="n"/>
      <c r="K333" s="129" t="n"/>
      <c r="L333" s="129" t="n"/>
      <c r="M333" s="129" t="n"/>
      <c r="N333" s="129" t="n"/>
      <c r="O333" s="129" t="n"/>
      <c r="P333" s="129" t="n"/>
      <c r="Q333" s="129" t="n"/>
      <c r="R333" s="129" t="n"/>
      <c r="S333" s="129" t="n"/>
      <c r="T333" s="129" t="n"/>
      <c r="U333" s="129" t="n"/>
      <c r="V333" s="129" t="n"/>
      <c r="W333" s="129" t="n"/>
      <c r="X333" s="129" t="n"/>
      <c r="Y333" s="129" t="n"/>
      <c r="Z333" s="129" t="n"/>
      <c r="AA333" s="129" t="n"/>
      <c r="AB333" s="129" t="n"/>
      <c r="AC333" s="129" t="n"/>
      <c r="AD333" s="129" t="n"/>
      <c r="AE333" s="129" t="n"/>
      <c r="AF333" s="129" t="n"/>
      <c r="AG333" s="129" t="n"/>
      <c r="AH333" s="129" t="n"/>
      <c r="AI333" s="129" t="n"/>
      <c r="AJ333" s="129" t="n"/>
      <c r="AK333" s="129" t="n"/>
      <c r="AL333" s="129" t="n"/>
      <c r="AM333" s="129" t="n"/>
      <c r="AN333" s="129" t="n"/>
      <c r="AO333" s="129" t="n"/>
      <c r="AP333" s="129" t="n"/>
      <c r="AQ333" s="129" t="n"/>
      <c r="AR333" s="129" t="n"/>
      <c r="AS333" s="129" t="n"/>
      <c r="AT333" s="129" t="n"/>
      <c r="AU333" s="129" t="n"/>
      <c r="AV333" s="129" t="n"/>
      <c r="AW333" s="129" t="n"/>
      <c r="AX333" s="129" t="n"/>
      <c r="AY333" s="129" t="n"/>
      <c r="AZ333" s="129" t="n"/>
      <c r="BA333" s="129" t="n"/>
      <c r="BB333" s="129" t="n"/>
      <c r="BC333" s="129" t="n"/>
      <c r="BD333" s="129" t="n"/>
      <c r="BE333" s="129" t="n"/>
      <c r="BF333" s="129" t="n"/>
      <c r="BG333" s="129" t="n"/>
      <c r="BH333" s="129" t="n"/>
      <c r="BI333" s="129" t="n"/>
      <c r="BJ333" s="129" t="n"/>
      <c r="BK333" s="129" t="n"/>
      <c r="BL333" s="129" t="n"/>
      <c r="BM333" s="129" t="n"/>
      <c r="BN333" s="129" t="n"/>
      <c r="BO333" s="129" t="n"/>
      <c r="BP333" s="129" t="n"/>
      <c r="BQ333" s="129" t="n"/>
      <c r="BR333" s="129" t="n"/>
      <c r="BS333" s="129" t="n"/>
      <c r="BT333" s="129" t="n"/>
      <c r="BU333" s="129" t="n"/>
      <c r="BV333" s="129" t="n"/>
      <c r="BW333" s="129" t="n"/>
      <c r="BX333" s="129" t="n"/>
      <c r="BY333" s="129" t="n"/>
      <c r="BZ333" s="129" t="n"/>
      <c r="CA333" s="129" t="n"/>
      <c r="CB333" s="129" t="n"/>
      <c r="CC333" s="129" t="n"/>
      <c r="CD333" s="129" t="n"/>
      <c r="CE333" s="129" t="n"/>
      <c r="CF333" s="129" t="n"/>
      <c r="CG333" s="129" t="n"/>
      <c r="CH333" s="129" t="n"/>
      <c r="CI333" s="129" t="n"/>
      <c r="CJ333" s="129" t="n"/>
      <c r="CK333" s="129" t="n"/>
      <c r="CL333" s="129" t="n"/>
      <c r="CM333" s="129" t="n"/>
      <c r="CN333" s="129" t="n"/>
      <c r="CO333" s="129" t="n"/>
      <c r="CP333" s="129" t="n"/>
      <c r="CQ333" s="129" t="n"/>
      <c r="CR333" s="129" t="n"/>
      <c r="CS333" s="129" t="n"/>
      <c r="CT333" s="129" t="n"/>
      <c r="CU333" s="129" t="n"/>
      <c r="CV333" s="129" t="n"/>
      <c r="CW333" s="129" t="n"/>
      <c r="CX333" s="129" t="n"/>
      <c r="CY333" s="129" t="n"/>
      <c r="CZ333" s="129" t="n"/>
      <c r="DA333" s="129" t="n"/>
      <c r="DB333" s="129" t="n"/>
      <c r="DC333" s="129" t="n"/>
      <c r="DD333" s="129" t="n"/>
      <c r="DE333" s="129" t="n"/>
      <c r="DF333" s="129" t="n"/>
      <c r="DG333" s="129" t="n"/>
      <c r="DH333" s="129" t="n"/>
      <c r="DI333" s="129" t="n"/>
      <c r="DJ333" s="129" t="n"/>
      <c r="DK333" s="129" t="n"/>
      <c r="DL333" s="129" t="n"/>
      <c r="DM333" s="129" t="n"/>
      <c r="DN333" s="129" t="n"/>
      <c r="DO333" s="129" t="n"/>
      <c r="DP333" s="129" t="n"/>
      <c r="DQ333" s="129" t="n"/>
      <c r="DR333" s="129" t="n"/>
      <c r="DS333" s="129" t="n"/>
      <c r="DT333" s="129" t="n"/>
      <c r="DU333" s="129" t="n"/>
      <c r="DV333" s="129" t="n"/>
      <c r="DW333" s="129" t="n"/>
      <c r="DX333" s="129" t="n"/>
      <c r="DY333" s="129" t="n"/>
      <c r="DZ333" s="129" t="n"/>
      <c r="EA333" s="129" t="n"/>
      <c r="EB333" s="129" t="n"/>
      <c r="EC333" s="129" t="n"/>
      <c r="ED333" s="129" t="n"/>
      <c r="EE333" s="129" t="n"/>
      <c r="EF333" s="129" t="n"/>
      <c r="EG333" s="129" t="n"/>
      <c r="EH333" s="129" t="n"/>
      <c r="EI333" s="129" t="n"/>
      <c r="EJ333" s="129" t="n"/>
      <c r="EK333" s="129" t="n"/>
      <c r="EL333" s="129" t="n"/>
      <c r="EM333" s="129" t="n"/>
      <c r="EN333" s="129" t="n"/>
      <c r="EO333" s="129" t="n"/>
      <c r="EP333" s="129" t="n"/>
      <c r="EQ333" s="129" t="n"/>
      <c r="ER333" s="129" t="n"/>
      <c r="ES333" s="129" t="n"/>
      <c r="ET333" s="129" t="n"/>
      <c r="EU333" s="129" t="n"/>
      <c r="EV333" s="129" t="n"/>
      <c r="EW333" s="129" t="n"/>
      <c r="EX333" s="129" t="n"/>
      <c r="EY333" s="129" t="n"/>
      <c r="EZ333" s="129" t="n"/>
      <c r="FA333" s="129" t="n"/>
      <c r="FB333" s="129" t="n"/>
      <c r="FC333" s="129" t="n"/>
      <c r="FD333" s="129" t="n"/>
      <c r="FE333" s="129" t="n"/>
      <c r="FF333" s="129" t="n"/>
      <c r="FG333" s="129" t="n"/>
      <c r="FH333" s="129" t="n"/>
      <c r="FI333" s="129" t="n"/>
      <c r="FJ333" s="129" t="n"/>
      <c r="FK333" s="129" t="n"/>
      <c r="FL333" s="129" t="n"/>
      <c r="FM333" s="129" t="n"/>
    </row>
    <row r="334" s="135">
      <c r="A334" s="53" t="n">
        <v>43251</v>
      </c>
      <c r="B334" s="54" t="n">
        <v>0.068</v>
      </c>
      <c r="C334" s="29" t="n">
        <v>51.1</v>
      </c>
      <c r="D334" s="129" t="n"/>
      <c r="E334" s="129" t="n"/>
      <c r="F334" s="129" t="n"/>
      <c r="G334" s="129" t="n"/>
      <c r="H334" s="129" t="n"/>
      <c r="I334" s="129" t="n"/>
      <c r="J334" s="129" t="n"/>
      <c r="K334" s="129" t="n"/>
      <c r="L334" s="129" t="n"/>
      <c r="M334" s="129" t="n"/>
      <c r="N334" s="129" t="n"/>
      <c r="O334" s="129" t="n"/>
      <c r="P334" s="129" t="n"/>
      <c r="Q334" s="129" t="n"/>
      <c r="R334" s="129" t="n"/>
      <c r="S334" s="129" t="n"/>
      <c r="T334" s="129" t="n"/>
      <c r="U334" s="129" t="n"/>
      <c r="V334" s="129" t="n"/>
      <c r="W334" s="129" t="n"/>
      <c r="X334" s="129" t="n"/>
      <c r="Y334" s="129" t="n"/>
      <c r="Z334" s="129" t="n"/>
      <c r="AA334" s="129" t="n"/>
      <c r="AB334" s="129" t="n"/>
      <c r="AC334" s="129" t="n"/>
      <c r="AD334" s="129" t="n"/>
      <c r="AE334" s="129" t="n"/>
      <c r="AF334" s="129" t="n"/>
      <c r="AG334" s="129" t="n"/>
      <c r="AH334" s="129" t="n"/>
      <c r="AI334" s="129" t="n"/>
      <c r="AJ334" s="129" t="n"/>
      <c r="AK334" s="129" t="n"/>
      <c r="AL334" s="129" t="n"/>
      <c r="AM334" s="129" t="n"/>
      <c r="AN334" s="129" t="n"/>
      <c r="AO334" s="129" t="n"/>
      <c r="AP334" s="129" t="n"/>
      <c r="AQ334" s="129" t="n"/>
      <c r="AR334" s="129" t="n"/>
      <c r="AS334" s="129" t="n"/>
      <c r="AT334" s="129" t="n"/>
      <c r="AU334" s="129" t="n"/>
      <c r="AV334" s="129" t="n"/>
      <c r="AW334" s="129" t="n"/>
      <c r="AX334" s="129" t="n"/>
      <c r="AY334" s="129" t="n"/>
      <c r="AZ334" s="129" t="n"/>
      <c r="BA334" s="129" t="n"/>
      <c r="BB334" s="129" t="n"/>
      <c r="BC334" s="129" t="n"/>
      <c r="BD334" s="129" t="n"/>
      <c r="BE334" s="129" t="n"/>
      <c r="BF334" s="129" t="n"/>
      <c r="BG334" s="129" t="n"/>
      <c r="BH334" s="129" t="n"/>
      <c r="BI334" s="129" t="n"/>
      <c r="BJ334" s="129" t="n"/>
      <c r="BK334" s="129" t="n"/>
      <c r="BL334" s="129" t="n"/>
      <c r="BM334" s="129" t="n"/>
      <c r="BN334" s="129" t="n"/>
      <c r="BO334" s="129" t="n"/>
      <c r="BP334" s="129" t="n"/>
      <c r="BQ334" s="129" t="n"/>
      <c r="BR334" s="129" t="n"/>
      <c r="BS334" s="129" t="n"/>
      <c r="BT334" s="129" t="n"/>
      <c r="BU334" s="129" t="n"/>
      <c r="BV334" s="129" t="n"/>
      <c r="BW334" s="129" t="n"/>
      <c r="BX334" s="129" t="n"/>
      <c r="BY334" s="129" t="n"/>
      <c r="BZ334" s="129" t="n"/>
      <c r="CA334" s="129" t="n"/>
      <c r="CB334" s="129" t="n"/>
      <c r="CC334" s="129" t="n"/>
      <c r="CD334" s="129" t="n"/>
      <c r="CE334" s="129" t="n"/>
      <c r="CF334" s="129" t="n"/>
      <c r="CG334" s="129" t="n"/>
      <c r="CH334" s="129" t="n"/>
      <c r="CI334" s="129" t="n"/>
      <c r="CJ334" s="129" t="n"/>
      <c r="CK334" s="129" t="n"/>
      <c r="CL334" s="129" t="n"/>
      <c r="CM334" s="129" t="n"/>
      <c r="CN334" s="129" t="n"/>
      <c r="CO334" s="129" t="n"/>
      <c r="CP334" s="129" t="n"/>
      <c r="CQ334" s="129" t="n"/>
      <c r="CR334" s="129" t="n"/>
      <c r="CS334" s="129" t="n"/>
      <c r="CT334" s="129" t="n"/>
      <c r="CU334" s="129" t="n"/>
      <c r="CV334" s="129" t="n"/>
      <c r="CW334" s="129" t="n"/>
      <c r="CX334" s="129" t="n"/>
      <c r="CY334" s="129" t="n"/>
      <c r="CZ334" s="129" t="n"/>
      <c r="DA334" s="129" t="n"/>
      <c r="DB334" s="129" t="n"/>
      <c r="DC334" s="129" t="n"/>
      <c r="DD334" s="129" t="n"/>
      <c r="DE334" s="129" t="n"/>
      <c r="DF334" s="129" t="n"/>
      <c r="DG334" s="129" t="n"/>
      <c r="DH334" s="129" t="n"/>
      <c r="DI334" s="129" t="n"/>
      <c r="DJ334" s="129" t="n"/>
      <c r="DK334" s="129" t="n"/>
      <c r="DL334" s="129" t="n"/>
      <c r="DM334" s="129" t="n"/>
      <c r="DN334" s="129" t="n"/>
      <c r="DO334" s="129" t="n"/>
      <c r="DP334" s="129" t="n"/>
      <c r="DQ334" s="129" t="n"/>
      <c r="DR334" s="129" t="n"/>
      <c r="DS334" s="129" t="n"/>
      <c r="DT334" s="129" t="n"/>
      <c r="DU334" s="129" t="n"/>
      <c r="DV334" s="129" t="n"/>
      <c r="DW334" s="129" t="n"/>
      <c r="DX334" s="129" t="n"/>
      <c r="DY334" s="129" t="n"/>
      <c r="DZ334" s="129" t="n"/>
      <c r="EA334" s="129" t="n"/>
      <c r="EB334" s="129" t="n"/>
      <c r="EC334" s="129" t="n"/>
      <c r="ED334" s="129" t="n"/>
      <c r="EE334" s="129" t="n"/>
      <c r="EF334" s="129" t="n"/>
      <c r="EG334" s="129" t="n"/>
      <c r="EH334" s="129" t="n"/>
      <c r="EI334" s="129" t="n"/>
      <c r="EJ334" s="129" t="n"/>
      <c r="EK334" s="129" t="n"/>
      <c r="EL334" s="129" t="n"/>
      <c r="EM334" s="129" t="n"/>
      <c r="EN334" s="129" t="n"/>
      <c r="EO334" s="129" t="n"/>
      <c r="EP334" s="129" t="n"/>
      <c r="EQ334" s="129" t="n"/>
      <c r="ER334" s="129" t="n"/>
      <c r="ES334" s="129" t="n"/>
      <c r="ET334" s="129" t="n"/>
      <c r="EU334" s="129" t="n"/>
      <c r="EV334" s="129" t="n"/>
      <c r="EW334" s="129" t="n"/>
      <c r="EX334" s="129" t="n"/>
      <c r="EY334" s="129" t="n"/>
      <c r="EZ334" s="129" t="n"/>
      <c r="FA334" s="129" t="n"/>
      <c r="FB334" s="129" t="n"/>
      <c r="FC334" s="129" t="n"/>
      <c r="FD334" s="129" t="n"/>
      <c r="FE334" s="129" t="n"/>
      <c r="FF334" s="129" t="n"/>
      <c r="FG334" s="129" t="n"/>
      <c r="FH334" s="129" t="n"/>
      <c r="FI334" s="129" t="n"/>
      <c r="FJ334" s="129" t="n"/>
      <c r="FK334" s="129" t="n"/>
      <c r="FL334" s="129" t="n"/>
      <c r="FM334" s="129" t="n"/>
    </row>
    <row r="335" s="135">
      <c r="A335" s="52" t="n">
        <v>43281</v>
      </c>
      <c r="B335" s="30" t="n">
        <v>0.06</v>
      </c>
      <c r="C335" s="29" t="n">
        <v>51</v>
      </c>
      <c r="D335" s="129" t="n"/>
      <c r="E335" s="129" t="n"/>
      <c r="F335" s="129" t="n"/>
      <c r="G335" s="129" t="n"/>
      <c r="H335" s="129" t="n"/>
      <c r="I335" s="129" t="n"/>
      <c r="J335" s="129" t="n"/>
      <c r="K335" s="129" t="n"/>
      <c r="L335" s="129" t="n"/>
      <c r="M335" s="129" t="n"/>
      <c r="N335" s="129" t="n"/>
      <c r="O335" s="129" t="n"/>
      <c r="P335" s="129" t="n"/>
      <c r="Q335" s="129" t="n"/>
      <c r="R335" s="129" t="n"/>
      <c r="S335" s="129" t="n"/>
      <c r="T335" s="129" t="n"/>
      <c r="U335" s="129" t="n"/>
      <c r="V335" s="129" t="n"/>
      <c r="W335" s="129" t="n"/>
      <c r="X335" s="129" t="n"/>
      <c r="Y335" s="129" t="n"/>
      <c r="Z335" s="129" t="n"/>
      <c r="AA335" s="129" t="n"/>
      <c r="AB335" s="129" t="n"/>
      <c r="AC335" s="129" t="n"/>
      <c r="AD335" s="129" t="n"/>
      <c r="AE335" s="129" t="n"/>
      <c r="AF335" s="129" t="n"/>
      <c r="AG335" s="129" t="n"/>
      <c r="AH335" s="129" t="n"/>
      <c r="AI335" s="129" t="n"/>
      <c r="AJ335" s="129" t="n"/>
      <c r="AK335" s="129" t="n"/>
      <c r="AL335" s="129" t="n"/>
      <c r="AM335" s="129" t="n"/>
      <c r="AN335" s="129" t="n"/>
      <c r="AO335" s="129" t="n"/>
      <c r="AP335" s="129" t="n"/>
      <c r="AQ335" s="129" t="n"/>
      <c r="AR335" s="129" t="n"/>
      <c r="AS335" s="129" t="n"/>
      <c r="AT335" s="129" t="n"/>
      <c r="AU335" s="129" t="n"/>
      <c r="AV335" s="129" t="n"/>
      <c r="AW335" s="129" t="n"/>
      <c r="AX335" s="129" t="n"/>
      <c r="AY335" s="129" t="n"/>
      <c r="AZ335" s="129" t="n"/>
      <c r="BA335" s="129" t="n"/>
      <c r="BB335" s="129" t="n"/>
      <c r="BC335" s="129" t="n"/>
      <c r="BD335" s="129" t="n"/>
      <c r="BE335" s="129" t="n"/>
      <c r="BF335" s="129" t="n"/>
      <c r="BG335" s="129" t="n"/>
      <c r="BH335" s="129" t="n"/>
      <c r="BI335" s="129" t="n"/>
      <c r="BJ335" s="129" t="n"/>
      <c r="BK335" s="129" t="n"/>
      <c r="BL335" s="129" t="n"/>
      <c r="BM335" s="129" t="n"/>
      <c r="BN335" s="129" t="n"/>
      <c r="BO335" s="129" t="n"/>
      <c r="BP335" s="129" t="n"/>
      <c r="BQ335" s="129" t="n"/>
      <c r="BR335" s="129" t="n"/>
      <c r="BS335" s="129" t="n"/>
      <c r="BT335" s="129" t="n"/>
      <c r="BU335" s="129" t="n"/>
      <c r="BV335" s="129" t="n"/>
      <c r="BW335" s="129" t="n"/>
      <c r="BX335" s="129" t="n"/>
      <c r="BY335" s="129" t="n"/>
      <c r="BZ335" s="129" t="n"/>
      <c r="CA335" s="129" t="n"/>
      <c r="CB335" s="129" t="n"/>
      <c r="CC335" s="129" t="n"/>
      <c r="CD335" s="129" t="n"/>
      <c r="CE335" s="129" t="n"/>
      <c r="CF335" s="129" t="n"/>
      <c r="CG335" s="129" t="n"/>
      <c r="CH335" s="129" t="n"/>
      <c r="CI335" s="129" t="n"/>
      <c r="CJ335" s="129" t="n"/>
      <c r="CK335" s="129" t="n"/>
      <c r="CL335" s="129" t="n"/>
      <c r="CM335" s="129" t="n"/>
      <c r="CN335" s="129" t="n"/>
      <c r="CO335" s="129" t="n"/>
      <c r="CP335" s="129" t="n"/>
      <c r="CQ335" s="129" t="n"/>
      <c r="CR335" s="129" t="n"/>
      <c r="CS335" s="129" t="n"/>
      <c r="CT335" s="129" t="n"/>
      <c r="CU335" s="129" t="n"/>
      <c r="CV335" s="129" t="n"/>
      <c r="CW335" s="129" t="n"/>
      <c r="CX335" s="129" t="n"/>
      <c r="CY335" s="129" t="n"/>
      <c r="CZ335" s="129" t="n"/>
      <c r="DA335" s="129" t="n"/>
      <c r="DB335" s="129" t="n"/>
      <c r="DC335" s="129" t="n"/>
      <c r="DD335" s="129" t="n"/>
      <c r="DE335" s="129" t="n"/>
      <c r="DF335" s="129" t="n"/>
      <c r="DG335" s="129" t="n"/>
      <c r="DH335" s="129" t="n"/>
      <c r="DI335" s="129" t="n"/>
      <c r="DJ335" s="129" t="n"/>
      <c r="DK335" s="129" t="n"/>
      <c r="DL335" s="129" t="n"/>
      <c r="DM335" s="129" t="n"/>
      <c r="DN335" s="129" t="n"/>
      <c r="DO335" s="129" t="n"/>
      <c r="DP335" s="129" t="n"/>
      <c r="DQ335" s="129" t="n"/>
      <c r="DR335" s="129" t="n"/>
      <c r="DS335" s="129" t="n"/>
      <c r="DT335" s="129" t="n"/>
      <c r="DU335" s="129" t="n"/>
      <c r="DV335" s="129" t="n"/>
      <c r="DW335" s="129" t="n"/>
      <c r="DX335" s="129" t="n"/>
      <c r="DY335" s="129" t="n"/>
      <c r="DZ335" s="129" t="n"/>
      <c r="EA335" s="129" t="n"/>
      <c r="EB335" s="129" t="n"/>
      <c r="EC335" s="129" t="n"/>
      <c r="ED335" s="129" t="n"/>
      <c r="EE335" s="129" t="n"/>
      <c r="EF335" s="129" t="n"/>
      <c r="EG335" s="129" t="n"/>
      <c r="EH335" s="129" t="n"/>
      <c r="EI335" s="129" t="n"/>
      <c r="EJ335" s="129" t="n"/>
      <c r="EK335" s="129" t="n"/>
      <c r="EL335" s="129" t="n"/>
      <c r="EM335" s="129" t="n"/>
      <c r="EN335" s="129" t="n"/>
      <c r="EO335" s="129" t="n"/>
      <c r="EP335" s="129" t="n"/>
      <c r="EQ335" s="129" t="n"/>
      <c r="ER335" s="129" t="n"/>
      <c r="ES335" s="129" t="n"/>
      <c r="ET335" s="129" t="n"/>
      <c r="EU335" s="129" t="n"/>
      <c r="EV335" s="129" t="n"/>
      <c r="EW335" s="129" t="n"/>
      <c r="EX335" s="129" t="n"/>
      <c r="EY335" s="129" t="n"/>
      <c r="EZ335" s="129" t="n"/>
      <c r="FA335" s="129" t="n"/>
      <c r="FB335" s="129" t="n"/>
      <c r="FC335" s="129" t="n"/>
      <c r="FD335" s="129" t="n"/>
      <c r="FE335" s="129" t="n"/>
      <c r="FF335" s="129" t="n"/>
      <c r="FG335" s="129" t="n"/>
      <c r="FH335" s="129" t="n"/>
      <c r="FI335" s="129" t="n"/>
      <c r="FJ335" s="129" t="n"/>
      <c r="FK335" s="129" t="n"/>
      <c r="FL335" s="129" t="n"/>
      <c r="FM335" s="129" t="n"/>
    </row>
    <row r="336" s="135">
      <c r="A336" s="53" t="n">
        <v>43312</v>
      </c>
      <c r="B336" s="54" t="n">
        <v>0.06</v>
      </c>
      <c r="C336" s="29" t="n">
        <v>50.8</v>
      </c>
      <c r="D336" s="129" t="n"/>
      <c r="E336" s="129" t="n"/>
      <c r="F336" s="129" t="n"/>
      <c r="G336" s="129" t="n"/>
      <c r="H336" s="129" t="n"/>
      <c r="I336" s="129" t="n"/>
      <c r="J336" s="129" t="n"/>
      <c r="K336" s="129" t="n"/>
      <c r="L336" s="129" t="n"/>
      <c r="M336" s="129" t="n"/>
      <c r="N336" s="129" t="n"/>
      <c r="O336" s="129" t="n"/>
      <c r="P336" s="129" t="n"/>
      <c r="Q336" s="129" t="n"/>
      <c r="R336" s="129" t="n"/>
      <c r="S336" s="129" t="n"/>
      <c r="T336" s="129" t="n"/>
      <c r="U336" s="129" t="n"/>
      <c r="V336" s="129" t="n"/>
      <c r="W336" s="129" t="n"/>
      <c r="X336" s="129" t="n"/>
      <c r="Y336" s="129" t="n"/>
      <c r="Z336" s="129" t="n"/>
      <c r="AA336" s="129" t="n"/>
      <c r="AB336" s="129" t="n"/>
      <c r="AC336" s="129" t="n"/>
      <c r="AD336" s="129" t="n"/>
      <c r="AE336" s="129" t="n"/>
      <c r="AF336" s="129" t="n"/>
      <c r="AG336" s="129" t="n"/>
      <c r="AH336" s="129" t="n"/>
      <c r="AI336" s="129" t="n"/>
      <c r="AJ336" s="129" t="n"/>
      <c r="AK336" s="129" t="n"/>
      <c r="AL336" s="129" t="n"/>
      <c r="AM336" s="129" t="n"/>
      <c r="AN336" s="129" t="n"/>
      <c r="AO336" s="129" t="n"/>
      <c r="AP336" s="129" t="n"/>
      <c r="AQ336" s="129" t="n"/>
      <c r="AR336" s="129" t="n"/>
      <c r="AS336" s="129" t="n"/>
      <c r="AT336" s="129" t="n"/>
      <c r="AU336" s="129" t="n"/>
      <c r="AV336" s="129" t="n"/>
      <c r="AW336" s="129" t="n"/>
      <c r="AX336" s="129" t="n"/>
      <c r="AY336" s="129" t="n"/>
      <c r="AZ336" s="129" t="n"/>
      <c r="BA336" s="129" t="n"/>
      <c r="BB336" s="129" t="n"/>
      <c r="BC336" s="129" t="n"/>
      <c r="BD336" s="129" t="n"/>
      <c r="BE336" s="129" t="n"/>
      <c r="BF336" s="129" t="n"/>
      <c r="BG336" s="129" t="n"/>
      <c r="BH336" s="129" t="n"/>
      <c r="BI336" s="129" t="n"/>
      <c r="BJ336" s="129" t="n"/>
      <c r="BK336" s="129" t="n"/>
      <c r="BL336" s="129" t="n"/>
      <c r="BM336" s="129" t="n"/>
      <c r="BN336" s="129" t="n"/>
      <c r="BO336" s="129" t="n"/>
      <c r="BP336" s="129" t="n"/>
      <c r="BQ336" s="129" t="n"/>
      <c r="BR336" s="129" t="n"/>
      <c r="BS336" s="129" t="n"/>
      <c r="BT336" s="129" t="n"/>
      <c r="BU336" s="129" t="n"/>
      <c r="BV336" s="129" t="n"/>
      <c r="BW336" s="129" t="n"/>
      <c r="BX336" s="129" t="n"/>
      <c r="BY336" s="129" t="n"/>
      <c r="BZ336" s="129" t="n"/>
      <c r="CA336" s="129" t="n"/>
      <c r="CB336" s="129" t="n"/>
      <c r="CC336" s="129" t="n"/>
      <c r="CD336" s="129" t="n"/>
      <c r="CE336" s="129" t="n"/>
      <c r="CF336" s="129" t="n"/>
      <c r="CG336" s="129" t="n"/>
      <c r="CH336" s="129" t="n"/>
      <c r="CI336" s="129" t="n"/>
      <c r="CJ336" s="129" t="n"/>
      <c r="CK336" s="129" t="n"/>
      <c r="CL336" s="129" t="n"/>
      <c r="CM336" s="129" t="n"/>
      <c r="CN336" s="129" t="n"/>
      <c r="CO336" s="129" t="n"/>
      <c r="CP336" s="129" t="n"/>
      <c r="CQ336" s="129" t="n"/>
      <c r="CR336" s="129" t="n"/>
      <c r="CS336" s="129" t="n"/>
      <c r="CT336" s="129" t="n"/>
      <c r="CU336" s="129" t="n"/>
      <c r="CV336" s="129" t="n"/>
      <c r="CW336" s="129" t="n"/>
      <c r="CX336" s="129" t="n"/>
      <c r="CY336" s="129" t="n"/>
      <c r="CZ336" s="129" t="n"/>
      <c r="DA336" s="129" t="n"/>
      <c r="DB336" s="129" t="n"/>
      <c r="DC336" s="129" t="n"/>
      <c r="DD336" s="129" t="n"/>
      <c r="DE336" s="129" t="n"/>
      <c r="DF336" s="129" t="n"/>
      <c r="DG336" s="129" t="n"/>
      <c r="DH336" s="129" t="n"/>
      <c r="DI336" s="129" t="n"/>
      <c r="DJ336" s="129" t="n"/>
      <c r="DK336" s="129" t="n"/>
      <c r="DL336" s="129" t="n"/>
      <c r="DM336" s="129" t="n"/>
      <c r="DN336" s="129" t="n"/>
      <c r="DO336" s="129" t="n"/>
      <c r="DP336" s="129" t="n"/>
      <c r="DQ336" s="129" t="n"/>
      <c r="DR336" s="129" t="n"/>
      <c r="DS336" s="129" t="n"/>
      <c r="DT336" s="129" t="n"/>
      <c r="DU336" s="129" t="n"/>
      <c r="DV336" s="129" t="n"/>
      <c r="DW336" s="129" t="n"/>
      <c r="DX336" s="129" t="n"/>
      <c r="DY336" s="129" t="n"/>
      <c r="DZ336" s="129" t="n"/>
      <c r="EA336" s="129" t="n"/>
      <c r="EB336" s="129" t="n"/>
      <c r="EC336" s="129" t="n"/>
      <c r="ED336" s="129" t="n"/>
      <c r="EE336" s="129" t="n"/>
      <c r="EF336" s="129" t="n"/>
      <c r="EG336" s="129" t="n"/>
      <c r="EH336" s="129" t="n"/>
      <c r="EI336" s="129" t="n"/>
      <c r="EJ336" s="129" t="n"/>
      <c r="EK336" s="129" t="n"/>
      <c r="EL336" s="129" t="n"/>
      <c r="EM336" s="129" t="n"/>
      <c r="EN336" s="129" t="n"/>
      <c r="EO336" s="129" t="n"/>
      <c r="EP336" s="129" t="n"/>
      <c r="EQ336" s="129" t="n"/>
      <c r="ER336" s="129" t="n"/>
      <c r="ES336" s="129" t="n"/>
      <c r="ET336" s="129" t="n"/>
      <c r="EU336" s="129" t="n"/>
      <c r="EV336" s="129" t="n"/>
      <c r="EW336" s="129" t="n"/>
      <c r="EX336" s="129" t="n"/>
      <c r="EY336" s="129" t="n"/>
      <c r="EZ336" s="129" t="n"/>
      <c r="FA336" s="129" t="n"/>
      <c r="FB336" s="129" t="n"/>
      <c r="FC336" s="129" t="n"/>
      <c r="FD336" s="129" t="n"/>
      <c r="FE336" s="129" t="n"/>
      <c r="FF336" s="129" t="n"/>
      <c r="FG336" s="129" t="n"/>
      <c r="FH336" s="129" t="n"/>
      <c r="FI336" s="129" t="n"/>
      <c r="FJ336" s="129" t="n"/>
      <c r="FK336" s="129" t="n"/>
      <c r="FL336" s="129" t="n"/>
      <c r="FM336" s="129" t="n"/>
    </row>
    <row r="337" s="135">
      <c r="A337" s="52" t="n">
        <v>43343</v>
      </c>
      <c r="B337" s="30" t="n">
        <v>0.061</v>
      </c>
      <c r="C337" s="29" t="n">
        <v>50.6</v>
      </c>
      <c r="D337" s="129" t="n"/>
      <c r="E337" s="129" t="n"/>
      <c r="F337" s="129" t="n"/>
      <c r="G337" s="129" t="n"/>
      <c r="H337" s="129" t="n"/>
      <c r="I337" s="129" t="n"/>
      <c r="J337" s="129" t="n"/>
      <c r="K337" s="129" t="n"/>
      <c r="L337" s="129" t="n"/>
      <c r="M337" s="129" t="n"/>
      <c r="N337" s="129" t="n"/>
      <c r="O337" s="129" t="n"/>
      <c r="P337" s="129" t="n"/>
      <c r="Q337" s="129" t="n"/>
      <c r="R337" s="129" t="n"/>
      <c r="S337" s="129" t="n"/>
      <c r="T337" s="129" t="n"/>
      <c r="U337" s="129" t="n"/>
      <c r="V337" s="129" t="n"/>
      <c r="W337" s="129" t="n"/>
      <c r="X337" s="129" t="n"/>
      <c r="Y337" s="129" t="n"/>
      <c r="Z337" s="129" t="n"/>
      <c r="AA337" s="129" t="n"/>
      <c r="AB337" s="129" t="n"/>
      <c r="AC337" s="129" t="n"/>
      <c r="AD337" s="129" t="n"/>
      <c r="AE337" s="129" t="n"/>
      <c r="AF337" s="129" t="n"/>
      <c r="AG337" s="129" t="n"/>
      <c r="AH337" s="129" t="n"/>
      <c r="AI337" s="129" t="n"/>
      <c r="AJ337" s="129" t="n"/>
      <c r="AK337" s="129" t="n"/>
      <c r="AL337" s="129" t="n"/>
      <c r="AM337" s="129" t="n"/>
      <c r="AN337" s="129" t="n"/>
      <c r="AO337" s="129" t="n"/>
      <c r="AP337" s="129" t="n"/>
      <c r="AQ337" s="129" t="n"/>
      <c r="AR337" s="129" t="n"/>
      <c r="AS337" s="129" t="n"/>
      <c r="AT337" s="129" t="n"/>
      <c r="AU337" s="129" t="n"/>
      <c r="AV337" s="129" t="n"/>
      <c r="AW337" s="129" t="n"/>
      <c r="AX337" s="129" t="n"/>
      <c r="AY337" s="129" t="n"/>
      <c r="AZ337" s="129" t="n"/>
      <c r="BA337" s="129" t="n"/>
      <c r="BB337" s="129" t="n"/>
      <c r="BC337" s="129" t="n"/>
      <c r="BD337" s="129" t="n"/>
      <c r="BE337" s="129" t="n"/>
      <c r="BF337" s="129" t="n"/>
      <c r="BG337" s="129" t="n"/>
      <c r="BH337" s="129" t="n"/>
      <c r="BI337" s="129" t="n"/>
      <c r="BJ337" s="129" t="n"/>
      <c r="BK337" s="129" t="n"/>
      <c r="BL337" s="129" t="n"/>
      <c r="BM337" s="129" t="n"/>
      <c r="BN337" s="129" t="n"/>
      <c r="BO337" s="129" t="n"/>
      <c r="BP337" s="129" t="n"/>
      <c r="BQ337" s="129" t="n"/>
      <c r="BR337" s="129" t="n"/>
      <c r="BS337" s="129" t="n"/>
      <c r="BT337" s="129" t="n"/>
      <c r="BU337" s="129" t="n"/>
      <c r="BV337" s="129" t="n"/>
      <c r="BW337" s="129" t="n"/>
      <c r="BX337" s="129" t="n"/>
      <c r="BY337" s="129" t="n"/>
      <c r="BZ337" s="129" t="n"/>
      <c r="CA337" s="129" t="n"/>
      <c r="CB337" s="129" t="n"/>
      <c r="CC337" s="129" t="n"/>
      <c r="CD337" s="129" t="n"/>
      <c r="CE337" s="129" t="n"/>
      <c r="CF337" s="129" t="n"/>
      <c r="CG337" s="129" t="n"/>
      <c r="CH337" s="129" t="n"/>
      <c r="CI337" s="129" t="n"/>
      <c r="CJ337" s="129" t="n"/>
      <c r="CK337" s="129" t="n"/>
      <c r="CL337" s="129" t="n"/>
      <c r="CM337" s="129" t="n"/>
      <c r="CN337" s="129" t="n"/>
      <c r="CO337" s="129" t="n"/>
      <c r="CP337" s="129" t="n"/>
      <c r="CQ337" s="129" t="n"/>
      <c r="CR337" s="129" t="n"/>
      <c r="CS337" s="129" t="n"/>
      <c r="CT337" s="129" t="n"/>
      <c r="CU337" s="129" t="n"/>
      <c r="CV337" s="129" t="n"/>
      <c r="CW337" s="129" t="n"/>
      <c r="CX337" s="129" t="n"/>
      <c r="CY337" s="129" t="n"/>
      <c r="CZ337" s="129" t="n"/>
      <c r="DA337" s="129" t="n"/>
      <c r="DB337" s="129" t="n"/>
      <c r="DC337" s="129" t="n"/>
      <c r="DD337" s="129" t="n"/>
      <c r="DE337" s="129" t="n"/>
      <c r="DF337" s="129" t="n"/>
      <c r="DG337" s="129" t="n"/>
      <c r="DH337" s="129" t="n"/>
      <c r="DI337" s="129" t="n"/>
      <c r="DJ337" s="129" t="n"/>
      <c r="DK337" s="129" t="n"/>
      <c r="DL337" s="129" t="n"/>
      <c r="DM337" s="129" t="n"/>
      <c r="DN337" s="129" t="n"/>
      <c r="DO337" s="129" t="n"/>
      <c r="DP337" s="129" t="n"/>
      <c r="DQ337" s="129" t="n"/>
      <c r="DR337" s="129" t="n"/>
      <c r="DS337" s="129" t="n"/>
      <c r="DT337" s="129" t="n"/>
      <c r="DU337" s="129" t="n"/>
      <c r="DV337" s="129" t="n"/>
      <c r="DW337" s="129" t="n"/>
      <c r="DX337" s="129" t="n"/>
      <c r="DY337" s="129" t="n"/>
      <c r="DZ337" s="129" t="n"/>
      <c r="EA337" s="129" t="n"/>
      <c r="EB337" s="129" t="n"/>
      <c r="EC337" s="129" t="n"/>
      <c r="ED337" s="129" t="n"/>
      <c r="EE337" s="129" t="n"/>
      <c r="EF337" s="129" t="n"/>
      <c r="EG337" s="129" t="n"/>
      <c r="EH337" s="129" t="n"/>
      <c r="EI337" s="129" t="n"/>
      <c r="EJ337" s="129" t="n"/>
      <c r="EK337" s="129" t="n"/>
      <c r="EL337" s="129" t="n"/>
      <c r="EM337" s="129" t="n"/>
      <c r="EN337" s="129" t="n"/>
      <c r="EO337" s="129" t="n"/>
      <c r="EP337" s="129" t="n"/>
      <c r="EQ337" s="129" t="n"/>
      <c r="ER337" s="129" t="n"/>
      <c r="ES337" s="129" t="n"/>
      <c r="ET337" s="129" t="n"/>
      <c r="EU337" s="129" t="n"/>
      <c r="EV337" s="129" t="n"/>
      <c r="EW337" s="129" t="n"/>
      <c r="EX337" s="129" t="n"/>
      <c r="EY337" s="129" t="n"/>
      <c r="EZ337" s="129" t="n"/>
      <c r="FA337" s="129" t="n"/>
      <c r="FB337" s="129" t="n"/>
      <c r="FC337" s="129" t="n"/>
      <c r="FD337" s="129" t="n"/>
      <c r="FE337" s="129" t="n"/>
      <c r="FF337" s="129" t="n"/>
      <c r="FG337" s="129" t="n"/>
      <c r="FH337" s="129" t="n"/>
      <c r="FI337" s="129" t="n"/>
      <c r="FJ337" s="129" t="n"/>
      <c r="FK337" s="129" t="n"/>
      <c r="FL337" s="129" t="n"/>
      <c r="FM337" s="129" t="n"/>
    </row>
    <row r="338" s="135">
      <c r="A338" s="53" t="n">
        <v>43373</v>
      </c>
      <c r="B338" s="54" t="n">
        <v>0.058</v>
      </c>
      <c r="C338" s="29" t="n">
        <v>50</v>
      </c>
      <c r="D338" s="129" t="n"/>
      <c r="E338" s="129" t="n"/>
      <c r="F338" s="129" t="n"/>
      <c r="G338" s="129" t="n"/>
      <c r="H338" s="129" t="n"/>
      <c r="I338" s="129" t="n"/>
      <c r="J338" s="129" t="n"/>
      <c r="K338" s="129" t="n"/>
      <c r="L338" s="129" t="n"/>
      <c r="M338" s="129" t="n"/>
      <c r="N338" s="129" t="n"/>
      <c r="O338" s="129" t="n"/>
      <c r="P338" s="129" t="n"/>
      <c r="Q338" s="129" t="n"/>
      <c r="R338" s="129" t="n"/>
      <c r="S338" s="129" t="n"/>
      <c r="T338" s="129" t="n"/>
      <c r="U338" s="129" t="n"/>
      <c r="V338" s="129" t="n"/>
      <c r="W338" s="129" t="n"/>
      <c r="X338" s="129" t="n"/>
      <c r="Y338" s="129" t="n"/>
      <c r="Z338" s="129" t="n"/>
      <c r="AA338" s="129" t="n"/>
      <c r="AB338" s="129" t="n"/>
      <c r="AC338" s="129" t="n"/>
      <c r="AD338" s="129" t="n"/>
      <c r="AE338" s="129" t="n"/>
      <c r="AF338" s="129" t="n"/>
      <c r="AG338" s="129" t="n"/>
      <c r="AH338" s="129" t="n"/>
      <c r="AI338" s="129" t="n"/>
      <c r="AJ338" s="129" t="n"/>
      <c r="AK338" s="129" t="n"/>
      <c r="AL338" s="129" t="n"/>
      <c r="AM338" s="129" t="n"/>
      <c r="AN338" s="129" t="n"/>
      <c r="AO338" s="129" t="n"/>
      <c r="AP338" s="129" t="n"/>
      <c r="AQ338" s="129" t="n"/>
      <c r="AR338" s="129" t="n"/>
      <c r="AS338" s="129" t="n"/>
      <c r="AT338" s="129" t="n"/>
      <c r="AU338" s="129" t="n"/>
      <c r="AV338" s="129" t="n"/>
      <c r="AW338" s="129" t="n"/>
      <c r="AX338" s="129" t="n"/>
      <c r="AY338" s="129" t="n"/>
      <c r="AZ338" s="129" t="n"/>
      <c r="BA338" s="129" t="n"/>
      <c r="BB338" s="129" t="n"/>
      <c r="BC338" s="129" t="n"/>
      <c r="BD338" s="129" t="n"/>
      <c r="BE338" s="129" t="n"/>
      <c r="BF338" s="129" t="n"/>
      <c r="BG338" s="129" t="n"/>
      <c r="BH338" s="129" t="n"/>
      <c r="BI338" s="129" t="n"/>
      <c r="BJ338" s="129" t="n"/>
      <c r="BK338" s="129" t="n"/>
      <c r="BL338" s="129" t="n"/>
      <c r="BM338" s="129" t="n"/>
      <c r="BN338" s="129" t="n"/>
      <c r="BO338" s="129" t="n"/>
      <c r="BP338" s="129" t="n"/>
      <c r="BQ338" s="129" t="n"/>
      <c r="BR338" s="129" t="n"/>
      <c r="BS338" s="129" t="n"/>
      <c r="BT338" s="129" t="n"/>
      <c r="BU338" s="129" t="n"/>
      <c r="BV338" s="129" t="n"/>
      <c r="BW338" s="129" t="n"/>
      <c r="BX338" s="129" t="n"/>
      <c r="BY338" s="129" t="n"/>
      <c r="BZ338" s="129" t="n"/>
      <c r="CA338" s="129" t="n"/>
      <c r="CB338" s="129" t="n"/>
      <c r="CC338" s="129" t="n"/>
      <c r="CD338" s="129" t="n"/>
      <c r="CE338" s="129" t="n"/>
      <c r="CF338" s="129" t="n"/>
      <c r="CG338" s="129" t="n"/>
      <c r="CH338" s="129" t="n"/>
      <c r="CI338" s="129" t="n"/>
      <c r="CJ338" s="129" t="n"/>
      <c r="CK338" s="129" t="n"/>
      <c r="CL338" s="129" t="n"/>
      <c r="CM338" s="129" t="n"/>
      <c r="CN338" s="129" t="n"/>
      <c r="CO338" s="129" t="n"/>
      <c r="CP338" s="129" t="n"/>
      <c r="CQ338" s="129" t="n"/>
      <c r="CR338" s="129" t="n"/>
      <c r="CS338" s="129" t="n"/>
      <c r="CT338" s="129" t="n"/>
      <c r="CU338" s="129" t="n"/>
      <c r="CV338" s="129" t="n"/>
      <c r="CW338" s="129" t="n"/>
      <c r="CX338" s="129" t="n"/>
      <c r="CY338" s="129" t="n"/>
      <c r="CZ338" s="129" t="n"/>
      <c r="DA338" s="129" t="n"/>
      <c r="DB338" s="129" t="n"/>
      <c r="DC338" s="129" t="n"/>
      <c r="DD338" s="129" t="n"/>
      <c r="DE338" s="129" t="n"/>
      <c r="DF338" s="129" t="n"/>
      <c r="DG338" s="129" t="n"/>
      <c r="DH338" s="129" t="n"/>
      <c r="DI338" s="129" t="n"/>
      <c r="DJ338" s="129" t="n"/>
      <c r="DK338" s="129" t="n"/>
      <c r="DL338" s="129" t="n"/>
      <c r="DM338" s="129" t="n"/>
      <c r="DN338" s="129" t="n"/>
      <c r="DO338" s="129" t="n"/>
      <c r="DP338" s="129" t="n"/>
      <c r="DQ338" s="129" t="n"/>
      <c r="DR338" s="129" t="n"/>
      <c r="DS338" s="129" t="n"/>
      <c r="DT338" s="129" t="n"/>
      <c r="DU338" s="129" t="n"/>
      <c r="DV338" s="129" t="n"/>
      <c r="DW338" s="129" t="n"/>
      <c r="DX338" s="129" t="n"/>
      <c r="DY338" s="129" t="n"/>
      <c r="DZ338" s="129" t="n"/>
      <c r="EA338" s="129" t="n"/>
      <c r="EB338" s="129" t="n"/>
      <c r="EC338" s="129" t="n"/>
      <c r="ED338" s="129" t="n"/>
      <c r="EE338" s="129" t="n"/>
      <c r="EF338" s="129" t="n"/>
      <c r="EG338" s="129" t="n"/>
      <c r="EH338" s="129" t="n"/>
      <c r="EI338" s="129" t="n"/>
      <c r="EJ338" s="129" t="n"/>
      <c r="EK338" s="129" t="n"/>
      <c r="EL338" s="129" t="n"/>
      <c r="EM338" s="129" t="n"/>
      <c r="EN338" s="129" t="n"/>
      <c r="EO338" s="129" t="n"/>
      <c r="EP338" s="129" t="n"/>
      <c r="EQ338" s="129" t="n"/>
      <c r="ER338" s="129" t="n"/>
      <c r="ES338" s="129" t="n"/>
      <c r="ET338" s="129" t="n"/>
      <c r="EU338" s="129" t="n"/>
      <c r="EV338" s="129" t="n"/>
      <c r="EW338" s="129" t="n"/>
      <c r="EX338" s="129" t="n"/>
      <c r="EY338" s="129" t="n"/>
      <c r="EZ338" s="129" t="n"/>
      <c r="FA338" s="129" t="n"/>
      <c r="FB338" s="129" t="n"/>
      <c r="FC338" s="129" t="n"/>
      <c r="FD338" s="129" t="n"/>
      <c r="FE338" s="129" t="n"/>
      <c r="FF338" s="129" t="n"/>
      <c r="FG338" s="129" t="n"/>
      <c r="FH338" s="129" t="n"/>
      <c r="FI338" s="129" t="n"/>
      <c r="FJ338" s="129" t="n"/>
      <c r="FK338" s="129" t="n"/>
      <c r="FL338" s="129" t="n"/>
      <c r="FM338" s="129" t="n"/>
    </row>
    <row r="339" s="135">
      <c r="A339" s="52" t="n">
        <v>43404</v>
      </c>
      <c r="B339" s="30" t="n">
        <v>0.059</v>
      </c>
      <c r="C339" s="29" t="n">
        <v>50.1</v>
      </c>
      <c r="D339" s="129" t="n"/>
      <c r="E339" s="129" t="n"/>
      <c r="F339" s="129" t="n"/>
      <c r="G339" s="129" t="n"/>
      <c r="H339" s="129" t="n"/>
      <c r="I339" s="129" t="n"/>
      <c r="J339" s="129" t="n"/>
      <c r="K339" s="129" t="n"/>
      <c r="L339" s="129" t="n"/>
      <c r="M339" s="129" t="n"/>
      <c r="N339" s="129" t="n"/>
      <c r="O339" s="129" t="n"/>
      <c r="P339" s="129" t="n"/>
      <c r="Q339" s="129" t="n"/>
      <c r="R339" s="129" t="n"/>
      <c r="S339" s="129" t="n"/>
      <c r="T339" s="129" t="n"/>
      <c r="U339" s="129" t="n"/>
      <c r="V339" s="129" t="n"/>
      <c r="W339" s="129" t="n"/>
      <c r="X339" s="129" t="n"/>
      <c r="Y339" s="129" t="n"/>
      <c r="Z339" s="129" t="n"/>
      <c r="AA339" s="129" t="n"/>
      <c r="AB339" s="129" t="n"/>
      <c r="AC339" s="129" t="n"/>
      <c r="AD339" s="129" t="n"/>
      <c r="AE339" s="129" t="n"/>
      <c r="AF339" s="129" t="n"/>
      <c r="AG339" s="129" t="n"/>
      <c r="AH339" s="129" t="n"/>
      <c r="AI339" s="129" t="n"/>
      <c r="AJ339" s="129" t="n"/>
      <c r="AK339" s="129" t="n"/>
      <c r="AL339" s="129" t="n"/>
      <c r="AM339" s="129" t="n"/>
      <c r="AN339" s="129" t="n"/>
      <c r="AO339" s="129" t="n"/>
      <c r="AP339" s="129" t="n"/>
      <c r="AQ339" s="129" t="n"/>
      <c r="AR339" s="129" t="n"/>
      <c r="AS339" s="129" t="n"/>
      <c r="AT339" s="129" t="n"/>
      <c r="AU339" s="129" t="n"/>
      <c r="AV339" s="129" t="n"/>
      <c r="AW339" s="129" t="n"/>
      <c r="AX339" s="129" t="n"/>
      <c r="AY339" s="129" t="n"/>
      <c r="AZ339" s="129" t="n"/>
      <c r="BA339" s="129" t="n"/>
      <c r="BB339" s="129" t="n"/>
      <c r="BC339" s="129" t="n"/>
      <c r="BD339" s="129" t="n"/>
      <c r="BE339" s="129" t="n"/>
      <c r="BF339" s="129" t="n"/>
      <c r="BG339" s="129" t="n"/>
      <c r="BH339" s="129" t="n"/>
      <c r="BI339" s="129" t="n"/>
      <c r="BJ339" s="129" t="n"/>
      <c r="BK339" s="129" t="n"/>
      <c r="BL339" s="129" t="n"/>
      <c r="BM339" s="129" t="n"/>
      <c r="BN339" s="129" t="n"/>
      <c r="BO339" s="129" t="n"/>
      <c r="BP339" s="129" t="n"/>
      <c r="BQ339" s="129" t="n"/>
      <c r="BR339" s="129" t="n"/>
      <c r="BS339" s="129" t="n"/>
      <c r="BT339" s="129" t="n"/>
      <c r="BU339" s="129" t="n"/>
      <c r="BV339" s="129" t="n"/>
      <c r="BW339" s="129" t="n"/>
      <c r="BX339" s="129" t="n"/>
      <c r="BY339" s="129" t="n"/>
      <c r="BZ339" s="129" t="n"/>
      <c r="CA339" s="129" t="n"/>
      <c r="CB339" s="129" t="n"/>
      <c r="CC339" s="129" t="n"/>
      <c r="CD339" s="129" t="n"/>
      <c r="CE339" s="129" t="n"/>
      <c r="CF339" s="129" t="n"/>
      <c r="CG339" s="129" t="n"/>
      <c r="CH339" s="129" t="n"/>
      <c r="CI339" s="129" t="n"/>
      <c r="CJ339" s="129" t="n"/>
      <c r="CK339" s="129" t="n"/>
      <c r="CL339" s="129" t="n"/>
      <c r="CM339" s="129" t="n"/>
      <c r="CN339" s="129" t="n"/>
      <c r="CO339" s="129" t="n"/>
      <c r="CP339" s="129" t="n"/>
      <c r="CQ339" s="129" t="n"/>
      <c r="CR339" s="129" t="n"/>
      <c r="CS339" s="129" t="n"/>
      <c r="CT339" s="129" t="n"/>
      <c r="CU339" s="129" t="n"/>
      <c r="CV339" s="129" t="n"/>
      <c r="CW339" s="129" t="n"/>
      <c r="CX339" s="129" t="n"/>
      <c r="CY339" s="129" t="n"/>
      <c r="CZ339" s="129" t="n"/>
      <c r="DA339" s="129" t="n"/>
      <c r="DB339" s="129" t="n"/>
      <c r="DC339" s="129" t="n"/>
      <c r="DD339" s="129" t="n"/>
      <c r="DE339" s="129" t="n"/>
      <c r="DF339" s="129" t="n"/>
      <c r="DG339" s="129" t="n"/>
      <c r="DH339" s="129" t="n"/>
      <c r="DI339" s="129" t="n"/>
      <c r="DJ339" s="129" t="n"/>
      <c r="DK339" s="129" t="n"/>
      <c r="DL339" s="129" t="n"/>
      <c r="DM339" s="129" t="n"/>
      <c r="DN339" s="129" t="n"/>
      <c r="DO339" s="129" t="n"/>
      <c r="DP339" s="129" t="n"/>
      <c r="DQ339" s="129" t="n"/>
      <c r="DR339" s="129" t="n"/>
      <c r="DS339" s="129" t="n"/>
      <c r="DT339" s="129" t="n"/>
      <c r="DU339" s="129" t="n"/>
      <c r="DV339" s="129" t="n"/>
      <c r="DW339" s="129" t="n"/>
      <c r="DX339" s="129" t="n"/>
      <c r="DY339" s="129" t="n"/>
      <c r="DZ339" s="129" t="n"/>
      <c r="EA339" s="129" t="n"/>
      <c r="EB339" s="129" t="n"/>
      <c r="EC339" s="129" t="n"/>
      <c r="ED339" s="129" t="n"/>
      <c r="EE339" s="129" t="n"/>
      <c r="EF339" s="129" t="n"/>
      <c r="EG339" s="129" t="n"/>
      <c r="EH339" s="129" t="n"/>
      <c r="EI339" s="129" t="n"/>
      <c r="EJ339" s="129" t="n"/>
      <c r="EK339" s="129" t="n"/>
      <c r="EL339" s="129" t="n"/>
      <c r="EM339" s="129" t="n"/>
      <c r="EN339" s="129" t="n"/>
      <c r="EO339" s="129" t="n"/>
      <c r="EP339" s="129" t="n"/>
      <c r="EQ339" s="129" t="n"/>
      <c r="ER339" s="129" t="n"/>
      <c r="ES339" s="129" t="n"/>
      <c r="ET339" s="129" t="n"/>
      <c r="EU339" s="129" t="n"/>
      <c r="EV339" s="129" t="n"/>
      <c r="EW339" s="129" t="n"/>
      <c r="EX339" s="129" t="n"/>
      <c r="EY339" s="129" t="n"/>
      <c r="EZ339" s="129" t="n"/>
      <c r="FA339" s="129" t="n"/>
      <c r="FB339" s="129" t="n"/>
      <c r="FC339" s="129" t="n"/>
      <c r="FD339" s="129" t="n"/>
      <c r="FE339" s="129" t="n"/>
      <c r="FF339" s="129" t="n"/>
      <c r="FG339" s="129" t="n"/>
      <c r="FH339" s="129" t="n"/>
      <c r="FI339" s="129" t="n"/>
      <c r="FJ339" s="129" t="n"/>
      <c r="FK339" s="129" t="n"/>
      <c r="FL339" s="129" t="n"/>
      <c r="FM339" s="129" t="n"/>
    </row>
    <row r="340" s="135">
      <c r="A340" s="53" t="n">
        <v>43434</v>
      </c>
      <c r="B340" s="54" t="n">
        <v>0.054</v>
      </c>
      <c r="C340" s="29" t="n">
        <v>50.2</v>
      </c>
      <c r="D340" s="129" t="n"/>
      <c r="E340" s="129" t="n"/>
      <c r="F340" s="129" t="n"/>
      <c r="G340" s="129" t="n"/>
      <c r="H340" s="129" t="n"/>
      <c r="I340" s="129" t="n"/>
      <c r="J340" s="129" t="n"/>
      <c r="K340" s="129" t="n"/>
      <c r="L340" s="129" t="n"/>
      <c r="M340" s="129" t="n"/>
      <c r="N340" s="129" t="n"/>
      <c r="O340" s="129" t="n"/>
      <c r="P340" s="129" t="n"/>
      <c r="Q340" s="129" t="n"/>
      <c r="R340" s="129" t="n"/>
      <c r="S340" s="129" t="n"/>
      <c r="T340" s="129" t="n"/>
      <c r="U340" s="129" t="n"/>
      <c r="V340" s="129" t="n"/>
      <c r="W340" s="129" t="n"/>
      <c r="X340" s="129" t="n"/>
      <c r="Y340" s="129" t="n"/>
      <c r="Z340" s="129" t="n"/>
      <c r="AA340" s="129" t="n"/>
      <c r="AB340" s="129" t="n"/>
      <c r="AC340" s="129" t="n"/>
      <c r="AD340" s="129" t="n"/>
      <c r="AE340" s="129" t="n"/>
      <c r="AF340" s="129" t="n"/>
      <c r="AG340" s="129" t="n"/>
      <c r="AH340" s="129" t="n"/>
      <c r="AI340" s="129" t="n"/>
      <c r="AJ340" s="129" t="n"/>
      <c r="AK340" s="129" t="n"/>
      <c r="AL340" s="129" t="n"/>
      <c r="AM340" s="129" t="n"/>
      <c r="AN340" s="129" t="n"/>
      <c r="AO340" s="129" t="n"/>
      <c r="AP340" s="129" t="n"/>
      <c r="AQ340" s="129" t="n"/>
      <c r="AR340" s="129" t="n"/>
      <c r="AS340" s="129" t="n"/>
      <c r="AT340" s="129" t="n"/>
      <c r="AU340" s="129" t="n"/>
      <c r="AV340" s="129" t="n"/>
      <c r="AW340" s="129" t="n"/>
      <c r="AX340" s="129" t="n"/>
      <c r="AY340" s="129" t="n"/>
      <c r="AZ340" s="129" t="n"/>
      <c r="BA340" s="129" t="n"/>
      <c r="BB340" s="129" t="n"/>
      <c r="BC340" s="129" t="n"/>
      <c r="BD340" s="129" t="n"/>
      <c r="BE340" s="129" t="n"/>
      <c r="BF340" s="129" t="n"/>
      <c r="BG340" s="129" t="n"/>
      <c r="BH340" s="129" t="n"/>
      <c r="BI340" s="129" t="n"/>
      <c r="BJ340" s="129" t="n"/>
      <c r="BK340" s="129" t="n"/>
      <c r="BL340" s="129" t="n"/>
      <c r="BM340" s="129" t="n"/>
      <c r="BN340" s="129" t="n"/>
      <c r="BO340" s="129" t="n"/>
      <c r="BP340" s="129" t="n"/>
      <c r="BQ340" s="129" t="n"/>
      <c r="BR340" s="129" t="n"/>
      <c r="BS340" s="129" t="n"/>
      <c r="BT340" s="129" t="n"/>
      <c r="BU340" s="129" t="n"/>
      <c r="BV340" s="129" t="n"/>
      <c r="BW340" s="129" t="n"/>
      <c r="BX340" s="129" t="n"/>
      <c r="BY340" s="129" t="n"/>
      <c r="BZ340" s="129" t="n"/>
      <c r="CA340" s="129" t="n"/>
      <c r="CB340" s="129" t="n"/>
      <c r="CC340" s="129" t="n"/>
      <c r="CD340" s="129" t="n"/>
      <c r="CE340" s="129" t="n"/>
      <c r="CF340" s="129" t="n"/>
      <c r="CG340" s="129" t="n"/>
      <c r="CH340" s="129" t="n"/>
      <c r="CI340" s="129" t="n"/>
      <c r="CJ340" s="129" t="n"/>
      <c r="CK340" s="129" t="n"/>
      <c r="CL340" s="129" t="n"/>
      <c r="CM340" s="129" t="n"/>
      <c r="CN340" s="129" t="n"/>
      <c r="CO340" s="129" t="n"/>
      <c r="CP340" s="129" t="n"/>
      <c r="CQ340" s="129" t="n"/>
      <c r="CR340" s="129" t="n"/>
      <c r="CS340" s="129" t="n"/>
      <c r="CT340" s="129" t="n"/>
      <c r="CU340" s="129" t="n"/>
      <c r="CV340" s="129" t="n"/>
      <c r="CW340" s="129" t="n"/>
      <c r="CX340" s="129" t="n"/>
      <c r="CY340" s="129" t="n"/>
      <c r="CZ340" s="129" t="n"/>
      <c r="DA340" s="129" t="n"/>
      <c r="DB340" s="129" t="n"/>
      <c r="DC340" s="129" t="n"/>
      <c r="DD340" s="129" t="n"/>
      <c r="DE340" s="129" t="n"/>
      <c r="DF340" s="129" t="n"/>
      <c r="DG340" s="129" t="n"/>
      <c r="DH340" s="129" t="n"/>
      <c r="DI340" s="129" t="n"/>
      <c r="DJ340" s="129" t="n"/>
      <c r="DK340" s="129" t="n"/>
      <c r="DL340" s="129" t="n"/>
      <c r="DM340" s="129" t="n"/>
      <c r="DN340" s="129" t="n"/>
      <c r="DO340" s="129" t="n"/>
      <c r="DP340" s="129" t="n"/>
      <c r="DQ340" s="129" t="n"/>
      <c r="DR340" s="129" t="n"/>
      <c r="DS340" s="129" t="n"/>
      <c r="DT340" s="129" t="n"/>
      <c r="DU340" s="129" t="n"/>
      <c r="DV340" s="129" t="n"/>
      <c r="DW340" s="129" t="n"/>
      <c r="DX340" s="129" t="n"/>
      <c r="DY340" s="129" t="n"/>
      <c r="DZ340" s="129" t="n"/>
      <c r="EA340" s="129" t="n"/>
      <c r="EB340" s="129" t="n"/>
      <c r="EC340" s="129" t="n"/>
      <c r="ED340" s="129" t="n"/>
      <c r="EE340" s="129" t="n"/>
      <c r="EF340" s="129" t="n"/>
      <c r="EG340" s="129" t="n"/>
      <c r="EH340" s="129" t="n"/>
      <c r="EI340" s="129" t="n"/>
      <c r="EJ340" s="129" t="n"/>
      <c r="EK340" s="129" t="n"/>
      <c r="EL340" s="129" t="n"/>
      <c r="EM340" s="129" t="n"/>
      <c r="EN340" s="129" t="n"/>
      <c r="EO340" s="129" t="n"/>
      <c r="EP340" s="129" t="n"/>
      <c r="EQ340" s="129" t="n"/>
      <c r="ER340" s="129" t="n"/>
      <c r="ES340" s="129" t="n"/>
      <c r="ET340" s="129" t="n"/>
      <c r="EU340" s="129" t="n"/>
      <c r="EV340" s="129" t="n"/>
      <c r="EW340" s="129" t="n"/>
      <c r="EX340" s="129" t="n"/>
      <c r="EY340" s="129" t="n"/>
      <c r="EZ340" s="129" t="n"/>
      <c r="FA340" s="129" t="n"/>
      <c r="FB340" s="129" t="n"/>
      <c r="FC340" s="129" t="n"/>
      <c r="FD340" s="129" t="n"/>
      <c r="FE340" s="129" t="n"/>
      <c r="FF340" s="129" t="n"/>
      <c r="FG340" s="129" t="n"/>
      <c r="FH340" s="129" t="n"/>
      <c r="FI340" s="129" t="n"/>
      <c r="FJ340" s="129" t="n"/>
      <c r="FK340" s="129" t="n"/>
      <c r="FL340" s="129" t="n"/>
      <c r="FM340" s="129" t="n"/>
    </row>
    <row r="341" s="135">
      <c r="A341" s="52" t="n">
        <v>43465</v>
      </c>
      <c r="B341" s="30" t="n">
        <v>0.057</v>
      </c>
      <c r="C341" s="29" t="n">
        <v>49.7</v>
      </c>
      <c r="D341" s="129" t="n"/>
      <c r="E341" s="129" t="n"/>
      <c r="F341" s="129" t="n"/>
      <c r="G341" s="129" t="n"/>
      <c r="H341" s="129" t="n"/>
      <c r="I341" s="129" t="n"/>
      <c r="J341" s="129" t="n"/>
      <c r="K341" s="129" t="n"/>
      <c r="L341" s="129" t="n"/>
      <c r="M341" s="129" t="n"/>
      <c r="N341" s="129" t="n"/>
      <c r="O341" s="129" t="n"/>
      <c r="P341" s="129" t="n"/>
      <c r="Q341" s="129" t="n"/>
      <c r="R341" s="129" t="n"/>
      <c r="S341" s="129" t="n"/>
      <c r="T341" s="129" t="n"/>
      <c r="U341" s="129" t="n"/>
      <c r="V341" s="129" t="n"/>
      <c r="W341" s="129" t="n"/>
      <c r="X341" s="129" t="n"/>
      <c r="Y341" s="129" t="n"/>
      <c r="Z341" s="129" t="n"/>
      <c r="AA341" s="129" t="n"/>
      <c r="AB341" s="129" t="n"/>
      <c r="AC341" s="129" t="n"/>
      <c r="AD341" s="129" t="n"/>
      <c r="AE341" s="129" t="n"/>
      <c r="AF341" s="129" t="n"/>
      <c r="AG341" s="129" t="n"/>
      <c r="AH341" s="129" t="n"/>
      <c r="AI341" s="129" t="n"/>
      <c r="AJ341" s="129" t="n"/>
      <c r="AK341" s="129" t="n"/>
      <c r="AL341" s="129" t="n"/>
      <c r="AM341" s="129" t="n"/>
      <c r="AN341" s="129" t="n"/>
      <c r="AO341" s="129" t="n"/>
      <c r="AP341" s="129" t="n"/>
      <c r="AQ341" s="129" t="n"/>
      <c r="AR341" s="129" t="n"/>
      <c r="AS341" s="129" t="n"/>
      <c r="AT341" s="129" t="n"/>
      <c r="AU341" s="129" t="n"/>
      <c r="AV341" s="129" t="n"/>
      <c r="AW341" s="129" t="n"/>
      <c r="AX341" s="129" t="n"/>
      <c r="AY341" s="129" t="n"/>
      <c r="AZ341" s="129" t="n"/>
      <c r="BA341" s="129" t="n"/>
      <c r="BB341" s="129" t="n"/>
      <c r="BC341" s="129" t="n"/>
      <c r="BD341" s="129" t="n"/>
      <c r="BE341" s="129" t="n"/>
      <c r="BF341" s="129" t="n"/>
      <c r="BG341" s="129" t="n"/>
      <c r="BH341" s="129" t="n"/>
      <c r="BI341" s="129" t="n"/>
      <c r="BJ341" s="129" t="n"/>
      <c r="BK341" s="129" t="n"/>
      <c r="BL341" s="129" t="n"/>
      <c r="BM341" s="129" t="n"/>
      <c r="BN341" s="129" t="n"/>
      <c r="BO341" s="129" t="n"/>
      <c r="BP341" s="129" t="n"/>
      <c r="BQ341" s="129" t="n"/>
      <c r="BR341" s="129" t="n"/>
      <c r="BS341" s="129" t="n"/>
      <c r="BT341" s="129" t="n"/>
      <c r="BU341" s="129" t="n"/>
      <c r="BV341" s="129" t="n"/>
      <c r="BW341" s="129" t="n"/>
      <c r="BX341" s="129" t="n"/>
      <c r="BY341" s="129" t="n"/>
      <c r="BZ341" s="129" t="n"/>
      <c r="CA341" s="129" t="n"/>
      <c r="CB341" s="129" t="n"/>
      <c r="CC341" s="129" t="n"/>
      <c r="CD341" s="129" t="n"/>
      <c r="CE341" s="129" t="n"/>
      <c r="CF341" s="129" t="n"/>
      <c r="CG341" s="129" t="n"/>
      <c r="CH341" s="129" t="n"/>
      <c r="CI341" s="129" t="n"/>
      <c r="CJ341" s="129" t="n"/>
      <c r="CK341" s="129" t="n"/>
      <c r="CL341" s="129" t="n"/>
      <c r="CM341" s="129" t="n"/>
      <c r="CN341" s="129" t="n"/>
      <c r="CO341" s="129" t="n"/>
      <c r="CP341" s="129" t="n"/>
      <c r="CQ341" s="129" t="n"/>
      <c r="CR341" s="129" t="n"/>
      <c r="CS341" s="129" t="n"/>
      <c r="CT341" s="129" t="n"/>
      <c r="CU341" s="129" t="n"/>
      <c r="CV341" s="129" t="n"/>
      <c r="CW341" s="129" t="n"/>
      <c r="CX341" s="129" t="n"/>
      <c r="CY341" s="129" t="n"/>
      <c r="CZ341" s="129" t="n"/>
      <c r="DA341" s="129" t="n"/>
      <c r="DB341" s="129" t="n"/>
      <c r="DC341" s="129" t="n"/>
      <c r="DD341" s="129" t="n"/>
      <c r="DE341" s="129" t="n"/>
      <c r="DF341" s="129" t="n"/>
      <c r="DG341" s="129" t="n"/>
      <c r="DH341" s="129" t="n"/>
      <c r="DI341" s="129" t="n"/>
      <c r="DJ341" s="129" t="n"/>
      <c r="DK341" s="129" t="n"/>
      <c r="DL341" s="129" t="n"/>
      <c r="DM341" s="129" t="n"/>
      <c r="DN341" s="129" t="n"/>
      <c r="DO341" s="129" t="n"/>
      <c r="DP341" s="129" t="n"/>
      <c r="DQ341" s="129" t="n"/>
      <c r="DR341" s="129" t="n"/>
      <c r="DS341" s="129" t="n"/>
      <c r="DT341" s="129" t="n"/>
      <c r="DU341" s="129" t="n"/>
      <c r="DV341" s="129" t="n"/>
      <c r="DW341" s="129" t="n"/>
      <c r="DX341" s="129" t="n"/>
      <c r="DY341" s="129" t="n"/>
      <c r="DZ341" s="129" t="n"/>
      <c r="EA341" s="129" t="n"/>
      <c r="EB341" s="129" t="n"/>
      <c r="EC341" s="129" t="n"/>
      <c r="ED341" s="129" t="n"/>
      <c r="EE341" s="129" t="n"/>
      <c r="EF341" s="129" t="n"/>
      <c r="EG341" s="129" t="n"/>
      <c r="EH341" s="129" t="n"/>
      <c r="EI341" s="129" t="n"/>
      <c r="EJ341" s="129" t="n"/>
      <c r="EK341" s="129" t="n"/>
      <c r="EL341" s="129" t="n"/>
      <c r="EM341" s="129" t="n"/>
      <c r="EN341" s="129" t="n"/>
      <c r="EO341" s="129" t="n"/>
      <c r="EP341" s="129" t="n"/>
      <c r="EQ341" s="129" t="n"/>
      <c r="ER341" s="129" t="n"/>
      <c r="ES341" s="129" t="n"/>
      <c r="ET341" s="129" t="n"/>
      <c r="EU341" s="129" t="n"/>
      <c r="EV341" s="129" t="n"/>
      <c r="EW341" s="129" t="n"/>
      <c r="EX341" s="129" t="n"/>
      <c r="EY341" s="129" t="n"/>
      <c r="EZ341" s="129" t="n"/>
      <c r="FA341" s="129" t="n"/>
      <c r="FB341" s="129" t="n"/>
      <c r="FC341" s="129" t="n"/>
      <c r="FD341" s="129" t="n"/>
      <c r="FE341" s="129" t="n"/>
      <c r="FF341" s="129" t="n"/>
      <c r="FG341" s="129" t="n"/>
      <c r="FH341" s="129" t="n"/>
      <c r="FI341" s="129" t="n"/>
      <c r="FJ341" s="129" t="n"/>
      <c r="FK341" s="129" t="n"/>
      <c r="FL341" s="129" t="n"/>
      <c r="FM341" s="129" t="n"/>
    </row>
    <row r="342" s="135">
      <c r="A342" s="53" t="n">
        <v>43496</v>
      </c>
      <c r="B342" s="54" t="n">
        <v>0.053</v>
      </c>
      <c r="C342" s="29" t="n">
        <v>48.3</v>
      </c>
      <c r="D342" s="129" t="n"/>
      <c r="E342" s="129" t="n"/>
      <c r="F342" s="129" t="n"/>
      <c r="G342" s="129" t="n"/>
      <c r="H342" s="129" t="n"/>
      <c r="I342" s="129" t="n"/>
      <c r="J342" s="129" t="n"/>
      <c r="K342" s="129" t="n"/>
      <c r="L342" s="129" t="n"/>
      <c r="M342" s="129" t="n"/>
      <c r="N342" s="129" t="n"/>
      <c r="O342" s="129" t="n"/>
      <c r="P342" s="129" t="n"/>
      <c r="Q342" s="129" t="n"/>
      <c r="R342" s="129" t="n"/>
      <c r="S342" s="129" t="n"/>
      <c r="T342" s="129" t="n"/>
      <c r="U342" s="129" t="n"/>
      <c r="V342" s="129" t="n"/>
      <c r="W342" s="129" t="n"/>
      <c r="X342" s="129" t="n"/>
      <c r="Y342" s="129" t="n"/>
      <c r="Z342" s="129" t="n"/>
      <c r="AA342" s="129" t="n"/>
      <c r="AB342" s="129" t="n"/>
      <c r="AC342" s="129" t="n"/>
      <c r="AD342" s="129" t="n"/>
      <c r="AE342" s="129" t="n"/>
      <c r="AF342" s="129" t="n"/>
      <c r="AG342" s="129" t="n"/>
      <c r="AH342" s="129" t="n"/>
      <c r="AI342" s="129" t="n"/>
      <c r="AJ342" s="129" t="n"/>
      <c r="AK342" s="129" t="n"/>
      <c r="AL342" s="129" t="n"/>
      <c r="AM342" s="129" t="n"/>
      <c r="AN342" s="129" t="n"/>
      <c r="AO342" s="129" t="n"/>
      <c r="AP342" s="129" t="n"/>
      <c r="AQ342" s="129" t="n"/>
      <c r="AR342" s="129" t="n"/>
      <c r="AS342" s="129" t="n"/>
      <c r="AT342" s="129" t="n"/>
      <c r="AU342" s="129" t="n"/>
      <c r="AV342" s="129" t="n"/>
      <c r="AW342" s="129" t="n"/>
      <c r="AX342" s="129" t="n"/>
      <c r="AY342" s="129" t="n"/>
      <c r="AZ342" s="129" t="n"/>
      <c r="BA342" s="129" t="n"/>
      <c r="BB342" s="129" t="n"/>
      <c r="BC342" s="129" t="n"/>
      <c r="BD342" s="129" t="n"/>
      <c r="BE342" s="129" t="n"/>
      <c r="BF342" s="129" t="n"/>
      <c r="BG342" s="129" t="n"/>
      <c r="BH342" s="129" t="n"/>
      <c r="BI342" s="129" t="n"/>
      <c r="BJ342" s="129" t="n"/>
      <c r="BK342" s="129" t="n"/>
      <c r="BL342" s="129" t="n"/>
      <c r="BM342" s="129" t="n"/>
      <c r="BN342" s="129" t="n"/>
      <c r="BO342" s="129" t="n"/>
      <c r="BP342" s="129" t="n"/>
      <c r="BQ342" s="129" t="n"/>
      <c r="BR342" s="129" t="n"/>
      <c r="BS342" s="129" t="n"/>
      <c r="BT342" s="129" t="n"/>
      <c r="BU342" s="129" t="n"/>
      <c r="BV342" s="129" t="n"/>
      <c r="BW342" s="129" t="n"/>
      <c r="BX342" s="129" t="n"/>
      <c r="BY342" s="129" t="n"/>
      <c r="BZ342" s="129" t="n"/>
      <c r="CA342" s="129" t="n"/>
      <c r="CB342" s="129" t="n"/>
      <c r="CC342" s="129" t="n"/>
      <c r="CD342" s="129" t="n"/>
      <c r="CE342" s="129" t="n"/>
      <c r="CF342" s="129" t="n"/>
      <c r="CG342" s="129" t="n"/>
      <c r="CH342" s="129" t="n"/>
      <c r="CI342" s="129" t="n"/>
      <c r="CJ342" s="129" t="n"/>
      <c r="CK342" s="129" t="n"/>
      <c r="CL342" s="129" t="n"/>
      <c r="CM342" s="129" t="n"/>
      <c r="CN342" s="129" t="n"/>
      <c r="CO342" s="129" t="n"/>
      <c r="CP342" s="129" t="n"/>
      <c r="CQ342" s="129" t="n"/>
      <c r="CR342" s="129" t="n"/>
      <c r="CS342" s="129" t="n"/>
      <c r="CT342" s="129" t="n"/>
      <c r="CU342" s="129" t="n"/>
      <c r="CV342" s="129" t="n"/>
      <c r="CW342" s="129" t="n"/>
      <c r="CX342" s="129" t="n"/>
      <c r="CY342" s="129" t="n"/>
      <c r="CZ342" s="129" t="n"/>
      <c r="DA342" s="129" t="n"/>
      <c r="DB342" s="129" t="n"/>
      <c r="DC342" s="129" t="n"/>
      <c r="DD342" s="129" t="n"/>
      <c r="DE342" s="129" t="n"/>
      <c r="DF342" s="129" t="n"/>
      <c r="DG342" s="129" t="n"/>
      <c r="DH342" s="129" t="n"/>
      <c r="DI342" s="129" t="n"/>
      <c r="DJ342" s="129" t="n"/>
      <c r="DK342" s="129" t="n"/>
      <c r="DL342" s="129" t="n"/>
      <c r="DM342" s="129" t="n"/>
      <c r="DN342" s="129" t="n"/>
      <c r="DO342" s="129" t="n"/>
      <c r="DP342" s="129" t="n"/>
      <c r="DQ342" s="129" t="n"/>
      <c r="DR342" s="129" t="n"/>
      <c r="DS342" s="129" t="n"/>
      <c r="DT342" s="129" t="n"/>
      <c r="DU342" s="129" t="n"/>
      <c r="DV342" s="129" t="n"/>
      <c r="DW342" s="129" t="n"/>
      <c r="DX342" s="129" t="n"/>
      <c r="DY342" s="129" t="n"/>
      <c r="DZ342" s="129" t="n"/>
      <c r="EA342" s="129" t="n"/>
      <c r="EB342" s="129" t="n"/>
      <c r="EC342" s="129" t="n"/>
      <c r="ED342" s="129" t="n"/>
      <c r="EE342" s="129" t="n"/>
      <c r="EF342" s="129" t="n"/>
      <c r="EG342" s="129" t="n"/>
      <c r="EH342" s="129" t="n"/>
      <c r="EI342" s="129" t="n"/>
      <c r="EJ342" s="129" t="n"/>
      <c r="EK342" s="129" t="n"/>
      <c r="EL342" s="129" t="n"/>
      <c r="EM342" s="129" t="n"/>
      <c r="EN342" s="129" t="n"/>
      <c r="EO342" s="129" t="n"/>
      <c r="EP342" s="129" t="n"/>
      <c r="EQ342" s="129" t="n"/>
      <c r="ER342" s="129" t="n"/>
      <c r="ES342" s="129" t="n"/>
      <c r="ET342" s="129" t="n"/>
      <c r="EU342" s="129" t="n"/>
      <c r="EV342" s="129" t="n"/>
      <c r="EW342" s="129" t="n"/>
      <c r="EX342" s="129" t="n"/>
      <c r="EY342" s="129" t="n"/>
      <c r="EZ342" s="129" t="n"/>
      <c r="FA342" s="129" t="n"/>
      <c r="FB342" s="129" t="n"/>
      <c r="FC342" s="129" t="n"/>
      <c r="FD342" s="129" t="n"/>
      <c r="FE342" s="129" t="n"/>
      <c r="FF342" s="129" t="n"/>
      <c r="FG342" s="129" t="n"/>
      <c r="FH342" s="129" t="n"/>
      <c r="FI342" s="129" t="n"/>
      <c r="FJ342" s="129" t="n"/>
      <c r="FK342" s="129" t="n"/>
      <c r="FL342" s="129" t="n"/>
      <c r="FM342" s="129" t="n"/>
    </row>
    <row r="343" s="135">
      <c r="A343" s="52" t="n">
        <v>43524</v>
      </c>
      <c r="B343" s="30" t="n">
        <v>0.08500000000000001</v>
      </c>
      <c r="C343" s="29" t="n">
        <v>49.9</v>
      </c>
      <c r="D343" s="129" t="n"/>
      <c r="E343" s="129" t="n"/>
      <c r="F343" s="129" t="n"/>
      <c r="G343" s="129" t="n"/>
      <c r="H343" s="129" t="n"/>
      <c r="I343" s="129" t="n"/>
      <c r="J343" s="129" t="n"/>
      <c r="K343" s="129" t="n"/>
      <c r="L343" s="129" t="n"/>
      <c r="M343" s="129" t="n"/>
      <c r="N343" s="129" t="n"/>
      <c r="O343" s="129" t="n"/>
      <c r="P343" s="129" t="n"/>
      <c r="Q343" s="129" t="n"/>
      <c r="R343" s="129" t="n"/>
      <c r="S343" s="129" t="n"/>
      <c r="T343" s="129" t="n"/>
      <c r="U343" s="129" t="n"/>
      <c r="V343" s="129" t="n"/>
      <c r="W343" s="129" t="n"/>
      <c r="X343" s="129" t="n"/>
      <c r="Y343" s="129" t="n"/>
      <c r="Z343" s="129" t="n"/>
      <c r="AA343" s="129" t="n"/>
      <c r="AB343" s="129" t="n"/>
      <c r="AC343" s="129" t="n"/>
      <c r="AD343" s="129" t="n"/>
      <c r="AE343" s="129" t="n"/>
      <c r="AF343" s="129" t="n"/>
      <c r="AG343" s="129" t="n"/>
      <c r="AH343" s="129" t="n"/>
      <c r="AI343" s="129" t="n"/>
      <c r="AJ343" s="129" t="n"/>
      <c r="AK343" s="129" t="n"/>
      <c r="AL343" s="129" t="n"/>
      <c r="AM343" s="129" t="n"/>
      <c r="AN343" s="129" t="n"/>
      <c r="AO343" s="129" t="n"/>
      <c r="AP343" s="129" t="n"/>
      <c r="AQ343" s="129" t="n"/>
      <c r="AR343" s="129" t="n"/>
      <c r="AS343" s="129" t="n"/>
      <c r="AT343" s="129" t="n"/>
      <c r="AU343" s="129" t="n"/>
      <c r="AV343" s="129" t="n"/>
      <c r="AW343" s="129" t="n"/>
      <c r="AX343" s="129" t="n"/>
      <c r="AY343" s="129" t="n"/>
      <c r="AZ343" s="129" t="n"/>
      <c r="BA343" s="129" t="n"/>
      <c r="BB343" s="129" t="n"/>
      <c r="BC343" s="129" t="n"/>
      <c r="BD343" s="129" t="n"/>
      <c r="BE343" s="129" t="n"/>
      <c r="BF343" s="129" t="n"/>
      <c r="BG343" s="129" t="n"/>
      <c r="BH343" s="129" t="n"/>
      <c r="BI343" s="129" t="n"/>
      <c r="BJ343" s="129" t="n"/>
      <c r="BK343" s="129" t="n"/>
      <c r="BL343" s="129" t="n"/>
      <c r="BM343" s="129" t="n"/>
      <c r="BN343" s="129" t="n"/>
      <c r="BO343" s="129" t="n"/>
      <c r="BP343" s="129" t="n"/>
      <c r="BQ343" s="129" t="n"/>
      <c r="BR343" s="129" t="n"/>
      <c r="BS343" s="129" t="n"/>
      <c r="BT343" s="129" t="n"/>
      <c r="BU343" s="129" t="n"/>
      <c r="BV343" s="129" t="n"/>
      <c r="BW343" s="129" t="n"/>
      <c r="BX343" s="129" t="n"/>
      <c r="BY343" s="129" t="n"/>
      <c r="BZ343" s="129" t="n"/>
      <c r="CA343" s="129" t="n"/>
      <c r="CB343" s="129" t="n"/>
      <c r="CC343" s="129" t="n"/>
      <c r="CD343" s="129" t="n"/>
      <c r="CE343" s="129" t="n"/>
      <c r="CF343" s="129" t="n"/>
      <c r="CG343" s="129" t="n"/>
      <c r="CH343" s="129" t="n"/>
      <c r="CI343" s="129" t="n"/>
      <c r="CJ343" s="129" t="n"/>
      <c r="CK343" s="129" t="n"/>
      <c r="CL343" s="129" t="n"/>
      <c r="CM343" s="129" t="n"/>
      <c r="CN343" s="129" t="n"/>
      <c r="CO343" s="129" t="n"/>
      <c r="CP343" s="129" t="n"/>
      <c r="CQ343" s="129" t="n"/>
      <c r="CR343" s="129" t="n"/>
      <c r="CS343" s="129" t="n"/>
      <c r="CT343" s="129" t="n"/>
      <c r="CU343" s="129" t="n"/>
      <c r="CV343" s="129" t="n"/>
      <c r="CW343" s="129" t="n"/>
      <c r="CX343" s="129" t="n"/>
      <c r="CY343" s="129" t="n"/>
      <c r="CZ343" s="129" t="n"/>
      <c r="DA343" s="129" t="n"/>
      <c r="DB343" s="129" t="n"/>
      <c r="DC343" s="129" t="n"/>
      <c r="DD343" s="129" t="n"/>
      <c r="DE343" s="129" t="n"/>
      <c r="DF343" s="129" t="n"/>
      <c r="DG343" s="129" t="n"/>
      <c r="DH343" s="129" t="n"/>
      <c r="DI343" s="129" t="n"/>
      <c r="DJ343" s="129" t="n"/>
      <c r="DK343" s="129" t="n"/>
      <c r="DL343" s="129" t="n"/>
      <c r="DM343" s="129" t="n"/>
      <c r="DN343" s="129" t="n"/>
      <c r="DO343" s="129" t="n"/>
      <c r="DP343" s="129" t="n"/>
      <c r="DQ343" s="129" t="n"/>
      <c r="DR343" s="129" t="n"/>
      <c r="DS343" s="129" t="n"/>
      <c r="DT343" s="129" t="n"/>
      <c r="DU343" s="129" t="n"/>
      <c r="DV343" s="129" t="n"/>
      <c r="DW343" s="129" t="n"/>
      <c r="DX343" s="129" t="n"/>
      <c r="DY343" s="129" t="n"/>
      <c r="DZ343" s="129" t="n"/>
      <c r="EA343" s="129" t="n"/>
      <c r="EB343" s="129" t="n"/>
      <c r="EC343" s="129" t="n"/>
      <c r="ED343" s="129" t="n"/>
      <c r="EE343" s="129" t="n"/>
      <c r="EF343" s="129" t="n"/>
      <c r="EG343" s="129" t="n"/>
      <c r="EH343" s="129" t="n"/>
      <c r="EI343" s="129" t="n"/>
      <c r="EJ343" s="129" t="n"/>
      <c r="EK343" s="129" t="n"/>
      <c r="EL343" s="129" t="n"/>
      <c r="EM343" s="129" t="n"/>
      <c r="EN343" s="129" t="n"/>
      <c r="EO343" s="129" t="n"/>
      <c r="EP343" s="129" t="n"/>
      <c r="EQ343" s="129" t="n"/>
      <c r="ER343" s="129" t="n"/>
      <c r="ES343" s="129" t="n"/>
      <c r="ET343" s="129" t="n"/>
      <c r="EU343" s="129" t="n"/>
      <c r="EV343" s="129" t="n"/>
      <c r="EW343" s="129" t="n"/>
      <c r="EX343" s="129" t="n"/>
      <c r="EY343" s="129" t="n"/>
      <c r="EZ343" s="129" t="n"/>
      <c r="FA343" s="129" t="n"/>
      <c r="FB343" s="129" t="n"/>
      <c r="FC343" s="129" t="n"/>
      <c r="FD343" s="129" t="n"/>
      <c r="FE343" s="129" t="n"/>
      <c r="FF343" s="129" t="n"/>
      <c r="FG343" s="129" t="n"/>
      <c r="FH343" s="129" t="n"/>
      <c r="FI343" s="129" t="n"/>
      <c r="FJ343" s="129" t="n"/>
      <c r="FK343" s="129" t="n"/>
      <c r="FL343" s="129" t="n"/>
      <c r="FM343" s="129" t="n"/>
    </row>
    <row r="344" s="135">
      <c r="A344" s="53" t="n">
        <v>43555</v>
      </c>
      <c r="B344" s="54" t="n">
        <v>0.054</v>
      </c>
      <c r="C344" s="29" t="n">
        <v>50.8</v>
      </c>
      <c r="D344" s="129" t="n"/>
      <c r="E344" s="129" t="n"/>
      <c r="F344" s="129" t="n"/>
      <c r="G344" s="129" t="n"/>
      <c r="H344" s="129" t="n"/>
      <c r="I344" s="129" t="n"/>
      <c r="J344" s="129" t="n"/>
      <c r="K344" s="129" t="n"/>
      <c r="L344" s="129" t="n"/>
      <c r="M344" s="129" t="n"/>
      <c r="N344" s="129" t="n"/>
      <c r="O344" s="129" t="n"/>
      <c r="P344" s="129" t="n"/>
      <c r="Q344" s="129" t="n"/>
      <c r="R344" s="129" t="n"/>
      <c r="S344" s="129" t="n"/>
      <c r="T344" s="129" t="n"/>
      <c r="U344" s="129" t="n"/>
      <c r="V344" s="129" t="n"/>
      <c r="W344" s="129" t="n"/>
      <c r="X344" s="129" t="n"/>
      <c r="Y344" s="129" t="n"/>
      <c r="Z344" s="129" t="n"/>
      <c r="AA344" s="129" t="n"/>
      <c r="AB344" s="129" t="n"/>
      <c r="AC344" s="129" t="n"/>
      <c r="AD344" s="129" t="n"/>
      <c r="AE344" s="129" t="n"/>
      <c r="AF344" s="129" t="n"/>
      <c r="AG344" s="129" t="n"/>
      <c r="AH344" s="129" t="n"/>
      <c r="AI344" s="129" t="n"/>
      <c r="AJ344" s="129" t="n"/>
      <c r="AK344" s="129" t="n"/>
      <c r="AL344" s="129" t="n"/>
      <c r="AM344" s="129" t="n"/>
      <c r="AN344" s="129" t="n"/>
      <c r="AO344" s="129" t="n"/>
      <c r="AP344" s="129" t="n"/>
      <c r="AQ344" s="129" t="n"/>
      <c r="AR344" s="129" t="n"/>
      <c r="AS344" s="129" t="n"/>
      <c r="AT344" s="129" t="n"/>
      <c r="AU344" s="129" t="n"/>
      <c r="AV344" s="129" t="n"/>
      <c r="AW344" s="129" t="n"/>
      <c r="AX344" s="129" t="n"/>
      <c r="AY344" s="129" t="n"/>
      <c r="AZ344" s="129" t="n"/>
      <c r="BA344" s="129" t="n"/>
      <c r="BB344" s="129" t="n"/>
      <c r="BC344" s="129" t="n"/>
      <c r="BD344" s="129" t="n"/>
      <c r="BE344" s="129" t="n"/>
      <c r="BF344" s="129" t="n"/>
      <c r="BG344" s="129" t="n"/>
      <c r="BH344" s="129" t="n"/>
      <c r="BI344" s="129" t="n"/>
      <c r="BJ344" s="129" t="n"/>
      <c r="BK344" s="129" t="n"/>
      <c r="BL344" s="129" t="n"/>
      <c r="BM344" s="129" t="n"/>
      <c r="BN344" s="129" t="n"/>
      <c r="BO344" s="129" t="n"/>
      <c r="BP344" s="129" t="n"/>
      <c r="BQ344" s="129" t="n"/>
      <c r="BR344" s="129" t="n"/>
      <c r="BS344" s="129" t="n"/>
      <c r="BT344" s="129" t="n"/>
      <c r="BU344" s="129" t="n"/>
      <c r="BV344" s="129" t="n"/>
      <c r="BW344" s="129" t="n"/>
      <c r="BX344" s="129" t="n"/>
      <c r="BY344" s="129" t="n"/>
      <c r="BZ344" s="129" t="n"/>
      <c r="CA344" s="129" t="n"/>
      <c r="CB344" s="129" t="n"/>
      <c r="CC344" s="129" t="n"/>
      <c r="CD344" s="129" t="n"/>
      <c r="CE344" s="129" t="n"/>
      <c r="CF344" s="129" t="n"/>
      <c r="CG344" s="129" t="n"/>
      <c r="CH344" s="129" t="n"/>
      <c r="CI344" s="129" t="n"/>
      <c r="CJ344" s="129" t="n"/>
      <c r="CK344" s="129" t="n"/>
      <c r="CL344" s="129" t="n"/>
      <c r="CM344" s="129" t="n"/>
      <c r="CN344" s="129" t="n"/>
      <c r="CO344" s="129" t="n"/>
      <c r="CP344" s="129" t="n"/>
      <c r="CQ344" s="129" t="n"/>
      <c r="CR344" s="129" t="n"/>
      <c r="CS344" s="129" t="n"/>
      <c r="CT344" s="129" t="n"/>
      <c r="CU344" s="129" t="n"/>
      <c r="CV344" s="129" t="n"/>
      <c r="CW344" s="129" t="n"/>
      <c r="CX344" s="129" t="n"/>
      <c r="CY344" s="129" t="n"/>
      <c r="CZ344" s="129" t="n"/>
      <c r="DA344" s="129" t="n"/>
      <c r="DB344" s="129" t="n"/>
      <c r="DC344" s="129" t="n"/>
      <c r="DD344" s="129" t="n"/>
      <c r="DE344" s="129" t="n"/>
      <c r="DF344" s="129" t="n"/>
      <c r="DG344" s="129" t="n"/>
      <c r="DH344" s="129" t="n"/>
      <c r="DI344" s="129" t="n"/>
      <c r="DJ344" s="129" t="n"/>
      <c r="DK344" s="129" t="n"/>
      <c r="DL344" s="129" t="n"/>
      <c r="DM344" s="129" t="n"/>
      <c r="DN344" s="129" t="n"/>
      <c r="DO344" s="129" t="n"/>
      <c r="DP344" s="129" t="n"/>
      <c r="DQ344" s="129" t="n"/>
      <c r="DR344" s="129" t="n"/>
      <c r="DS344" s="129" t="n"/>
      <c r="DT344" s="129" t="n"/>
      <c r="DU344" s="129" t="n"/>
      <c r="DV344" s="129" t="n"/>
      <c r="DW344" s="129" t="n"/>
      <c r="DX344" s="129" t="n"/>
      <c r="DY344" s="129" t="n"/>
      <c r="DZ344" s="129" t="n"/>
      <c r="EA344" s="129" t="n"/>
      <c r="EB344" s="129" t="n"/>
      <c r="EC344" s="129" t="n"/>
      <c r="ED344" s="129" t="n"/>
      <c r="EE344" s="129" t="n"/>
      <c r="EF344" s="129" t="n"/>
      <c r="EG344" s="129" t="n"/>
      <c r="EH344" s="129" t="n"/>
      <c r="EI344" s="129" t="n"/>
      <c r="EJ344" s="129" t="n"/>
      <c r="EK344" s="129" t="n"/>
      <c r="EL344" s="129" t="n"/>
      <c r="EM344" s="129" t="n"/>
      <c r="EN344" s="129" t="n"/>
      <c r="EO344" s="129" t="n"/>
      <c r="EP344" s="129" t="n"/>
      <c r="EQ344" s="129" t="n"/>
      <c r="ER344" s="129" t="n"/>
      <c r="ES344" s="129" t="n"/>
      <c r="ET344" s="129" t="n"/>
      <c r="EU344" s="129" t="n"/>
      <c r="EV344" s="129" t="n"/>
      <c r="EW344" s="129" t="n"/>
      <c r="EX344" s="129" t="n"/>
      <c r="EY344" s="129" t="n"/>
      <c r="EZ344" s="129" t="n"/>
      <c r="FA344" s="129" t="n"/>
      <c r="FB344" s="129" t="n"/>
      <c r="FC344" s="129" t="n"/>
      <c r="FD344" s="129" t="n"/>
      <c r="FE344" s="129" t="n"/>
      <c r="FF344" s="129" t="n"/>
      <c r="FG344" s="129" t="n"/>
      <c r="FH344" s="129" t="n"/>
      <c r="FI344" s="129" t="n"/>
      <c r="FJ344" s="129" t="n"/>
      <c r="FK344" s="129" t="n"/>
      <c r="FL344" s="129" t="n"/>
      <c r="FM344" s="129" t="n"/>
    </row>
    <row r="345" s="135">
      <c r="A345" s="53" t="n">
        <v>43585</v>
      </c>
      <c r="B345" s="54" t="n">
        <v>0.054</v>
      </c>
      <c r="C345" s="29" t="n">
        <v>50.2</v>
      </c>
      <c r="D345" s="129" t="n"/>
      <c r="E345" s="129" t="n"/>
      <c r="F345" s="129" t="n"/>
      <c r="G345" s="129" t="n"/>
      <c r="H345" s="129" t="n"/>
      <c r="I345" s="129" t="n"/>
      <c r="J345" s="129" t="n"/>
      <c r="K345" s="129" t="n"/>
      <c r="L345" s="129" t="n"/>
      <c r="M345" s="129" t="n"/>
      <c r="N345" s="129" t="n"/>
      <c r="O345" s="129" t="n"/>
      <c r="P345" s="129" t="n"/>
      <c r="Q345" s="129" t="n"/>
      <c r="R345" s="129" t="n"/>
      <c r="S345" s="129" t="n"/>
      <c r="T345" s="129" t="n"/>
      <c r="U345" s="129" t="n"/>
      <c r="V345" s="129" t="n"/>
      <c r="W345" s="129" t="n"/>
      <c r="X345" s="129" t="n"/>
      <c r="Y345" s="129" t="n"/>
      <c r="Z345" s="129" t="n"/>
      <c r="AA345" s="129" t="n"/>
      <c r="AB345" s="129" t="n"/>
      <c r="AC345" s="129" t="n"/>
      <c r="AD345" s="129" t="n"/>
      <c r="AE345" s="129" t="n"/>
      <c r="AF345" s="129" t="n"/>
      <c r="AG345" s="129" t="n"/>
      <c r="AH345" s="129" t="n"/>
      <c r="AI345" s="129" t="n"/>
      <c r="AJ345" s="129" t="n"/>
      <c r="AK345" s="129" t="n"/>
      <c r="AL345" s="129" t="n"/>
      <c r="AM345" s="129" t="n"/>
      <c r="AN345" s="129" t="n"/>
      <c r="AO345" s="129" t="n"/>
      <c r="AP345" s="129" t="n"/>
      <c r="AQ345" s="129" t="n"/>
      <c r="AR345" s="129" t="n"/>
      <c r="AS345" s="129" t="n"/>
      <c r="AT345" s="129" t="n"/>
      <c r="AU345" s="129" t="n"/>
      <c r="AV345" s="129" t="n"/>
      <c r="AW345" s="129" t="n"/>
      <c r="AX345" s="129" t="n"/>
      <c r="AY345" s="129" t="n"/>
      <c r="AZ345" s="129" t="n"/>
      <c r="BA345" s="129" t="n"/>
      <c r="BB345" s="129" t="n"/>
      <c r="BC345" s="129" t="n"/>
      <c r="BD345" s="129" t="n"/>
      <c r="BE345" s="129" t="n"/>
      <c r="BF345" s="129" t="n"/>
      <c r="BG345" s="129" t="n"/>
      <c r="BH345" s="129" t="n"/>
      <c r="BI345" s="129" t="n"/>
      <c r="BJ345" s="129" t="n"/>
      <c r="BK345" s="129" t="n"/>
      <c r="BL345" s="129" t="n"/>
      <c r="BM345" s="129" t="n"/>
      <c r="BN345" s="129" t="n"/>
      <c r="BO345" s="129" t="n"/>
      <c r="BP345" s="129" t="n"/>
      <c r="BQ345" s="129" t="n"/>
      <c r="BR345" s="129" t="n"/>
      <c r="BS345" s="129" t="n"/>
      <c r="BT345" s="129" t="n"/>
      <c r="BU345" s="129" t="n"/>
      <c r="BV345" s="129" t="n"/>
      <c r="BW345" s="129" t="n"/>
      <c r="BX345" s="129" t="n"/>
      <c r="BY345" s="129" t="n"/>
      <c r="BZ345" s="129" t="n"/>
      <c r="CA345" s="129" t="n"/>
      <c r="CB345" s="129" t="n"/>
      <c r="CC345" s="129" t="n"/>
      <c r="CD345" s="129" t="n"/>
      <c r="CE345" s="129" t="n"/>
      <c r="CF345" s="129" t="n"/>
      <c r="CG345" s="129" t="n"/>
      <c r="CH345" s="129" t="n"/>
      <c r="CI345" s="129" t="n"/>
      <c r="CJ345" s="129" t="n"/>
      <c r="CK345" s="129" t="n"/>
      <c r="CL345" s="129" t="n"/>
      <c r="CM345" s="129" t="n"/>
      <c r="CN345" s="129" t="n"/>
      <c r="CO345" s="129" t="n"/>
      <c r="CP345" s="129" t="n"/>
      <c r="CQ345" s="129" t="n"/>
      <c r="CR345" s="129" t="n"/>
      <c r="CS345" s="129" t="n"/>
      <c r="CT345" s="129" t="n"/>
      <c r="CU345" s="129" t="n"/>
      <c r="CV345" s="129" t="n"/>
      <c r="CW345" s="129" t="n"/>
      <c r="CX345" s="129" t="n"/>
      <c r="CY345" s="129" t="n"/>
      <c r="CZ345" s="129" t="n"/>
      <c r="DA345" s="129" t="n"/>
      <c r="DB345" s="129" t="n"/>
      <c r="DC345" s="129" t="n"/>
      <c r="DD345" s="129" t="n"/>
      <c r="DE345" s="129" t="n"/>
      <c r="DF345" s="129" t="n"/>
      <c r="DG345" s="129" t="n"/>
      <c r="DH345" s="129" t="n"/>
      <c r="DI345" s="129" t="n"/>
      <c r="DJ345" s="129" t="n"/>
      <c r="DK345" s="129" t="n"/>
      <c r="DL345" s="129" t="n"/>
      <c r="DM345" s="129" t="n"/>
      <c r="DN345" s="129" t="n"/>
      <c r="DO345" s="129" t="n"/>
      <c r="DP345" s="129" t="n"/>
      <c r="DQ345" s="129" t="n"/>
      <c r="DR345" s="129" t="n"/>
      <c r="DS345" s="129" t="n"/>
      <c r="DT345" s="129" t="n"/>
      <c r="DU345" s="129" t="n"/>
      <c r="DV345" s="129" t="n"/>
      <c r="DW345" s="129" t="n"/>
      <c r="DX345" s="129" t="n"/>
      <c r="DY345" s="129" t="n"/>
      <c r="DZ345" s="129" t="n"/>
      <c r="EA345" s="129" t="n"/>
      <c r="EB345" s="129" t="n"/>
      <c r="EC345" s="129" t="n"/>
      <c r="ED345" s="129" t="n"/>
      <c r="EE345" s="129" t="n"/>
      <c r="EF345" s="129" t="n"/>
      <c r="EG345" s="129" t="n"/>
      <c r="EH345" s="129" t="n"/>
      <c r="EI345" s="129" t="n"/>
      <c r="EJ345" s="129" t="n"/>
      <c r="EK345" s="129" t="n"/>
      <c r="EL345" s="129" t="n"/>
      <c r="EM345" s="129" t="n"/>
      <c r="EN345" s="129" t="n"/>
      <c r="EO345" s="129" t="n"/>
      <c r="EP345" s="129" t="n"/>
      <c r="EQ345" s="129" t="n"/>
      <c r="ER345" s="129" t="n"/>
      <c r="ES345" s="129" t="n"/>
      <c r="ET345" s="129" t="n"/>
      <c r="EU345" s="129" t="n"/>
      <c r="EV345" s="129" t="n"/>
      <c r="EW345" s="129" t="n"/>
      <c r="EX345" s="129" t="n"/>
      <c r="EY345" s="129" t="n"/>
      <c r="EZ345" s="129" t="n"/>
      <c r="FA345" s="129" t="n"/>
      <c r="FB345" s="129" t="n"/>
      <c r="FC345" s="129" t="n"/>
      <c r="FD345" s="129" t="n"/>
      <c r="FE345" s="129" t="n"/>
      <c r="FF345" s="129" t="n"/>
      <c r="FG345" s="129" t="n"/>
      <c r="FH345" s="129" t="n"/>
      <c r="FI345" s="129" t="n"/>
      <c r="FJ345" s="129" t="n"/>
      <c r="FK345" s="129" t="n"/>
      <c r="FL345" s="129" t="n"/>
      <c r="FM345" s="129" t="n"/>
    </row>
    <row r="346" s="135">
      <c r="A346" s="52" t="n">
        <v>43616</v>
      </c>
      <c r="B346" s="30" t="n">
        <v>0.05</v>
      </c>
      <c r="C346" s="29" t="n">
        <v>50.2</v>
      </c>
      <c r="D346" s="129" t="n"/>
      <c r="E346" s="129" t="n"/>
      <c r="F346" s="129" t="n"/>
      <c r="G346" s="129" t="n"/>
      <c r="H346" s="129" t="n"/>
      <c r="I346" s="129" t="n"/>
      <c r="J346" s="129" t="n"/>
      <c r="K346" s="129" t="n"/>
      <c r="L346" s="129" t="n"/>
      <c r="M346" s="129" t="n"/>
      <c r="N346" s="129" t="n"/>
      <c r="O346" s="129" t="n"/>
      <c r="P346" s="129" t="n"/>
      <c r="Q346" s="129" t="n"/>
      <c r="R346" s="129" t="n"/>
      <c r="S346" s="129" t="n"/>
      <c r="T346" s="129" t="n"/>
      <c r="U346" s="129" t="n"/>
      <c r="V346" s="129" t="n"/>
      <c r="W346" s="129" t="n"/>
      <c r="X346" s="129" t="n"/>
      <c r="Y346" s="129" t="n"/>
      <c r="Z346" s="129" t="n"/>
      <c r="AA346" s="129" t="n"/>
      <c r="AB346" s="129" t="n"/>
      <c r="AC346" s="129" t="n"/>
      <c r="AD346" s="129" t="n"/>
      <c r="AE346" s="129" t="n"/>
      <c r="AF346" s="129" t="n"/>
      <c r="AG346" s="129" t="n"/>
      <c r="AH346" s="129" t="n"/>
      <c r="AI346" s="129" t="n"/>
      <c r="AJ346" s="129" t="n"/>
      <c r="AK346" s="129" t="n"/>
      <c r="AL346" s="129" t="n"/>
      <c r="AM346" s="129" t="n"/>
      <c r="AN346" s="129" t="n"/>
      <c r="AO346" s="129" t="n"/>
      <c r="AP346" s="129" t="n"/>
      <c r="AQ346" s="129" t="n"/>
      <c r="AR346" s="129" t="n"/>
      <c r="AS346" s="129" t="n"/>
      <c r="AT346" s="129" t="n"/>
      <c r="AU346" s="129" t="n"/>
      <c r="AV346" s="129" t="n"/>
      <c r="AW346" s="129" t="n"/>
      <c r="AX346" s="129" t="n"/>
      <c r="AY346" s="129" t="n"/>
      <c r="AZ346" s="129" t="n"/>
      <c r="BA346" s="129" t="n"/>
      <c r="BB346" s="129" t="n"/>
      <c r="BC346" s="129" t="n"/>
      <c r="BD346" s="129" t="n"/>
      <c r="BE346" s="129" t="n"/>
      <c r="BF346" s="129" t="n"/>
      <c r="BG346" s="129" t="n"/>
      <c r="BH346" s="129" t="n"/>
      <c r="BI346" s="129" t="n"/>
      <c r="BJ346" s="129" t="n"/>
      <c r="BK346" s="129" t="n"/>
      <c r="BL346" s="129" t="n"/>
      <c r="BM346" s="129" t="n"/>
      <c r="BN346" s="129" t="n"/>
      <c r="BO346" s="129" t="n"/>
      <c r="BP346" s="129" t="n"/>
      <c r="BQ346" s="129" t="n"/>
      <c r="BR346" s="129" t="n"/>
      <c r="BS346" s="129" t="n"/>
      <c r="BT346" s="129" t="n"/>
      <c r="BU346" s="129" t="n"/>
      <c r="BV346" s="129" t="n"/>
      <c r="BW346" s="129" t="n"/>
      <c r="BX346" s="129" t="n"/>
      <c r="BY346" s="129" t="n"/>
      <c r="BZ346" s="129" t="n"/>
      <c r="CA346" s="129" t="n"/>
      <c r="CB346" s="129" t="n"/>
      <c r="CC346" s="129" t="n"/>
      <c r="CD346" s="129" t="n"/>
      <c r="CE346" s="129" t="n"/>
      <c r="CF346" s="129" t="n"/>
      <c r="CG346" s="129" t="n"/>
      <c r="CH346" s="129" t="n"/>
      <c r="CI346" s="129" t="n"/>
      <c r="CJ346" s="129" t="n"/>
      <c r="CK346" s="129" t="n"/>
      <c r="CL346" s="129" t="n"/>
      <c r="CM346" s="129" t="n"/>
      <c r="CN346" s="129" t="n"/>
      <c r="CO346" s="129" t="n"/>
      <c r="CP346" s="129" t="n"/>
      <c r="CQ346" s="129" t="n"/>
      <c r="CR346" s="129" t="n"/>
      <c r="CS346" s="129" t="n"/>
      <c r="CT346" s="129" t="n"/>
      <c r="CU346" s="129" t="n"/>
      <c r="CV346" s="129" t="n"/>
      <c r="CW346" s="129" t="n"/>
      <c r="CX346" s="129" t="n"/>
      <c r="CY346" s="129" t="n"/>
      <c r="CZ346" s="129" t="n"/>
      <c r="DA346" s="129" t="n"/>
      <c r="DB346" s="129" t="n"/>
      <c r="DC346" s="129" t="n"/>
      <c r="DD346" s="129" t="n"/>
      <c r="DE346" s="129" t="n"/>
      <c r="DF346" s="129" t="n"/>
      <c r="DG346" s="129" t="n"/>
      <c r="DH346" s="129" t="n"/>
      <c r="DI346" s="129" t="n"/>
      <c r="DJ346" s="129" t="n"/>
      <c r="DK346" s="129" t="n"/>
      <c r="DL346" s="129" t="n"/>
      <c r="DM346" s="129" t="n"/>
      <c r="DN346" s="129" t="n"/>
      <c r="DO346" s="129" t="n"/>
      <c r="DP346" s="129" t="n"/>
      <c r="DQ346" s="129" t="n"/>
      <c r="DR346" s="129" t="n"/>
      <c r="DS346" s="129" t="n"/>
      <c r="DT346" s="129" t="n"/>
      <c r="DU346" s="129" t="n"/>
      <c r="DV346" s="129" t="n"/>
      <c r="DW346" s="129" t="n"/>
      <c r="DX346" s="129" t="n"/>
      <c r="DY346" s="129" t="n"/>
      <c r="DZ346" s="129" t="n"/>
      <c r="EA346" s="129" t="n"/>
      <c r="EB346" s="129" t="n"/>
      <c r="EC346" s="129" t="n"/>
      <c r="ED346" s="129" t="n"/>
      <c r="EE346" s="129" t="n"/>
      <c r="EF346" s="129" t="n"/>
      <c r="EG346" s="129" t="n"/>
      <c r="EH346" s="129" t="n"/>
      <c r="EI346" s="129" t="n"/>
      <c r="EJ346" s="129" t="n"/>
      <c r="EK346" s="129" t="n"/>
      <c r="EL346" s="129" t="n"/>
      <c r="EM346" s="129" t="n"/>
      <c r="EN346" s="129" t="n"/>
      <c r="EO346" s="129" t="n"/>
      <c r="EP346" s="129" t="n"/>
      <c r="EQ346" s="129" t="n"/>
      <c r="ER346" s="129" t="n"/>
      <c r="ES346" s="129" t="n"/>
      <c r="ET346" s="129" t="n"/>
      <c r="EU346" s="129" t="n"/>
      <c r="EV346" s="129" t="n"/>
      <c r="EW346" s="129" t="n"/>
      <c r="EX346" s="129" t="n"/>
      <c r="EY346" s="129" t="n"/>
      <c r="EZ346" s="129" t="n"/>
      <c r="FA346" s="129" t="n"/>
      <c r="FB346" s="129" t="n"/>
      <c r="FC346" s="129" t="n"/>
      <c r="FD346" s="129" t="n"/>
      <c r="FE346" s="129" t="n"/>
      <c r="FF346" s="129" t="n"/>
      <c r="FG346" s="129" t="n"/>
      <c r="FH346" s="129" t="n"/>
      <c r="FI346" s="129" t="n"/>
      <c r="FJ346" s="129" t="n"/>
      <c r="FK346" s="129" t="n"/>
      <c r="FL346" s="129" t="n"/>
      <c r="FM346" s="129" t="n"/>
    </row>
    <row r="347" s="135">
      <c r="A347" s="52" t="n">
        <v>43646</v>
      </c>
      <c r="B347" s="30" t="n">
        <v>0.063</v>
      </c>
      <c r="C347" s="29" t="n">
        <v>49.4</v>
      </c>
      <c r="D347" s="129" t="n"/>
      <c r="E347" s="129" t="n"/>
      <c r="F347" s="129" t="n"/>
      <c r="G347" s="129" t="n"/>
      <c r="H347" s="129" t="n"/>
      <c r="I347" s="129" t="n"/>
      <c r="J347" s="129" t="n"/>
      <c r="K347" s="129" t="n"/>
      <c r="L347" s="129" t="n"/>
      <c r="M347" s="129" t="n"/>
      <c r="N347" s="129" t="n"/>
      <c r="O347" s="129" t="n"/>
      <c r="P347" s="129" t="n"/>
      <c r="Q347" s="129" t="n"/>
      <c r="R347" s="129" t="n"/>
      <c r="S347" s="129" t="n"/>
      <c r="T347" s="129" t="n"/>
      <c r="U347" s="129" t="n"/>
      <c r="V347" s="129" t="n"/>
      <c r="W347" s="129" t="n"/>
      <c r="X347" s="129" t="n"/>
      <c r="Y347" s="129" t="n"/>
      <c r="Z347" s="129" t="n"/>
      <c r="AA347" s="129" t="n"/>
      <c r="AB347" s="129" t="n"/>
      <c r="AC347" s="129" t="n"/>
      <c r="AD347" s="129" t="n"/>
      <c r="AE347" s="129" t="n"/>
      <c r="AF347" s="129" t="n"/>
      <c r="AG347" s="129" t="n"/>
      <c r="AH347" s="129" t="n"/>
      <c r="AI347" s="129" t="n"/>
      <c r="AJ347" s="129" t="n"/>
      <c r="AK347" s="129" t="n"/>
      <c r="AL347" s="129" t="n"/>
      <c r="AM347" s="129" t="n"/>
      <c r="AN347" s="129" t="n"/>
      <c r="AO347" s="129" t="n"/>
      <c r="AP347" s="129" t="n"/>
      <c r="AQ347" s="129" t="n"/>
      <c r="AR347" s="129" t="n"/>
      <c r="AS347" s="129" t="n"/>
      <c r="AT347" s="129" t="n"/>
      <c r="AU347" s="129" t="n"/>
      <c r="AV347" s="129" t="n"/>
      <c r="AW347" s="129" t="n"/>
      <c r="AX347" s="129" t="n"/>
      <c r="AY347" s="129" t="n"/>
      <c r="AZ347" s="129" t="n"/>
      <c r="BA347" s="129" t="n"/>
      <c r="BB347" s="129" t="n"/>
      <c r="BC347" s="129" t="n"/>
      <c r="BD347" s="129" t="n"/>
      <c r="BE347" s="129" t="n"/>
      <c r="BF347" s="129" t="n"/>
      <c r="BG347" s="129" t="n"/>
      <c r="BH347" s="129" t="n"/>
      <c r="BI347" s="129" t="n"/>
      <c r="BJ347" s="129" t="n"/>
      <c r="BK347" s="129" t="n"/>
      <c r="BL347" s="129" t="n"/>
      <c r="BM347" s="129" t="n"/>
      <c r="BN347" s="129" t="n"/>
      <c r="BO347" s="129" t="n"/>
      <c r="BP347" s="129" t="n"/>
      <c r="BQ347" s="129" t="n"/>
      <c r="BR347" s="129" t="n"/>
      <c r="BS347" s="129" t="n"/>
      <c r="BT347" s="129" t="n"/>
      <c r="BU347" s="129" t="n"/>
      <c r="BV347" s="129" t="n"/>
      <c r="BW347" s="129" t="n"/>
      <c r="BX347" s="129" t="n"/>
      <c r="BY347" s="129" t="n"/>
      <c r="BZ347" s="129" t="n"/>
      <c r="CA347" s="129" t="n"/>
      <c r="CB347" s="129" t="n"/>
      <c r="CC347" s="129" t="n"/>
      <c r="CD347" s="129" t="n"/>
      <c r="CE347" s="129" t="n"/>
      <c r="CF347" s="129" t="n"/>
      <c r="CG347" s="129" t="n"/>
      <c r="CH347" s="129" t="n"/>
      <c r="CI347" s="129" t="n"/>
      <c r="CJ347" s="129" t="n"/>
      <c r="CK347" s="129" t="n"/>
      <c r="CL347" s="129" t="n"/>
      <c r="CM347" s="129" t="n"/>
      <c r="CN347" s="129" t="n"/>
      <c r="CO347" s="129" t="n"/>
      <c r="CP347" s="129" t="n"/>
      <c r="CQ347" s="129" t="n"/>
      <c r="CR347" s="129" t="n"/>
      <c r="CS347" s="129" t="n"/>
      <c r="CT347" s="129" t="n"/>
      <c r="CU347" s="129" t="n"/>
      <c r="CV347" s="129" t="n"/>
      <c r="CW347" s="129" t="n"/>
      <c r="CX347" s="129" t="n"/>
      <c r="CY347" s="129" t="n"/>
      <c r="CZ347" s="129" t="n"/>
      <c r="DA347" s="129" t="n"/>
      <c r="DB347" s="129" t="n"/>
      <c r="DC347" s="129" t="n"/>
      <c r="DD347" s="129" t="n"/>
      <c r="DE347" s="129" t="n"/>
      <c r="DF347" s="129" t="n"/>
      <c r="DG347" s="129" t="n"/>
      <c r="DH347" s="129" t="n"/>
      <c r="DI347" s="129" t="n"/>
      <c r="DJ347" s="129" t="n"/>
      <c r="DK347" s="129" t="n"/>
      <c r="DL347" s="129" t="n"/>
      <c r="DM347" s="129" t="n"/>
      <c r="DN347" s="129" t="n"/>
      <c r="DO347" s="129" t="n"/>
      <c r="DP347" s="129" t="n"/>
      <c r="DQ347" s="129" t="n"/>
      <c r="DR347" s="129" t="n"/>
      <c r="DS347" s="129" t="n"/>
      <c r="DT347" s="129" t="n"/>
      <c r="DU347" s="129" t="n"/>
      <c r="DV347" s="129" t="n"/>
      <c r="DW347" s="129" t="n"/>
      <c r="DX347" s="129" t="n"/>
      <c r="DY347" s="129" t="n"/>
      <c r="DZ347" s="129" t="n"/>
      <c r="EA347" s="129" t="n"/>
      <c r="EB347" s="129" t="n"/>
      <c r="EC347" s="129" t="n"/>
      <c r="ED347" s="129" t="n"/>
      <c r="EE347" s="129" t="n"/>
      <c r="EF347" s="129" t="n"/>
      <c r="EG347" s="129" t="n"/>
      <c r="EH347" s="129" t="n"/>
      <c r="EI347" s="129" t="n"/>
      <c r="EJ347" s="129" t="n"/>
      <c r="EK347" s="129" t="n"/>
      <c r="EL347" s="129" t="n"/>
      <c r="EM347" s="129" t="n"/>
      <c r="EN347" s="129" t="n"/>
      <c r="EO347" s="129" t="n"/>
      <c r="EP347" s="129" t="n"/>
      <c r="EQ347" s="129" t="n"/>
      <c r="ER347" s="129" t="n"/>
      <c r="ES347" s="129" t="n"/>
      <c r="ET347" s="129" t="n"/>
      <c r="EU347" s="129" t="n"/>
      <c r="EV347" s="129" t="n"/>
      <c r="EW347" s="129" t="n"/>
      <c r="EX347" s="129" t="n"/>
      <c r="EY347" s="129" t="n"/>
      <c r="EZ347" s="129" t="n"/>
      <c r="FA347" s="129" t="n"/>
      <c r="FB347" s="129" t="n"/>
      <c r="FC347" s="129" t="n"/>
      <c r="FD347" s="129" t="n"/>
      <c r="FE347" s="129" t="n"/>
      <c r="FF347" s="129" t="n"/>
      <c r="FG347" s="129" t="n"/>
      <c r="FH347" s="129" t="n"/>
      <c r="FI347" s="129" t="n"/>
      <c r="FJ347" s="129" t="n"/>
      <c r="FK347" s="129" t="n"/>
      <c r="FL347" s="129" t="n"/>
      <c r="FM347" s="129" t="n"/>
    </row>
    <row r="348" s="135">
      <c r="A348" s="53" t="n">
        <v>43677</v>
      </c>
      <c r="B348" s="54" t="n">
        <v>0.048</v>
      </c>
      <c r="C348" s="29" t="n">
        <v>49.9</v>
      </c>
      <c r="D348" s="129" t="n"/>
      <c r="E348" s="129" t="n"/>
      <c r="F348" s="129" t="n"/>
      <c r="G348" s="129" t="n"/>
      <c r="H348" s="129" t="n"/>
      <c r="I348" s="129" t="n"/>
      <c r="J348" s="129" t="n"/>
      <c r="K348" s="129" t="n"/>
      <c r="L348" s="129" t="n"/>
      <c r="M348" s="129" t="n"/>
      <c r="N348" s="129" t="n"/>
      <c r="O348" s="129" t="n"/>
      <c r="P348" s="129" t="n"/>
      <c r="Q348" s="129" t="n"/>
      <c r="R348" s="129" t="n"/>
      <c r="S348" s="129" t="n"/>
      <c r="T348" s="129" t="n"/>
      <c r="U348" s="129" t="n"/>
      <c r="V348" s="129" t="n"/>
      <c r="W348" s="129" t="n"/>
      <c r="X348" s="129" t="n"/>
      <c r="Y348" s="129" t="n"/>
      <c r="Z348" s="129" t="n"/>
      <c r="AA348" s="129" t="n"/>
      <c r="AB348" s="129" t="n"/>
      <c r="AC348" s="129" t="n"/>
      <c r="AD348" s="129" t="n"/>
      <c r="AE348" s="129" t="n"/>
      <c r="AF348" s="129" t="n"/>
      <c r="AG348" s="129" t="n"/>
      <c r="AH348" s="129" t="n"/>
      <c r="AI348" s="129" t="n"/>
      <c r="AJ348" s="129" t="n"/>
      <c r="AK348" s="129" t="n"/>
      <c r="AL348" s="129" t="n"/>
      <c r="AM348" s="129" t="n"/>
      <c r="AN348" s="129" t="n"/>
      <c r="AO348" s="129" t="n"/>
      <c r="AP348" s="129" t="n"/>
      <c r="AQ348" s="129" t="n"/>
      <c r="AR348" s="129" t="n"/>
      <c r="AS348" s="129" t="n"/>
      <c r="AT348" s="129" t="n"/>
      <c r="AU348" s="129" t="n"/>
      <c r="AV348" s="129" t="n"/>
      <c r="AW348" s="129" t="n"/>
      <c r="AX348" s="129" t="n"/>
      <c r="AY348" s="129" t="n"/>
      <c r="AZ348" s="129" t="n"/>
      <c r="BA348" s="129" t="n"/>
      <c r="BB348" s="129" t="n"/>
      <c r="BC348" s="129" t="n"/>
      <c r="BD348" s="129" t="n"/>
      <c r="BE348" s="129" t="n"/>
      <c r="BF348" s="129" t="n"/>
      <c r="BG348" s="129" t="n"/>
      <c r="BH348" s="129" t="n"/>
      <c r="BI348" s="129" t="n"/>
      <c r="BJ348" s="129" t="n"/>
      <c r="BK348" s="129" t="n"/>
      <c r="BL348" s="129" t="n"/>
      <c r="BM348" s="129" t="n"/>
      <c r="BN348" s="129" t="n"/>
      <c r="BO348" s="129" t="n"/>
      <c r="BP348" s="129" t="n"/>
      <c r="BQ348" s="129" t="n"/>
      <c r="BR348" s="129" t="n"/>
      <c r="BS348" s="129" t="n"/>
      <c r="BT348" s="129" t="n"/>
      <c r="BU348" s="129" t="n"/>
      <c r="BV348" s="129" t="n"/>
      <c r="BW348" s="129" t="n"/>
      <c r="BX348" s="129" t="n"/>
      <c r="BY348" s="129" t="n"/>
      <c r="BZ348" s="129" t="n"/>
      <c r="CA348" s="129" t="n"/>
      <c r="CB348" s="129" t="n"/>
      <c r="CC348" s="129" t="n"/>
      <c r="CD348" s="129" t="n"/>
      <c r="CE348" s="129" t="n"/>
      <c r="CF348" s="129" t="n"/>
      <c r="CG348" s="129" t="n"/>
      <c r="CH348" s="129" t="n"/>
      <c r="CI348" s="129" t="n"/>
      <c r="CJ348" s="129" t="n"/>
      <c r="CK348" s="129" t="n"/>
      <c r="CL348" s="129" t="n"/>
      <c r="CM348" s="129" t="n"/>
      <c r="CN348" s="129" t="n"/>
      <c r="CO348" s="129" t="n"/>
      <c r="CP348" s="129" t="n"/>
      <c r="CQ348" s="129" t="n"/>
      <c r="CR348" s="129" t="n"/>
      <c r="CS348" s="129" t="n"/>
      <c r="CT348" s="129" t="n"/>
      <c r="CU348" s="129" t="n"/>
      <c r="CV348" s="129" t="n"/>
      <c r="CW348" s="129" t="n"/>
      <c r="CX348" s="129" t="n"/>
      <c r="CY348" s="129" t="n"/>
      <c r="CZ348" s="129" t="n"/>
      <c r="DA348" s="129" t="n"/>
      <c r="DB348" s="129" t="n"/>
      <c r="DC348" s="129" t="n"/>
      <c r="DD348" s="129" t="n"/>
      <c r="DE348" s="129" t="n"/>
      <c r="DF348" s="129" t="n"/>
      <c r="DG348" s="129" t="n"/>
      <c r="DH348" s="129" t="n"/>
      <c r="DI348" s="129" t="n"/>
      <c r="DJ348" s="129" t="n"/>
      <c r="DK348" s="129" t="n"/>
      <c r="DL348" s="129" t="n"/>
      <c r="DM348" s="129" t="n"/>
      <c r="DN348" s="129" t="n"/>
      <c r="DO348" s="129" t="n"/>
      <c r="DP348" s="129" t="n"/>
      <c r="DQ348" s="129" t="n"/>
      <c r="DR348" s="129" t="n"/>
      <c r="DS348" s="129" t="n"/>
      <c r="DT348" s="129" t="n"/>
      <c r="DU348" s="129" t="n"/>
      <c r="DV348" s="129" t="n"/>
      <c r="DW348" s="129" t="n"/>
      <c r="DX348" s="129" t="n"/>
      <c r="DY348" s="129" t="n"/>
      <c r="DZ348" s="129" t="n"/>
      <c r="EA348" s="129" t="n"/>
      <c r="EB348" s="129" t="n"/>
      <c r="EC348" s="129" t="n"/>
      <c r="ED348" s="129" t="n"/>
      <c r="EE348" s="129" t="n"/>
      <c r="EF348" s="129" t="n"/>
      <c r="EG348" s="129" t="n"/>
      <c r="EH348" s="129" t="n"/>
      <c r="EI348" s="129" t="n"/>
      <c r="EJ348" s="129" t="n"/>
      <c r="EK348" s="129" t="n"/>
      <c r="EL348" s="129" t="n"/>
      <c r="EM348" s="129" t="n"/>
      <c r="EN348" s="129" t="n"/>
      <c r="EO348" s="129" t="n"/>
      <c r="EP348" s="129" t="n"/>
      <c r="EQ348" s="129" t="n"/>
      <c r="ER348" s="129" t="n"/>
      <c r="ES348" s="129" t="n"/>
      <c r="ET348" s="129" t="n"/>
      <c r="EU348" s="129" t="n"/>
      <c r="EV348" s="129" t="n"/>
      <c r="EW348" s="129" t="n"/>
      <c r="EX348" s="129" t="n"/>
      <c r="EY348" s="129" t="n"/>
      <c r="EZ348" s="129" t="n"/>
      <c r="FA348" s="129" t="n"/>
      <c r="FB348" s="129" t="n"/>
      <c r="FC348" s="129" t="n"/>
      <c r="FD348" s="129" t="n"/>
      <c r="FE348" s="129" t="n"/>
      <c r="FF348" s="129" t="n"/>
      <c r="FG348" s="129" t="n"/>
      <c r="FH348" s="129" t="n"/>
      <c r="FI348" s="129" t="n"/>
      <c r="FJ348" s="129" t="n"/>
      <c r="FK348" s="129" t="n"/>
      <c r="FL348" s="129" t="n"/>
      <c r="FM348" s="129" t="n"/>
    </row>
    <row r="349">
      <c r="A349" s="52" t="n">
        <v>43708</v>
      </c>
      <c r="B349" s="30" t="n">
        <v>0.044</v>
      </c>
      <c r="C349" s="29" t="n">
        <v>50.4</v>
      </c>
    </row>
    <row r="350">
      <c r="A350" s="53" t="n">
        <v>43738</v>
      </c>
      <c r="B350" s="54" t="n">
        <v>0.058</v>
      </c>
      <c r="C350" s="29" t="n">
        <v>51.4</v>
      </c>
    </row>
    <row r="351">
      <c r="A351" s="52" t="n">
        <v>43769</v>
      </c>
      <c r="B351" s="30" t="n">
        <v>0.047</v>
      </c>
      <c r="C351" s="29" t="n">
        <v>51.7</v>
      </c>
    </row>
    <row r="352">
      <c r="A352" s="52" t="n">
        <v>43799</v>
      </c>
      <c r="B352" s="30" t="n">
        <v>0.062</v>
      </c>
      <c r="C352" s="29" t="n">
        <v>51.8</v>
      </c>
    </row>
    <row r="353">
      <c r="A353" s="52" t="n">
        <v>43830</v>
      </c>
      <c r="B353" s="30" t="n">
        <v>0.06900000000000001</v>
      </c>
      <c r="C353" s="29" t="n">
        <v>51.5</v>
      </c>
    </row>
    <row r="354">
      <c r="A354" s="52" t="n">
        <v>43890</v>
      </c>
      <c r="B354" s="30" t="n">
        <v>-0.135</v>
      </c>
      <c r="C354" s="29" t="n">
        <v>51.1</v>
      </c>
    </row>
    <row r="355">
      <c r="A355" s="52" t="n">
        <v>43921</v>
      </c>
      <c r="B355" s="30" t="n">
        <v>-0.011</v>
      </c>
      <c r="C355" s="29" t="n">
        <v>40.3</v>
      </c>
    </row>
    <row r="356">
      <c r="A356" s="52" t="n">
        <v>43951</v>
      </c>
      <c r="B356" s="30" t="n">
        <v>0.039</v>
      </c>
      <c r="C356" s="29" t="n">
        <v>50.1</v>
      </c>
    </row>
    <row r="357">
      <c r="A357" s="52" t="n">
        <v>43982</v>
      </c>
      <c r="B357" s="30" t="n">
        <v>0.044</v>
      </c>
      <c r="C357" s="29" t="n">
        <v>49.4</v>
      </c>
    </row>
    <row r="358">
      <c r="A358" s="52" t="n">
        <v>44012</v>
      </c>
      <c r="B358" s="30" t="n">
        <v>0.048</v>
      </c>
      <c r="C358" s="29" t="n">
        <v>50.7</v>
      </c>
    </row>
    <row r="359">
      <c r="A359" s="52" t="n">
        <v>44043</v>
      </c>
      <c r="B359" s="30" t="n">
        <v>0.048</v>
      </c>
      <c r="C359" s="29" t="n">
        <v>51.2</v>
      </c>
    </row>
    <row r="360">
      <c r="A360" s="52" t="n">
        <v>44074</v>
      </c>
      <c r="B360" s="30" t="n">
        <v>0.056</v>
      </c>
      <c r="C360" s="29" t="n">
        <v>52.8</v>
      </c>
    </row>
    <row r="361">
      <c r="A361" s="52" t="n">
        <v>44104</v>
      </c>
      <c r="B361" s="30" t="n">
        <v>0.06900000000000001</v>
      </c>
      <c r="C361" s="29" t="n">
        <v>53.1</v>
      </c>
    </row>
    <row r="362">
      <c r="A362" s="52" t="n">
        <v>44135</v>
      </c>
      <c r="B362" s="30" t="n">
        <v>0.06900000000000001</v>
      </c>
      <c r="C362" s="29" t="n">
        <v>53</v>
      </c>
    </row>
    <row r="363">
      <c r="A363" s="52" t="n">
        <v>44165</v>
      </c>
      <c r="B363" s="30" t="n">
        <v>0.07000000000000001</v>
      </c>
      <c r="C363" s="29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2021-12-21T10:59:49Z</dcterms:modified>
  <cp:lastModifiedBy>Mark Mukherjee</cp:lastModifiedBy>
</cp:coreProperties>
</file>